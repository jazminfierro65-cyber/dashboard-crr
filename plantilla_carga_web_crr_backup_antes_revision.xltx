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/>
  <workbookPr/>
  <mc:AlternateContent xmlns:mc="http://schemas.openxmlformats.org/markup-compatibility/2006">
    <mc:Choice Requires="x15">
      <x15ac:absPath xmlns:x15ac="http://schemas.microsoft.com/office/spreadsheetml/2010/11/ac" url="/Users/jazz/Documents/New project/"/>
    </mc:Choice>
  </mc:AlternateContent>
  <xr:revisionPtr revIDLastSave="0" documentId="8_{587E638A-4957-1749-B93E-4FD6629F54B2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Carga Web Cirugias" sheetId="1" r:id="rId1"/>
    <sheet name="Carga Eventos Diarios" sheetId="2" r:id="rId2"/>
    <sheet name="Catalogos" sheetId="3" r:id="rId3"/>
    <sheet name="Instrucciones" sheetId="4" r:id="rId4"/>
    <sheet name="Catalogo MINSAL" sheetId="5" r:id="rId5"/>
    <sheet name="Guia de carga CR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00" i="1" l="1"/>
  <c r="V500" i="1"/>
  <c r="X500" i="1" s="1"/>
  <c r="R500" i="1"/>
  <c r="U500" i="1" s="1"/>
  <c r="J500" i="1"/>
  <c r="W499" i="1"/>
  <c r="V499" i="1"/>
  <c r="X499" i="1" s="1"/>
  <c r="R499" i="1"/>
  <c r="U499" i="1" s="1"/>
  <c r="J499" i="1"/>
  <c r="W498" i="1"/>
  <c r="V498" i="1"/>
  <c r="X498" i="1" s="1"/>
  <c r="R498" i="1"/>
  <c r="U498" i="1" s="1"/>
  <c r="J498" i="1"/>
  <c r="W497" i="1"/>
  <c r="V497" i="1"/>
  <c r="X497" i="1" s="1"/>
  <c r="R497" i="1"/>
  <c r="U497" i="1" s="1"/>
  <c r="J497" i="1"/>
  <c r="W496" i="1"/>
  <c r="V496" i="1"/>
  <c r="X496" i="1" s="1"/>
  <c r="R496" i="1"/>
  <c r="U496" i="1" s="1"/>
  <c r="J496" i="1"/>
  <c r="W495" i="1"/>
  <c r="V495" i="1"/>
  <c r="X495" i="1" s="1"/>
  <c r="R495" i="1"/>
  <c r="U495" i="1" s="1"/>
  <c r="J495" i="1"/>
  <c r="W494" i="1"/>
  <c r="Y494" i="1" s="1"/>
  <c r="Z494" i="1" s="1"/>
  <c r="V494" i="1"/>
  <c r="X494" i="1" s="1"/>
  <c r="R494" i="1"/>
  <c r="U494" i="1" s="1"/>
  <c r="J494" i="1"/>
  <c r="W493" i="1"/>
  <c r="V493" i="1"/>
  <c r="R493" i="1"/>
  <c r="U493" i="1" s="1"/>
  <c r="J493" i="1"/>
  <c r="W492" i="1"/>
  <c r="V492" i="1"/>
  <c r="X492" i="1" s="1"/>
  <c r="R492" i="1"/>
  <c r="U492" i="1" s="1"/>
  <c r="J492" i="1"/>
  <c r="W491" i="1"/>
  <c r="Y491" i="1" s="1"/>
  <c r="Z491" i="1" s="1"/>
  <c r="V491" i="1"/>
  <c r="X491" i="1" s="1"/>
  <c r="R491" i="1"/>
  <c r="U491" i="1" s="1"/>
  <c r="J491" i="1"/>
  <c r="W490" i="1"/>
  <c r="V490" i="1"/>
  <c r="R490" i="1"/>
  <c r="U490" i="1" s="1"/>
  <c r="J490" i="1"/>
  <c r="W489" i="1"/>
  <c r="V489" i="1"/>
  <c r="X489" i="1" s="1"/>
  <c r="R489" i="1"/>
  <c r="U489" i="1" s="1"/>
  <c r="J489" i="1"/>
  <c r="Y488" i="1"/>
  <c r="Z488" i="1" s="1"/>
  <c r="W488" i="1"/>
  <c r="V488" i="1"/>
  <c r="X488" i="1" s="1"/>
  <c r="R488" i="1"/>
  <c r="U488" i="1" s="1"/>
  <c r="J488" i="1"/>
  <c r="W487" i="1"/>
  <c r="V487" i="1"/>
  <c r="R487" i="1"/>
  <c r="U487" i="1" s="1"/>
  <c r="J487" i="1"/>
  <c r="W486" i="1"/>
  <c r="V486" i="1"/>
  <c r="X486" i="1" s="1"/>
  <c r="Y486" i="1" s="1"/>
  <c r="Z486" i="1" s="1"/>
  <c r="R486" i="1"/>
  <c r="U486" i="1" s="1"/>
  <c r="J486" i="1"/>
  <c r="W485" i="1"/>
  <c r="Y485" i="1" s="1"/>
  <c r="Z485" i="1" s="1"/>
  <c r="V485" i="1"/>
  <c r="X485" i="1" s="1"/>
  <c r="R485" i="1"/>
  <c r="U485" i="1" s="1"/>
  <c r="J485" i="1"/>
  <c r="Z484" i="1"/>
  <c r="Y484" i="1"/>
  <c r="W484" i="1"/>
  <c r="V484" i="1"/>
  <c r="X484" i="1" s="1"/>
  <c r="R484" i="1"/>
  <c r="U484" i="1" s="1"/>
  <c r="J484" i="1"/>
  <c r="W483" i="1"/>
  <c r="V483" i="1"/>
  <c r="R483" i="1"/>
  <c r="U483" i="1" s="1"/>
  <c r="J483" i="1"/>
  <c r="Y482" i="1"/>
  <c r="Z482" i="1" s="1"/>
  <c r="W482" i="1"/>
  <c r="V482" i="1"/>
  <c r="X482" i="1" s="1"/>
  <c r="R482" i="1"/>
  <c r="U482" i="1" s="1"/>
  <c r="J482" i="1"/>
  <c r="W481" i="1"/>
  <c r="Y481" i="1" s="1"/>
  <c r="Z481" i="1" s="1"/>
  <c r="V481" i="1"/>
  <c r="X481" i="1" s="1"/>
  <c r="R481" i="1"/>
  <c r="U481" i="1" s="1"/>
  <c r="J481" i="1"/>
  <c r="Z480" i="1"/>
  <c r="Y480" i="1"/>
  <c r="W480" i="1"/>
  <c r="V480" i="1"/>
  <c r="X480" i="1" s="1"/>
  <c r="R480" i="1"/>
  <c r="U480" i="1" s="1"/>
  <c r="J480" i="1"/>
  <c r="W479" i="1"/>
  <c r="V479" i="1"/>
  <c r="R479" i="1"/>
  <c r="U479" i="1" s="1"/>
  <c r="J479" i="1"/>
  <c r="Y478" i="1"/>
  <c r="Z478" i="1" s="1"/>
  <c r="W478" i="1"/>
  <c r="V478" i="1"/>
  <c r="X478" i="1" s="1"/>
  <c r="R478" i="1"/>
  <c r="U478" i="1" s="1"/>
  <c r="J478" i="1"/>
  <c r="W477" i="1"/>
  <c r="V477" i="1"/>
  <c r="X477" i="1" s="1"/>
  <c r="R477" i="1"/>
  <c r="U477" i="1" s="1"/>
  <c r="J477" i="1"/>
  <c r="Z476" i="1"/>
  <c r="Y476" i="1"/>
  <c r="W476" i="1"/>
  <c r="V476" i="1"/>
  <c r="X476" i="1" s="1"/>
  <c r="R476" i="1"/>
  <c r="U476" i="1" s="1"/>
  <c r="J476" i="1"/>
  <c r="W475" i="1"/>
  <c r="V475" i="1"/>
  <c r="R475" i="1"/>
  <c r="U475" i="1" s="1"/>
  <c r="J475" i="1"/>
  <c r="W474" i="1"/>
  <c r="Y474" i="1" s="1"/>
  <c r="Z474" i="1" s="1"/>
  <c r="V474" i="1"/>
  <c r="X474" i="1" s="1"/>
  <c r="R474" i="1"/>
  <c r="U474" i="1" s="1"/>
  <c r="J474" i="1"/>
  <c r="W473" i="1"/>
  <c r="V473" i="1"/>
  <c r="X473" i="1" s="1"/>
  <c r="R473" i="1"/>
  <c r="U473" i="1" s="1"/>
  <c r="J473" i="1"/>
  <c r="Z472" i="1"/>
  <c r="Y472" i="1"/>
  <c r="W472" i="1"/>
  <c r="V472" i="1"/>
  <c r="X472" i="1" s="1"/>
  <c r="R472" i="1"/>
  <c r="U472" i="1" s="1"/>
  <c r="J472" i="1"/>
  <c r="W471" i="1"/>
  <c r="V471" i="1"/>
  <c r="R471" i="1"/>
  <c r="U471" i="1" s="1"/>
  <c r="J471" i="1"/>
  <c r="W470" i="1"/>
  <c r="V470" i="1"/>
  <c r="R470" i="1"/>
  <c r="U470" i="1" s="1"/>
  <c r="J470" i="1"/>
  <c r="W469" i="1"/>
  <c r="V469" i="1"/>
  <c r="X469" i="1" s="1"/>
  <c r="R469" i="1"/>
  <c r="U469" i="1" s="1"/>
  <c r="J469" i="1"/>
  <c r="Z468" i="1"/>
  <c r="Y468" i="1"/>
  <c r="W468" i="1"/>
  <c r="V468" i="1"/>
  <c r="X468" i="1" s="1"/>
  <c r="R468" i="1"/>
  <c r="U468" i="1" s="1"/>
  <c r="J468" i="1"/>
  <c r="W467" i="1"/>
  <c r="V467" i="1"/>
  <c r="R467" i="1"/>
  <c r="U467" i="1" s="1"/>
  <c r="J467" i="1"/>
  <c r="W466" i="1"/>
  <c r="V466" i="1"/>
  <c r="R466" i="1"/>
  <c r="U466" i="1" s="1"/>
  <c r="J466" i="1"/>
  <c r="W465" i="1"/>
  <c r="V465" i="1"/>
  <c r="X465" i="1" s="1"/>
  <c r="R465" i="1"/>
  <c r="U465" i="1" s="1"/>
  <c r="J465" i="1"/>
  <c r="Z464" i="1"/>
  <c r="Y464" i="1"/>
  <c r="W464" i="1"/>
  <c r="V464" i="1"/>
  <c r="X464" i="1" s="1"/>
  <c r="R464" i="1"/>
  <c r="U464" i="1" s="1"/>
  <c r="J464" i="1"/>
  <c r="W463" i="1"/>
  <c r="V463" i="1"/>
  <c r="R463" i="1"/>
  <c r="U463" i="1" s="1"/>
  <c r="J463" i="1"/>
  <c r="W462" i="1"/>
  <c r="V462" i="1"/>
  <c r="X462" i="1" s="1"/>
  <c r="R462" i="1"/>
  <c r="U462" i="1" s="1"/>
  <c r="J462" i="1"/>
  <c r="W461" i="1"/>
  <c r="V461" i="1"/>
  <c r="X461" i="1" s="1"/>
  <c r="R461" i="1"/>
  <c r="U461" i="1" s="1"/>
  <c r="J461" i="1"/>
  <c r="Z460" i="1"/>
  <c r="Y460" i="1"/>
  <c r="W460" i="1"/>
  <c r="V460" i="1"/>
  <c r="X460" i="1" s="1"/>
  <c r="R460" i="1"/>
  <c r="U460" i="1" s="1"/>
  <c r="J460" i="1"/>
  <c r="W459" i="1"/>
  <c r="V459" i="1"/>
  <c r="R459" i="1"/>
  <c r="U459" i="1" s="1"/>
  <c r="J459" i="1"/>
  <c r="W458" i="1"/>
  <c r="Y458" i="1" s="1"/>
  <c r="Z458" i="1" s="1"/>
  <c r="V458" i="1"/>
  <c r="X458" i="1" s="1"/>
  <c r="R458" i="1"/>
  <c r="U458" i="1" s="1"/>
  <c r="J458" i="1"/>
  <c r="W457" i="1"/>
  <c r="V457" i="1"/>
  <c r="X457" i="1" s="1"/>
  <c r="R457" i="1"/>
  <c r="U457" i="1" s="1"/>
  <c r="J457" i="1"/>
  <c r="Z456" i="1"/>
  <c r="Y456" i="1"/>
  <c r="W456" i="1"/>
  <c r="V456" i="1"/>
  <c r="X456" i="1" s="1"/>
  <c r="R456" i="1"/>
  <c r="U456" i="1" s="1"/>
  <c r="J456" i="1"/>
  <c r="W455" i="1"/>
  <c r="V455" i="1"/>
  <c r="R455" i="1"/>
  <c r="U455" i="1" s="1"/>
  <c r="J455" i="1"/>
  <c r="W454" i="1"/>
  <c r="V454" i="1"/>
  <c r="X454" i="1" s="1"/>
  <c r="Y454" i="1" s="1"/>
  <c r="Z454" i="1" s="1"/>
  <c r="R454" i="1"/>
  <c r="U454" i="1" s="1"/>
  <c r="J454" i="1"/>
  <c r="W453" i="1"/>
  <c r="Y453" i="1" s="1"/>
  <c r="Z453" i="1" s="1"/>
  <c r="V453" i="1"/>
  <c r="X453" i="1" s="1"/>
  <c r="R453" i="1"/>
  <c r="U453" i="1" s="1"/>
  <c r="J453" i="1"/>
  <c r="Z452" i="1"/>
  <c r="Y452" i="1"/>
  <c r="W452" i="1"/>
  <c r="V452" i="1"/>
  <c r="X452" i="1" s="1"/>
  <c r="R452" i="1"/>
  <c r="U452" i="1" s="1"/>
  <c r="J452" i="1"/>
  <c r="W451" i="1"/>
  <c r="V451" i="1"/>
  <c r="R451" i="1"/>
  <c r="U451" i="1" s="1"/>
  <c r="J451" i="1"/>
  <c r="Y450" i="1"/>
  <c r="Z450" i="1" s="1"/>
  <c r="W450" i="1"/>
  <c r="V450" i="1"/>
  <c r="X450" i="1" s="1"/>
  <c r="R450" i="1"/>
  <c r="U450" i="1" s="1"/>
  <c r="J450" i="1"/>
  <c r="W449" i="1"/>
  <c r="Y449" i="1" s="1"/>
  <c r="Z449" i="1" s="1"/>
  <c r="V449" i="1"/>
  <c r="X449" i="1" s="1"/>
  <c r="R449" i="1"/>
  <c r="U449" i="1" s="1"/>
  <c r="J449" i="1"/>
  <c r="Z448" i="1"/>
  <c r="Y448" i="1"/>
  <c r="W448" i="1"/>
  <c r="V448" i="1"/>
  <c r="X448" i="1" s="1"/>
  <c r="R448" i="1"/>
  <c r="U448" i="1" s="1"/>
  <c r="J448" i="1"/>
  <c r="W447" i="1"/>
  <c r="V447" i="1"/>
  <c r="R447" i="1"/>
  <c r="U447" i="1" s="1"/>
  <c r="J447" i="1"/>
  <c r="W446" i="1"/>
  <c r="V446" i="1"/>
  <c r="X446" i="1" s="1"/>
  <c r="R446" i="1"/>
  <c r="U446" i="1" s="1"/>
  <c r="J446" i="1"/>
  <c r="W445" i="1"/>
  <c r="V445" i="1"/>
  <c r="R445" i="1"/>
  <c r="U445" i="1" s="1"/>
  <c r="J445" i="1"/>
  <c r="Z444" i="1"/>
  <c r="Y444" i="1"/>
  <c r="W444" i="1"/>
  <c r="V444" i="1"/>
  <c r="X444" i="1" s="1"/>
  <c r="R444" i="1"/>
  <c r="U444" i="1" s="1"/>
  <c r="J444" i="1"/>
  <c r="W443" i="1"/>
  <c r="V443" i="1"/>
  <c r="R443" i="1"/>
  <c r="U443" i="1" s="1"/>
  <c r="J443" i="1"/>
  <c r="W442" i="1"/>
  <c r="V442" i="1"/>
  <c r="R442" i="1"/>
  <c r="U442" i="1" s="1"/>
  <c r="J442" i="1"/>
  <c r="W441" i="1"/>
  <c r="V441" i="1"/>
  <c r="X441" i="1" s="1"/>
  <c r="R441" i="1"/>
  <c r="U441" i="1" s="1"/>
  <c r="J441" i="1"/>
  <c r="Z440" i="1"/>
  <c r="Y440" i="1"/>
  <c r="W440" i="1"/>
  <c r="V440" i="1"/>
  <c r="X440" i="1" s="1"/>
  <c r="R440" i="1"/>
  <c r="U440" i="1" s="1"/>
  <c r="J440" i="1"/>
  <c r="W439" i="1"/>
  <c r="V439" i="1"/>
  <c r="R439" i="1"/>
  <c r="U439" i="1" s="1"/>
  <c r="J439" i="1"/>
  <c r="W438" i="1"/>
  <c r="Y438" i="1" s="1"/>
  <c r="Z438" i="1" s="1"/>
  <c r="V438" i="1"/>
  <c r="X438" i="1" s="1"/>
  <c r="R438" i="1"/>
  <c r="U438" i="1" s="1"/>
  <c r="J438" i="1"/>
  <c r="W437" i="1"/>
  <c r="V437" i="1"/>
  <c r="X437" i="1" s="1"/>
  <c r="R437" i="1"/>
  <c r="U437" i="1" s="1"/>
  <c r="J437" i="1"/>
  <c r="Y436" i="1"/>
  <c r="Z436" i="1" s="1"/>
  <c r="W436" i="1"/>
  <c r="V436" i="1"/>
  <c r="X436" i="1" s="1"/>
  <c r="R436" i="1"/>
  <c r="U436" i="1" s="1"/>
  <c r="J436" i="1"/>
  <c r="W435" i="1"/>
  <c r="Y435" i="1" s="1"/>
  <c r="Z435" i="1" s="1"/>
  <c r="V435" i="1"/>
  <c r="X435" i="1" s="1"/>
  <c r="R435" i="1"/>
  <c r="U435" i="1" s="1"/>
  <c r="J435" i="1"/>
  <c r="W434" i="1"/>
  <c r="V434" i="1"/>
  <c r="X434" i="1" s="1"/>
  <c r="Y434" i="1" s="1"/>
  <c r="Z434" i="1" s="1"/>
  <c r="R434" i="1"/>
  <c r="U434" i="1" s="1"/>
  <c r="J434" i="1"/>
  <c r="W433" i="1"/>
  <c r="V433" i="1"/>
  <c r="R433" i="1"/>
  <c r="U433" i="1" s="1"/>
  <c r="J433" i="1"/>
  <c r="Y432" i="1"/>
  <c r="Z432" i="1" s="1"/>
  <c r="W432" i="1"/>
  <c r="V432" i="1"/>
  <c r="X432" i="1" s="1"/>
  <c r="R432" i="1"/>
  <c r="U432" i="1" s="1"/>
  <c r="J432" i="1"/>
  <c r="Y431" i="1"/>
  <c r="Z431" i="1" s="1"/>
  <c r="W431" i="1"/>
  <c r="V431" i="1"/>
  <c r="X431" i="1" s="1"/>
  <c r="R431" i="1"/>
  <c r="U431" i="1" s="1"/>
  <c r="J431" i="1"/>
  <c r="W430" i="1"/>
  <c r="V430" i="1"/>
  <c r="X430" i="1" s="1"/>
  <c r="R430" i="1"/>
  <c r="U430" i="1" s="1"/>
  <c r="J430" i="1"/>
  <c r="W429" i="1"/>
  <c r="V429" i="1"/>
  <c r="X429" i="1" s="1"/>
  <c r="R429" i="1"/>
  <c r="U429" i="1" s="1"/>
  <c r="J429" i="1"/>
  <c r="Y428" i="1"/>
  <c r="Z428" i="1" s="1"/>
  <c r="W428" i="1"/>
  <c r="V428" i="1"/>
  <c r="X428" i="1" s="1"/>
  <c r="R428" i="1"/>
  <c r="U428" i="1" s="1"/>
  <c r="J428" i="1"/>
  <c r="W427" i="1"/>
  <c r="V427" i="1"/>
  <c r="X427" i="1" s="1"/>
  <c r="R427" i="1"/>
  <c r="U427" i="1" s="1"/>
  <c r="J427" i="1"/>
  <c r="W426" i="1"/>
  <c r="V426" i="1"/>
  <c r="R426" i="1"/>
  <c r="U426" i="1" s="1"/>
  <c r="J426" i="1"/>
  <c r="W425" i="1"/>
  <c r="V425" i="1"/>
  <c r="X425" i="1" s="1"/>
  <c r="R425" i="1"/>
  <c r="U425" i="1" s="1"/>
  <c r="J425" i="1"/>
  <c r="Z424" i="1"/>
  <c r="Y424" i="1"/>
  <c r="W424" i="1"/>
  <c r="V424" i="1"/>
  <c r="X424" i="1" s="1"/>
  <c r="R424" i="1"/>
  <c r="U424" i="1" s="1"/>
  <c r="J424" i="1"/>
  <c r="W423" i="1"/>
  <c r="V423" i="1"/>
  <c r="R423" i="1"/>
  <c r="U423" i="1" s="1"/>
  <c r="J423" i="1"/>
  <c r="W422" i="1"/>
  <c r="V422" i="1"/>
  <c r="R422" i="1"/>
  <c r="U422" i="1" s="1"/>
  <c r="J422" i="1"/>
  <c r="W421" i="1"/>
  <c r="V421" i="1"/>
  <c r="X421" i="1" s="1"/>
  <c r="R421" i="1"/>
  <c r="U421" i="1" s="1"/>
  <c r="J421" i="1"/>
  <c r="Y420" i="1"/>
  <c r="Z420" i="1" s="1"/>
  <c r="W420" i="1"/>
  <c r="V420" i="1"/>
  <c r="X420" i="1" s="1"/>
  <c r="R420" i="1"/>
  <c r="U420" i="1" s="1"/>
  <c r="J420" i="1"/>
  <c r="W419" i="1"/>
  <c r="Y419" i="1" s="1"/>
  <c r="Z419" i="1" s="1"/>
  <c r="V419" i="1"/>
  <c r="X419" i="1" s="1"/>
  <c r="R419" i="1"/>
  <c r="U419" i="1" s="1"/>
  <c r="J419" i="1"/>
  <c r="W418" i="1"/>
  <c r="V418" i="1"/>
  <c r="X418" i="1" s="1"/>
  <c r="Y418" i="1" s="1"/>
  <c r="Z418" i="1" s="1"/>
  <c r="R418" i="1"/>
  <c r="U418" i="1" s="1"/>
  <c r="J418" i="1"/>
  <c r="W417" i="1"/>
  <c r="V417" i="1"/>
  <c r="R417" i="1"/>
  <c r="U417" i="1" s="1"/>
  <c r="J417" i="1"/>
  <c r="Y416" i="1"/>
  <c r="Z416" i="1" s="1"/>
  <c r="W416" i="1"/>
  <c r="V416" i="1"/>
  <c r="X416" i="1" s="1"/>
  <c r="R416" i="1"/>
  <c r="U416" i="1" s="1"/>
  <c r="J416" i="1"/>
  <c r="Y415" i="1"/>
  <c r="Z415" i="1" s="1"/>
  <c r="W415" i="1"/>
  <c r="X415" i="1" s="1"/>
  <c r="V415" i="1"/>
  <c r="R415" i="1"/>
  <c r="U415" i="1" s="1"/>
  <c r="J415" i="1"/>
  <c r="X414" i="1"/>
  <c r="W414" i="1"/>
  <c r="Y414" i="1" s="1"/>
  <c r="Z414" i="1" s="1"/>
  <c r="V414" i="1"/>
  <c r="R414" i="1"/>
  <c r="U414" i="1" s="1"/>
  <c r="J414" i="1"/>
  <c r="W413" i="1"/>
  <c r="V413" i="1"/>
  <c r="R413" i="1"/>
  <c r="U413" i="1" s="1"/>
  <c r="J413" i="1"/>
  <c r="Y412" i="1"/>
  <c r="Z412" i="1" s="1"/>
  <c r="W412" i="1"/>
  <c r="X412" i="1" s="1"/>
  <c r="V412" i="1"/>
  <c r="R412" i="1"/>
  <c r="U412" i="1" s="1"/>
  <c r="J412" i="1"/>
  <c r="X411" i="1"/>
  <c r="Y411" i="1" s="1"/>
  <c r="Z411" i="1" s="1"/>
  <c r="W411" i="1"/>
  <c r="V411" i="1"/>
  <c r="R411" i="1"/>
  <c r="U411" i="1" s="1"/>
  <c r="J411" i="1"/>
  <c r="W410" i="1"/>
  <c r="V410" i="1"/>
  <c r="R410" i="1"/>
  <c r="U410" i="1" s="1"/>
  <c r="J410" i="1"/>
  <c r="W409" i="1"/>
  <c r="V409" i="1"/>
  <c r="R409" i="1"/>
  <c r="U409" i="1" s="1"/>
  <c r="J409" i="1"/>
  <c r="W408" i="1"/>
  <c r="V408" i="1"/>
  <c r="R408" i="1"/>
  <c r="U408" i="1" s="1"/>
  <c r="J408" i="1"/>
  <c r="W407" i="1"/>
  <c r="X407" i="1" s="1"/>
  <c r="V407" i="1"/>
  <c r="R407" i="1"/>
  <c r="U407" i="1" s="1"/>
  <c r="J407" i="1"/>
  <c r="X406" i="1"/>
  <c r="W406" i="1"/>
  <c r="Y406" i="1" s="1"/>
  <c r="Z406" i="1" s="1"/>
  <c r="V406" i="1"/>
  <c r="R406" i="1"/>
  <c r="U406" i="1" s="1"/>
  <c r="J406" i="1"/>
  <c r="W405" i="1"/>
  <c r="V405" i="1"/>
  <c r="R405" i="1"/>
  <c r="U405" i="1" s="1"/>
  <c r="J405" i="1"/>
  <c r="W404" i="1"/>
  <c r="X404" i="1" s="1"/>
  <c r="Y404" i="1" s="1"/>
  <c r="Z404" i="1" s="1"/>
  <c r="V404" i="1"/>
  <c r="R404" i="1"/>
  <c r="U404" i="1" s="1"/>
  <c r="J404" i="1"/>
  <c r="X403" i="1"/>
  <c r="Y403" i="1" s="1"/>
  <c r="Z403" i="1" s="1"/>
  <c r="W403" i="1"/>
  <c r="V403" i="1"/>
  <c r="R403" i="1"/>
  <c r="U403" i="1" s="1"/>
  <c r="J403" i="1"/>
  <c r="W402" i="1"/>
  <c r="V402" i="1"/>
  <c r="R402" i="1"/>
  <c r="U402" i="1" s="1"/>
  <c r="J402" i="1"/>
  <c r="W401" i="1"/>
  <c r="V401" i="1"/>
  <c r="R401" i="1"/>
  <c r="U401" i="1" s="1"/>
  <c r="J401" i="1"/>
  <c r="X400" i="1"/>
  <c r="W400" i="1"/>
  <c r="V400" i="1"/>
  <c r="R400" i="1"/>
  <c r="U400" i="1" s="1"/>
  <c r="J400" i="1"/>
  <c r="W399" i="1"/>
  <c r="X399" i="1" s="1"/>
  <c r="V399" i="1"/>
  <c r="R399" i="1"/>
  <c r="U399" i="1" s="1"/>
  <c r="J399" i="1"/>
  <c r="X398" i="1"/>
  <c r="W398" i="1"/>
  <c r="Y398" i="1" s="1"/>
  <c r="Z398" i="1" s="1"/>
  <c r="V398" i="1"/>
  <c r="R398" i="1"/>
  <c r="U398" i="1" s="1"/>
  <c r="J398" i="1"/>
  <c r="W397" i="1"/>
  <c r="V397" i="1"/>
  <c r="R397" i="1"/>
  <c r="U397" i="1" s="1"/>
  <c r="J397" i="1"/>
  <c r="W396" i="1"/>
  <c r="X396" i="1" s="1"/>
  <c r="Y396" i="1" s="1"/>
  <c r="Z396" i="1" s="1"/>
  <c r="V396" i="1"/>
  <c r="R396" i="1"/>
  <c r="U396" i="1" s="1"/>
  <c r="J396" i="1"/>
  <c r="X395" i="1"/>
  <c r="Y395" i="1" s="1"/>
  <c r="Z395" i="1" s="1"/>
  <c r="W395" i="1"/>
  <c r="V395" i="1"/>
  <c r="R395" i="1"/>
  <c r="U395" i="1" s="1"/>
  <c r="J395" i="1"/>
  <c r="W394" i="1"/>
  <c r="V394" i="1"/>
  <c r="R394" i="1"/>
  <c r="U394" i="1" s="1"/>
  <c r="J394" i="1"/>
  <c r="W393" i="1"/>
  <c r="X393" i="1" s="1"/>
  <c r="Y393" i="1" s="1"/>
  <c r="Z393" i="1" s="1"/>
  <c r="V393" i="1"/>
  <c r="R393" i="1"/>
  <c r="U393" i="1" s="1"/>
  <c r="J393" i="1"/>
  <c r="X392" i="1"/>
  <c r="W392" i="1"/>
  <c r="V392" i="1"/>
  <c r="R392" i="1"/>
  <c r="U392" i="1" s="1"/>
  <c r="J392" i="1"/>
  <c r="W391" i="1"/>
  <c r="X391" i="1" s="1"/>
  <c r="V391" i="1"/>
  <c r="R391" i="1"/>
  <c r="U391" i="1" s="1"/>
  <c r="J391" i="1"/>
  <c r="X390" i="1"/>
  <c r="W390" i="1"/>
  <c r="Y390" i="1" s="1"/>
  <c r="Z390" i="1" s="1"/>
  <c r="V390" i="1"/>
  <c r="R390" i="1"/>
  <c r="U390" i="1" s="1"/>
  <c r="J390" i="1"/>
  <c r="W389" i="1"/>
  <c r="V389" i="1"/>
  <c r="R389" i="1"/>
  <c r="U389" i="1" s="1"/>
  <c r="J389" i="1"/>
  <c r="W388" i="1"/>
  <c r="X388" i="1" s="1"/>
  <c r="Y388" i="1" s="1"/>
  <c r="Z388" i="1" s="1"/>
  <c r="V388" i="1"/>
  <c r="R388" i="1"/>
  <c r="U388" i="1" s="1"/>
  <c r="J388" i="1"/>
  <c r="Y387" i="1"/>
  <c r="Z387" i="1" s="1"/>
  <c r="X387" i="1"/>
  <c r="W387" i="1"/>
  <c r="V387" i="1"/>
  <c r="R387" i="1"/>
  <c r="U387" i="1" s="1"/>
  <c r="J387" i="1"/>
  <c r="X386" i="1"/>
  <c r="W386" i="1"/>
  <c r="Y386" i="1" s="1"/>
  <c r="Z386" i="1" s="1"/>
  <c r="V386" i="1"/>
  <c r="R386" i="1"/>
  <c r="U386" i="1" s="1"/>
  <c r="J386" i="1"/>
  <c r="Y385" i="1"/>
  <c r="Z385" i="1" s="1"/>
  <c r="X385" i="1"/>
  <c r="W385" i="1"/>
  <c r="V385" i="1"/>
  <c r="R385" i="1"/>
  <c r="U385" i="1" s="1"/>
  <c r="J385" i="1"/>
  <c r="W384" i="1"/>
  <c r="V384" i="1"/>
  <c r="R384" i="1"/>
  <c r="U384" i="1" s="1"/>
  <c r="J384" i="1"/>
  <c r="W383" i="1"/>
  <c r="X383" i="1" s="1"/>
  <c r="V383" i="1"/>
  <c r="R383" i="1"/>
  <c r="U383" i="1" s="1"/>
  <c r="J383" i="1"/>
  <c r="X382" i="1"/>
  <c r="W382" i="1"/>
  <c r="V382" i="1"/>
  <c r="R382" i="1"/>
  <c r="U382" i="1" s="1"/>
  <c r="J382" i="1"/>
  <c r="W381" i="1"/>
  <c r="V381" i="1"/>
  <c r="R381" i="1"/>
  <c r="U381" i="1" s="1"/>
  <c r="J381" i="1"/>
  <c r="W380" i="1"/>
  <c r="X380" i="1" s="1"/>
  <c r="Y380" i="1" s="1"/>
  <c r="Z380" i="1" s="1"/>
  <c r="V380" i="1"/>
  <c r="R380" i="1"/>
  <c r="U380" i="1" s="1"/>
  <c r="J380" i="1"/>
  <c r="X379" i="1"/>
  <c r="Y379" i="1" s="1"/>
  <c r="Z379" i="1" s="1"/>
  <c r="W379" i="1"/>
  <c r="V379" i="1"/>
  <c r="R379" i="1"/>
  <c r="U379" i="1" s="1"/>
  <c r="J379" i="1"/>
  <c r="W378" i="1"/>
  <c r="X378" i="1" s="1"/>
  <c r="Y378" i="1" s="1"/>
  <c r="Z378" i="1" s="1"/>
  <c r="V378" i="1"/>
  <c r="R378" i="1"/>
  <c r="U378" i="1" s="1"/>
  <c r="J378" i="1"/>
  <c r="X377" i="1"/>
  <c r="Y377" i="1" s="1"/>
  <c r="Z377" i="1" s="1"/>
  <c r="W377" i="1"/>
  <c r="V377" i="1"/>
  <c r="R377" i="1"/>
  <c r="U377" i="1" s="1"/>
  <c r="J377" i="1"/>
  <c r="W376" i="1"/>
  <c r="V376" i="1"/>
  <c r="R376" i="1"/>
  <c r="U376" i="1" s="1"/>
  <c r="J376" i="1"/>
  <c r="W375" i="1"/>
  <c r="V375" i="1"/>
  <c r="R375" i="1"/>
  <c r="U375" i="1" s="1"/>
  <c r="J375" i="1"/>
  <c r="X374" i="1"/>
  <c r="W374" i="1"/>
  <c r="V374" i="1"/>
  <c r="R374" i="1"/>
  <c r="U374" i="1" s="1"/>
  <c r="J374" i="1"/>
  <c r="W373" i="1"/>
  <c r="V373" i="1"/>
  <c r="R373" i="1"/>
  <c r="U373" i="1" s="1"/>
  <c r="J373" i="1"/>
  <c r="W372" i="1"/>
  <c r="X372" i="1" s="1"/>
  <c r="Y372" i="1" s="1"/>
  <c r="Z372" i="1" s="1"/>
  <c r="V372" i="1"/>
  <c r="R372" i="1"/>
  <c r="U372" i="1" s="1"/>
  <c r="J372" i="1"/>
  <c r="X371" i="1"/>
  <c r="Y371" i="1" s="1"/>
  <c r="Z371" i="1" s="1"/>
  <c r="W371" i="1"/>
  <c r="V371" i="1"/>
  <c r="R371" i="1"/>
  <c r="U371" i="1" s="1"/>
  <c r="J371" i="1"/>
  <c r="W370" i="1"/>
  <c r="X370" i="1" s="1"/>
  <c r="Y370" i="1" s="1"/>
  <c r="Z370" i="1" s="1"/>
  <c r="V370" i="1"/>
  <c r="R370" i="1"/>
  <c r="U370" i="1" s="1"/>
  <c r="J370" i="1"/>
  <c r="Z369" i="1"/>
  <c r="Y369" i="1"/>
  <c r="X369" i="1"/>
  <c r="W369" i="1"/>
  <c r="V369" i="1"/>
  <c r="R369" i="1"/>
  <c r="U369" i="1" s="1"/>
  <c r="J369" i="1"/>
  <c r="Y368" i="1"/>
  <c r="Z368" i="1" s="1"/>
  <c r="X368" i="1"/>
  <c r="W368" i="1"/>
  <c r="V368" i="1"/>
  <c r="R368" i="1"/>
  <c r="U368" i="1" s="1"/>
  <c r="J368" i="1"/>
  <c r="W367" i="1"/>
  <c r="V367" i="1"/>
  <c r="R367" i="1"/>
  <c r="U367" i="1" s="1"/>
  <c r="J367" i="1"/>
  <c r="W366" i="1"/>
  <c r="V366" i="1"/>
  <c r="R366" i="1"/>
  <c r="U366" i="1" s="1"/>
  <c r="J366" i="1"/>
  <c r="W365" i="1"/>
  <c r="V365" i="1"/>
  <c r="R365" i="1"/>
  <c r="U365" i="1" s="1"/>
  <c r="J365" i="1"/>
  <c r="Z364" i="1"/>
  <c r="Y364" i="1"/>
  <c r="W364" i="1"/>
  <c r="X364" i="1" s="1"/>
  <c r="V364" i="1"/>
  <c r="R364" i="1"/>
  <c r="U364" i="1" s="1"/>
  <c r="J364" i="1"/>
  <c r="X363" i="1"/>
  <c r="Y363" i="1" s="1"/>
  <c r="Z363" i="1" s="1"/>
  <c r="W363" i="1"/>
  <c r="V363" i="1"/>
  <c r="R363" i="1"/>
  <c r="U363" i="1" s="1"/>
  <c r="J363" i="1"/>
  <c r="W362" i="1"/>
  <c r="V362" i="1"/>
  <c r="R362" i="1"/>
  <c r="U362" i="1" s="1"/>
  <c r="J362" i="1"/>
  <c r="W361" i="1"/>
  <c r="V361" i="1"/>
  <c r="X361" i="1" s="1"/>
  <c r="R361" i="1"/>
  <c r="U361" i="1" s="1"/>
  <c r="J361" i="1"/>
  <c r="W360" i="1"/>
  <c r="V360" i="1"/>
  <c r="X360" i="1" s="1"/>
  <c r="R360" i="1"/>
  <c r="U360" i="1" s="1"/>
  <c r="J360" i="1"/>
  <c r="W359" i="1"/>
  <c r="V359" i="1"/>
  <c r="X359" i="1" s="1"/>
  <c r="R359" i="1"/>
  <c r="U359" i="1" s="1"/>
  <c r="J359" i="1"/>
  <c r="Y358" i="1"/>
  <c r="Z358" i="1" s="1"/>
  <c r="X358" i="1"/>
  <c r="W358" i="1"/>
  <c r="V358" i="1"/>
  <c r="R358" i="1"/>
  <c r="U358" i="1" s="1"/>
  <c r="J358" i="1"/>
  <c r="X357" i="1"/>
  <c r="W357" i="1"/>
  <c r="V357" i="1"/>
  <c r="R357" i="1"/>
  <c r="U357" i="1" s="1"/>
  <c r="J357" i="1"/>
  <c r="W356" i="1"/>
  <c r="Y356" i="1" s="1"/>
  <c r="Z356" i="1" s="1"/>
  <c r="V356" i="1"/>
  <c r="X356" i="1" s="1"/>
  <c r="R356" i="1"/>
  <c r="U356" i="1" s="1"/>
  <c r="J356" i="1"/>
  <c r="W355" i="1"/>
  <c r="V355" i="1"/>
  <c r="X355" i="1" s="1"/>
  <c r="Y355" i="1" s="1"/>
  <c r="Z355" i="1" s="1"/>
  <c r="R355" i="1"/>
  <c r="U355" i="1" s="1"/>
  <c r="J355" i="1"/>
  <c r="X354" i="1"/>
  <c r="W354" i="1"/>
  <c r="Y354" i="1" s="1"/>
  <c r="Z354" i="1" s="1"/>
  <c r="V354" i="1"/>
  <c r="R354" i="1"/>
  <c r="U354" i="1" s="1"/>
  <c r="J354" i="1"/>
  <c r="W353" i="1"/>
  <c r="V353" i="1"/>
  <c r="X353" i="1" s="1"/>
  <c r="Y353" i="1" s="1"/>
  <c r="Z353" i="1" s="1"/>
  <c r="R353" i="1"/>
  <c r="U353" i="1" s="1"/>
  <c r="J353" i="1"/>
  <c r="Z352" i="1"/>
  <c r="Y352" i="1"/>
  <c r="X352" i="1"/>
  <c r="W352" i="1"/>
  <c r="V352" i="1"/>
  <c r="R352" i="1"/>
  <c r="U352" i="1" s="1"/>
  <c r="J352" i="1"/>
  <c r="Y351" i="1"/>
  <c r="Z351" i="1" s="1"/>
  <c r="X351" i="1"/>
  <c r="W351" i="1"/>
  <c r="V351" i="1"/>
  <c r="R351" i="1"/>
  <c r="U351" i="1" s="1"/>
  <c r="J351" i="1"/>
  <c r="W350" i="1"/>
  <c r="V350" i="1"/>
  <c r="X350" i="1" s="1"/>
  <c r="R350" i="1"/>
  <c r="U350" i="1" s="1"/>
  <c r="J350" i="1"/>
  <c r="W349" i="1"/>
  <c r="V349" i="1"/>
  <c r="X349" i="1" s="1"/>
  <c r="U349" i="1"/>
  <c r="R349" i="1"/>
  <c r="J349" i="1"/>
  <c r="W348" i="1"/>
  <c r="V348" i="1"/>
  <c r="X348" i="1" s="1"/>
  <c r="R348" i="1"/>
  <c r="U348" i="1" s="1"/>
  <c r="J348" i="1"/>
  <c r="W347" i="1"/>
  <c r="V347" i="1"/>
  <c r="X347" i="1" s="1"/>
  <c r="R347" i="1"/>
  <c r="U347" i="1" s="1"/>
  <c r="J347" i="1"/>
  <c r="X346" i="1"/>
  <c r="W346" i="1"/>
  <c r="V346" i="1"/>
  <c r="R346" i="1"/>
  <c r="U346" i="1" s="1"/>
  <c r="J346" i="1"/>
  <c r="X345" i="1"/>
  <c r="W345" i="1"/>
  <c r="V345" i="1"/>
  <c r="U345" i="1"/>
  <c r="R345" i="1"/>
  <c r="J345" i="1"/>
  <c r="X344" i="1"/>
  <c r="W344" i="1"/>
  <c r="V344" i="1"/>
  <c r="R344" i="1"/>
  <c r="U344" i="1" s="1"/>
  <c r="J344" i="1"/>
  <c r="W343" i="1"/>
  <c r="V343" i="1"/>
  <c r="X343" i="1" s="1"/>
  <c r="U343" i="1"/>
  <c r="R343" i="1"/>
  <c r="J343" i="1"/>
  <c r="W342" i="1"/>
  <c r="V342" i="1"/>
  <c r="X342" i="1" s="1"/>
  <c r="U342" i="1"/>
  <c r="R342" i="1"/>
  <c r="J342" i="1"/>
  <c r="W341" i="1"/>
  <c r="V341" i="1"/>
  <c r="X341" i="1" s="1"/>
  <c r="U341" i="1"/>
  <c r="R341" i="1"/>
  <c r="J341" i="1"/>
  <c r="W340" i="1"/>
  <c r="V340" i="1"/>
  <c r="X340" i="1" s="1"/>
  <c r="R340" i="1"/>
  <c r="U340" i="1" s="1"/>
  <c r="J340" i="1"/>
  <c r="W339" i="1"/>
  <c r="V339" i="1"/>
  <c r="X339" i="1" s="1"/>
  <c r="R339" i="1"/>
  <c r="U339" i="1" s="1"/>
  <c r="J339" i="1"/>
  <c r="X338" i="1"/>
  <c r="W338" i="1"/>
  <c r="V338" i="1"/>
  <c r="R338" i="1"/>
  <c r="U338" i="1" s="1"/>
  <c r="J338" i="1"/>
  <c r="X337" i="1"/>
  <c r="W337" i="1"/>
  <c r="V337" i="1"/>
  <c r="U337" i="1"/>
  <c r="R337" i="1"/>
  <c r="J337" i="1"/>
  <c r="X336" i="1"/>
  <c r="W336" i="1"/>
  <c r="V336" i="1"/>
  <c r="R336" i="1"/>
  <c r="U336" i="1" s="1"/>
  <c r="J336" i="1"/>
  <c r="W335" i="1"/>
  <c r="V335" i="1"/>
  <c r="X335" i="1" s="1"/>
  <c r="U335" i="1"/>
  <c r="R335" i="1"/>
  <c r="J335" i="1"/>
  <c r="W334" i="1"/>
  <c r="V334" i="1"/>
  <c r="X334" i="1" s="1"/>
  <c r="U334" i="1"/>
  <c r="R334" i="1"/>
  <c r="J334" i="1"/>
  <c r="W333" i="1"/>
  <c r="V333" i="1"/>
  <c r="X333" i="1" s="1"/>
  <c r="U333" i="1"/>
  <c r="R333" i="1"/>
  <c r="J333" i="1"/>
  <c r="W332" i="1"/>
  <c r="V332" i="1"/>
  <c r="X332" i="1" s="1"/>
  <c r="R332" i="1"/>
  <c r="U332" i="1" s="1"/>
  <c r="J332" i="1"/>
  <c r="W331" i="1"/>
  <c r="V331" i="1"/>
  <c r="X331" i="1" s="1"/>
  <c r="R331" i="1"/>
  <c r="U331" i="1" s="1"/>
  <c r="J331" i="1"/>
  <c r="X330" i="1"/>
  <c r="W330" i="1"/>
  <c r="V330" i="1"/>
  <c r="R330" i="1"/>
  <c r="U330" i="1" s="1"/>
  <c r="J330" i="1"/>
  <c r="X329" i="1"/>
  <c r="W329" i="1"/>
  <c r="V329" i="1"/>
  <c r="U329" i="1"/>
  <c r="R329" i="1"/>
  <c r="J329" i="1"/>
  <c r="X328" i="1"/>
  <c r="W328" i="1"/>
  <c r="V328" i="1"/>
  <c r="R328" i="1"/>
  <c r="U328" i="1" s="1"/>
  <c r="J328" i="1"/>
  <c r="W327" i="1"/>
  <c r="V327" i="1"/>
  <c r="X327" i="1" s="1"/>
  <c r="U327" i="1"/>
  <c r="R327" i="1"/>
  <c r="J327" i="1"/>
  <c r="W326" i="1"/>
  <c r="V326" i="1"/>
  <c r="X326" i="1" s="1"/>
  <c r="U326" i="1"/>
  <c r="R326" i="1"/>
  <c r="J326" i="1"/>
  <c r="W325" i="1"/>
  <c r="V325" i="1"/>
  <c r="X325" i="1" s="1"/>
  <c r="U325" i="1"/>
  <c r="R325" i="1"/>
  <c r="J325" i="1"/>
  <c r="W324" i="1"/>
  <c r="V324" i="1"/>
  <c r="X324" i="1" s="1"/>
  <c r="R324" i="1"/>
  <c r="U324" i="1" s="1"/>
  <c r="J324" i="1"/>
  <c r="W323" i="1"/>
  <c r="V323" i="1"/>
  <c r="X323" i="1" s="1"/>
  <c r="R323" i="1"/>
  <c r="U323" i="1" s="1"/>
  <c r="J323" i="1"/>
  <c r="X322" i="1"/>
  <c r="W322" i="1"/>
  <c r="V322" i="1"/>
  <c r="R322" i="1"/>
  <c r="U322" i="1" s="1"/>
  <c r="J322" i="1"/>
  <c r="X321" i="1"/>
  <c r="W321" i="1"/>
  <c r="V321" i="1"/>
  <c r="U321" i="1"/>
  <c r="R321" i="1"/>
  <c r="J321" i="1"/>
  <c r="X320" i="1"/>
  <c r="W320" i="1"/>
  <c r="V320" i="1"/>
  <c r="R320" i="1"/>
  <c r="U320" i="1" s="1"/>
  <c r="J320" i="1"/>
  <c r="W319" i="1"/>
  <c r="V319" i="1"/>
  <c r="X319" i="1" s="1"/>
  <c r="U319" i="1"/>
  <c r="R319" i="1"/>
  <c r="J319" i="1"/>
  <c r="W318" i="1"/>
  <c r="V318" i="1"/>
  <c r="X318" i="1" s="1"/>
  <c r="U318" i="1"/>
  <c r="R318" i="1"/>
  <c r="J318" i="1"/>
  <c r="W317" i="1"/>
  <c r="V317" i="1"/>
  <c r="X317" i="1" s="1"/>
  <c r="U317" i="1"/>
  <c r="R317" i="1"/>
  <c r="J317" i="1"/>
  <c r="W316" i="1"/>
  <c r="V316" i="1"/>
  <c r="X316" i="1" s="1"/>
  <c r="R316" i="1"/>
  <c r="U316" i="1" s="1"/>
  <c r="J316" i="1"/>
  <c r="W315" i="1"/>
  <c r="V315" i="1"/>
  <c r="X315" i="1" s="1"/>
  <c r="R315" i="1"/>
  <c r="U315" i="1" s="1"/>
  <c r="J315" i="1"/>
  <c r="X314" i="1"/>
  <c r="W314" i="1"/>
  <c r="V314" i="1"/>
  <c r="R314" i="1"/>
  <c r="U314" i="1" s="1"/>
  <c r="J314" i="1"/>
  <c r="X313" i="1"/>
  <c r="W313" i="1"/>
  <c r="V313" i="1"/>
  <c r="U313" i="1"/>
  <c r="R313" i="1"/>
  <c r="J313" i="1"/>
  <c r="X312" i="1"/>
  <c r="W312" i="1"/>
  <c r="V312" i="1"/>
  <c r="R312" i="1"/>
  <c r="U312" i="1" s="1"/>
  <c r="J312" i="1"/>
  <c r="W311" i="1"/>
  <c r="V311" i="1"/>
  <c r="X311" i="1" s="1"/>
  <c r="U311" i="1"/>
  <c r="R311" i="1"/>
  <c r="J311" i="1"/>
  <c r="W310" i="1"/>
  <c r="V310" i="1"/>
  <c r="X310" i="1" s="1"/>
  <c r="U310" i="1"/>
  <c r="R310" i="1"/>
  <c r="J310" i="1"/>
  <c r="W309" i="1"/>
  <c r="V309" i="1"/>
  <c r="X309" i="1" s="1"/>
  <c r="R309" i="1"/>
  <c r="U309" i="1" s="1"/>
  <c r="J309" i="1"/>
  <c r="W308" i="1"/>
  <c r="V308" i="1"/>
  <c r="X308" i="1" s="1"/>
  <c r="R308" i="1"/>
  <c r="U308" i="1" s="1"/>
  <c r="J308" i="1"/>
  <c r="W307" i="1"/>
  <c r="V307" i="1"/>
  <c r="X307" i="1" s="1"/>
  <c r="R307" i="1"/>
  <c r="U307" i="1" s="1"/>
  <c r="J307" i="1"/>
  <c r="X306" i="1"/>
  <c r="W306" i="1"/>
  <c r="V306" i="1"/>
  <c r="R306" i="1"/>
  <c r="U306" i="1" s="1"/>
  <c r="J306" i="1"/>
  <c r="X305" i="1"/>
  <c r="W305" i="1"/>
  <c r="V305" i="1"/>
  <c r="U305" i="1"/>
  <c r="R305" i="1"/>
  <c r="J305" i="1"/>
  <c r="X304" i="1"/>
  <c r="Y304" i="1" s="1"/>
  <c r="Z304" i="1" s="1"/>
  <c r="W304" i="1"/>
  <c r="V304" i="1"/>
  <c r="U304" i="1"/>
  <c r="R304" i="1"/>
  <c r="J304" i="1"/>
  <c r="X303" i="1"/>
  <c r="Y303" i="1" s="1"/>
  <c r="Z303" i="1" s="1"/>
  <c r="W303" i="1"/>
  <c r="V303" i="1"/>
  <c r="U303" i="1"/>
  <c r="R303" i="1"/>
  <c r="J303" i="1"/>
  <c r="X302" i="1"/>
  <c r="Y302" i="1" s="1"/>
  <c r="Z302" i="1" s="1"/>
  <c r="W302" i="1"/>
  <c r="V302" i="1"/>
  <c r="U302" i="1"/>
  <c r="R302" i="1"/>
  <c r="J302" i="1"/>
  <c r="X301" i="1"/>
  <c r="Y301" i="1" s="1"/>
  <c r="Z301" i="1" s="1"/>
  <c r="W301" i="1"/>
  <c r="V301" i="1"/>
  <c r="U301" i="1"/>
  <c r="R301" i="1"/>
  <c r="J301" i="1"/>
  <c r="X300" i="1"/>
  <c r="Y300" i="1" s="1"/>
  <c r="Z300" i="1" s="1"/>
  <c r="W300" i="1"/>
  <c r="V300" i="1"/>
  <c r="U300" i="1"/>
  <c r="R300" i="1"/>
  <c r="J300" i="1"/>
  <c r="X299" i="1"/>
  <c r="Y299" i="1" s="1"/>
  <c r="Z299" i="1" s="1"/>
  <c r="W299" i="1"/>
  <c r="V299" i="1"/>
  <c r="U299" i="1"/>
  <c r="R299" i="1"/>
  <c r="J299" i="1"/>
  <c r="X298" i="1"/>
  <c r="Y298" i="1" s="1"/>
  <c r="Z298" i="1" s="1"/>
  <c r="W298" i="1"/>
  <c r="V298" i="1"/>
  <c r="U298" i="1"/>
  <c r="R298" i="1"/>
  <c r="J298" i="1"/>
  <c r="X297" i="1"/>
  <c r="Y297" i="1" s="1"/>
  <c r="Z297" i="1" s="1"/>
  <c r="W297" i="1"/>
  <c r="V297" i="1"/>
  <c r="U297" i="1"/>
  <c r="R297" i="1"/>
  <c r="J297" i="1"/>
  <c r="X296" i="1"/>
  <c r="Y296" i="1" s="1"/>
  <c r="Z296" i="1" s="1"/>
  <c r="W296" i="1"/>
  <c r="V296" i="1"/>
  <c r="U296" i="1"/>
  <c r="R296" i="1"/>
  <c r="J296" i="1"/>
  <c r="X295" i="1"/>
  <c r="Y295" i="1" s="1"/>
  <c r="Z295" i="1" s="1"/>
  <c r="W295" i="1"/>
  <c r="V295" i="1"/>
  <c r="U295" i="1"/>
  <c r="R295" i="1"/>
  <c r="J295" i="1"/>
  <c r="X294" i="1"/>
  <c r="Y294" i="1" s="1"/>
  <c r="Z294" i="1" s="1"/>
  <c r="W294" i="1"/>
  <c r="V294" i="1"/>
  <c r="U294" i="1"/>
  <c r="R294" i="1"/>
  <c r="J294" i="1"/>
  <c r="X293" i="1"/>
  <c r="Y293" i="1" s="1"/>
  <c r="Z293" i="1" s="1"/>
  <c r="W293" i="1"/>
  <c r="V293" i="1"/>
  <c r="U293" i="1"/>
  <c r="R293" i="1"/>
  <c r="J293" i="1"/>
  <c r="X292" i="1"/>
  <c r="Y292" i="1" s="1"/>
  <c r="Z292" i="1" s="1"/>
  <c r="W292" i="1"/>
  <c r="V292" i="1"/>
  <c r="U292" i="1"/>
  <c r="R292" i="1"/>
  <c r="J292" i="1"/>
  <c r="X291" i="1"/>
  <c r="Y291" i="1" s="1"/>
  <c r="Z291" i="1" s="1"/>
  <c r="W291" i="1"/>
  <c r="V291" i="1"/>
  <c r="U291" i="1"/>
  <c r="R291" i="1"/>
  <c r="J291" i="1"/>
  <c r="X290" i="1"/>
  <c r="Y290" i="1" s="1"/>
  <c r="Z290" i="1" s="1"/>
  <c r="W290" i="1"/>
  <c r="V290" i="1"/>
  <c r="U290" i="1"/>
  <c r="R290" i="1"/>
  <c r="J290" i="1"/>
  <c r="X289" i="1"/>
  <c r="Y289" i="1" s="1"/>
  <c r="Z289" i="1" s="1"/>
  <c r="W289" i="1"/>
  <c r="V289" i="1"/>
  <c r="U289" i="1"/>
  <c r="R289" i="1"/>
  <c r="J289" i="1"/>
  <c r="Y288" i="1"/>
  <c r="Z288" i="1" s="1"/>
  <c r="X288" i="1"/>
  <c r="W288" i="1"/>
  <c r="V288" i="1"/>
  <c r="U288" i="1"/>
  <c r="R288" i="1"/>
  <c r="J288" i="1"/>
  <c r="Y287" i="1"/>
  <c r="Z287" i="1" s="1"/>
  <c r="X287" i="1"/>
  <c r="W287" i="1"/>
  <c r="V287" i="1"/>
  <c r="U287" i="1"/>
  <c r="R287" i="1"/>
  <c r="J287" i="1"/>
  <c r="Y286" i="1"/>
  <c r="Z286" i="1" s="1"/>
  <c r="X286" i="1"/>
  <c r="W286" i="1"/>
  <c r="V286" i="1"/>
  <c r="U286" i="1"/>
  <c r="R286" i="1"/>
  <c r="J286" i="1"/>
  <c r="X285" i="1"/>
  <c r="Y285" i="1" s="1"/>
  <c r="Z285" i="1" s="1"/>
  <c r="W285" i="1"/>
  <c r="V285" i="1"/>
  <c r="U285" i="1"/>
  <c r="R285" i="1"/>
  <c r="J285" i="1"/>
  <c r="X284" i="1"/>
  <c r="Y284" i="1" s="1"/>
  <c r="Z284" i="1" s="1"/>
  <c r="W284" i="1"/>
  <c r="V284" i="1"/>
  <c r="U284" i="1"/>
  <c r="R284" i="1"/>
  <c r="J284" i="1"/>
  <c r="X283" i="1"/>
  <c r="Y283" i="1" s="1"/>
  <c r="Z283" i="1" s="1"/>
  <c r="W283" i="1"/>
  <c r="V283" i="1"/>
  <c r="U283" i="1"/>
  <c r="R283" i="1"/>
  <c r="J283" i="1"/>
  <c r="X282" i="1"/>
  <c r="Y282" i="1" s="1"/>
  <c r="Z282" i="1" s="1"/>
  <c r="W282" i="1"/>
  <c r="V282" i="1"/>
  <c r="U282" i="1"/>
  <c r="R282" i="1"/>
  <c r="J282" i="1"/>
  <c r="X281" i="1"/>
  <c r="Y281" i="1" s="1"/>
  <c r="Z281" i="1" s="1"/>
  <c r="W281" i="1"/>
  <c r="V281" i="1"/>
  <c r="U281" i="1"/>
  <c r="R281" i="1"/>
  <c r="J281" i="1"/>
  <c r="Y280" i="1"/>
  <c r="Z280" i="1" s="1"/>
  <c r="X280" i="1"/>
  <c r="W280" i="1"/>
  <c r="V280" i="1"/>
  <c r="U280" i="1"/>
  <c r="R280" i="1"/>
  <c r="J280" i="1"/>
  <c r="Y279" i="1"/>
  <c r="Z279" i="1" s="1"/>
  <c r="X279" i="1"/>
  <c r="W279" i="1"/>
  <c r="V279" i="1"/>
  <c r="U279" i="1"/>
  <c r="R279" i="1"/>
  <c r="J279" i="1"/>
  <c r="Y278" i="1"/>
  <c r="Z278" i="1" s="1"/>
  <c r="X278" i="1"/>
  <c r="W278" i="1"/>
  <c r="V278" i="1"/>
  <c r="U278" i="1"/>
  <c r="R278" i="1"/>
  <c r="J278" i="1"/>
  <c r="X277" i="1"/>
  <c r="Y277" i="1" s="1"/>
  <c r="Z277" i="1" s="1"/>
  <c r="W277" i="1"/>
  <c r="V277" i="1"/>
  <c r="U277" i="1"/>
  <c r="R277" i="1"/>
  <c r="J277" i="1"/>
  <c r="X276" i="1"/>
  <c r="Y276" i="1" s="1"/>
  <c r="Z276" i="1" s="1"/>
  <c r="W276" i="1"/>
  <c r="V276" i="1"/>
  <c r="U276" i="1"/>
  <c r="R276" i="1"/>
  <c r="J276" i="1"/>
  <c r="X275" i="1"/>
  <c r="Y275" i="1" s="1"/>
  <c r="Z275" i="1" s="1"/>
  <c r="W275" i="1"/>
  <c r="V275" i="1"/>
  <c r="U275" i="1"/>
  <c r="R275" i="1"/>
  <c r="J275" i="1"/>
  <c r="X274" i="1"/>
  <c r="Y274" i="1" s="1"/>
  <c r="Z274" i="1" s="1"/>
  <c r="W274" i="1"/>
  <c r="V274" i="1"/>
  <c r="U274" i="1"/>
  <c r="R274" i="1"/>
  <c r="J274" i="1"/>
  <c r="X273" i="1"/>
  <c r="Y273" i="1" s="1"/>
  <c r="Z273" i="1" s="1"/>
  <c r="W273" i="1"/>
  <c r="V273" i="1"/>
  <c r="U273" i="1"/>
  <c r="R273" i="1"/>
  <c r="J273" i="1"/>
  <c r="Y272" i="1"/>
  <c r="Z272" i="1" s="1"/>
  <c r="X272" i="1"/>
  <c r="W272" i="1"/>
  <c r="V272" i="1"/>
  <c r="U272" i="1"/>
  <c r="R272" i="1"/>
  <c r="J272" i="1"/>
  <c r="Y271" i="1"/>
  <c r="Z271" i="1" s="1"/>
  <c r="X271" i="1"/>
  <c r="W271" i="1"/>
  <c r="V271" i="1"/>
  <c r="U271" i="1"/>
  <c r="R271" i="1"/>
  <c r="J271" i="1"/>
  <c r="Y270" i="1"/>
  <c r="Z270" i="1" s="1"/>
  <c r="X270" i="1"/>
  <c r="W270" i="1"/>
  <c r="V270" i="1"/>
  <c r="U270" i="1"/>
  <c r="R270" i="1"/>
  <c r="J270" i="1"/>
  <c r="X269" i="1"/>
  <c r="Y269" i="1" s="1"/>
  <c r="Z269" i="1" s="1"/>
  <c r="W269" i="1"/>
  <c r="V269" i="1"/>
  <c r="U269" i="1"/>
  <c r="R269" i="1"/>
  <c r="J269" i="1"/>
  <c r="X268" i="1"/>
  <c r="Y268" i="1" s="1"/>
  <c r="Z268" i="1" s="1"/>
  <c r="W268" i="1"/>
  <c r="V268" i="1"/>
  <c r="U268" i="1"/>
  <c r="R268" i="1"/>
  <c r="J268" i="1"/>
  <c r="X267" i="1"/>
  <c r="Y267" i="1" s="1"/>
  <c r="Z267" i="1" s="1"/>
  <c r="W267" i="1"/>
  <c r="V267" i="1"/>
  <c r="U267" i="1"/>
  <c r="R267" i="1"/>
  <c r="J267" i="1"/>
  <c r="X266" i="1"/>
  <c r="Y266" i="1" s="1"/>
  <c r="Z266" i="1" s="1"/>
  <c r="W266" i="1"/>
  <c r="V266" i="1"/>
  <c r="U266" i="1"/>
  <c r="R266" i="1"/>
  <c r="J266" i="1"/>
  <c r="X265" i="1"/>
  <c r="Y265" i="1" s="1"/>
  <c r="Z265" i="1" s="1"/>
  <c r="W265" i="1"/>
  <c r="V265" i="1"/>
  <c r="U265" i="1"/>
  <c r="R265" i="1"/>
  <c r="J265" i="1"/>
  <c r="Y264" i="1"/>
  <c r="Z264" i="1" s="1"/>
  <c r="X264" i="1"/>
  <c r="W264" i="1"/>
  <c r="V264" i="1"/>
  <c r="U264" i="1"/>
  <c r="R264" i="1"/>
  <c r="J264" i="1"/>
  <c r="Y263" i="1"/>
  <c r="Z263" i="1" s="1"/>
  <c r="X263" i="1"/>
  <c r="W263" i="1"/>
  <c r="V263" i="1"/>
  <c r="U263" i="1"/>
  <c r="R263" i="1"/>
  <c r="J263" i="1"/>
  <c r="Y262" i="1"/>
  <c r="Z262" i="1" s="1"/>
  <c r="X262" i="1"/>
  <c r="W262" i="1"/>
  <c r="V262" i="1"/>
  <c r="U262" i="1"/>
  <c r="R262" i="1"/>
  <c r="J262" i="1"/>
  <c r="Y261" i="1"/>
  <c r="Z261" i="1" s="1"/>
  <c r="X261" i="1"/>
  <c r="W261" i="1"/>
  <c r="V261" i="1"/>
  <c r="U261" i="1"/>
  <c r="R261" i="1"/>
  <c r="J261" i="1"/>
  <c r="Y260" i="1"/>
  <c r="Z260" i="1" s="1"/>
  <c r="X260" i="1"/>
  <c r="W260" i="1"/>
  <c r="V260" i="1"/>
  <c r="U260" i="1"/>
  <c r="R260" i="1"/>
  <c r="J260" i="1"/>
  <c r="Y259" i="1"/>
  <c r="Z259" i="1" s="1"/>
  <c r="X259" i="1"/>
  <c r="W259" i="1"/>
  <c r="V259" i="1"/>
  <c r="U259" i="1"/>
  <c r="R259" i="1"/>
  <c r="J259" i="1"/>
  <c r="Y258" i="1"/>
  <c r="Z258" i="1" s="1"/>
  <c r="X258" i="1"/>
  <c r="W258" i="1"/>
  <c r="V258" i="1"/>
  <c r="U258" i="1"/>
  <c r="R258" i="1"/>
  <c r="J258" i="1"/>
  <c r="Y257" i="1"/>
  <c r="Z257" i="1" s="1"/>
  <c r="X257" i="1"/>
  <c r="W257" i="1"/>
  <c r="V257" i="1"/>
  <c r="U257" i="1"/>
  <c r="R257" i="1"/>
  <c r="J257" i="1"/>
  <c r="Y256" i="1"/>
  <c r="Z256" i="1" s="1"/>
  <c r="X256" i="1"/>
  <c r="W256" i="1"/>
  <c r="V256" i="1"/>
  <c r="U256" i="1"/>
  <c r="R256" i="1"/>
  <c r="J256" i="1"/>
  <c r="Y255" i="1"/>
  <c r="Z255" i="1" s="1"/>
  <c r="X255" i="1"/>
  <c r="W255" i="1"/>
  <c r="V255" i="1"/>
  <c r="U255" i="1"/>
  <c r="R255" i="1"/>
  <c r="J255" i="1"/>
  <c r="Y254" i="1"/>
  <c r="Z254" i="1" s="1"/>
  <c r="X254" i="1"/>
  <c r="W254" i="1"/>
  <c r="V254" i="1"/>
  <c r="U254" i="1"/>
  <c r="R254" i="1"/>
  <c r="J254" i="1"/>
  <c r="Y253" i="1"/>
  <c r="Z253" i="1" s="1"/>
  <c r="X253" i="1"/>
  <c r="W253" i="1"/>
  <c r="V253" i="1"/>
  <c r="U253" i="1"/>
  <c r="R253" i="1"/>
  <c r="J253" i="1"/>
  <c r="Y252" i="1"/>
  <c r="Z252" i="1" s="1"/>
  <c r="X252" i="1"/>
  <c r="W252" i="1"/>
  <c r="V252" i="1"/>
  <c r="U252" i="1"/>
  <c r="R252" i="1"/>
  <c r="J252" i="1"/>
  <c r="Y251" i="1"/>
  <c r="Z251" i="1" s="1"/>
  <c r="X251" i="1"/>
  <c r="W251" i="1"/>
  <c r="V251" i="1"/>
  <c r="U251" i="1"/>
  <c r="R251" i="1"/>
  <c r="J251" i="1"/>
  <c r="Y250" i="1"/>
  <c r="Z250" i="1" s="1"/>
  <c r="X250" i="1"/>
  <c r="W250" i="1"/>
  <c r="V250" i="1"/>
  <c r="U250" i="1"/>
  <c r="R250" i="1"/>
  <c r="J250" i="1"/>
  <c r="Y249" i="1"/>
  <c r="Z249" i="1" s="1"/>
  <c r="X249" i="1"/>
  <c r="W249" i="1"/>
  <c r="V249" i="1"/>
  <c r="U249" i="1"/>
  <c r="R249" i="1"/>
  <c r="J249" i="1"/>
  <c r="Y248" i="1"/>
  <c r="Z248" i="1" s="1"/>
  <c r="X248" i="1"/>
  <c r="W248" i="1"/>
  <c r="V248" i="1"/>
  <c r="U248" i="1"/>
  <c r="R248" i="1"/>
  <c r="J248" i="1"/>
  <c r="Y247" i="1"/>
  <c r="Z247" i="1" s="1"/>
  <c r="X247" i="1"/>
  <c r="W247" i="1"/>
  <c r="V247" i="1"/>
  <c r="U247" i="1"/>
  <c r="R247" i="1"/>
  <c r="J247" i="1"/>
  <c r="Y246" i="1"/>
  <c r="Z246" i="1" s="1"/>
  <c r="X246" i="1"/>
  <c r="W246" i="1"/>
  <c r="V246" i="1"/>
  <c r="U246" i="1"/>
  <c r="R246" i="1"/>
  <c r="J246" i="1"/>
  <c r="Y245" i="1"/>
  <c r="Z245" i="1" s="1"/>
  <c r="X245" i="1"/>
  <c r="W245" i="1"/>
  <c r="V245" i="1"/>
  <c r="U245" i="1"/>
  <c r="R245" i="1"/>
  <c r="J245" i="1"/>
  <c r="Y244" i="1"/>
  <c r="Z244" i="1" s="1"/>
  <c r="X244" i="1"/>
  <c r="W244" i="1"/>
  <c r="V244" i="1"/>
  <c r="U244" i="1"/>
  <c r="R244" i="1"/>
  <c r="J244" i="1"/>
  <c r="Y243" i="1"/>
  <c r="Z243" i="1" s="1"/>
  <c r="X243" i="1"/>
  <c r="W243" i="1"/>
  <c r="V243" i="1"/>
  <c r="U243" i="1"/>
  <c r="R243" i="1"/>
  <c r="J243" i="1"/>
  <c r="Y242" i="1"/>
  <c r="Z242" i="1" s="1"/>
  <c r="X242" i="1"/>
  <c r="W242" i="1"/>
  <c r="V242" i="1"/>
  <c r="U242" i="1"/>
  <c r="R242" i="1"/>
  <c r="J242" i="1"/>
  <c r="Y241" i="1"/>
  <c r="Z241" i="1" s="1"/>
  <c r="X241" i="1"/>
  <c r="W241" i="1"/>
  <c r="V241" i="1"/>
  <c r="U241" i="1"/>
  <c r="R241" i="1"/>
  <c r="J241" i="1"/>
  <c r="Y240" i="1"/>
  <c r="Z240" i="1" s="1"/>
  <c r="X240" i="1"/>
  <c r="W240" i="1"/>
  <c r="V240" i="1"/>
  <c r="U240" i="1"/>
  <c r="R240" i="1"/>
  <c r="J240" i="1"/>
  <c r="Y239" i="1"/>
  <c r="Z239" i="1" s="1"/>
  <c r="X239" i="1"/>
  <c r="W239" i="1"/>
  <c r="V239" i="1"/>
  <c r="U239" i="1"/>
  <c r="R239" i="1"/>
  <c r="J239" i="1"/>
  <c r="Y238" i="1"/>
  <c r="Z238" i="1" s="1"/>
  <c r="X238" i="1"/>
  <c r="W238" i="1"/>
  <c r="V238" i="1"/>
  <c r="U238" i="1"/>
  <c r="R238" i="1"/>
  <c r="J238" i="1"/>
  <c r="Y237" i="1"/>
  <c r="Z237" i="1" s="1"/>
  <c r="X237" i="1"/>
  <c r="W237" i="1"/>
  <c r="V237" i="1"/>
  <c r="U237" i="1"/>
  <c r="R237" i="1"/>
  <c r="J237" i="1"/>
  <c r="Y236" i="1"/>
  <c r="Z236" i="1" s="1"/>
  <c r="X236" i="1"/>
  <c r="W236" i="1"/>
  <c r="V236" i="1"/>
  <c r="U236" i="1"/>
  <c r="R236" i="1"/>
  <c r="J236" i="1"/>
  <c r="Y235" i="1"/>
  <c r="Z235" i="1" s="1"/>
  <c r="X235" i="1"/>
  <c r="W235" i="1"/>
  <c r="V235" i="1"/>
  <c r="U235" i="1"/>
  <c r="R235" i="1"/>
  <c r="J235" i="1"/>
  <c r="Y234" i="1"/>
  <c r="Z234" i="1" s="1"/>
  <c r="X234" i="1"/>
  <c r="W234" i="1"/>
  <c r="V234" i="1"/>
  <c r="U234" i="1"/>
  <c r="R234" i="1"/>
  <c r="J234" i="1"/>
  <c r="Y233" i="1"/>
  <c r="Z233" i="1" s="1"/>
  <c r="X233" i="1"/>
  <c r="W233" i="1"/>
  <c r="V233" i="1"/>
  <c r="U233" i="1"/>
  <c r="R233" i="1"/>
  <c r="J233" i="1"/>
  <c r="Y232" i="1"/>
  <c r="Z232" i="1" s="1"/>
  <c r="X232" i="1"/>
  <c r="W232" i="1"/>
  <c r="V232" i="1"/>
  <c r="U232" i="1"/>
  <c r="R232" i="1"/>
  <c r="J232" i="1"/>
  <c r="Y231" i="1"/>
  <c r="Z231" i="1" s="1"/>
  <c r="X231" i="1"/>
  <c r="W231" i="1"/>
  <c r="V231" i="1"/>
  <c r="U231" i="1"/>
  <c r="R231" i="1"/>
  <c r="J231" i="1"/>
  <c r="Y230" i="1"/>
  <c r="Z230" i="1" s="1"/>
  <c r="X230" i="1"/>
  <c r="W230" i="1"/>
  <c r="V230" i="1"/>
  <c r="U230" i="1"/>
  <c r="R230" i="1"/>
  <c r="J230" i="1"/>
  <c r="Y229" i="1"/>
  <c r="Z229" i="1" s="1"/>
  <c r="X229" i="1"/>
  <c r="W229" i="1"/>
  <c r="V229" i="1"/>
  <c r="U229" i="1"/>
  <c r="R229" i="1"/>
  <c r="J229" i="1"/>
  <c r="Y228" i="1"/>
  <c r="Z228" i="1" s="1"/>
  <c r="X228" i="1"/>
  <c r="W228" i="1"/>
  <c r="V228" i="1"/>
  <c r="U228" i="1"/>
  <c r="R228" i="1"/>
  <c r="J228" i="1"/>
  <c r="Y227" i="1"/>
  <c r="Z227" i="1" s="1"/>
  <c r="X227" i="1"/>
  <c r="W227" i="1"/>
  <c r="V227" i="1"/>
  <c r="U227" i="1"/>
  <c r="R227" i="1"/>
  <c r="J227" i="1"/>
  <c r="Y226" i="1"/>
  <c r="Z226" i="1" s="1"/>
  <c r="X226" i="1"/>
  <c r="W226" i="1"/>
  <c r="V226" i="1"/>
  <c r="U226" i="1"/>
  <c r="R226" i="1"/>
  <c r="J226" i="1"/>
  <c r="Y225" i="1"/>
  <c r="Z225" i="1" s="1"/>
  <c r="X225" i="1"/>
  <c r="W225" i="1"/>
  <c r="V225" i="1"/>
  <c r="U225" i="1"/>
  <c r="R225" i="1"/>
  <c r="J225" i="1"/>
  <c r="Y224" i="1"/>
  <c r="Z224" i="1" s="1"/>
  <c r="X224" i="1"/>
  <c r="W224" i="1"/>
  <c r="V224" i="1"/>
  <c r="U224" i="1"/>
  <c r="R224" i="1"/>
  <c r="J224" i="1"/>
  <c r="Y223" i="1"/>
  <c r="Z223" i="1" s="1"/>
  <c r="X223" i="1"/>
  <c r="W223" i="1"/>
  <c r="V223" i="1"/>
  <c r="U223" i="1"/>
  <c r="R223" i="1"/>
  <c r="J223" i="1"/>
  <c r="Y222" i="1"/>
  <c r="Z222" i="1" s="1"/>
  <c r="X222" i="1"/>
  <c r="W222" i="1"/>
  <c r="V222" i="1"/>
  <c r="U222" i="1"/>
  <c r="R222" i="1"/>
  <c r="J222" i="1"/>
  <c r="Y221" i="1"/>
  <c r="Z221" i="1" s="1"/>
  <c r="X221" i="1"/>
  <c r="W221" i="1"/>
  <c r="V221" i="1"/>
  <c r="U221" i="1"/>
  <c r="R221" i="1"/>
  <c r="J221" i="1"/>
  <c r="Y220" i="1"/>
  <c r="Z220" i="1" s="1"/>
  <c r="X220" i="1"/>
  <c r="W220" i="1"/>
  <c r="V220" i="1"/>
  <c r="U220" i="1"/>
  <c r="R220" i="1"/>
  <c r="J220" i="1"/>
  <c r="Y219" i="1"/>
  <c r="Z219" i="1" s="1"/>
  <c r="X219" i="1"/>
  <c r="W219" i="1"/>
  <c r="V219" i="1"/>
  <c r="U219" i="1"/>
  <c r="R219" i="1"/>
  <c r="J219" i="1"/>
  <c r="Y218" i="1"/>
  <c r="Z218" i="1" s="1"/>
  <c r="X218" i="1"/>
  <c r="W218" i="1"/>
  <c r="V218" i="1"/>
  <c r="U218" i="1"/>
  <c r="R218" i="1"/>
  <c r="J218" i="1"/>
  <c r="Y217" i="1"/>
  <c r="Z217" i="1" s="1"/>
  <c r="X217" i="1"/>
  <c r="W217" i="1"/>
  <c r="V217" i="1"/>
  <c r="U217" i="1"/>
  <c r="R217" i="1"/>
  <c r="J217" i="1"/>
  <c r="Y216" i="1"/>
  <c r="Z216" i="1" s="1"/>
  <c r="X216" i="1"/>
  <c r="W216" i="1"/>
  <c r="V216" i="1"/>
  <c r="U216" i="1"/>
  <c r="R216" i="1"/>
  <c r="J216" i="1"/>
  <c r="Y215" i="1"/>
  <c r="Z215" i="1" s="1"/>
  <c r="X215" i="1"/>
  <c r="W215" i="1"/>
  <c r="V215" i="1"/>
  <c r="U215" i="1"/>
  <c r="R215" i="1"/>
  <c r="J215" i="1"/>
  <c r="Y214" i="1"/>
  <c r="Z214" i="1" s="1"/>
  <c r="X214" i="1"/>
  <c r="W214" i="1"/>
  <c r="V214" i="1"/>
  <c r="U214" i="1"/>
  <c r="R214" i="1"/>
  <c r="J214" i="1"/>
  <c r="Y213" i="1"/>
  <c r="Z213" i="1" s="1"/>
  <c r="X213" i="1"/>
  <c r="W213" i="1"/>
  <c r="V213" i="1"/>
  <c r="U213" i="1"/>
  <c r="R213" i="1"/>
  <c r="J213" i="1"/>
  <c r="Y212" i="1"/>
  <c r="Z212" i="1" s="1"/>
  <c r="X212" i="1"/>
  <c r="W212" i="1"/>
  <c r="V212" i="1"/>
  <c r="U212" i="1"/>
  <c r="R212" i="1"/>
  <c r="J212" i="1"/>
  <c r="Y211" i="1"/>
  <c r="Z211" i="1" s="1"/>
  <c r="X211" i="1"/>
  <c r="W211" i="1"/>
  <c r="V211" i="1"/>
  <c r="U211" i="1"/>
  <c r="R211" i="1"/>
  <c r="J211" i="1"/>
  <c r="Y210" i="1"/>
  <c r="Z210" i="1" s="1"/>
  <c r="X210" i="1"/>
  <c r="W210" i="1"/>
  <c r="V210" i="1"/>
  <c r="U210" i="1"/>
  <c r="R210" i="1"/>
  <c r="J210" i="1"/>
  <c r="Y209" i="1"/>
  <c r="Z209" i="1" s="1"/>
  <c r="X209" i="1"/>
  <c r="W209" i="1"/>
  <c r="V209" i="1"/>
  <c r="U209" i="1"/>
  <c r="R209" i="1"/>
  <c r="J209" i="1"/>
  <c r="Y208" i="1"/>
  <c r="Z208" i="1" s="1"/>
  <c r="X208" i="1"/>
  <c r="W208" i="1"/>
  <c r="V208" i="1"/>
  <c r="U208" i="1"/>
  <c r="R208" i="1"/>
  <c r="J208" i="1"/>
  <c r="Y207" i="1"/>
  <c r="Z207" i="1" s="1"/>
  <c r="X207" i="1"/>
  <c r="W207" i="1"/>
  <c r="V207" i="1"/>
  <c r="U207" i="1"/>
  <c r="R207" i="1"/>
  <c r="J207" i="1"/>
  <c r="Y206" i="1"/>
  <c r="Z206" i="1" s="1"/>
  <c r="X206" i="1"/>
  <c r="W206" i="1"/>
  <c r="V206" i="1"/>
  <c r="U206" i="1"/>
  <c r="R206" i="1"/>
  <c r="J206" i="1"/>
  <c r="Y205" i="1"/>
  <c r="Z205" i="1" s="1"/>
  <c r="X205" i="1"/>
  <c r="W205" i="1"/>
  <c r="V205" i="1"/>
  <c r="U205" i="1"/>
  <c r="R205" i="1"/>
  <c r="J205" i="1"/>
  <c r="Y204" i="1"/>
  <c r="Z204" i="1" s="1"/>
  <c r="X204" i="1"/>
  <c r="W204" i="1"/>
  <c r="V204" i="1"/>
  <c r="U204" i="1"/>
  <c r="R204" i="1"/>
  <c r="J204" i="1"/>
  <c r="Y203" i="1"/>
  <c r="Z203" i="1" s="1"/>
  <c r="X203" i="1"/>
  <c r="W203" i="1"/>
  <c r="V203" i="1"/>
  <c r="U203" i="1"/>
  <c r="R203" i="1"/>
  <c r="J203" i="1"/>
  <c r="Y202" i="1"/>
  <c r="Z202" i="1" s="1"/>
  <c r="X202" i="1"/>
  <c r="W202" i="1"/>
  <c r="V202" i="1"/>
  <c r="U202" i="1"/>
  <c r="R202" i="1"/>
  <c r="J202" i="1"/>
  <c r="Y201" i="1"/>
  <c r="Z201" i="1" s="1"/>
  <c r="X201" i="1"/>
  <c r="W201" i="1"/>
  <c r="V201" i="1"/>
  <c r="U201" i="1"/>
  <c r="R201" i="1"/>
  <c r="J201" i="1"/>
  <c r="Y200" i="1"/>
  <c r="Z200" i="1" s="1"/>
  <c r="X200" i="1"/>
  <c r="W200" i="1"/>
  <c r="V200" i="1"/>
  <c r="U200" i="1"/>
  <c r="R200" i="1"/>
  <c r="J200" i="1"/>
  <c r="Y199" i="1"/>
  <c r="Z199" i="1" s="1"/>
  <c r="X199" i="1"/>
  <c r="W199" i="1"/>
  <c r="V199" i="1"/>
  <c r="U199" i="1"/>
  <c r="R199" i="1"/>
  <c r="J199" i="1"/>
  <c r="Y198" i="1"/>
  <c r="Z198" i="1" s="1"/>
  <c r="X198" i="1"/>
  <c r="W198" i="1"/>
  <c r="V198" i="1"/>
  <c r="U198" i="1"/>
  <c r="R198" i="1"/>
  <c r="J198" i="1"/>
  <c r="Y197" i="1"/>
  <c r="Z197" i="1" s="1"/>
  <c r="X197" i="1"/>
  <c r="W197" i="1"/>
  <c r="V197" i="1"/>
  <c r="U197" i="1"/>
  <c r="R197" i="1"/>
  <c r="J197" i="1"/>
  <c r="Y196" i="1"/>
  <c r="Z196" i="1" s="1"/>
  <c r="X196" i="1"/>
  <c r="W196" i="1"/>
  <c r="V196" i="1"/>
  <c r="U196" i="1"/>
  <c r="R196" i="1"/>
  <c r="J196" i="1"/>
  <c r="Y195" i="1"/>
  <c r="Z195" i="1" s="1"/>
  <c r="X195" i="1"/>
  <c r="W195" i="1"/>
  <c r="V195" i="1"/>
  <c r="U195" i="1"/>
  <c r="R195" i="1"/>
  <c r="J195" i="1"/>
  <c r="Y194" i="1"/>
  <c r="Z194" i="1" s="1"/>
  <c r="X194" i="1"/>
  <c r="W194" i="1"/>
  <c r="V194" i="1"/>
  <c r="U194" i="1"/>
  <c r="R194" i="1"/>
  <c r="J194" i="1"/>
  <c r="Y193" i="1"/>
  <c r="Z193" i="1" s="1"/>
  <c r="X193" i="1"/>
  <c r="W193" i="1"/>
  <c r="V193" i="1"/>
  <c r="U193" i="1"/>
  <c r="R193" i="1"/>
  <c r="J193" i="1"/>
  <c r="Y192" i="1"/>
  <c r="Z192" i="1" s="1"/>
  <c r="X192" i="1"/>
  <c r="W192" i="1"/>
  <c r="V192" i="1"/>
  <c r="U192" i="1"/>
  <c r="R192" i="1"/>
  <c r="J192" i="1"/>
  <c r="Y191" i="1"/>
  <c r="Z191" i="1" s="1"/>
  <c r="X191" i="1"/>
  <c r="W191" i="1"/>
  <c r="V191" i="1"/>
  <c r="U191" i="1"/>
  <c r="R191" i="1"/>
  <c r="J191" i="1"/>
  <c r="Y190" i="1"/>
  <c r="Z190" i="1" s="1"/>
  <c r="X190" i="1"/>
  <c r="W190" i="1"/>
  <c r="V190" i="1"/>
  <c r="U190" i="1"/>
  <c r="R190" i="1"/>
  <c r="J190" i="1"/>
  <c r="Y189" i="1"/>
  <c r="Z189" i="1" s="1"/>
  <c r="X189" i="1"/>
  <c r="W189" i="1"/>
  <c r="V189" i="1"/>
  <c r="U189" i="1"/>
  <c r="R189" i="1"/>
  <c r="J189" i="1"/>
  <c r="Y188" i="1"/>
  <c r="Z188" i="1" s="1"/>
  <c r="X188" i="1"/>
  <c r="W188" i="1"/>
  <c r="V188" i="1"/>
  <c r="U188" i="1"/>
  <c r="R188" i="1"/>
  <c r="J188" i="1"/>
  <c r="Y187" i="1"/>
  <c r="Z187" i="1" s="1"/>
  <c r="X187" i="1"/>
  <c r="W187" i="1"/>
  <c r="V187" i="1"/>
  <c r="U187" i="1"/>
  <c r="R187" i="1"/>
  <c r="J187" i="1"/>
  <c r="Y186" i="1"/>
  <c r="Z186" i="1" s="1"/>
  <c r="X186" i="1"/>
  <c r="W186" i="1"/>
  <c r="V186" i="1"/>
  <c r="U186" i="1"/>
  <c r="R186" i="1"/>
  <c r="J186" i="1"/>
  <c r="Y185" i="1"/>
  <c r="Z185" i="1" s="1"/>
  <c r="X185" i="1"/>
  <c r="W185" i="1"/>
  <c r="V185" i="1"/>
  <c r="U185" i="1"/>
  <c r="R185" i="1"/>
  <c r="J185" i="1"/>
  <c r="Y184" i="1"/>
  <c r="Z184" i="1" s="1"/>
  <c r="X184" i="1"/>
  <c r="W184" i="1"/>
  <c r="V184" i="1"/>
  <c r="U184" i="1"/>
  <c r="R184" i="1"/>
  <c r="J184" i="1"/>
  <c r="Y183" i="1"/>
  <c r="Z183" i="1" s="1"/>
  <c r="X183" i="1"/>
  <c r="W183" i="1"/>
  <c r="V183" i="1"/>
  <c r="U183" i="1"/>
  <c r="R183" i="1"/>
  <c r="J183" i="1"/>
  <c r="Y182" i="1"/>
  <c r="Z182" i="1" s="1"/>
  <c r="X182" i="1"/>
  <c r="W182" i="1"/>
  <c r="V182" i="1"/>
  <c r="U182" i="1"/>
  <c r="R182" i="1"/>
  <c r="J182" i="1"/>
  <c r="Y181" i="1"/>
  <c r="Z181" i="1" s="1"/>
  <c r="X181" i="1"/>
  <c r="W181" i="1"/>
  <c r="V181" i="1"/>
  <c r="U181" i="1"/>
  <c r="R181" i="1"/>
  <c r="J181" i="1"/>
  <c r="Y180" i="1"/>
  <c r="Z180" i="1" s="1"/>
  <c r="X180" i="1"/>
  <c r="W180" i="1"/>
  <c r="V180" i="1"/>
  <c r="U180" i="1"/>
  <c r="R180" i="1"/>
  <c r="J180" i="1"/>
  <c r="Y179" i="1"/>
  <c r="Z179" i="1" s="1"/>
  <c r="X179" i="1"/>
  <c r="W179" i="1"/>
  <c r="V179" i="1"/>
  <c r="U179" i="1"/>
  <c r="R179" i="1"/>
  <c r="J179" i="1"/>
  <c r="Y178" i="1"/>
  <c r="Z178" i="1" s="1"/>
  <c r="X178" i="1"/>
  <c r="W178" i="1"/>
  <c r="V178" i="1"/>
  <c r="U178" i="1"/>
  <c r="R178" i="1"/>
  <c r="J178" i="1"/>
  <c r="Y177" i="1"/>
  <c r="Z177" i="1" s="1"/>
  <c r="X177" i="1"/>
  <c r="W177" i="1"/>
  <c r="V177" i="1"/>
  <c r="U177" i="1"/>
  <c r="R177" i="1"/>
  <c r="J177" i="1"/>
  <c r="Y176" i="1"/>
  <c r="Z176" i="1" s="1"/>
  <c r="X176" i="1"/>
  <c r="W176" i="1"/>
  <c r="V176" i="1"/>
  <c r="U176" i="1"/>
  <c r="R176" i="1"/>
  <c r="J176" i="1"/>
  <c r="Y175" i="1"/>
  <c r="Z175" i="1" s="1"/>
  <c r="X175" i="1"/>
  <c r="W175" i="1"/>
  <c r="V175" i="1"/>
  <c r="U175" i="1"/>
  <c r="R175" i="1"/>
  <c r="J175" i="1"/>
  <c r="Y174" i="1"/>
  <c r="Z174" i="1" s="1"/>
  <c r="X174" i="1"/>
  <c r="W174" i="1"/>
  <c r="V174" i="1"/>
  <c r="U174" i="1"/>
  <c r="R174" i="1"/>
  <c r="J174" i="1"/>
  <c r="Y173" i="1"/>
  <c r="Z173" i="1" s="1"/>
  <c r="X173" i="1"/>
  <c r="W173" i="1"/>
  <c r="V173" i="1"/>
  <c r="U173" i="1"/>
  <c r="R173" i="1"/>
  <c r="J173" i="1"/>
  <c r="Y172" i="1"/>
  <c r="Z172" i="1" s="1"/>
  <c r="X172" i="1"/>
  <c r="W172" i="1"/>
  <c r="V172" i="1"/>
  <c r="U172" i="1"/>
  <c r="R172" i="1"/>
  <c r="J172" i="1"/>
  <c r="Y171" i="1"/>
  <c r="Z171" i="1" s="1"/>
  <c r="X171" i="1"/>
  <c r="W171" i="1"/>
  <c r="V171" i="1"/>
  <c r="U171" i="1"/>
  <c r="R171" i="1"/>
  <c r="J171" i="1"/>
  <c r="Y170" i="1"/>
  <c r="Z170" i="1" s="1"/>
  <c r="X170" i="1"/>
  <c r="W170" i="1"/>
  <c r="V170" i="1"/>
  <c r="U170" i="1"/>
  <c r="R170" i="1"/>
  <c r="J170" i="1"/>
  <c r="Y169" i="1"/>
  <c r="Z169" i="1" s="1"/>
  <c r="X169" i="1"/>
  <c r="W169" i="1"/>
  <c r="V169" i="1"/>
  <c r="U169" i="1"/>
  <c r="R169" i="1"/>
  <c r="J169" i="1"/>
  <c r="Y168" i="1"/>
  <c r="Z168" i="1" s="1"/>
  <c r="X168" i="1"/>
  <c r="W168" i="1"/>
  <c r="V168" i="1"/>
  <c r="U168" i="1"/>
  <c r="R168" i="1"/>
  <c r="J168" i="1"/>
  <c r="Y167" i="1"/>
  <c r="Z167" i="1" s="1"/>
  <c r="X167" i="1"/>
  <c r="W167" i="1"/>
  <c r="V167" i="1"/>
  <c r="U167" i="1"/>
  <c r="R167" i="1"/>
  <c r="J167" i="1"/>
  <c r="Y166" i="1"/>
  <c r="Z166" i="1" s="1"/>
  <c r="X166" i="1"/>
  <c r="W166" i="1"/>
  <c r="V166" i="1"/>
  <c r="U166" i="1"/>
  <c r="R166" i="1"/>
  <c r="J166" i="1"/>
  <c r="Y165" i="1"/>
  <c r="Z165" i="1" s="1"/>
  <c r="X165" i="1"/>
  <c r="W165" i="1"/>
  <c r="V165" i="1"/>
  <c r="U165" i="1"/>
  <c r="R165" i="1"/>
  <c r="J165" i="1"/>
  <c r="Y164" i="1"/>
  <c r="Z164" i="1" s="1"/>
  <c r="X164" i="1"/>
  <c r="W164" i="1"/>
  <c r="V164" i="1"/>
  <c r="U164" i="1"/>
  <c r="R164" i="1"/>
  <c r="J164" i="1"/>
  <c r="Y163" i="1"/>
  <c r="Z163" i="1" s="1"/>
  <c r="X163" i="1"/>
  <c r="W163" i="1"/>
  <c r="V163" i="1"/>
  <c r="U163" i="1"/>
  <c r="R163" i="1"/>
  <c r="J163" i="1"/>
  <c r="Y162" i="1"/>
  <c r="Z162" i="1" s="1"/>
  <c r="X162" i="1"/>
  <c r="W162" i="1"/>
  <c r="V162" i="1"/>
  <c r="U162" i="1"/>
  <c r="R162" i="1"/>
  <c r="J162" i="1"/>
  <c r="Y161" i="1"/>
  <c r="Z161" i="1" s="1"/>
  <c r="X161" i="1"/>
  <c r="W161" i="1"/>
  <c r="V161" i="1"/>
  <c r="U161" i="1"/>
  <c r="R161" i="1"/>
  <c r="J161" i="1"/>
  <c r="Y160" i="1"/>
  <c r="Z160" i="1" s="1"/>
  <c r="X160" i="1"/>
  <c r="W160" i="1"/>
  <c r="V160" i="1"/>
  <c r="U160" i="1"/>
  <c r="R160" i="1"/>
  <c r="J160" i="1"/>
  <c r="Y159" i="1"/>
  <c r="Z159" i="1" s="1"/>
  <c r="X159" i="1"/>
  <c r="W159" i="1"/>
  <c r="V159" i="1"/>
  <c r="U159" i="1"/>
  <c r="R159" i="1"/>
  <c r="J159" i="1"/>
  <c r="Y158" i="1"/>
  <c r="Z158" i="1" s="1"/>
  <c r="X158" i="1"/>
  <c r="W158" i="1"/>
  <c r="V158" i="1"/>
  <c r="U158" i="1"/>
  <c r="R158" i="1"/>
  <c r="J158" i="1"/>
  <c r="Y157" i="1"/>
  <c r="Z157" i="1" s="1"/>
  <c r="X157" i="1"/>
  <c r="W157" i="1"/>
  <c r="V157" i="1"/>
  <c r="U157" i="1"/>
  <c r="R157" i="1"/>
  <c r="J157" i="1"/>
  <c r="Y156" i="1"/>
  <c r="Z156" i="1" s="1"/>
  <c r="X156" i="1"/>
  <c r="W156" i="1"/>
  <c r="V156" i="1"/>
  <c r="U156" i="1"/>
  <c r="R156" i="1"/>
  <c r="J156" i="1"/>
  <c r="Y155" i="1"/>
  <c r="Z155" i="1" s="1"/>
  <c r="X155" i="1"/>
  <c r="W155" i="1"/>
  <c r="V155" i="1"/>
  <c r="U155" i="1"/>
  <c r="R155" i="1"/>
  <c r="J155" i="1"/>
  <c r="Y154" i="1"/>
  <c r="Z154" i="1" s="1"/>
  <c r="X154" i="1"/>
  <c r="W154" i="1"/>
  <c r="V154" i="1"/>
  <c r="U154" i="1"/>
  <c r="R154" i="1"/>
  <c r="J154" i="1"/>
  <c r="Y153" i="1"/>
  <c r="Z153" i="1" s="1"/>
  <c r="X153" i="1"/>
  <c r="W153" i="1"/>
  <c r="V153" i="1"/>
  <c r="U153" i="1"/>
  <c r="R153" i="1"/>
  <c r="J153" i="1"/>
  <c r="Y152" i="1"/>
  <c r="Z152" i="1" s="1"/>
  <c r="X152" i="1"/>
  <c r="W152" i="1"/>
  <c r="V152" i="1"/>
  <c r="U152" i="1"/>
  <c r="R152" i="1"/>
  <c r="J152" i="1"/>
  <c r="Y151" i="1"/>
  <c r="Z151" i="1" s="1"/>
  <c r="X151" i="1"/>
  <c r="W151" i="1"/>
  <c r="V151" i="1"/>
  <c r="U151" i="1"/>
  <c r="R151" i="1"/>
  <c r="J151" i="1"/>
  <c r="Y150" i="1"/>
  <c r="Z150" i="1" s="1"/>
  <c r="X150" i="1"/>
  <c r="W150" i="1"/>
  <c r="V150" i="1"/>
  <c r="U150" i="1"/>
  <c r="R150" i="1"/>
  <c r="J150" i="1"/>
  <c r="Y149" i="1"/>
  <c r="Z149" i="1" s="1"/>
  <c r="X149" i="1"/>
  <c r="W149" i="1"/>
  <c r="V149" i="1"/>
  <c r="U149" i="1"/>
  <c r="R149" i="1"/>
  <c r="J149" i="1"/>
  <c r="Y148" i="1"/>
  <c r="Z148" i="1" s="1"/>
  <c r="X148" i="1"/>
  <c r="W148" i="1"/>
  <c r="V148" i="1"/>
  <c r="U148" i="1"/>
  <c r="R148" i="1"/>
  <c r="J148" i="1"/>
  <c r="Y147" i="1"/>
  <c r="Z147" i="1" s="1"/>
  <c r="X147" i="1"/>
  <c r="W147" i="1"/>
  <c r="V147" i="1"/>
  <c r="U147" i="1"/>
  <c r="R147" i="1"/>
  <c r="J147" i="1"/>
  <c r="Y146" i="1"/>
  <c r="Z146" i="1" s="1"/>
  <c r="X146" i="1"/>
  <c r="W146" i="1"/>
  <c r="V146" i="1"/>
  <c r="U146" i="1"/>
  <c r="R146" i="1"/>
  <c r="J146" i="1"/>
  <c r="Y145" i="1"/>
  <c r="Z145" i="1" s="1"/>
  <c r="X145" i="1"/>
  <c r="W145" i="1"/>
  <c r="V145" i="1"/>
  <c r="U145" i="1"/>
  <c r="R145" i="1"/>
  <c r="J145" i="1"/>
  <c r="Y144" i="1"/>
  <c r="Z144" i="1" s="1"/>
  <c r="X144" i="1"/>
  <c r="W144" i="1"/>
  <c r="V144" i="1"/>
  <c r="U144" i="1"/>
  <c r="R144" i="1"/>
  <c r="J144" i="1"/>
  <c r="Y143" i="1"/>
  <c r="Z143" i="1" s="1"/>
  <c r="X143" i="1"/>
  <c r="W143" i="1"/>
  <c r="V143" i="1"/>
  <c r="U143" i="1"/>
  <c r="R143" i="1"/>
  <c r="J143" i="1"/>
  <c r="Y142" i="1"/>
  <c r="Z142" i="1" s="1"/>
  <c r="X142" i="1"/>
  <c r="W142" i="1"/>
  <c r="V142" i="1"/>
  <c r="U142" i="1"/>
  <c r="R142" i="1"/>
  <c r="J142" i="1"/>
  <c r="Y141" i="1"/>
  <c r="Z141" i="1" s="1"/>
  <c r="X141" i="1"/>
  <c r="W141" i="1"/>
  <c r="V141" i="1"/>
  <c r="U141" i="1"/>
  <c r="R141" i="1"/>
  <c r="J141" i="1"/>
  <c r="Y140" i="1"/>
  <c r="Z140" i="1" s="1"/>
  <c r="X140" i="1"/>
  <c r="W140" i="1"/>
  <c r="V140" i="1"/>
  <c r="U140" i="1"/>
  <c r="R140" i="1"/>
  <c r="J140" i="1"/>
  <c r="Y139" i="1"/>
  <c r="Z139" i="1" s="1"/>
  <c r="X139" i="1"/>
  <c r="W139" i="1"/>
  <c r="V139" i="1"/>
  <c r="U139" i="1"/>
  <c r="R139" i="1"/>
  <c r="J139" i="1"/>
  <c r="Y138" i="1"/>
  <c r="Z138" i="1" s="1"/>
  <c r="X138" i="1"/>
  <c r="W138" i="1"/>
  <c r="V138" i="1"/>
  <c r="U138" i="1"/>
  <c r="R138" i="1"/>
  <c r="J138" i="1"/>
  <c r="Y137" i="1"/>
  <c r="Z137" i="1" s="1"/>
  <c r="X137" i="1"/>
  <c r="W137" i="1"/>
  <c r="V137" i="1"/>
  <c r="U137" i="1"/>
  <c r="R137" i="1"/>
  <c r="J137" i="1"/>
  <c r="Y136" i="1"/>
  <c r="Z136" i="1" s="1"/>
  <c r="X136" i="1"/>
  <c r="W136" i="1"/>
  <c r="V136" i="1"/>
  <c r="U136" i="1"/>
  <c r="R136" i="1"/>
  <c r="J136" i="1"/>
  <c r="Y135" i="1"/>
  <c r="Z135" i="1" s="1"/>
  <c r="X135" i="1"/>
  <c r="W135" i="1"/>
  <c r="V135" i="1"/>
  <c r="U135" i="1"/>
  <c r="R135" i="1"/>
  <c r="J135" i="1"/>
  <c r="Y134" i="1"/>
  <c r="Z134" i="1" s="1"/>
  <c r="X134" i="1"/>
  <c r="W134" i="1"/>
  <c r="V134" i="1"/>
  <c r="U134" i="1"/>
  <c r="R134" i="1"/>
  <c r="J134" i="1"/>
  <c r="Y133" i="1"/>
  <c r="Z133" i="1" s="1"/>
  <c r="X133" i="1"/>
  <c r="W133" i="1"/>
  <c r="V133" i="1"/>
  <c r="U133" i="1"/>
  <c r="R133" i="1"/>
  <c r="J133" i="1"/>
  <c r="Y132" i="1"/>
  <c r="Z132" i="1" s="1"/>
  <c r="X132" i="1"/>
  <c r="W132" i="1"/>
  <c r="V132" i="1"/>
  <c r="U132" i="1"/>
  <c r="R132" i="1"/>
  <c r="J132" i="1"/>
  <c r="Y131" i="1"/>
  <c r="Z131" i="1" s="1"/>
  <c r="X131" i="1"/>
  <c r="W131" i="1"/>
  <c r="V131" i="1"/>
  <c r="U131" i="1"/>
  <c r="R131" i="1"/>
  <c r="J131" i="1"/>
  <c r="Y130" i="1"/>
  <c r="Z130" i="1" s="1"/>
  <c r="X130" i="1"/>
  <c r="W130" i="1"/>
  <c r="V130" i="1"/>
  <c r="U130" i="1"/>
  <c r="R130" i="1"/>
  <c r="J130" i="1"/>
  <c r="Y129" i="1"/>
  <c r="Z129" i="1" s="1"/>
  <c r="X129" i="1"/>
  <c r="W129" i="1"/>
  <c r="V129" i="1"/>
  <c r="U129" i="1"/>
  <c r="R129" i="1"/>
  <c r="J129" i="1"/>
  <c r="Y128" i="1"/>
  <c r="Z128" i="1" s="1"/>
  <c r="X128" i="1"/>
  <c r="W128" i="1"/>
  <c r="V128" i="1"/>
  <c r="U128" i="1"/>
  <c r="R128" i="1"/>
  <c r="J128" i="1"/>
  <c r="Y127" i="1"/>
  <c r="Z127" i="1" s="1"/>
  <c r="X127" i="1"/>
  <c r="W127" i="1"/>
  <c r="V127" i="1"/>
  <c r="U127" i="1"/>
  <c r="R127" i="1"/>
  <c r="J127" i="1"/>
  <c r="Y126" i="1"/>
  <c r="Z126" i="1" s="1"/>
  <c r="X126" i="1"/>
  <c r="W126" i="1"/>
  <c r="V126" i="1"/>
  <c r="U126" i="1"/>
  <c r="R126" i="1"/>
  <c r="J126" i="1"/>
  <c r="Y125" i="1"/>
  <c r="Z125" i="1" s="1"/>
  <c r="X125" i="1"/>
  <c r="W125" i="1"/>
  <c r="V125" i="1"/>
  <c r="U125" i="1"/>
  <c r="R125" i="1"/>
  <c r="J125" i="1"/>
  <c r="Y124" i="1"/>
  <c r="Z124" i="1" s="1"/>
  <c r="X124" i="1"/>
  <c r="W124" i="1"/>
  <c r="V124" i="1"/>
  <c r="U124" i="1"/>
  <c r="R124" i="1"/>
  <c r="J124" i="1"/>
  <c r="Y123" i="1"/>
  <c r="Z123" i="1" s="1"/>
  <c r="X123" i="1"/>
  <c r="W123" i="1"/>
  <c r="V123" i="1"/>
  <c r="U123" i="1"/>
  <c r="R123" i="1"/>
  <c r="J123" i="1"/>
  <c r="Y122" i="1"/>
  <c r="Z122" i="1" s="1"/>
  <c r="X122" i="1"/>
  <c r="W122" i="1"/>
  <c r="V122" i="1"/>
  <c r="U122" i="1"/>
  <c r="R122" i="1"/>
  <c r="J122" i="1"/>
  <c r="Y121" i="1"/>
  <c r="Z121" i="1" s="1"/>
  <c r="X121" i="1"/>
  <c r="W121" i="1"/>
  <c r="V121" i="1"/>
  <c r="U121" i="1"/>
  <c r="R121" i="1"/>
  <c r="J121" i="1"/>
  <c r="Y120" i="1"/>
  <c r="Z120" i="1" s="1"/>
  <c r="X120" i="1"/>
  <c r="W120" i="1"/>
  <c r="V120" i="1"/>
  <c r="U120" i="1"/>
  <c r="R120" i="1"/>
  <c r="J120" i="1"/>
  <c r="Y119" i="1"/>
  <c r="Z119" i="1" s="1"/>
  <c r="X119" i="1"/>
  <c r="W119" i="1"/>
  <c r="V119" i="1"/>
  <c r="U119" i="1"/>
  <c r="R119" i="1"/>
  <c r="J119" i="1"/>
  <c r="Y118" i="1"/>
  <c r="Z118" i="1" s="1"/>
  <c r="X118" i="1"/>
  <c r="W118" i="1"/>
  <c r="V118" i="1"/>
  <c r="U118" i="1"/>
  <c r="R118" i="1"/>
  <c r="J118" i="1"/>
  <c r="Y117" i="1"/>
  <c r="Z117" i="1" s="1"/>
  <c r="X117" i="1"/>
  <c r="W117" i="1"/>
  <c r="V117" i="1"/>
  <c r="U117" i="1"/>
  <c r="R117" i="1"/>
  <c r="J117" i="1"/>
  <c r="X116" i="1"/>
  <c r="Y116" i="1" s="1"/>
  <c r="Z116" i="1" s="1"/>
  <c r="W116" i="1"/>
  <c r="V116" i="1"/>
  <c r="U116" i="1"/>
  <c r="R116" i="1"/>
  <c r="J116" i="1"/>
  <c r="X115" i="1"/>
  <c r="Y115" i="1" s="1"/>
  <c r="Z115" i="1" s="1"/>
  <c r="W115" i="1"/>
  <c r="V115" i="1"/>
  <c r="U115" i="1"/>
  <c r="R115" i="1"/>
  <c r="J115" i="1"/>
  <c r="X114" i="1"/>
  <c r="Y114" i="1" s="1"/>
  <c r="Z114" i="1" s="1"/>
  <c r="W114" i="1"/>
  <c r="V114" i="1"/>
  <c r="U114" i="1"/>
  <c r="R114" i="1"/>
  <c r="J114" i="1"/>
  <c r="X113" i="1"/>
  <c r="Y113" i="1" s="1"/>
  <c r="Z113" i="1" s="1"/>
  <c r="W113" i="1"/>
  <c r="V113" i="1"/>
  <c r="U113" i="1"/>
  <c r="R113" i="1"/>
  <c r="J113" i="1"/>
  <c r="X112" i="1"/>
  <c r="Y112" i="1" s="1"/>
  <c r="Z112" i="1" s="1"/>
  <c r="W112" i="1"/>
  <c r="V112" i="1"/>
  <c r="U112" i="1"/>
  <c r="R112" i="1"/>
  <c r="J112" i="1"/>
  <c r="X111" i="1"/>
  <c r="Y111" i="1" s="1"/>
  <c r="Z111" i="1" s="1"/>
  <c r="W111" i="1"/>
  <c r="V111" i="1"/>
  <c r="U111" i="1"/>
  <c r="R111" i="1"/>
  <c r="J111" i="1"/>
  <c r="Y110" i="1"/>
  <c r="Z110" i="1" s="1"/>
  <c r="X110" i="1"/>
  <c r="W110" i="1"/>
  <c r="V110" i="1"/>
  <c r="U110" i="1"/>
  <c r="R110" i="1"/>
  <c r="J110" i="1"/>
  <c r="Y109" i="1"/>
  <c r="Z109" i="1" s="1"/>
  <c r="X109" i="1"/>
  <c r="W109" i="1"/>
  <c r="V109" i="1"/>
  <c r="U109" i="1"/>
  <c r="R109" i="1"/>
  <c r="J109" i="1"/>
  <c r="X108" i="1"/>
  <c r="Y108" i="1" s="1"/>
  <c r="Z108" i="1" s="1"/>
  <c r="W108" i="1"/>
  <c r="V108" i="1"/>
  <c r="U108" i="1"/>
  <c r="R108" i="1"/>
  <c r="J108" i="1"/>
  <c r="Y107" i="1"/>
  <c r="Z107" i="1" s="1"/>
  <c r="X107" i="1"/>
  <c r="W107" i="1"/>
  <c r="V107" i="1"/>
  <c r="U107" i="1"/>
  <c r="R107" i="1"/>
  <c r="J107" i="1"/>
  <c r="X106" i="1"/>
  <c r="Y106" i="1" s="1"/>
  <c r="Z106" i="1" s="1"/>
  <c r="W106" i="1"/>
  <c r="V106" i="1"/>
  <c r="U106" i="1"/>
  <c r="R106" i="1"/>
  <c r="J106" i="1"/>
  <c r="X105" i="1"/>
  <c r="Y105" i="1" s="1"/>
  <c r="Z105" i="1" s="1"/>
  <c r="W105" i="1"/>
  <c r="V105" i="1"/>
  <c r="U105" i="1"/>
  <c r="R105" i="1"/>
  <c r="J105" i="1"/>
  <c r="X104" i="1"/>
  <c r="Y104" i="1" s="1"/>
  <c r="Z104" i="1" s="1"/>
  <c r="W104" i="1"/>
  <c r="V104" i="1"/>
  <c r="U104" i="1"/>
  <c r="R104" i="1"/>
  <c r="J104" i="1"/>
  <c r="X103" i="1"/>
  <c r="Y103" i="1" s="1"/>
  <c r="Z103" i="1" s="1"/>
  <c r="W103" i="1"/>
  <c r="V103" i="1"/>
  <c r="U103" i="1"/>
  <c r="R103" i="1"/>
  <c r="J103" i="1"/>
  <c r="Y102" i="1"/>
  <c r="Z102" i="1" s="1"/>
  <c r="X102" i="1"/>
  <c r="W102" i="1"/>
  <c r="V102" i="1"/>
  <c r="U102" i="1"/>
  <c r="R102" i="1"/>
  <c r="J102" i="1"/>
  <c r="Y101" i="1"/>
  <c r="Z101" i="1" s="1"/>
  <c r="X101" i="1"/>
  <c r="W101" i="1"/>
  <c r="V101" i="1"/>
  <c r="U101" i="1"/>
  <c r="R101" i="1"/>
  <c r="J101" i="1"/>
  <c r="X100" i="1"/>
  <c r="Y100" i="1" s="1"/>
  <c r="Z100" i="1" s="1"/>
  <c r="W100" i="1"/>
  <c r="V100" i="1"/>
  <c r="U100" i="1"/>
  <c r="R100" i="1"/>
  <c r="J100" i="1"/>
  <c r="Y99" i="1"/>
  <c r="Z99" i="1" s="1"/>
  <c r="X99" i="1"/>
  <c r="W99" i="1"/>
  <c r="V99" i="1"/>
  <c r="U99" i="1"/>
  <c r="R99" i="1"/>
  <c r="J99" i="1"/>
  <c r="X98" i="1"/>
  <c r="Y98" i="1" s="1"/>
  <c r="Z98" i="1" s="1"/>
  <c r="W98" i="1"/>
  <c r="V98" i="1"/>
  <c r="U98" i="1"/>
  <c r="R98" i="1"/>
  <c r="J98" i="1"/>
  <c r="X97" i="1"/>
  <c r="Y97" i="1" s="1"/>
  <c r="Z97" i="1" s="1"/>
  <c r="W97" i="1"/>
  <c r="V97" i="1"/>
  <c r="U97" i="1"/>
  <c r="R97" i="1"/>
  <c r="J97" i="1"/>
  <c r="X96" i="1"/>
  <c r="Y96" i="1" s="1"/>
  <c r="Z96" i="1" s="1"/>
  <c r="W96" i="1"/>
  <c r="V96" i="1"/>
  <c r="U96" i="1"/>
  <c r="R96" i="1"/>
  <c r="J96" i="1"/>
  <c r="X95" i="1"/>
  <c r="Y95" i="1" s="1"/>
  <c r="Z95" i="1" s="1"/>
  <c r="W95" i="1"/>
  <c r="V95" i="1"/>
  <c r="U95" i="1"/>
  <c r="R95" i="1"/>
  <c r="J95" i="1"/>
  <c r="X94" i="1"/>
  <c r="Y94" i="1" s="1"/>
  <c r="Z94" i="1" s="1"/>
  <c r="W94" i="1"/>
  <c r="V94" i="1"/>
  <c r="U94" i="1"/>
  <c r="R94" i="1"/>
  <c r="J94" i="1"/>
  <c r="X93" i="1"/>
  <c r="Y93" i="1" s="1"/>
  <c r="Z93" i="1" s="1"/>
  <c r="W93" i="1"/>
  <c r="V93" i="1"/>
  <c r="U93" i="1"/>
  <c r="R93" i="1"/>
  <c r="J93" i="1"/>
  <c r="X92" i="1"/>
  <c r="Y92" i="1" s="1"/>
  <c r="Z92" i="1" s="1"/>
  <c r="W92" i="1"/>
  <c r="V92" i="1"/>
  <c r="U92" i="1"/>
  <c r="R92" i="1"/>
  <c r="J92" i="1"/>
  <c r="X91" i="1"/>
  <c r="Y91" i="1" s="1"/>
  <c r="Z91" i="1" s="1"/>
  <c r="W91" i="1"/>
  <c r="V91" i="1"/>
  <c r="U91" i="1"/>
  <c r="R91" i="1"/>
  <c r="J91" i="1"/>
  <c r="X90" i="1"/>
  <c r="Y90" i="1" s="1"/>
  <c r="Z90" i="1" s="1"/>
  <c r="W90" i="1"/>
  <c r="V90" i="1"/>
  <c r="U90" i="1"/>
  <c r="R90" i="1"/>
  <c r="J90" i="1"/>
  <c r="X89" i="1"/>
  <c r="Y89" i="1" s="1"/>
  <c r="Z89" i="1" s="1"/>
  <c r="W89" i="1"/>
  <c r="V89" i="1"/>
  <c r="U89" i="1"/>
  <c r="R89" i="1"/>
  <c r="J89" i="1"/>
  <c r="X88" i="1"/>
  <c r="Y88" i="1" s="1"/>
  <c r="Z88" i="1" s="1"/>
  <c r="W88" i="1"/>
  <c r="V88" i="1"/>
  <c r="U88" i="1"/>
  <c r="R88" i="1"/>
  <c r="J88" i="1"/>
  <c r="X87" i="1"/>
  <c r="Y87" i="1" s="1"/>
  <c r="Z87" i="1" s="1"/>
  <c r="W87" i="1"/>
  <c r="V87" i="1"/>
  <c r="U87" i="1"/>
  <c r="R87" i="1"/>
  <c r="J87" i="1"/>
  <c r="X86" i="1"/>
  <c r="Y86" i="1" s="1"/>
  <c r="Z86" i="1" s="1"/>
  <c r="W86" i="1"/>
  <c r="V86" i="1"/>
  <c r="U86" i="1"/>
  <c r="R86" i="1"/>
  <c r="J86" i="1"/>
  <c r="X85" i="1"/>
  <c r="Y85" i="1" s="1"/>
  <c r="Z85" i="1" s="1"/>
  <c r="W85" i="1"/>
  <c r="V85" i="1"/>
  <c r="U85" i="1"/>
  <c r="R85" i="1"/>
  <c r="J85" i="1"/>
  <c r="X84" i="1"/>
  <c r="Y84" i="1" s="1"/>
  <c r="Z84" i="1" s="1"/>
  <c r="W84" i="1"/>
  <c r="V84" i="1"/>
  <c r="U84" i="1"/>
  <c r="R84" i="1"/>
  <c r="J84" i="1"/>
  <c r="X83" i="1"/>
  <c r="Y83" i="1" s="1"/>
  <c r="Z83" i="1" s="1"/>
  <c r="W83" i="1"/>
  <c r="V83" i="1"/>
  <c r="U83" i="1"/>
  <c r="R83" i="1"/>
  <c r="J83" i="1"/>
  <c r="X82" i="1"/>
  <c r="Y82" i="1" s="1"/>
  <c r="Z82" i="1" s="1"/>
  <c r="W82" i="1"/>
  <c r="V82" i="1"/>
  <c r="U82" i="1"/>
  <c r="R82" i="1"/>
  <c r="J82" i="1"/>
  <c r="X81" i="1"/>
  <c r="Y81" i="1" s="1"/>
  <c r="Z81" i="1" s="1"/>
  <c r="W81" i="1"/>
  <c r="V81" i="1"/>
  <c r="U81" i="1"/>
  <c r="R81" i="1"/>
  <c r="J81" i="1"/>
  <c r="X80" i="1"/>
  <c r="Y80" i="1" s="1"/>
  <c r="Z80" i="1" s="1"/>
  <c r="W80" i="1"/>
  <c r="V80" i="1"/>
  <c r="U80" i="1"/>
  <c r="R80" i="1"/>
  <c r="J80" i="1"/>
  <c r="X79" i="1"/>
  <c r="Y79" i="1" s="1"/>
  <c r="Z79" i="1" s="1"/>
  <c r="W79" i="1"/>
  <c r="V79" i="1"/>
  <c r="U79" i="1"/>
  <c r="R79" i="1"/>
  <c r="J79" i="1"/>
  <c r="X78" i="1"/>
  <c r="Y78" i="1" s="1"/>
  <c r="Z78" i="1" s="1"/>
  <c r="W78" i="1"/>
  <c r="V78" i="1"/>
  <c r="U78" i="1"/>
  <c r="R78" i="1"/>
  <c r="J78" i="1"/>
  <c r="W77" i="1"/>
  <c r="V77" i="1"/>
  <c r="R77" i="1"/>
  <c r="J77" i="1"/>
  <c r="W76" i="1"/>
  <c r="V76" i="1"/>
  <c r="X76" i="1" s="1"/>
  <c r="Y76" i="1" s="1"/>
  <c r="Z76" i="1" s="1"/>
  <c r="R76" i="1"/>
  <c r="J76" i="1"/>
  <c r="W75" i="1"/>
  <c r="V75" i="1"/>
  <c r="R75" i="1"/>
  <c r="J75" i="1"/>
  <c r="W74" i="1"/>
  <c r="V74" i="1"/>
  <c r="X74" i="1" s="1"/>
  <c r="Y74" i="1" s="1"/>
  <c r="Z74" i="1" s="1"/>
  <c r="R74" i="1"/>
  <c r="J74" i="1"/>
  <c r="W73" i="1"/>
  <c r="V73" i="1"/>
  <c r="R73" i="1"/>
  <c r="J73" i="1"/>
  <c r="W72" i="1"/>
  <c r="V72" i="1"/>
  <c r="X72" i="1" s="1"/>
  <c r="Y72" i="1" s="1"/>
  <c r="Z72" i="1" s="1"/>
  <c r="R72" i="1"/>
  <c r="J72" i="1"/>
  <c r="W71" i="1"/>
  <c r="X71" i="1" s="1"/>
  <c r="Y71" i="1" s="1"/>
  <c r="Z71" i="1" s="1"/>
  <c r="V71" i="1"/>
  <c r="R71" i="1"/>
  <c r="J71" i="1"/>
  <c r="W70" i="1"/>
  <c r="V70" i="1"/>
  <c r="X70" i="1" s="1"/>
  <c r="Y70" i="1" s="1"/>
  <c r="Z70" i="1" s="1"/>
  <c r="R70" i="1"/>
  <c r="J70" i="1"/>
  <c r="X69" i="1"/>
  <c r="Y69" i="1" s="1"/>
  <c r="Z69" i="1" s="1"/>
  <c r="W69" i="1"/>
  <c r="V69" i="1"/>
  <c r="R69" i="1"/>
  <c r="J69" i="1"/>
  <c r="W68" i="1"/>
  <c r="V68" i="1"/>
  <c r="X68" i="1" s="1"/>
  <c r="Y68" i="1" s="1"/>
  <c r="Z68" i="1" s="1"/>
  <c r="R68" i="1"/>
  <c r="J68" i="1"/>
  <c r="W67" i="1"/>
  <c r="V67" i="1"/>
  <c r="X67" i="1" s="1"/>
  <c r="Y67" i="1" s="1"/>
  <c r="Z67" i="1" s="1"/>
  <c r="R67" i="1"/>
  <c r="J67" i="1"/>
  <c r="W66" i="1"/>
  <c r="V66" i="1"/>
  <c r="X66" i="1" s="1"/>
  <c r="Y66" i="1" s="1"/>
  <c r="Z66" i="1" s="1"/>
  <c r="R66" i="1"/>
  <c r="J66" i="1"/>
  <c r="W65" i="1"/>
  <c r="V65" i="1"/>
  <c r="X65" i="1" s="1"/>
  <c r="Y65" i="1" s="1"/>
  <c r="Z65" i="1" s="1"/>
  <c r="R65" i="1"/>
  <c r="J65" i="1"/>
  <c r="W64" i="1"/>
  <c r="V64" i="1"/>
  <c r="X64" i="1" s="1"/>
  <c r="Y64" i="1" s="1"/>
  <c r="Z64" i="1" s="1"/>
  <c r="R64" i="1"/>
  <c r="J64" i="1"/>
  <c r="W63" i="1"/>
  <c r="V63" i="1"/>
  <c r="X63" i="1" s="1"/>
  <c r="Y63" i="1" s="1"/>
  <c r="Z63" i="1" s="1"/>
  <c r="R63" i="1"/>
  <c r="J63" i="1"/>
  <c r="W62" i="1"/>
  <c r="V62" i="1"/>
  <c r="X62" i="1" s="1"/>
  <c r="Y62" i="1" s="1"/>
  <c r="Z62" i="1" s="1"/>
  <c r="R62" i="1"/>
  <c r="J62" i="1"/>
  <c r="W61" i="1"/>
  <c r="V61" i="1"/>
  <c r="X61" i="1" s="1"/>
  <c r="Y61" i="1" s="1"/>
  <c r="Z61" i="1" s="1"/>
  <c r="R61" i="1"/>
  <c r="J61" i="1"/>
  <c r="W60" i="1"/>
  <c r="V60" i="1"/>
  <c r="R60" i="1"/>
  <c r="J60" i="1"/>
  <c r="W59" i="1"/>
  <c r="V59" i="1"/>
  <c r="X59" i="1" s="1"/>
  <c r="Y59" i="1" s="1"/>
  <c r="Z59" i="1" s="1"/>
  <c r="R59" i="1"/>
  <c r="J59" i="1"/>
  <c r="W58" i="1"/>
  <c r="V58" i="1"/>
  <c r="R58" i="1"/>
  <c r="J58" i="1"/>
  <c r="W57" i="1"/>
  <c r="V57" i="1"/>
  <c r="X57" i="1" s="1"/>
  <c r="Y57" i="1" s="1"/>
  <c r="Z57" i="1" s="1"/>
  <c r="R57" i="1"/>
  <c r="J57" i="1"/>
  <c r="W56" i="1"/>
  <c r="V56" i="1"/>
  <c r="R56" i="1"/>
  <c r="J56" i="1"/>
  <c r="W55" i="1"/>
  <c r="V55" i="1"/>
  <c r="R55" i="1"/>
  <c r="J55" i="1"/>
  <c r="W54" i="1"/>
  <c r="V54" i="1"/>
  <c r="R54" i="1"/>
  <c r="J54" i="1"/>
  <c r="W53" i="1"/>
  <c r="V53" i="1"/>
  <c r="X53" i="1" s="1"/>
  <c r="Y53" i="1" s="1"/>
  <c r="Z53" i="1" s="1"/>
  <c r="R53" i="1"/>
  <c r="J53" i="1"/>
  <c r="W52" i="1"/>
  <c r="V52" i="1"/>
  <c r="R52" i="1"/>
  <c r="J52" i="1"/>
  <c r="W51" i="1"/>
  <c r="V51" i="1"/>
  <c r="X51" i="1" s="1"/>
  <c r="Y51" i="1" s="1"/>
  <c r="Z51" i="1" s="1"/>
  <c r="R51" i="1"/>
  <c r="J51" i="1"/>
  <c r="W50" i="1"/>
  <c r="V50" i="1"/>
  <c r="R50" i="1"/>
  <c r="J50" i="1"/>
  <c r="W49" i="1"/>
  <c r="V49" i="1"/>
  <c r="X49" i="1" s="1"/>
  <c r="Y49" i="1" s="1"/>
  <c r="Z49" i="1" s="1"/>
  <c r="R49" i="1"/>
  <c r="J49" i="1"/>
  <c r="W48" i="1"/>
  <c r="V48" i="1"/>
  <c r="X48" i="1" s="1"/>
  <c r="Y48" i="1" s="1"/>
  <c r="Z48" i="1" s="1"/>
  <c r="R48" i="1"/>
  <c r="J48" i="1"/>
  <c r="W47" i="1"/>
  <c r="V47" i="1"/>
  <c r="X47" i="1" s="1"/>
  <c r="Y47" i="1" s="1"/>
  <c r="Z47" i="1" s="1"/>
  <c r="R47" i="1"/>
  <c r="J47" i="1"/>
  <c r="W46" i="1"/>
  <c r="V46" i="1"/>
  <c r="X46" i="1" s="1"/>
  <c r="Y46" i="1" s="1"/>
  <c r="Z46" i="1" s="1"/>
  <c r="R46" i="1"/>
  <c r="J46" i="1"/>
  <c r="W45" i="1"/>
  <c r="X45" i="1" s="1"/>
  <c r="Y45" i="1" s="1"/>
  <c r="Z45" i="1" s="1"/>
  <c r="V45" i="1"/>
  <c r="R45" i="1"/>
  <c r="J45" i="1"/>
  <c r="W44" i="1"/>
  <c r="V44" i="1"/>
  <c r="R44" i="1"/>
  <c r="J44" i="1"/>
  <c r="W43" i="1"/>
  <c r="V43" i="1"/>
  <c r="R43" i="1"/>
  <c r="J43" i="1"/>
  <c r="W42" i="1"/>
  <c r="V42" i="1"/>
  <c r="X42" i="1" s="1"/>
  <c r="Y42" i="1" s="1"/>
  <c r="Z42" i="1" s="1"/>
  <c r="R42" i="1"/>
  <c r="J42" i="1"/>
  <c r="W41" i="1"/>
  <c r="V41" i="1"/>
  <c r="R41" i="1"/>
  <c r="J41" i="1"/>
  <c r="W40" i="1"/>
  <c r="V40" i="1"/>
  <c r="X40" i="1" s="1"/>
  <c r="Y40" i="1" s="1"/>
  <c r="Z40" i="1" s="1"/>
  <c r="R40" i="1"/>
  <c r="J40" i="1"/>
  <c r="W39" i="1"/>
  <c r="V39" i="1"/>
  <c r="R39" i="1"/>
  <c r="J39" i="1"/>
  <c r="W38" i="1"/>
  <c r="X38" i="1" s="1"/>
  <c r="Y38" i="1" s="1"/>
  <c r="Z38" i="1" s="1"/>
  <c r="V38" i="1"/>
  <c r="R38" i="1"/>
  <c r="J38" i="1"/>
  <c r="W37" i="1"/>
  <c r="V37" i="1"/>
  <c r="R37" i="1"/>
  <c r="J37" i="1"/>
  <c r="W36" i="1"/>
  <c r="V36" i="1"/>
  <c r="X36" i="1" s="1"/>
  <c r="Y36" i="1" s="1"/>
  <c r="Z36" i="1" s="1"/>
  <c r="R36" i="1"/>
  <c r="J36" i="1"/>
  <c r="W35" i="1"/>
  <c r="V35" i="1"/>
  <c r="R35" i="1"/>
  <c r="J35" i="1"/>
  <c r="W34" i="1"/>
  <c r="X34" i="1" s="1"/>
  <c r="Y34" i="1" s="1"/>
  <c r="Z34" i="1" s="1"/>
  <c r="V34" i="1"/>
  <c r="R34" i="1"/>
  <c r="J34" i="1"/>
  <c r="W33" i="1"/>
  <c r="V33" i="1"/>
  <c r="R33" i="1"/>
  <c r="J33" i="1"/>
  <c r="W32" i="1"/>
  <c r="V32" i="1"/>
  <c r="X32" i="1" s="1"/>
  <c r="Y32" i="1" s="1"/>
  <c r="Z32" i="1" s="1"/>
  <c r="R32" i="1"/>
  <c r="J32" i="1"/>
  <c r="W31" i="1"/>
  <c r="V31" i="1"/>
  <c r="R31" i="1"/>
  <c r="J31" i="1"/>
  <c r="W30" i="1"/>
  <c r="V30" i="1"/>
  <c r="X30" i="1" s="1"/>
  <c r="Y30" i="1" s="1"/>
  <c r="Z30" i="1" s="1"/>
  <c r="R30" i="1"/>
  <c r="J30" i="1"/>
  <c r="X29" i="1"/>
  <c r="Y29" i="1" s="1"/>
  <c r="Z29" i="1" s="1"/>
  <c r="W29" i="1"/>
  <c r="V29" i="1"/>
  <c r="R29" i="1"/>
  <c r="J29" i="1"/>
  <c r="W28" i="1"/>
  <c r="V28" i="1"/>
  <c r="X28" i="1" s="1"/>
  <c r="Y28" i="1" s="1"/>
  <c r="Z28" i="1" s="1"/>
  <c r="R28" i="1"/>
  <c r="J28" i="1"/>
  <c r="W27" i="1"/>
  <c r="V27" i="1"/>
  <c r="X27" i="1" s="1"/>
  <c r="Y27" i="1" s="1"/>
  <c r="Z27" i="1" s="1"/>
  <c r="R27" i="1"/>
  <c r="J27" i="1"/>
  <c r="W26" i="1"/>
  <c r="V26" i="1"/>
  <c r="X26" i="1" s="1"/>
  <c r="Y26" i="1" s="1"/>
  <c r="Z26" i="1" s="1"/>
  <c r="R26" i="1"/>
  <c r="J26" i="1"/>
  <c r="W25" i="1"/>
  <c r="V25" i="1"/>
  <c r="X25" i="1" s="1"/>
  <c r="Y25" i="1" s="1"/>
  <c r="Z25" i="1" s="1"/>
  <c r="R25" i="1"/>
  <c r="J25" i="1"/>
  <c r="W24" i="1"/>
  <c r="V24" i="1"/>
  <c r="X24" i="1" s="1"/>
  <c r="Y24" i="1" s="1"/>
  <c r="Z24" i="1" s="1"/>
  <c r="R24" i="1"/>
  <c r="J24" i="1"/>
  <c r="W23" i="1"/>
  <c r="V23" i="1"/>
  <c r="X23" i="1" s="1"/>
  <c r="Y23" i="1" s="1"/>
  <c r="Z23" i="1" s="1"/>
  <c r="R23" i="1"/>
  <c r="J23" i="1"/>
  <c r="W22" i="1"/>
  <c r="X22" i="1" s="1"/>
  <c r="Y22" i="1" s="1"/>
  <c r="Z22" i="1" s="1"/>
  <c r="V22" i="1"/>
  <c r="R22" i="1"/>
  <c r="J22" i="1"/>
  <c r="W21" i="1"/>
  <c r="V21" i="1"/>
  <c r="X21" i="1" s="1"/>
  <c r="Y21" i="1" s="1"/>
  <c r="Z21" i="1" s="1"/>
  <c r="R21" i="1"/>
  <c r="J21" i="1"/>
  <c r="W20" i="1"/>
  <c r="V20" i="1"/>
  <c r="X20" i="1" s="1"/>
  <c r="Y20" i="1" s="1"/>
  <c r="Z20" i="1" s="1"/>
  <c r="R20" i="1"/>
  <c r="J20" i="1"/>
  <c r="W19" i="1"/>
  <c r="V19" i="1"/>
  <c r="X19" i="1" s="1"/>
  <c r="Y19" i="1" s="1"/>
  <c r="Z19" i="1" s="1"/>
  <c r="R19" i="1"/>
  <c r="J19" i="1"/>
  <c r="W18" i="1"/>
  <c r="X18" i="1" s="1"/>
  <c r="Y18" i="1" s="1"/>
  <c r="Z18" i="1" s="1"/>
  <c r="V18" i="1"/>
  <c r="R18" i="1"/>
  <c r="J18" i="1"/>
  <c r="W17" i="1"/>
  <c r="V17" i="1"/>
  <c r="X17" i="1" s="1"/>
  <c r="Y17" i="1" s="1"/>
  <c r="Z17" i="1" s="1"/>
  <c r="R17" i="1"/>
  <c r="J17" i="1"/>
  <c r="W16" i="1"/>
  <c r="V16" i="1"/>
  <c r="R16" i="1"/>
  <c r="J16" i="1"/>
  <c r="Y15" i="1"/>
  <c r="Z15" i="1" s="1"/>
  <c r="X15" i="1"/>
  <c r="W15" i="1"/>
  <c r="V15" i="1"/>
  <c r="U15" i="1"/>
  <c r="R15" i="1"/>
  <c r="J15" i="1"/>
  <c r="X14" i="1"/>
  <c r="Y14" i="1" s="1"/>
  <c r="Z14" i="1" s="1"/>
  <c r="W14" i="1"/>
  <c r="V14" i="1"/>
  <c r="R14" i="1"/>
  <c r="U14" i="1" s="1"/>
  <c r="J14" i="1"/>
  <c r="X13" i="1"/>
  <c r="W13" i="1"/>
  <c r="V13" i="1"/>
  <c r="R13" i="1"/>
  <c r="U13" i="1" s="1"/>
  <c r="J13" i="1"/>
  <c r="W12" i="1"/>
  <c r="Y12" i="1" s="1"/>
  <c r="Z12" i="1" s="1"/>
  <c r="V12" i="1"/>
  <c r="X12" i="1" s="1"/>
  <c r="R12" i="1"/>
  <c r="U12" i="1" s="1"/>
  <c r="J12" i="1"/>
  <c r="W11" i="1"/>
  <c r="V11" i="1"/>
  <c r="X11" i="1" s="1"/>
  <c r="R11" i="1"/>
  <c r="U11" i="1" s="1"/>
  <c r="J11" i="1"/>
  <c r="W10" i="1"/>
  <c r="V10" i="1"/>
  <c r="R10" i="1"/>
  <c r="U10" i="1" s="1"/>
  <c r="J10" i="1"/>
  <c r="X9" i="1"/>
  <c r="Y9" i="1" s="1"/>
  <c r="Z9" i="1" s="1"/>
  <c r="W9" i="1"/>
  <c r="V9" i="1"/>
  <c r="R9" i="1"/>
  <c r="U9" i="1" s="1"/>
  <c r="J9" i="1"/>
  <c r="W8" i="1"/>
  <c r="X8" i="1" s="1"/>
  <c r="V8" i="1"/>
  <c r="R8" i="1"/>
  <c r="U8" i="1" s="1"/>
  <c r="J8" i="1"/>
  <c r="W7" i="1"/>
  <c r="Y7" i="1" s="1"/>
  <c r="Z7" i="1" s="1"/>
  <c r="V7" i="1"/>
  <c r="X7" i="1" s="1"/>
  <c r="R7" i="1"/>
  <c r="U7" i="1" s="1"/>
  <c r="J7" i="1"/>
  <c r="W6" i="1"/>
  <c r="V6" i="1"/>
  <c r="X6" i="1" s="1"/>
  <c r="R6" i="1"/>
  <c r="U6" i="1" s="1"/>
  <c r="J6" i="1"/>
  <c r="W5" i="1"/>
  <c r="Y5" i="1" s="1"/>
  <c r="Z5" i="1" s="1"/>
  <c r="V5" i="1"/>
  <c r="X5" i="1" s="1"/>
  <c r="R5" i="1"/>
  <c r="U5" i="1" s="1"/>
  <c r="J5" i="1"/>
  <c r="W4" i="1"/>
  <c r="V4" i="1"/>
  <c r="X4" i="1" s="1"/>
  <c r="R4" i="1"/>
  <c r="J4" i="1"/>
  <c r="X73" i="1" l="1"/>
  <c r="Y73" i="1" s="1"/>
  <c r="Z73" i="1" s="1"/>
  <c r="X75" i="1"/>
  <c r="Y75" i="1" s="1"/>
  <c r="Z75" i="1" s="1"/>
  <c r="X31" i="1"/>
  <c r="Y31" i="1" s="1"/>
  <c r="Z31" i="1" s="1"/>
  <c r="X33" i="1"/>
  <c r="Y33" i="1" s="1"/>
  <c r="Z33" i="1" s="1"/>
  <c r="X35" i="1"/>
  <c r="Y35" i="1" s="1"/>
  <c r="Z35" i="1" s="1"/>
  <c r="X37" i="1"/>
  <c r="Y37" i="1" s="1"/>
  <c r="Z37" i="1" s="1"/>
  <c r="X39" i="1"/>
  <c r="Y39" i="1" s="1"/>
  <c r="Z39" i="1" s="1"/>
  <c r="X41" i="1"/>
  <c r="Y41" i="1" s="1"/>
  <c r="Z41" i="1" s="1"/>
  <c r="X43" i="1"/>
  <c r="Y43" i="1" s="1"/>
  <c r="Z43" i="1" s="1"/>
  <c r="X16" i="1"/>
  <c r="Y16" i="1" s="1"/>
  <c r="Z16" i="1" s="1"/>
  <c r="X58" i="1"/>
  <c r="Y58" i="1" s="1"/>
  <c r="Z58" i="1" s="1"/>
  <c r="X60" i="1"/>
  <c r="Y60" i="1" s="1"/>
  <c r="Z60" i="1" s="1"/>
  <c r="X77" i="1"/>
  <c r="Y77" i="1" s="1"/>
  <c r="Z77" i="1" s="1"/>
  <c r="X44" i="1"/>
  <c r="Y44" i="1" s="1"/>
  <c r="Z44" i="1" s="1"/>
  <c r="X55" i="1"/>
  <c r="Y55" i="1" s="1"/>
  <c r="Z55" i="1" s="1"/>
  <c r="X50" i="1"/>
  <c r="Y50" i="1" s="1"/>
  <c r="Z50" i="1" s="1"/>
  <c r="X52" i="1"/>
  <c r="Y52" i="1" s="1"/>
  <c r="Z52" i="1" s="1"/>
  <c r="X54" i="1"/>
  <c r="Y54" i="1" s="1"/>
  <c r="Z54" i="1" s="1"/>
  <c r="X56" i="1"/>
  <c r="Y56" i="1" s="1"/>
  <c r="Z56" i="1" s="1"/>
  <c r="Y6" i="1"/>
  <c r="Z6" i="1" s="1"/>
  <c r="Y4" i="1"/>
  <c r="Z4" i="1" s="1"/>
  <c r="Y8" i="1"/>
  <c r="Z8" i="1" s="1"/>
  <c r="Y11" i="1"/>
  <c r="Z11" i="1" s="1"/>
  <c r="X10" i="1"/>
  <c r="Y10" i="1" s="1"/>
  <c r="Z10" i="1" s="1"/>
  <c r="Y13" i="1"/>
  <c r="Z13" i="1" s="1"/>
  <c r="Y359" i="1"/>
  <c r="Z359" i="1" s="1"/>
  <c r="Y361" i="1"/>
  <c r="Z361" i="1" s="1"/>
  <c r="Y394" i="1"/>
  <c r="Z394" i="1" s="1"/>
  <c r="Y409" i="1"/>
  <c r="Z409" i="1" s="1"/>
  <c r="Y375" i="1"/>
  <c r="Z375" i="1" s="1"/>
  <c r="Y350" i="1"/>
  <c r="Z350" i="1" s="1"/>
  <c r="Y360" i="1"/>
  <c r="Z360" i="1" s="1"/>
  <c r="Y362" i="1"/>
  <c r="Z362" i="1" s="1"/>
  <c r="Y410" i="1"/>
  <c r="Z410" i="1" s="1"/>
  <c r="Y305" i="1"/>
  <c r="Z305" i="1" s="1"/>
  <c r="Y313" i="1"/>
  <c r="Z313" i="1" s="1"/>
  <c r="Y321" i="1"/>
  <c r="Z321" i="1" s="1"/>
  <c r="Y329" i="1"/>
  <c r="Z329" i="1" s="1"/>
  <c r="Y337" i="1"/>
  <c r="Z337" i="1" s="1"/>
  <c r="Y345" i="1"/>
  <c r="Z345" i="1" s="1"/>
  <c r="Y392" i="1"/>
  <c r="Z392" i="1" s="1"/>
  <c r="X397" i="1"/>
  <c r="Y397" i="1" s="1"/>
  <c r="Z397" i="1" s="1"/>
  <c r="Y445" i="1"/>
  <c r="Z445" i="1" s="1"/>
  <c r="Y312" i="1"/>
  <c r="Z312" i="1" s="1"/>
  <c r="Y320" i="1"/>
  <c r="Z320" i="1" s="1"/>
  <c r="Y328" i="1"/>
  <c r="Z328" i="1" s="1"/>
  <c r="Y336" i="1"/>
  <c r="Z336" i="1" s="1"/>
  <c r="Y344" i="1"/>
  <c r="Z344" i="1" s="1"/>
  <c r="Y357" i="1"/>
  <c r="Z357" i="1" s="1"/>
  <c r="Y384" i="1"/>
  <c r="Z384" i="1" s="1"/>
  <c r="X389" i="1"/>
  <c r="Y389" i="1" s="1"/>
  <c r="Z389" i="1" s="1"/>
  <c r="X422" i="1"/>
  <c r="Y422" i="1" s="1"/>
  <c r="Z422" i="1" s="1"/>
  <c r="Y311" i="1"/>
  <c r="Z311" i="1" s="1"/>
  <c r="Y319" i="1"/>
  <c r="Z319" i="1" s="1"/>
  <c r="Y327" i="1"/>
  <c r="Z327" i="1" s="1"/>
  <c r="Y335" i="1"/>
  <c r="Z335" i="1" s="1"/>
  <c r="Y343" i="1"/>
  <c r="Z343" i="1" s="1"/>
  <c r="Y373" i="1"/>
  <c r="Z373" i="1" s="1"/>
  <c r="X373" i="1"/>
  <c r="X381" i="1"/>
  <c r="Y381" i="1" s="1"/>
  <c r="Z381" i="1" s="1"/>
  <c r="X384" i="1"/>
  <c r="Y407" i="1"/>
  <c r="Z407" i="1" s="1"/>
  <c r="Y433" i="1"/>
  <c r="Z433" i="1" s="1"/>
  <c r="Y310" i="1"/>
  <c r="Z310" i="1" s="1"/>
  <c r="Y318" i="1"/>
  <c r="Z318" i="1" s="1"/>
  <c r="Y326" i="1"/>
  <c r="Z326" i="1" s="1"/>
  <c r="Y334" i="1"/>
  <c r="Z334" i="1" s="1"/>
  <c r="Y342" i="1"/>
  <c r="Z342" i="1" s="1"/>
  <c r="X362" i="1"/>
  <c r="X367" i="1"/>
  <c r="Y367" i="1" s="1"/>
  <c r="Z367" i="1" s="1"/>
  <c r="X376" i="1"/>
  <c r="Y376" i="1" s="1"/>
  <c r="Z376" i="1" s="1"/>
  <c r="Y399" i="1"/>
  <c r="Z399" i="1" s="1"/>
  <c r="X410" i="1"/>
  <c r="Y430" i="1"/>
  <c r="Z430" i="1" s="1"/>
  <c r="Y470" i="1"/>
  <c r="Z470" i="1" s="1"/>
  <c r="Y309" i="1"/>
  <c r="Z309" i="1" s="1"/>
  <c r="Y317" i="1"/>
  <c r="Z317" i="1" s="1"/>
  <c r="Y325" i="1"/>
  <c r="Z325" i="1" s="1"/>
  <c r="Y333" i="1"/>
  <c r="Z333" i="1" s="1"/>
  <c r="Y341" i="1"/>
  <c r="Z341" i="1" s="1"/>
  <c r="Y349" i="1"/>
  <c r="Z349" i="1" s="1"/>
  <c r="Y391" i="1"/>
  <c r="Z391" i="1" s="1"/>
  <c r="X402" i="1"/>
  <c r="Y402" i="1" s="1"/>
  <c r="Z402" i="1" s="1"/>
  <c r="Y446" i="1"/>
  <c r="Z446" i="1" s="1"/>
  <c r="Y462" i="1"/>
  <c r="Z462" i="1" s="1"/>
  <c r="Y308" i="1"/>
  <c r="Z308" i="1" s="1"/>
  <c r="Y316" i="1"/>
  <c r="Z316" i="1" s="1"/>
  <c r="Y324" i="1"/>
  <c r="Z324" i="1" s="1"/>
  <c r="Y332" i="1"/>
  <c r="Z332" i="1" s="1"/>
  <c r="Y340" i="1"/>
  <c r="Z340" i="1" s="1"/>
  <c r="Y348" i="1"/>
  <c r="Z348" i="1" s="1"/>
  <c r="X366" i="1"/>
  <c r="Y366" i="1" s="1"/>
  <c r="Z366" i="1" s="1"/>
  <c r="X375" i="1"/>
  <c r="Y383" i="1"/>
  <c r="Z383" i="1" s="1"/>
  <c r="X394" i="1"/>
  <c r="X409" i="1"/>
  <c r="Y427" i="1"/>
  <c r="Z427" i="1" s="1"/>
  <c r="Y443" i="1"/>
  <c r="Z443" i="1" s="1"/>
  <c r="Y457" i="1"/>
  <c r="Z457" i="1" s="1"/>
  <c r="Y459" i="1"/>
  <c r="Z459" i="1" s="1"/>
  <c r="Y307" i="1"/>
  <c r="Z307" i="1" s="1"/>
  <c r="Y315" i="1"/>
  <c r="Z315" i="1" s="1"/>
  <c r="Y323" i="1"/>
  <c r="Z323" i="1" s="1"/>
  <c r="Y331" i="1"/>
  <c r="Z331" i="1" s="1"/>
  <c r="Y339" i="1"/>
  <c r="Z339" i="1" s="1"/>
  <c r="Y347" i="1"/>
  <c r="Z347" i="1" s="1"/>
  <c r="Y365" i="1"/>
  <c r="Z365" i="1" s="1"/>
  <c r="X401" i="1"/>
  <c r="Y401" i="1" s="1"/>
  <c r="Z401" i="1" s="1"/>
  <c r="Y408" i="1"/>
  <c r="Z408" i="1" s="1"/>
  <c r="X413" i="1"/>
  <c r="Y413" i="1" s="1"/>
  <c r="Z413" i="1" s="1"/>
  <c r="Y306" i="1"/>
  <c r="Z306" i="1" s="1"/>
  <c r="Y314" i="1"/>
  <c r="Z314" i="1" s="1"/>
  <c r="Y322" i="1"/>
  <c r="Z322" i="1" s="1"/>
  <c r="Y330" i="1"/>
  <c r="Z330" i="1" s="1"/>
  <c r="Y338" i="1"/>
  <c r="Z338" i="1" s="1"/>
  <c r="Y346" i="1"/>
  <c r="Z346" i="1" s="1"/>
  <c r="X365" i="1"/>
  <c r="Y374" i="1"/>
  <c r="Z374" i="1" s="1"/>
  <c r="Y382" i="1"/>
  <c r="Z382" i="1" s="1"/>
  <c r="Y400" i="1"/>
  <c r="Z400" i="1" s="1"/>
  <c r="X405" i="1"/>
  <c r="Y405" i="1" s="1"/>
  <c r="Z405" i="1" s="1"/>
  <c r="X408" i="1"/>
  <c r="Y429" i="1"/>
  <c r="Z429" i="1" s="1"/>
  <c r="X445" i="1"/>
  <c r="Y469" i="1"/>
  <c r="Z469" i="1" s="1"/>
  <c r="Y477" i="1"/>
  <c r="Z477" i="1" s="1"/>
  <c r="Y490" i="1"/>
  <c r="Z490" i="1" s="1"/>
  <c r="Y489" i="1"/>
  <c r="Z489" i="1" s="1"/>
  <c r="Y495" i="1"/>
  <c r="Z495" i="1" s="1"/>
  <c r="Y425" i="1"/>
  <c r="Z425" i="1" s="1"/>
  <c r="Y441" i="1"/>
  <c r="Z441" i="1" s="1"/>
  <c r="Y465" i="1"/>
  <c r="Z465" i="1" s="1"/>
  <c r="X470" i="1"/>
  <c r="Y421" i="1"/>
  <c r="Z421" i="1" s="1"/>
  <c r="Y437" i="1"/>
  <c r="Z437" i="1" s="1"/>
  <c r="Y473" i="1"/>
  <c r="Z473" i="1" s="1"/>
  <c r="Y492" i="1"/>
  <c r="Z492" i="1" s="1"/>
  <c r="X417" i="1"/>
  <c r="Y417" i="1" s="1"/>
  <c r="Z417" i="1" s="1"/>
  <c r="X423" i="1"/>
  <c r="Y423" i="1" s="1"/>
  <c r="Z423" i="1" s="1"/>
  <c r="X426" i="1"/>
  <c r="Y426" i="1" s="1"/>
  <c r="Z426" i="1" s="1"/>
  <c r="X433" i="1"/>
  <c r="X442" i="1"/>
  <c r="Y442" i="1" s="1"/>
  <c r="Z442" i="1" s="1"/>
  <c r="Y461" i="1"/>
  <c r="Z461" i="1" s="1"/>
  <c r="X466" i="1"/>
  <c r="Y466" i="1" s="1"/>
  <c r="Z466" i="1" s="1"/>
  <c r="X439" i="1"/>
  <c r="Y439" i="1" s="1"/>
  <c r="Z439" i="1" s="1"/>
  <c r="X443" i="1"/>
  <c r="X447" i="1"/>
  <c r="Y447" i="1" s="1"/>
  <c r="Z447" i="1" s="1"/>
  <c r="X451" i="1"/>
  <c r="Y451" i="1" s="1"/>
  <c r="Z451" i="1" s="1"/>
  <c r="X455" i="1"/>
  <c r="Y455" i="1" s="1"/>
  <c r="Z455" i="1" s="1"/>
  <c r="X459" i="1"/>
  <c r="X463" i="1"/>
  <c r="Y463" i="1" s="1"/>
  <c r="Z463" i="1" s="1"/>
  <c r="X467" i="1"/>
  <c r="Y467" i="1" s="1"/>
  <c r="Z467" i="1" s="1"/>
  <c r="X471" i="1"/>
  <c r="Y471" i="1" s="1"/>
  <c r="Z471" i="1" s="1"/>
  <c r="X475" i="1"/>
  <c r="Y475" i="1" s="1"/>
  <c r="Z475" i="1" s="1"/>
  <c r="X479" i="1"/>
  <c r="Y479" i="1" s="1"/>
  <c r="Z479" i="1" s="1"/>
  <c r="X483" i="1"/>
  <c r="Y483" i="1" s="1"/>
  <c r="Z483" i="1" s="1"/>
  <c r="X487" i="1"/>
  <c r="Y487" i="1" s="1"/>
  <c r="Z487" i="1" s="1"/>
  <c r="X490" i="1"/>
  <c r="Y497" i="1"/>
  <c r="Z497" i="1" s="1"/>
  <c r="Y499" i="1"/>
  <c r="Z499" i="1" s="1"/>
  <c r="X493" i="1"/>
  <c r="Y493" i="1" s="1"/>
  <c r="Z493" i="1" s="1"/>
  <c r="Y496" i="1"/>
  <c r="Z496" i="1" s="1"/>
  <c r="Y498" i="1"/>
  <c r="Z498" i="1" s="1"/>
  <c r="Y500" i="1"/>
  <c r="Z500" i="1" s="1"/>
</calcChain>
</file>

<file path=xl/sharedStrings.xml><?xml version="1.0" encoding="utf-8"?>
<sst xmlns="http://schemas.openxmlformats.org/spreadsheetml/2006/main" count="8663" uniqueCount="3638">
  <si>
    <t>Plantilla de carga web CRR - Eventos diarios</t>
  </si>
  <si>
    <t>Fecha</t>
  </si>
  <si>
    <t>Tipo Evento</t>
  </si>
  <si>
    <t>Especialidad</t>
  </si>
  <si>
    <t>Pabellon/Quirofano</t>
  </si>
  <si>
    <t>Nodo Critico</t>
  </si>
  <si>
    <t>Minutos</t>
  </si>
  <si>
    <t>Cantidad</t>
  </si>
  <si>
    <t>Causa</t>
  </si>
  <si>
    <t>Responsable</t>
  </si>
  <si>
    <t>Observaciones</t>
  </si>
  <si>
    <t>2026-05-26</t>
  </si>
  <si>
    <t>Demora ingreso &gt;15</t>
  </si>
  <si>
    <t>UROLOGIA</t>
  </si>
  <si>
    <t>Quirofano 01</t>
  </si>
  <si>
    <t>Gestion de tabla</t>
  </si>
  <si>
    <t>Paciente ingresa tarde</t>
  </si>
  <si>
    <t>Pabellon</t>
  </si>
  <si>
    <t>Ejemplo</t>
  </si>
  <si>
    <t>Suspension</t>
  </si>
  <si>
    <t>CIRUGIA GENERAL</t>
  </si>
  <si>
    <t>Quirofano 02</t>
  </si>
  <si>
    <t>Admision / citacion</t>
  </si>
  <si>
    <t>Paciente no se presenta</t>
  </si>
  <si>
    <t>Admision</t>
  </si>
  <si>
    <t>Catalogos sugeridos</t>
  </si>
  <si>
    <t>Estados</t>
  </si>
  <si>
    <t>Tipos Evento</t>
  </si>
  <si>
    <t>Nodos Criticos</t>
  </si>
  <si>
    <t>Asertividad</t>
  </si>
  <si>
    <t>Codigo</t>
  </si>
  <si>
    <t>Categoria</t>
  </si>
  <si>
    <t>Atendido</t>
  </si>
  <si>
    <t>Asertivo</t>
  </si>
  <si>
    <t>1802004-7</t>
  </si>
  <si>
    <t>Cirugía Mayor</t>
  </si>
  <si>
    <t>Realizado</t>
  </si>
  <si>
    <t>Preoperatorio</t>
  </si>
  <si>
    <t>Subestimacion</t>
  </si>
  <si>
    <t>1802067-9</t>
  </si>
  <si>
    <t>Recepcionado</t>
  </si>
  <si>
    <t>Recambio &gt;15</t>
  </si>
  <si>
    <t>Anestesia</t>
  </si>
  <si>
    <t>Sobrestimacion</t>
  </si>
  <si>
    <t>1802001-2</t>
  </si>
  <si>
    <t>Cirugía Menor</t>
  </si>
  <si>
    <t>Agendado</t>
  </si>
  <si>
    <t>Nodo critico</t>
  </si>
  <si>
    <t>Esterilizacion / instrumental</t>
  </si>
  <si>
    <t>PROC-001</t>
  </si>
  <si>
    <t>Procedimiento</t>
  </si>
  <si>
    <t>Suspendido</t>
  </si>
  <si>
    <t>Disponibilidad de cama</t>
  </si>
  <si>
    <t>Equipo quirurgico</t>
  </si>
  <si>
    <t>Traslado paciente</t>
  </si>
  <si>
    <t>Recuperacion</t>
  </si>
  <si>
    <t>Como usar esta plantilla</t>
  </si>
  <si>
    <t>Paso</t>
  </si>
  <si>
    <t>Accion</t>
  </si>
  <si>
    <t>Hoja</t>
  </si>
  <si>
    <t>Campo clave</t>
  </si>
  <si>
    <t>Resultado</t>
  </si>
  <si>
    <t>Nota</t>
  </si>
  <si>
    <t>1</t>
  </si>
  <si>
    <t>Copiar o pegar datos desde el sistema origen</t>
  </si>
  <si>
    <t>Carga Web Cirugias</t>
  </si>
  <si>
    <t>Fecha, paciente, pabellon, horas</t>
  </si>
  <si>
    <t>Base lista para web</t>
  </si>
  <si>
    <t>No borrar encabezados</t>
  </si>
  <si>
    <t>2</t>
  </si>
  <si>
    <t>Completar manualmente tiempo programado</t>
  </si>
  <si>
    <t>Tiempo programado de cirugía en tabla (Min)</t>
  </si>
  <si>
    <t>Calcula diferencia y asertividad</t>
  </si>
  <si>
    <t>Columna destacada en naranjo</t>
  </si>
  <si>
    <t>3</t>
  </si>
  <si>
    <t>Completar o mantener mapa codigo-categoria</t>
  </si>
  <si>
    <t>Catalogos</t>
  </si>
  <si>
    <t>Codigo y Categoria</t>
  </si>
  <si>
    <t>Categoria se enlaza con Codigo 1 o Codigo 2</t>
  </si>
  <si>
    <t>Use Cirugía Mayor, Cirugía Menor o Procedimiento</t>
  </si>
  <si>
    <t>4</t>
  </si>
  <si>
    <t>Revisar suspendidos</t>
  </si>
  <si>
    <t>Estado y Causa Suspension</t>
  </si>
  <si>
    <t>Permite resumen por pabellon</t>
  </si>
  <si>
    <t>Si Estado=Suspended/Suspendido, registrar causa</t>
  </si>
  <si>
    <t>5</t>
  </si>
  <si>
    <t>Registrar eventos operativos</t>
  </si>
  <si>
    <t>Carga Eventos Diarios</t>
  </si>
  <si>
    <t>Tipo, nodo, causa</t>
  </si>
  <si>
    <t>Demoras y nodos criticos</t>
  </si>
  <si>
    <t>Sirve para tablero diario</t>
  </si>
  <si>
    <t>6</t>
  </si>
  <si>
    <t>Exportar para cargar en web</t>
  </si>
  <si>
    <t>Excel</t>
  </si>
  <si>
    <t>Guardar como CSV UTF-8</t>
  </si>
  <si>
    <t>Archivo liviano para importar</t>
  </si>
  <si>
    <t>Exportar una hoja a la vez si la web lo solicita</t>
  </si>
  <si>
    <t>7</t>
  </si>
  <si>
    <t>Validar formulas</t>
  </si>
  <si>
    <t>Duracion, diferencia, asertividad</t>
  </si>
  <si>
    <t>Indicadores coherentes</t>
  </si>
  <si>
    <t>Asertividad = real - programado</t>
  </si>
  <si>
    <t>Regla asertividad</t>
  </si>
  <si>
    <t>Diferencia &gt; 15 Subestimacion</t>
  </si>
  <si>
    <t>Diferencia entre -15 y 15 Asertivo</t>
  </si>
  <si>
    <t>Catalogo MINSAL 2025 para clasificar cirugias CRR</t>
  </si>
  <si>
    <t>Codigo Adicional</t>
  </si>
  <si>
    <t>Glosa MINSAL</t>
  </si>
  <si>
    <t>Tipo Actividad MINSAL</t>
  </si>
  <si>
    <t>1101001</t>
  </si>
  <si>
    <t>Rellenado de  bombas de administración de fármacos en LCR</t>
  </si>
  <si>
    <t>Proc</t>
  </si>
  <si>
    <t>1101002</t>
  </si>
  <si>
    <t>Punción Subdural</t>
  </si>
  <si>
    <t>1101003</t>
  </si>
  <si>
    <t>Punción Lumbar c/s manometría c/s Queckensted</t>
  </si>
  <si>
    <t>1101004</t>
  </si>
  <si>
    <t>E.E.G. de 16 o más canales (incluye el cód. 11-01-006)</t>
  </si>
  <si>
    <t>1101005</t>
  </si>
  <si>
    <t>Electrocorticografía</t>
  </si>
  <si>
    <t>1101006</t>
  </si>
  <si>
    <t>Electroencefalograma (E.E.G.) standard y/o activado "sin privación de sueño" (incluye mono y bipolares, hiperventilación, c/s reactividad auditiva, visual, lumínica, por drogas u otras). Equipo de 8 canales</t>
  </si>
  <si>
    <t>1101007</t>
  </si>
  <si>
    <t>Estéreo-electroencefalografía (incluye uno o mas electrodos adicionales)</t>
  </si>
  <si>
    <t>1101008</t>
  </si>
  <si>
    <t>Monitoreo EEG invasivo con electrodos subdurales</t>
  </si>
  <si>
    <t>1101009</t>
  </si>
  <si>
    <t>Electromiografía de fibra única</t>
  </si>
  <si>
    <t>1101010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</si>
  <si>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</si>
  <si>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1101011</t>
  </si>
  <si>
    <t>Potenciales evocados en corteza ( por ej.: auditivo, ocular o corporales), c/u</t>
  </si>
  <si>
    <t>1101012</t>
  </si>
  <si>
    <t>Velocidad de conducción nerviosa (incluye reflejo H, onda F y otros)</t>
  </si>
  <si>
    <t>1101013</t>
  </si>
  <si>
    <t>Carótida-vertebral por cateterización de la subclavia, axilar, humeral o femoral.</t>
  </si>
  <si>
    <t>1101026</t>
  </si>
  <si>
    <t>Bloqueo nervio periférico en punto motor</t>
  </si>
  <si>
    <t>1101027</t>
  </si>
  <si>
    <t>Bloqueo nervio troncular</t>
  </si>
  <si>
    <t>1101028</t>
  </si>
  <si>
    <t>Infiltración o bloqueo de ramas del trigémino o del facial</t>
  </si>
  <si>
    <t>1101029</t>
  </si>
  <si>
    <t>Infiltración o bloqueo del ganglio estrellado</t>
  </si>
  <si>
    <t>1101030</t>
  </si>
  <si>
    <t>Infiltración o bloqueo epidural, cervical, lumbar o similares, cada sesión</t>
  </si>
  <si>
    <t>1101031</t>
  </si>
  <si>
    <t>Infiltración o bloqueo intercostales (cualquier número)</t>
  </si>
  <si>
    <t>1101032</t>
  </si>
  <si>
    <t>Rizotomía química por medio de inyección intratecal</t>
  </si>
  <si>
    <t>1101033</t>
  </si>
  <si>
    <t>Infiltración o bloqueo suboccipital u otros nervios cervicales</t>
  </si>
  <si>
    <t>1101034</t>
  </si>
  <si>
    <t>Alcoholización o fenolización de nervios periféricos: intramuscular</t>
  </si>
  <si>
    <t>1101035</t>
  </si>
  <si>
    <t>Alcoholización o fenolización de nervios periféricos: intratecal</t>
  </si>
  <si>
    <t>1101036</t>
  </si>
  <si>
    <t>Alcoholización o fenolización de nervios periféricos: troncular</t>
  </si>
  <si>
    <t>1101040</t>
  </si>
  <si>
    <t>E.E.G. en vigilia, sueño y post-privación de sueño. Equipo de 8 canales</t>
  </si>
  <si>
    <t>1101041</t>
  </si>
  <si>
    <t>EEG en vigilia, sueño y post-privación de sueño. Equipo de 16 o mas canales</t>
  </si>
  <si>
    <t>1101042</t>
  </si>
  <si>
    <t>EEG digital 20 canales (con activaciones HV y FE) estándar o post privación de sueño de 20 a 30 minutos duración</t>
  </si>
  <si>
    <t>1101043</t>
  </si>
  <si>
    <t>EEG digital 32 canales (con activaciones HV y FE) estándar o post privación de sueño de 20 a 30 minutos duración</t>
  </si>
  <si>
    <t>1101044</t>
  </si>
  <si>
    <t>Monitoreo E.E.G. continuo de 24 hrs.</t>
  </si>
  <si>
    <t>1101046</t>
  </si>
  <si>
    <t>Electroencefalograma digital de 32 canales con mapeo (mapping), análisis estadístico de frecuencias y de eventos por áreas (incluye estímulos cognitivos)</t>
  </si>
  <si>
    <t>1101047</t>
  </si>
  <si>
    <t>Cateterismo selectivo de senos petrosos</t>
  </si>
  <si>
    <t>1101048</t>
  </si>
  <si>
    <t>Neuromonitoreo intraoperatorio</t>
  </si>
  <si>
    <t>1101050</t>
  </si>
  <si>
    <t>Polisomnografía basal hospitalizado</t>
  </si>
  <si>
    <t>1101051</t>
  </si>
  <si>
    <t>Polisomnografía noche dividida</t>
  </si>
  <si>
    <t>1101052</t>
  </si>
  <si>
    <t>Polisomnografía basal ambulatoria o domiciliaria</t>
  </si>
  <si>
    <t>1101053</t>
  </si>
  <si>
    <t>Polisomnografía con titulación de CPAP y/o VMNI noche completa</t>
  </si>
  <si>
    <t>1101113</t>
  </si>
  <si>
    <t>Angiografía cerebral digital por cateterización (incluye proc. radiológico,  medio de contraste e insumos)</t>
  </si>
  <si>
    <t>1101140</t>
  </si>
  <si>
    <t>Esclerosis Múltiple Remitente Recurrente,  Tratamiento médico farmacológico  Anual (incluye inmunomoduladores)</t>
  </si>
  <si>
    <t>1101141</t>
  </si>
  <si>
    <t>Esclerosis Múltiple Remitente Recurrente, Tratamiento rehabilitación</t>
  </si>
  <si>
    <t>1101142</t>
  </si>
  <si>
    <t>Esclerosis Múltiple Remitente Recurrente,  Tratamiento Brote</t>
  </si>
  <si>
    <t>1103001</t>
  </si>
  <si>
    <t>Malformaciones vasculares del cuero cabelludo incluye aneurisma cirsoideo</t>
  </si>
  <si>
    <t>Cmay</t>
  </si>
  <si>
    <t>1103002</t>
  </si>
  <si>
    <t>Sinus pericrani, trat. quir.</t>
  </si>
  <si>
    <t>1103003</t>
  </si>
  <si>
    <t>9</t>
  </si>
  <si>
    <t>Hundimiento simple, reparación de</t>
  </si>
  <si>
    <t>1103004</t>
  </si>
  <si>
    <t>10</t>
  </si>
  <si>
    <t>Craneoplastía con autoinjerto</t>
  </si>
  <si>
    <t>1103005</t>
  </si>
  <si>
    <t>Craneoplastía con prótesis (no incluye el valor de la prótesis)</t>
  </si>
  <si>
    <t>1103006</t>
  </si>
  <si>
    <t>Tumores de calota, extirp. de</t>
  </si>
  <si>
    <t>1103007</t>
  </si>
  <si>
    <t>Osteomielitis, limpieza quirúrgica</t>
  </si>
  <si>
    <t>1103008</t>
  </si>
  <si>
    <t>Craniectomías descompresivas</t>
  </si>
  <si>
    <t>1103009</t>
  </si>
  <si>
    <t>Reparación de fractura crecedora</t>
  </si>
  <si>
    <t>1103010</t>
  </si>
  <si>
    <t>Craneotomías lineales</t>
  </si>
  <si>
    <t>1103011</t>
  </si>
  <si>
    <t>12</t>
  </si>
  <si>
    <t>Craniectomías c/s remodelación ósea</t>
  </si>
  <si>
    <t>1103014</t>
  </si>
  <si>
    <t>Hematoma o absceso extradural, vaciamiento de</t>
  </si>
  <si>
    <t>1103015</t>
  </si>
  <si>
    <t>Reparación de fístula de LCR</t>
  </si>
  <si>
    <t>1103016</t>
  </si>
  <si>
    <t>Hematoma, empiema o colección subdural, vaciamiento de</t>
  </si>
  <si>
    <t>1103017</t>
  </si>
  <si>
    <t>Quistes aracnoidales encefálicos, trat. quir. (suprasellares, temporales, cerebelosos, etc.)</t>
  </si>
  <si>
    <t>1103018</t>
  </si>
  <si>
    <t>Ventriculostomía o instalación de derivativa ventricular externa o instalación de captor para medición de pic o punción biopsia o reservorio para administración de medicamentos</t>
  </si>
  <si>
    <t>1103019</t>
  </si>
  <si>
    <t>Absceso cerebral, trat. quir.</t>
  </si>
  <si>
    <t>1103020</t>
  </si>
  <si>
    <t>Tratamiento quirúrgico del traumatismo craneoencefálico  abierto o penetrante (herida a bala u otro elemento penetrante)</t>
  </si>
  <si>
    <t>1103021</t>
  </si>
  <si>
    <t>Hundimiento expuesto, repar. de</t>
  </si>
  <si>
    <t>1103022</t>
  </si>
  <si>
    <t>Lobectomías por contusión cerebral</t>
  </si>
  <si>
    <t>1103023</t>
  </si>
  <si>
    <t>Hematoma intracerebral, vaciamiento de</t>
  </si>
  <si>
    <t>1103024</t>
  </si>
  <si>
    <t>De base de cráneo, resección de tumores y/o quistes y/o cavernoma</t>
  </si>
  <si>
    <t>1103025</t>
  </si>
  <si>
    <t>Intraorbitarios, resección de tumores y/o quistes y/o cavernoma</t>
  </si>
  <si>
    <t>1103026</t>
  </si>
  <si>
    <t>Encefálicos y de hipófisis, resección de tumores y/o quistes y/o cavernoma</t>
  </si>
  <si>
    <t>1103027</t>
  </si>
  <si>
    <t>13</t>
  </si>
  <si>
    <t>Aneurismas, malformaciones arteriovenosas encefálicas u orbitarias, fístulas durales</t>
  </si>
  <si>
    <t>1103028</t>
  </si>
  <si>
    <t>Fístula carótido cavernosa tratamiento endovascular</t>
  </si>
  <si>
    <t>1103029</t>
  </si>
  <si>
    <t>Fístula carótido cavernosa, trat. quir.</t>
  </si>
  <si>
    <t>1103030</t>
  </si>
  <si>
    <t>Revascularización intracraneana indirecta (endodurosinangiosis, multitrepanación, emás, etc)</t>
  </si>
  <si>
    <t>1103031</t>
  </si>
  <si>
    <t>Anastomosis y revascularización cerebral extra-intracraneana (cirugía de carótida: ver Cirugía Vascular Periférica)</t>
  </si>
  <si>
    <t>1103032</t>
  </si>
  <si>
    <t>11</t>
  </si>
  <si>
    <t>Instalación de derivativas de LCR (no incluye valor de la válvula)</t>
  </si>
  <si>
    <t>1103033</t>
  </si>
  <si>
    <t>Revisión o exteriorización de derivativa</t>
  </si>
  <si>
    <t>1103034</t>
  </si>
  <si>
    <t>Ventriculocisternostomía</t>
  </si>
  <si>
    <t>1103035</t>
  </si>
  <si>
    <t>Fenestración, septostomía o coagulación plexos coroídeos (trat. endoscópico)</t>
  </si>
  <si>
    <t>1103036</t>
  </si>
  <si>
    <t>Cirugía descompresiva de fosa posterior u occipito-vertebral en Malformación de Chiari y/o siringomielia</t>
  </si>
  <si>
    <t>1103037</t>
  </si>
  <si>
    <t>Meningo y meningoencefalocele occipital, repar. de</t>
  </si>
  <si>
    <t>1103038</t>
  </si>
  <si>
    <t>Cirugía descompresiva neurovascular</t>
  </si>
  <si>
    <t>1103039</t>
  </si>
  <si>
    <t>Neurotomías</t>
  </si>
  <si>
    <t>1103040</t>
  </si>
  <si>
    <t>Neurolisis o microcompresión percutánea</t>
  </si>
  <si>
    <t>1103041</t>
  </si>
  <si>
    <t>Cirugía de la epilepsia (cualquier técnica)</t>
  </si>
  <si>
    <t>1103042</t>
  </si>
  <si>
    <t>Biopsia estereotáxica cerebral con marco de estereotaxia o neuronavegador</t>
  </si>
  <si>
    <t>1103043</t>
  </si>
  <si>
    <t>Termocoagulación de zonas cerebrales con radiofrecuencia o ultrasonido focalizado con técnica estereotáxica para el tratamiento de enfermedad de parkinson, temblor esencial, psicocirugía y otros</t>
  </si>
  <si>
    <t>1103045</t>
  </si>
  <si>
    <t>Implantación de estimuladores intracraneanos</t>
  </si>
  <si>
    <t>1103046</t>
  </si>
  <si>
    <t>Instalación de estimuladores medulares</t>
  </si>
  <si>
    <t>1103047</t>
  </si>
  <si>
    <t>Disrafias espinales: meningocele, mielomeningocele, diastematomielia, lipoma, lipomeningocele, médula anclada, etc.</t>
  </si>
  <si>
    <t>1103048</t>
  </si>
  <si>
    <t>Infiltración facetaria columna y radicular</t>
  </si>
  <si>
    <t>1103049</t>
  </si>
  <si>
    <t>Hernia núcleo pulposo, estenorraquis, aracnoiditis, fibrosis perirradicular cervical, dorsal o lumbar, trat. quir.</t>
  </si>
  <si>
    <t>1103050</t>
  </si>
  <si>
    <t>Laminectomía descompresiva</t>
  </si>
  <si>
    <t>1103051</t>
  </si>
  <si>
    <t>Heridas raquimedulares, trat. quir.</t>
  </si>
  <si>
    <t>1103052</t>
  </si>
  <si>
    <t>Tratamiento quirúrgico de tumor espinal extradural</t>
  </si>
  <si>
    <t>1103053</t>
  </si>
  <si>
    <t>Extirpación de tumor o quiste medular o intrarraquídeo</t>
  </si>
  <si>
    <t>1103054</t>
  </si>
  <si>
    <t>Malformación arteriovenosa o fístula dural medular, trat. quir.</t>
  </si>
  <si>
    <t>1103055</t>
  </si>
  <si>
    <t>Cordotomía percutánea</t>
  </si>
  <si>
    <t>1103056</t>
  </si>
  <si>
    <t>Mielotomía, DREZtomía</t>
  </si>
  <si>
    <t>1103057</t>
  </si>
  <si>
    <t>8</t>
  </si>
  <si>
    <t>Rizotomía (cualquier técnica)</t>
  </si>
  <si>
    <t>1103058</t>
  </si>
  <si>
    <t>Tumor de nervio periférico, extirp. de</t>
  </si>
  <si>
    <t>1103059</t>
  </si>
  <si>
    <t>Reparación de plexos c/s neurotización con técnica microquirúrgica o injertos interfasciculares</t>
  </si>
  <si>
    <t>1103060</t>
  </si>
  <si>
    <t>Sección de nervio, reparación con injerto</t>
  </si>
  <si>
    <t>1103061</t>
  </si>
  <si>
    <t>Sección de nervio, reparación sin injerto</t>
  </si>
  <si>
    <t>1103062</t>
  </si>
  <si>
    <t>Neurolisis con técnica microquirúrgica</t>
  </si>
  <si>
    <t>1103063</t>
  </si>
  <si>
    <t>Neurolisis externa</t>
  </si>
  <si>
    <t>1103064</t>
  </si>
  <si>
    <t>Síndrome del escaleno, trat. quir.</t>
  </si>
  <si>
    <t>1103065</t>
  </si>
  <si>
    <t>Síndrome de costilla cervical, trat. quir.</t>
  </si>
  <si>
    <t>1103066</t>
  </si>
  <si>
    <t>Liberación quirúrgica de nervio periférico extracraneano (trat. quir. del Síndrome del Túnel Carpiano, tarso u otro)</t>
  </si>
  <si>
    <t>1103067</t>
  </si>
  <si>
    <t>Liberación de nervio cubital a nivel del codo, cualquier técnica</t>
  </si>
  <si>
    <t>1103068</t>
  </si>
  <si>
    <t>Neurectomía, cualquier localización, cada zona quirúrgica</t>
  </si>
  <si>
    <t>1103069</t>
  </si>
  <si>
    <t>Fijación de columna (cervical-dorsal-lumbar) cualquier vía abordaje, c/s osteosíntesis.</t>
  </si>
  <si>
    <t>1103070</t>
  </si>
  <si>
    <t>Biopsia de nervio periférico</t>
  </si>
  <si>
    <t>1103071</t>
  </si>
  <si>
    <t>Retiro de material de osteosíntesis o distractores en cirugía de craneosinostosis</t>
  </si>
  <si>
    <t>1103072</t>
  </si>
  <si>
    <t>Denervación facetaria o ramo medial columna</t>
  </si>
  <si>
    <t>1103073</t>
  </si>
  <si>
    <t>Artroplastia de columna</t>
  </si>
  <si>
    <t>1103074</t>
  </si>
  <si>
    <t>Aseo quirúrgico de columna vertebral</t>
  </si>
  <si>
    <t>1103075</t>
  </si>
  <si>
    <t>Laminoplastía cervical</t>
  </si>
  <si>
    <t>1103076</t>
  </si>
  <si>
    <t>Guía estereotáxica para realización de cirugía o procedimiento neuroquirúrgico intracranéano</t>
  </si>
  <si>
    <t>1103077</t>
  </si>
  <si>
    <t>Neurotomía periférica selectiva para tratamiento de espasticidad</t>
  </si>
  <si>
    <t>1103078</t>
  </si>
  <si>
    <t>Cementación vertebral cervical, dorsal o lumbar hasta 3 niveles</t>
  </si>
  <si>
    <t>1103079</t>
  </si>
  <si>
    <t>Cementación vertebral cervical, dorsal o lumbar mas de 3 niveles</t>
  </si>
  <si>
    <t>1103080</t>
  </si>
  <si>
    <t>Fusión intersomatica cervical</t>
  </si>
  <si>
    <t>1103081</t>
  </si>
  <si>
    <t>Fusión intersomática dorsal y lumbar corta</t>
  </si>
  <si>
    <t>1103082</t>
  </si>
  <si>
    <t>Fusión intersomática dorsal y lumbar larga</t>
  </si>
  <si>
    <t>1103083</t>
  </si>
  <si>
    <t>Liberación quirúrgica de nervio periférico en el Síndrome del Túnel Carpiano téc. WALANT (anestesia local sin torniquete)</t>
  </si>
  <si>
    <t>Cmen</t>
  </si>
  <si>
    <t>1103132</t>
  </si>
  <si>
    <t>Instalación de derivativas de LCR (incluye valor de la válvula)</t>
  </si>
  <si>
    <t>1201001</t>
  </si>
  <si>
    <t>Campimetría de proyección, unilateral (proc.aut.)</t>
  </si>
  <si>
    <t>1201002</t>
  </si>
  <si>
    <t>Coordimetría, test de Hess u otro, unilateral</t>
  </si>
  <si>
    <t>1201003</t>
  </si>
  <si>
    <t>Cuantificación de lagrimación (test de Schirmer), uni o bilateral</t>
  </si>
  <si>
    <t>1201004</t>
  </si>
  <si>
    <t>Curva de tensión aplanática (por cada día), unilateral</t>
  </si>
  <si>
    <t>1201005</t>
  </si>
  <si>
    <t>Diploscopia cuantitativa, bilateral</t>
  </si>
  <si>
    <t>1201006</t>
  </si>
  <si>
    <t>Electromiografía músculos oculares adultos, unilateral</t>
  </si>
  <si>
    <t>1201007</t>
  </si>
  <si>
    <t>Electromiografía músculos oculares niños, unilateral</t>
  </si>
  <si>
    <t>1201008</t>
  </si>
  <si>
    <t>Electrooculografía, bilateral</t>
  </si>
  <si>
    <t>1201009</t>
  </si>
  <si>
    <t>Exploración sensoriomotora: estrabismo, estudio completo, bilateral</t>
  </si>
  <si>
    <t>1201010</t>
  </si>
  <si>
    <t>Perimetría de Goldman o perimetría cinética, unilateral</t>
  </si>
  <si>
    <t>1201011</t>
  </si>
  <si>
    <t>Pruebas de provocación para glaucoma (prueba de oscuridad u otras), uni o bilateral</t>
  </si>
  <si>
    <t>1201012</t>
  </si>
  <si>
    <t>Retinografía, bilateral</t>
  </si>
  <si>
    <t>1201014</t>
  </si>
  <si>
    <t>Tonometría aplanática unilateral</t>
  </si>
  <si>
    <t>1201015</t>
  </si>
  <si>
    <t>Tratamiento ortóptico y/o pleóptico (por sesión), bilateral</t>
  </si>
  <si>
    <t>1201016</t>
  </si>
  <si>
    <t>Angiografía de retina o de iris, (con fluoresceína o sim.), unilateral</t>
  </si>
  <si>
    <t>1201017</t>
  </si>
  <si>
    <t>Angioscopia retinal y/o iris (con fluoresceína o similar), unilateral (proc.aut.)</t>
  </si>
  <si>
    <t>1201018</t>
  </si>
  <si>
    <t>Electrorretinografía, unilateral</t>
  </si>
  <si>
    <t>1201019</t>
  </si>
  <si>
    <t>Exploración vitreorretinal, ambos ojos</t>
  </si>
  <si>
    <t>1201020</t>
  </si>
  <si>
    <t>Ecobiometría con cálculo de lente intraocular, bilateral</t>
  </si>
  <si>
    <t>1201023</t>
  </si>
  <si>
    <t>Potencial visual evocado en adultos, bilateral</t>
  </si>
  <si>
    <t>1201024</t>
  </si>
  <si>
    <t>Potencial visual evocado en niños, bilateral</t>
  </si>
  <si>
    <t>1201027</t>
  </si>
  <si>
    <t>Examen Optométrico c/s Prescripción de Lentes</t>
  </si>
  <si>
    <t>1201029</t>
  </si>
  <si>
    <t>Cuerpo extraño conjuntival y/o corneal en adultos</t>
  </si>
  <si>
    <t>1201030</t>
  </si>
  <si>
    <t>Cuerpo extraño conjuntival y/o corneal en niños</t>
  </si>
  <si>
    <t>1201031</t>
  </si>
  <si>
    <t>Vía lagrimal, cateterismo o sondaje en adultos</t>
  </si>
  <si>
    <t>1201032</t>
  </si>
  <si>
    <t>Vía lagrimal, cateterismo o sondaje en lactantes</t>
  </si>
  <si>
    <t>1201033</t>
  </si>
  <si>
    <t>Vía lagrimal, cateterismo o sondaje en niños</t>
  </si>
  <si>
    <t>1201034</t>
  </si>
  <si>
    <t>Tocación corneal c/yodo y/o éter u otros, en niños o adultos</t>
  </si>
  <si>
    <t>1201035</t>
  </si>
  <si>
    <t>Criocoagulación conjuntival, corneal o palpebral en adultos</t>
  </si>
  <si>
    <t>1201036</t>
  </si>
  <si>
    <t>Criocoagulación conjuntival, corneal o palpebral en niños</t>
  </si>
  <si>
    <t>1201037</t>
  </si>
  <si>
    <t>Glaucoma, ciclodiatermia y/o ciclocrioterapia</t>
  </si>
  <si>
    <t>1201038</t>
  </si>
  <si>
    <t>Inyección retrobulbar</t>
  </si>
  <si>
    <t>1201039</t>
  </si>
  <si>
    <t>Pestañas, extirp. por electrocoagulación (cualquier número)</t>
  </si>
  <si>
    <t>1201040</t>
  </si>
  <si>
    <t>Puntos lagrimales; electrotermocoagulación</t>
  </si>
  <si>
    <t>1201041</t>
  </si>
  <si>
    <t>Sondaje vía lagrimal en niños (bajo anestesia general)</t>
  </si>
  <si>
    <t>1201042</t>
  </si>
  <si>
    <t>Campimetría computarizada, unilateral</t>
  </si>
  <si>
    <t>1201043</t>
  </si>
  <si>
    <t>Topografía corneal computarizada, unilateral</t>
  </si>
  <si>
    <t>1201044</t>
  </si>
  <si>
    <t>Tomografía coherencia óptica, c/ ojo</t>
  </si>
  <si>
    <t>1201045</t>
  </si>
  <si>
    <t>Paquimetría</t>
  </si>
  <si>
    <t>1202001</t>
  </si>
  <si>
    <t>Intubación vía lagrimal</t>
  </si>
  <si>
    <t>CMen</t>
  </si>
  <si>
    <t>1202002</t>
  </si>
  <si>
    <t>Puntos lagrimales, plastía de</t>
  </si>
  <si>
    <t>1202003</t>
  </si>
  <si>
    <t>Reconstitución de canalículos</t>
  </si>
  <si>
    <t>1202004</t>
  </si>
  <si>
    <t>Absceso, vaciamiento y/o drenaje de saco y/o glándula lagrimal</t>
  </si>
  <si>
    <t>1202005</t>
  </si>
  <si>
    <t>Dacriocistorrinostomía</t>
  </si>
  <si>
    <t>1202006</t>
  </si>
  <si>
    <t>Extirpación de saco y/o glándula lagrimal</t>
  </si>
  <si>
    <t>1202007</t>
  </si>
  <si>
    <t>Reconstitución vía lagrimal en ausencia del saco</t>
  </si>
  <si>
    <t>1202008</t>
  </si>
  <si>
    <t>Extirpación total o parcial de la glándula lagrimal</t>
  </si>
  <si>
    <t>1202009</t>
  </si>
  <si>
    <t>Tumor maligno  del saco, trat. quir. completo</t>
  </si>
  <si>
    <t>1202010</t>
  </si>
  <si>
    <t>Absceso, trat. quir. párpado o ceja</t>
  </si>
  <si>
    <t>1202011</t>
  </si>
  <si>
    <t>Biopsia de párpado y/o anexos (proc. aut.)</t>
  </si>
  <si>
    <t>1202012</t>
  </si>
  <si>
    <t>Blefarochalasis, plastía de</t>
  </si>
  <si>
    <t>1202013</t>
  </si>
  <si>
    <t>Blefarofimosis, plastía de</t>
  </si>
  <si>
    <t>1202014</t>
  </si>
  <si>
    <t>Blefarorrafia con blefarotomía posterior</t>
  </si>
  <si>
    <t>1202015</t>
  </si>
  <si>
    <t>Cantoplastía</t>
  </si>
  <si>
    <t>1202016</t>
  </si>
  <si>
    <t>Chalazión y otros tumores benignos (uno o más, unilateral), trat. quir. completo</t>
  </si>
  <si>
    <t>1202017</t>
  </si>
  <si>
    <t>Coloboma, plastía de</t>
  </si>
  <si>
    <t>1202018</t>
  </si>
  <si>
    <t>Ectropión, plastía de</t>
  </si>
  <si>
    <t>1202019</t>
  </si>
  <si>
    <t>Entropión, plastía de</t>
  </si>
  <si>
    <t>1202020</t>
  </si>
  <si>
    <t>Epicanto, plastía de</t>
  </si>
  <si>
    <t>1202021</t>
  </si>
  <si>
    <t>Ptosis, trat. quir.</t>
  </si>
  <si>
    <t>1202022</t>
  </si>
  <si>
    <t>Quiste dermoide de la cola de la ceja, resec. plástica</t>
  </si>
  <si>
    <t>1202023</t>
  </si>
  <si>
    <t>Tumor maligno de párpado o ceja, trat. quir. completo</t>
  </si>
  <si>
    <t>1202024</t>
  </si>
  <si>
    <t>Xantelasma, trat. quir.</t>
  </si>
  <si>
    <t>1202025</t>
  </si>
  <si>
    <t>Herida o dehiscencia de la conjuntiva, sutura de (proc. aut.)</t>
  </si>
  <si>
    <t>1202026</t>
  </si>
  <si>
    <t>Pterigión y/o pseudopterigión o su recidiva, extirpación</t>
  </si>
  <si>
    <t>1202027</t>
  </si>
  <si>
    <t>Simbléfaron, resección de adherencias y plastía de</t>
  </si>
  <si>
    <t>1202028</t>
  </si>
  <si>
    <t>Extirpación de tumor benigno de la conjuntiva</t>
  </si>
  <si>
    <t>1202029</t>
  </si>
  <si>
    <t>Absceso orbitario, trat. quir.</t>
  </si>
  <si>
    <t>1202030</t>
  </si>
  <si>
    <t>Corrección de cavidad anoftálmica trat. completo</t>
  </si>
  <si>
    <t>1202031</t>
  </si>
  <si>
    <t>Cuerpo extraño orbitario (con orbitotomía)</t>
  </si>
  <si>
    <t>1202032</t>
  </si>
  <si>
    <t>Exanteración orbitaria o tumor orbitario, trat. quirúrgico completo</t>
  </si>
  <si>
    <t>1202033</t>
  </si>
  <si>
    <t>Orbitotomía anterior</t>
  </si>
  <si>
    <t>1202034</t>
  </si>
  <si>
    <t>Orbitotomía lateral descompresiva</t>
  </si>
  <si>
    <t>1202035</t>
  </si>
  <si>
    <t>Biopsia de globo ocular (proc. aut.)</t>
  </si>
  <si>
    <t>1202036</t>
  </si>
  <si>
    <t>Enucleación o implante de prótesis ocular (proc. aut.)</t>
  </si>
  <si>
    <t>1202037</t>
  </si>
  <si>
    <t>Enucleación con implante</t>
  </si>
  <si>
    <t>1202038</t>
  </si>
  <si>
    <t>Tratamiento quirúrgico completo del estrabismo unilateral o bilateral</t>
  </si>
  <si>
    <t>1202039</t>
  </si>
  <si>
    <t>Exanteración ocular (proc. aut.)</t>
  </si>
  <si>
    <t>1202040</t>
  </si>
  <si>
    <t>Sutura de lesión traumática de globo o musculos oculares (proc. aut.)</t>
  </si>
  <si>
    <t>1202041</t>
  </si>
  <si>
    <t>Cirugía refractiva, queratotomía radial o similar con bisturí de diamante</t>
  </si>
  <si>
    <t>1202042</t>
  </si>
  <si>
    <t>Crioterapia y recesión conjuntival</t>
  </si>
  <si>
    <t>1202044</t>
  </si>
  <si>
    <t>Extracción quir. de cuerpo extraño en cornea y/o esclera</t>
  </si>
  <si>
    <t>1202045</t>
  </si>
  <si>
    <t>Glaucoma, trat. quir. por cualquier técnica</t>
  </si>
  <si>
    <t>1202046</t>
  </si>
  <si>
    <t>Herida corneal o corneo-escleral o dehiscencia de sutura</t>
  </si>
  <si>
    <t>1202047</t>
  </si>
  <si>
    <t>Queratectomía laminar</t>
  </si>
  <si>
    <t>1202048</t>
  </si>
  <si>
    <t>Queratoplastía. Injerto lamelar o penetrante trat. quir. Completo</t>
  </si>
  <si>
    <t>1202049</t>
  </si>
  <si>
    <t>Queratoprótesis, implantación de (no incluye el valor de la prótesis)</t>
  </si>
  <si>
    <t>1202050</t>
  </si>
  <si>
    <t>Recubrimiento conjuntival</t>
  </si>
  <si>
    <t>1202051</t>
  </si>
  <si>
    <t>Rehabilitación superficie ocular (con injerto de mucosa)</t>
  </si>
  <si>
    <t>1202053</t>
  </si>
  <si>
    <t>Iridectomía periférica y/u óptica, (proc. aut.)</t>
  </si>
  <si>
    <t>1202054</t>
  </si>
  <si>
    <t>Tratamiento quirúrgico de lesión tumoral del iris o cuerpo ciliar</t>
  </si>
  <si>
    <t>1202055</t>
  </si>
  <si>
    <t>Desgarro  con o sin desprendimiento, diatermo y/o crio y/o fotocoagulación (incluye endofotocoagulación intraquirúrgica )</t>
  </si>
  <si>
    <t>1202056</t>
  </si>
  <si>
    <t>Desprendimiento retinal, cirugía convencional (exoimplantes)</t>
  </si>
  <si>
    <t>1202057</t>
  </si>
  <si>
    <t>Retinopatía proliferativa, (diabética, hipertensiva, eales y otras) panfotocoagulación trat. completo   (incluye endofotocoagulación intraquirúrgica )</t>
  </si>
  <si>
    <t>1202058</t>
  </si>
  <si>
    <t>Tumor retinal o coroidal, diatermo y/o crio y/o fotocoagulación de</t>
  </si>
  <si>
    <t>1202059</t>
  </si>
  <si>
    <t>Vasculopatía retinal (excepto retinopatía proliferativa) diatermo y/o crio y/o fotocoagulación ( incluye endofotocoagulación intraquirùrgica)</t>
  </si>
  <si>
    <t>1202060</t>
  </si>
  <si>
    <t>Vitrectomía c/retinotomía (c/s inyección de gas o silicona)</t>
  </si>
  <si>
    <t>1202061</t>
  </si>
  <si>
    <t>Vitrectomía con inyección de gas o silicona</t>
  </si>
  <si>
    <t>1202062</t>
  </si>
  <si>
    <t>Vitrectomía con vitreófago (proc. aut)</t>
  </si>
  <si>
    <t>1202063</t>
  </si>
  <si>
    <t>Facoéresis intracapsular o catarata secundaria o discisión y aspiración de masas</t>
  </si>
  <si>
    <t>1202064</t>
  </si>
  <si>
    <t>Facoéresis extracapsular con implante de lente intraocular (no incluye el valor de la prótesis)</t>
  </si>
  <si>
    <t>1202065</t>
  </si>
  <si>
    <t>Implante secundario de lente intraocular</t>
  </si>
  <si>
    <t>1202066</t>
  </si>
  <si>
    <t>Aspiración esferular c/s capsulotomía</t>
  </si>
  <si>
    <t>1202067</t>
  </si>
  <si>
    <t>Discisión de cápsula posterior</t>
  </si>
  <si>
    <t>1202068</t>
  </si>
  <si>
    <t>Iridotomía</t>
  </si>
  <si>
    <t>1202069</t>
  </si>
  <si>
    <t>Trabeculoplastía o iridoplastía</t>
  </si>
  <si>
    <t>1202070</t>
  </si>
  <si>
    <t>Sinequiotomía (proc. aut.)</t>
  </si>
  <si>
    <t>1202071</t>
  </si>
  <si>
    <t>Herida o dehiscencia de sutura de párpado, reparación</t>
  </si>
  <si>
    <t>1202072</t>
  </si>
  <si>
    <t>Reconstrucción de paredes orbitarias</t>
  </si>
  <si>
    <t>1202073</t>
  </si>
  <si>
    <t>Operación triple (injerto, facoéresis e implante de lente intraocular) (no incluye valor de la prótesis)</t>
  </si>
  <si>
    <t>1202074</t>
  </si>
  <si>
    <t>Hernia de iris y/o fístulas, reparación de</t>
  </si>
  <si>
    <t>1202075</t>
  </si>
  <si>
    <t>Retinopexia neumática</t>
  </si>
  <si>
    <t>1202076</t>
  </si>
  <si>
    <t>Extracción o corrección de desplazamiento de lente intraocular</t>
  </si>
  <si>
    <t>1202077</t>
  </si>
  <si>
    <t>Desprendimiento coroídeo o hemorragia coroídea, trat. quir.</t>
  </si>
  <si>
    <t>1202078</t>
  </si>
  <si>
    <t>Cirugía fotorrefractiva o fototerapéutica de córnea, cualquier técnica</t>
  </si>
  <si>
    <t>1202079</t>
  </si>
  <si>
    <t>Facoemulsificación</t>
  </si>
  <si>
    <t>1202080</t>
  </si>
  <si>
    <t>Tratamiento quirúrgico ptosis de la ceja</t>
  </si>
  <si>
    <t>1202081</t>
  </si>
  <si>
    <t>Evisceración del globo ocular</t>
  </si>
  <si>
    <t>1202083</t>
  </si>
  <si>
    <t>Tratamiento Trasplante de Córnea</t>
  </si>
  <si>
    <t>1202164</t>
  </si>
  <si>
    <t>Facoéresis extracapsular con implante de lente intraocular (incluye el valor de la prótesis)</t>
  </si>
  <si>
    <t>1202173</t>
  </si>
  <si>
    <t>Operación triple (injerto, facoéresis e implante de lente intraocular) (incluye valor de la prótesis)</t>
  </si>
  <si>
    <t>1301001</t>
  </si>
  <si>
    <t>Electrogustometría</t>
  </si>
  <si>
    <t>1301002</t>
  </si>
  <si>
    <t>Rinomanometría c/s vasocontrictor</t>
  </si>
  <si>
    <t>1301003</t>
  </si>
  <si>
    <t>Nasofaringolaringofibroscopia</t>
  </si>
  <si>
    <t>1301005</t>
  </si>
  <si>
    <t>Sinusoscopia de cada seno maxilar por punción, c/s biopsia, c/s toma de muestras</t>
  </si>
  <si>
    <t>1301006</t>
  </si>
  <si>
    <t>Laringoscopia y/o traqueoscopia directa c/s toma de muestra, c/s biopsia. Con microscopio</t>
  </si>
  <si>
    <t>1301007</t>
  </si>
  <si>
    <t>Laringoscopia y/o traqueoscopia directa c/s toma de muestra, c/s biopsia. Sin microscopio</t>
  </si>
  <si>
    <t>1301008</t>
  </si>
  <si>
    <t>Audiometría niños</t>
  </si>
  <si>
    <t>1301009</t>
  </si>
  <si>
    <t>Impedanciometría</t>
  </si>
  <si>
    <t>1301010</t>
  </si>
  <si>
    <t>Calibración de audífonos o implantes</t>
  </si>
  <si>
    <t>1301011</t>
  </si>
  <si>
    <t>Potenciales evocados auditivos de tronco cerebral clínicos</t>
  </si>
  <si>
    <t>1301012</t>
  </si>
  <si>
    <t>Cócleovestibular con electronistagmografía</t>
  </si>
  <si>
    <t>1301015</t>
  </si>
  <si>
    <t>Electronistagmografía o Videoelectronistagmografía c/s nistag.de posición</t>
  </si>
  <si>
    <t>1301016</t>
  </si>
  <si>
    <t>Función tubaria</t>
  </si>
  <si>
    <t>1301017</t>
  </si>
  <si>
    <t>Prueba calórica o prueba calórica mínima (proc.aut.)</t>
  </si>
  <si>
    <t>1301019</t>
  </si>
  <si>
    <t>Test de glicerol (con 3 audiometrías)</t>
  </si>
  <si>
    <t>1301020</t>
  </si>
  <si>
    <t>Examen funcional de VIII par</t>
  </si>
  <si>
    <t>1301021</t>
  </si>
  <si>
    <t>Audiometría adultos</t>
  </si>
  <si>
    <t>1301024</t>
  </si>
  <si>
    <t>Senos perinasales, punción evacuadora c/s toma de muestras, c/s inyección de medicamentos; cada punción</t>
  </si>
  <si>
    <t>1301025</t>
  </si>
  <si>
    <t>Taponamiento nasal anterior (proc. aut.)</t>
  </si>
  <si>
    <t>1301026</t>
  </si>
  <si>
    <t>Taponamiento nasal posterior</t>
  </si>
  <si>
    <t>1301027</t>
  </si>
  <si>
    <t>Vaciamiento cavid. Perinasales (proetz y sim.) (10 sesiones)</t>
  </si>
  <si>
    <t>1301028</t>
  </si>
  <si>
    <t>Cauterización uni o bilateral de vasos en fosa nasal anterior</t>
  </si>
  <si>
    <t>1301029</t>
  </si>
  <si>
    <t>Cuerpo extraño en fosas nasales, extracción de: - En adultos</t>
  </si>
  <si>
    <t>1301030</t>
  </si>
  <si>
    <t>Cuerpo extraño en fosas nasales, extracción de: - En niños</t>
  </si>
  <si>
    <t>1301035</t>
  </si>
  <si>
    <t>Cuerpo extraño en laringe y/o tráquea, extracción de (incluye la endoscopia con tubo rígido) - En adultos</t>
  </si>
  <si>
    <t>1301036</t>
  </si>
  <si>
    <t>Cuerpo extraño en laringe y/o tráquea, extracción de (incluye la endoscopia con tubo rígido) - En niños</t>
  </si>
  <si>
    <t>1301037</t>
  </si>
  <si>
    <t>Dilatación esofágica por sesión</t>
  </si>
  <si>
    <t>1301038</t>
  </si>
  <si>
    <t>Cuerpo extraño extracción en hipofaringe y/o esófago (por tubo rígido) - En niños</t>
  </si>
  <si>
    <t>1301039</t>
  </si>
  <si>
    <t>Cuerpo extraño extracción en hipofaringe y/o esófago (por tubo rígido) - En adultos</t>
  </si>
  <si>
    <t>1301040</t>
  </si>
  <si>
    <t>Lesiones del oído externo y/o medio, curación bajo microscopio (proc. aut.)</t>
  </si>
  <si>
    <t>1301041</t>
  </si>
  <si>
    <t>Trompa de Eustaquio, insuflación instrumental (proc. aut.)</t>
  </si>
  <si>
    <t>1301042</t>
  </si>
  <si>
    <t>Cuerpo extraño en oído, extracción de (incluye tapón de cerumen) (proc. aut.) - En adultos</t>
  </si>
  <si>
    <t>1301043</t>
  </si>
  <si>
    <t>Cuerpo extraño en oído, extracción de (incluye tapón de cerumen) (proc. aut.) - En niños</t>
  </si>
  <si>
    <t>1301044</t>
  </si>
  <si>
    <t>Biopsia oído (proc. aut.)</t>
  </si>
  <si>
    <t>1301045</t>
  </si>
  <si>
    <t>Emisiones Otoacústicas</t>
  </si>
  <si>
    <t>1301046</t>
  </si>
  <si>
    <t>Potenciales evocados auditivos de tronco cerebral acortados</t>
  </si>
  <si>
    <t>1301047</t>
  </si>
  <si>
    <t>Nasofibroscopía de la deglución</t>
  </si>
  <si>
    <t>1301048</t>
  </si>
  <si>
    <t>Prueba de impulso cefálico con videooculografía o similar (VHIT)</t>
  </si>
  <si>
    <t>1301049</t>
  </si>
  <si>
    <t>Pruebas rotatorias</t>
  </si>
  <si>
    <t>1301050</t>
  </si>
  <si>
    <t>Audiometría campo libre. Niños y adultos</t>
  </si>
  <si>
    <t>1301051</t>
  </si>
  <si>
    <t>Retiro de tubos de ventilación timpánica, uni o bilateral</t>
  </si>
  <si>
    <t>1301052</t>
  </si>
  <si>
    <t>Potenciales electromiogénicos vestibulares cervicales u oculares</t>
  </si>
  <si>
    <t>1302001</t>
  </si>
  <si>
    <t>Absceso y/o hematomas oído externo, trat. quir.</t>
  </si>
  <si>
    <t>1302002</t>
  </si>
  <si>
    <t>Extracción cuerpo extraño en conducto auditivo externo</t>
  </si>
  <si>
    <t>1302003</t>
  </si>
  <si>
    <t>Fístula preauricular complicada, trat. quir.</t>
  </si>
  <si>
    <t>1302004</t>
  </si>
  <si>
    <t>Extirpación de tumor de conducto auditivo externo</t>
  </si>
  <si>
    <t>1302005</t>
  </si>
  <si>
    <t>Tumor maligno oído externo, trat. quir.</t>
  </si>
  <si>
    <t>1302006</t>
  </si>
  <si>
    <t>Estapedectomía o estapedostomía</t>
  </si>
  <si>
    <t>1302007</t>
  </si>
  <si>
    <t>Mastoidectomía c/s sección cuerda del tímpano</t>
  </si>
  <si>
    <t>1302008</t>
  </si>
  <si>
    <t>Tratamiento quirúrgico de Mucositis timpánica, otitis media con efusión uni o bilateral</t>
  </si>
  <si>
    <t>1302009</t>
  </si>
  <si>
    <t>Operación radical de oído</t>
  </si>
  <si>
    <t>1302011</t>
  </si>
  <si>
    <t>Reconstitución funcional de oído radicalizado</t>
  </si>
  <si>
    <t>1302012</t>
  </si>
  <si>
    <t>Timpanoplastía funcional (cualquier tipo) c/s mastoidectomía</t>
  </si>
  <si>
    <t>1302013</t>
  </si>
  <si>
    <t>Reconstitución plástica de conducto auditivo externo cartilaginoso</t>
  </si>
  <si>
    <t>1302014</t>
  </si>
  <si>
    <t>Exostosis u osteoma oído medio o externo, resección por cualquier vía</t>
  </si>
  <si>
    <t>1302015</t>
  </si>
  <si>
    <t>Neurectomía de Jacobson</t>
  </si>
  <si>
    <t>1302016</t>
  </si>
  <si>
    <t>Reconstitución de conducto auditivo externo, c/s timpanoplastía (incluye revisión de cadena osicular)</t>
  </si>
  <si>
    <t>1302017</t>
  </si>
  <si>
    <t>Tratamiento quirúrgico de tumor glómico timpánico</t>
  </si>
  <si>
    <t>1302018</t>
  </si>
  <si>
    <t>Laberintectomía</t>
  </si>
  <si>
    <t>1302019</t>
  </si>
  <si>
    <t>Neurinoma del acústico, trat. quir. vía translaberíntica y/o fosa media</t>
  </si>
  <si>
    <t>1302020</t>
  </si>
  <si>
    <t>Descompresión intraósea nervio facial c/s plastía</t>
  </si>
  <si>
    <t>1302021</t>
  </si>
  <si>
    <t>Lesiones a nivel del conducto auditivo interno, trat. quir.</t>
  </si>
  <si>
    <t>1302022</t>
  </si>
  <si>
    <t>Biopsia buco-faríngea (proc. aut.)</t>
  </si>
  <si>
    <t>1302023</t>
  </si>
  <si>
    <t>Sección y/o resección frenillos cavidad bucal</t>
  </si>
  <si>
    <t>1302024</t>
  </si>
  <si>
    <t>Drenaje de absceso o flegmón de piso de boca</t>
  </si>
  <si>
    <t>1302025</t>
  </si>
  <si>
    <t>Drenaje de absceso o flegmón periamigdaliano</t>
  </si>
  <si>
    <t>1302026</t>
  </si>
  <si>
    <t>Drenaje de absceso o flegmón retrofaríngeo o faringolaríngeo</t>
  </si>
  <si>
    <t>1302027</t>
  </si>
  <si>
    <t>Drenaje de absceso o flegmón de vestíbulo bucal</t>
  </si>
  <si>
    <t>1302028</t>
  </si>
  <si>
    <t>Adenoidectomía (proc. aut.)</t>
  </si>
  <si>
    <t>1302029</t>
  </si>
  <si>
    <t>Amigdalectomía c/s adenoidectomía, uni o bilateral</t>
  </si>
  <si>
    <t>1302030</t>
  </si>
  <si>
    <t>Extracción de cálculos o tapones salivales</t>
  </si>
  <si>
    <t>1302031</t>
  </si>
  <si>
    <t>Tumor benigno de la mucosa bucal,  extirp. c/s  biopsia bucofaríngea</t>
  </si>
  <si>
    <t>1302032</t>
  </si>
  <si>
    <t>Tumor maligno de las amígdalas, trat. quir.</t>
  </si>
  <si>
    <t>1302033</t>
  </si>
  <si>
    <t>Extirpación de  tumor benigno de la base de la lengua</t>
  </si>
  <si>
    <t>1302034</t>
  </si>
  <si>
    <t>Extirpación tumor maligno de base de lengua</t>
  </si>
  <si>
    <t>1302035</t>
  </si>
  <si>
    <t>Faringoplastía (cualq. técn.), c/s desplazamiento de colgajos</t>
  </si>
  <si>
    <t>1302036</t>
  </si>
  <si>
    <t>Fibroangioma del rinofarinx, trat. quir.</t>
  </si>
  <si>
    <t>1302037</t>
  </si>
  <si>
    <t>Glosectomía total</t>
  </si>
  <si>
    <t>1302038</t>
  </si>
  <si>
    <t>Abscesos y hematoma del tabique nasal, trat. quir.</t>
  </si>
  <si>
    <t>1302039</t>
  </si>
  <si>
    <t>Arteria esfenopalatina, cauterización por vía nasal</t>
  </si>
  <si>
    <t>1302040</t>
  </si>
  <si>
    <t>Arteria maxilar interna, ligadura de (por vía transmaxilar)</t>
  </si>
  <si>
    <t>1302041</t>
  </si>
  <si>
    <t>Ligadura de arterias etmoidales anteriores</t>
  </si>
  <si>
    <t>1302042</t>
  </si>
  <si>
    <t>Turbinectomía o cauterización de cornetes, cualquier técnica</t>
  </si>
  <si>
    <t>1302043</t>
  </si>
  <si>
    <t>Conducto y/o seno lagrimal, obstrucción del, trat. quir. por vía nasal</t>
  </si>
  <si>
    <t>1302044</t>
  </si>
  <si>
    <t>Etmoidectomía endo o exonasal</t>
  </si>
  <si>
    <t>1302045</t>
  </si>
  <si>
    <t>Tratamiento quirúrgico de las fistulas buco-sinusales o buco-nasales  y/o retiro cuerpos extraños del seno maxilar</t>
  </si>
  <si>
    <t>1302046</t>
  </si>
  <si>
    <t>Fract. nasal reciente, cerrada o expuesta, reducción c/s inmovilización</t>
  </si>
  <si>
    <t>1302047</t>
  </si>
  <si>
    <t>Nervio vidiano, sección del (por cualquier vía)</t>
  </si>
  <si>
    <t>1302048</t>
  </si>
  <si>
    <t>Perforación del tabique, trat. quir.</t>
  </si>
  <si>
    <t>1302049</t>
  </si>
  <si>
    <t>Tratamiento quirúrgico pólipo nasal</t>
  </si>
  <si>
    <t>1302050</t>
  </si>
  <si>
    <t>Rinitis atrófica, trat. por inclusión submucosa, con cualquier material, uni o bilateral</t>
  </si>
  <si>
    <t>1302051</t>
  </si>
  <si>
    <t>Rinofima, trat. quir.</t>
  </si>
  <si>
    <t>1302052</t>
  </si>
  <si>
    <t>Rinoplastía y/o septoplastía, cualquier técnica</t>
  </si>
  <si>
    <t>1302053</t>
  </si>
  <si>
    <t>Seno esfenoidal, abertura por cualquier vía</t>
  </si>
  <si>
    <t>1302054</t>
  </si>
  <si>
    <t>Tratamiento quirúrgico de seno frontal, cualquier vía</t>
  </si>
  <si>
    <t>1302055</t>
  </si>
  <si>
    <t>Antrostomía seno maxilar, cualquier vía</t>
  </si>
  <si>
    <t>1302056</t>
  </si>
  <si>
    <t>Sinequia nasal, trat. quir.</t>
  </si>
  <si>
    <t>1302057</t>
  </si>
  <si>
    <t>Tumor nasal, extirp. por rinotomía lateral</t>
  </si>
  <si>
    <t>1302058</t>
  </si>
  <si>
    <t>Vaciamiento etmoidal por vía nasal c/s polipectomía</t>
  </si>
  <si>
    <t>1302059</t>
  </si>
  <si>
    <t>Aritenoidectomía vía endoscópica</t>
  </si>
  <si>
    <t>1302060</t>
  </si>
  <si>
    <t>Aritenoidectomía vía externa</t>
  </si>
  <si>
    <t>1302061</t>
  </si>
  <si>
    <t>Decorticación de cuerdas vocales c/microscopio</t>
  </si>
  <si>
    <t>1302062</t>
  </si>
  <si>
    <t>Tumor benigno de cuerdas vocales, trat. quirúrgico por vía abierta</t>
  </si>
  <si>
    <t>1302063</t>
  </si>
  <si>
    <t>Tumor benigno de cuerdas vocales, trat. quirúrgico por vía endoscópica</t>
  </si>
  <si>
    <t>1302064</t>
  </si>
  <si>
    <t>Cordectomía, resección de sinequia y otras malformaciones, trat. quirúrgico por vía externa</t>
  </si>
  <si>
    <t>1302065</t>
  </si>
  <si>
    <t>Estenosis laringotraqueales y/o faríngeas, trat. quir. por vía abierta (incluye reconstrucción laringotraqueal)</t>
  </si>
  <si>
    <t>1302066</t>
  </si>
  <si>
    <t>Laringectomía parcial o subtotal (cualquier técnica)</t>
  </si>
  <si>
    <t>1302067</t>
  </si>
  <si>
    <t>Laringectomía total más faringectomía parcial</t>
  </si>
  <si>
    <t>1302068</t>
  </si>
  <si>
    <t>Laringectomía total más faringectomía total y/o esofagectomía cervical</t>
  </si>
  <si>
    <t>1302069</t>
  </si>
  <si>
    <t>Laringocele, trat. quir.</t>
  </si>
  <si>
    <t>1302070</t>
  </si>
  <si>
    <t>Papilomas laríngeos, trat. quir. (por sesión)</t>
  </si>
  <si>
    <t>1302071</t>
  </si>
  <si>
    <t>Parálisis de cuerdas vocales, trat. quir. cualquier técnica</t>
  </si>
  <si>
    <t>1302072</t>
  </si>
  <si>
    <t>Traqueostomía (proc. aut.)</t>
  </si>
  <si>
    <t>1302073</t>
  </si>
  <si>
    <t>Estenosis laringotraqueales y faríngeas, trat. quir. por vía endoscópica (incluye laser)</t>
  </si>
  <si>
    <t>1302074</t>
  </si>
  <si>
    <t>Intervención quirúrgica implante coclear</t>
  </si>
  <si>
    <t>1302075</t>
  </si>
  <si>
    <t>Fractura laríngea, reducción abierta c/s microplacas</t>
  </si>
  <si>
    <t>1302076</t>
  </si>
  <si>
    <t>Punción timpánica para inyección de medicamentos</t>
  </si>
  <si>
    <t>1302077</t>
  </si>
  <si>
    <t>Implante activo de oído medio</t>
  </si>
  <si>
    <t>1302078</t>
  </si>
  <si>
    <t>Tumor de conducto auditivo externo, extirpación con reparación (injerto) del conducto</t>
  </si>
  <si>
    <t>1302079</t>
  </si>
  <si>
    <t>Aticotomía (excluye timpanoplastia funcional)</t>
  </si>
  <si>
    <t>1302080</t>
  </si>
  <si>
    <t>Plastía o dilatación por vía endoscópica trompa de Eustaquio</t>
  </si>
  <si>
    <t>1302081</t>
  </si>
  <si>
    <t>Meatoplastía en oído radicalizado</t>
  </si>
  <si>
    <t>1302082</t>
  </si>
  <si>
    <t>Reparación de brecha osteomeníngea por vía transtemporal</t>
  </si>
  <si>
    <t>1302083</t>
  </si>
  <si>
    <t>Resección subtotal del hueso temporal (incluye tegmen, laberinto y punta de peñasco)</t>
  </si>
  <si>
    <t>1302084</t>
  </si>
  <si>
    <t>Resección total del hueso temporal (abordaje combinado orl y neurocirujano)</t>
  </si>
  <si>
    <t>1302085</t>
  </si>
  <si>
    <t>Timpanectomía con o sin tubos de ventilación</t>
  </si>
  <si>
    <t>1302086</t>
  </si>
  <si>
    <t>Timpanoplastía funcional con reconstrucción de cadena osicular (excluye miringoplastía)</t>
  </si>
  <si>
    <t>1302087</t>
  </si>
  <si>
    <t>Timpanotomía exploradora</t>
  </si>
  <si>
    <t>1302088</t>
  </si>
  <si>
    <t>Tiroplastia 1-4</t>
  </si>
  <si>
    <t>1302089</t>
  </si>
  <si>
    <t>Toma de injerto cartilago tragal</t>
  </si>
  <si>
    <t>1302090</t>
  </si>
  <si>
    <t>Toma de injerto fascia temporal</t>
  </si>
  <si>
    <t>1302091</t>
  </si>
  <si>
    <t>Tumor glómico petro-tímpano-mástoídeo, tratamiento quirúrgico</t>
  </si>
  <si>
    <t>1302092</t>
  </si>
  <si>
    <t>Cirugía de fosa pterigo palatina</t>
  </si>
  <si>
    <t>1302093</t>
  </si>
  <si>
    <t>Reparación de válvula nasal</t>
  </si>
  <si>
    <t>1302094</t>
  </si>
  <si>
    <t>Resección de tumor de base de cráneo anterior con reparación de duramadre (colgajo pediculado de haddad o similar)</t>
  </si>
  <si>
    <t>1302095</t>
  </si>
  <si>
    <t>Resección lateral del hueso temporal (incluye mástoides y conducto auditivo externo en forma circular)</t>
  </si>
  <si>
    <t>1302096</t>
  </si>
  <si>
    <t>Tumor benigno nasosinusal y/o rinofaríngeo, resección por vía endoscópica (excluye fibroangioma nasofaríngeo)</t>
  </si>
  <si>
    <t>1302097</t>
  </si>
  <si>
    <t>Tumor de espacio parafaríngeo, extirpación</t>
  </si>
  <si>
    <t>1302098</t>
  </si>
  <si>
    <t>Tumor maligno nasosinusal y/o rinofaríngeo, tratamiento quirúrgico por vía endoscópica</t>
  </si>
  <si>
    <t>1302099</t>
  </si>
  <si>
    <t>Sinuplastía seno frontal con balón por endoscopía u otra técnica</t>
  </si>
  <si>
    <t>1302100</t>
  </si>
  <si>
    <t>Sinuplastía seno maxilar con balón por endoscopía u otra técnica</t>
  </si>
  <si>
    <t>1302101</t>
  </si>
  <si>
    <t>Sinuplastía seno esfenoidal con balón por endoscopia u otra técnica</t>
  </si>
  <si>
    <t>1302102</t>
  </si>
  <si>
    <t>Dacriocistocele reseccion vía nasal</t>
  </si>
  <si>
    <t>1302103</t>
  </si>
  <si>
    <t>Abducción de aritenoides, aritenoidopexia</t>
  </si>
  <si>
    <t>1302104</t>
  </si>
  <si>
    <t>Cordectomía, sinequia y otras malformaciones, tratatamiento quirúrgico por endoscópica (incluye laser)</t>
  </si>
  <si>
    <t>1302105</t>
  </si>
  <si>
    <t>Subluxación articulación cricotiroídea</t>
  </si>
  <si>
    <t>1302106</t>
  </si>
  <si>
    <t>Laringectomía parcial endoscópica con láser, incluye cordectomía ampliada (carcinoma supraglótico)</t>
  </si>
  <si>
    <t>1302107</t>
  </si>
  <si>
    <t>Laringoplastía por laringomalacia</t>
  </si>
  <si>
    <t>1302108</t>
  </si>
  <si>
    <t>Inyección de cuerda vocal vía endoscópica</t>
  </si>
  <si>
    <t>1302109</t>
  </si>
  <si>
    <t>Inyección de cuerda vocal vía externa</t>
  </si>
  <si>
    <t>1303010</t>
  </si>
  <si>
    <t>Evaluación Integral de Fonoaudiólogo</t>
  </si>
  <si>
    <t>1303011</t>
  </si>
  <si>
    <t>Rehabilitación Integral de Fonoaudiólogo</t>
  </si>
  <si>
    <t>1308010</t>
  </si>
  <si>
    <t>Telerehabilitación: Evaluación Integral de Fonoaudiólogo</t>
  </si>
  <si>
    <t>1308011</t>
  </si>
  <si>
    <t>Telerehabilitación: Rehabilitación Integral de Fonoaudiólogo</t>
  </si>
  <si>
    <t>1401001</t>
  </si>
  <si>
    <t>Punción aspirativa con aguja fina de nódulo tiroideo</t>
  </si>
  <si>
    <t>1402001</t>
  </si>
  <si>
    <t>Tiroidectomía bilateral total</t>
  </si>
  <si>
    <t>1402002</t>
  </si>
  <si>
    <t>Tiroidectomía bilateral subtotal</t>
  </si>
  <si>
    <t>1402003</t>
  </si>
  <si>
    <t>Bocio intratorácico, trat. quir. por esternotomía</t>
  </si>
  <si>
    <t>1402004</t>
  </si>
  <si>
    <t>Extirpación de Tiroides lingual</t>
  </si>
  <si>
    <t>1402005</t>
  </si>
  <si>
    <t>Lobectomía con o sin istmectomía o resección parcial</t>
  </si>
  <si>
    <t>1402006</t>
  </si>
  <si>
    <t>Tiroidectomía total ampliada (incluye extirpación de estructuras anatómicas vecinas)</t>
  </si>
  <si>
    <t>1402007</t>
  </si>
  <si>
    <t>Autotransplante de paratiroides (operación asociada a algunas de las prestaciones de tiroides y paratiroides)</t>
  </si>
  <si>
    <t>1402008</t>
  </si>
  <si>
    <t>Paratiroidectomía o exploración paratiroides con exploración de mediastino, abordaje transtorácico.</t>
  </si>
  <si>
    <t>1402009</t>
  </si>
  <si>
    <t>Paratiroidectomía o exploración de paratiroides (abordaje cervical, clásico o mínimamente invasivo)</t>
  </si>
  <si>
    <t>1402010</t>
  </si>
  <si>
    <t>Reexploración cervical paratiroides por persistencia o recidiva hiperparatiroidismo</t>
  </si>
  <si>
    <t>1402011</t>
  </si>
  <si>
    <t>Parotidectomía suprafacial con disección y preservación del nervio facial</t>
  </si>
  <si>
    <t>1402012</t>
  </si>
  <si>
    <t>Parotidectomía total, con disección y preservación del nervio facial.</t>
  </si>
  <si>
    <t>1402013</t>
  </si>
  <si>
    <t>Parotidectomía total ampliada (incluye músculos, ganglios, articulaciones y rama vertical de la mandíbula)</t>
  </si>
  <si>
    <t>1402014</t>
  </si>
  <si>
    <t>Totalización de parotidectomía previa o parotidectomía del lóbulo profundo</t>
  </si>
  <si>
    <t>1402015</t>
  </si>
  <si>
    <t>Extirpación submandibular ampliada (incluye piso de boca, arco mandibular, músculos y articulaciones)</t>
  </si>
  <si>
    <t>1402016</t>
  </si>
  <si>
    <t>Extirpación de glándula salival submandibular</t>
  </si>
  <si>
    <t>1402017</t>
  </si>
  <si>
    <t>Extirpación glándula salival sublingual</t>
  </si>
  <si>
    <t>1402018</t>
  </si>
  <si>
    <t>Extirpación sublingual ampliada (incluye piso de boca, arco mandibular, músculos, ganglios y articulaciones)</t>
  </si>
  <si>
    <t>1402019</t>
  </si>
  <si>
    <t>Absceso parotídeo, sub-maxilar y/o cervical profundo, trat. quir.</t>
  </si>
  <si>
    <t>1402020</t>
  </si>
  <si>
    <t>Conductos salivales de excreción, reimplantación oro-faríngea</t>
  </si>
  <si>
    <t>1402021</t>
  </si>
  <si>
    <t>Cierre de fístula salival: reparación del conducto de excreción</t>
  </si>
  <si>
    <t>1402022</t>
  </si>
  <si>
    <t>Extirpación de quiste o mucocele de glándula salival menor de labios</t>
  </si>
  <si>
    <t>1402023</t>
  </si>
  <si>
    <t>Tratamiento quirúrgico Torticolis Congénita</t>
  </si>
  <si>
    <t>1402024</t>
  </si>
  <si>
    <t>Quistes y/o fístulas del conducto tirogloso, y/o branquial, y/o higroma, y/o fístula preauricular complicada, y/u otros quistes y/o tumores benignos, trat. quir.</t>
  </si>
  <si>
    <t>1402025</t>
  </si>
  <si>
    <t>Tumores del cuerpo carotídeo, trat. quir. (incl. proc. vascular)</t>
  </si>
  <si>
    <t>1402026</t>
  </si>
  <si>
    <t>Biopsia quir., mucosa oronasofaríngea (proc. aut.)</t>
  </si>
  <si>
    <t>1402027</t>
  </si>
  <si>
    <t>Biopsia quir., piel  y mucosa cara (proc. aut.)</t>
  </si>
  <si>
    <t>1402028</t>
  </si>
  <si>
    <t>Resección cutánea ampliada (incluye musculatura, ganglios y huesos subyacentes; desplazamiento de colgajos)</t>
  </si>
  <si>
    <t>1402029</t>
  </si>
  <si>
    <t>Resección cutánea simple (sutura primaria)</t>
  </si>
  <si>
    <t>1402030</t>
  </si>
  <si>
    <t>Tumor maligno de labio superior o inferior, resección total del labio y cirugía reparadora</t>
  </si>
  <si>
    <t>1402031</t>
  </si>
  <si>
    <t>Tumor maligno de labio superior o inferior, resección parcial del labio y cirugía reparadora</t>
  </si>
  <si>
    <t>1402032</t>
  </si>
  <si>
    <t>Resección parcial y cirugía reparadora nariz</t>
  </si>
  <si>
    <t>1402033</t>
  </si>
  <si>
    <t>Resección total y cirugía reparadora nariz</t>
  </si>
  <si>
    <t>1402034</t>
  </si>
  <si>
    <t>Extirpación ampliada de nariz incluyendo parte esqueleto facial (naso-etmoidiana)</t>
  </si>
  <si>
    <t>1402035</t>
  </si>
  <si>
    <t>Exanteración orbitaria ampliada (incluye etmoides, hueso frontal, base de cráneo anterior y región máxilo-malar)</t>
  </si>
  <si>
    <t>1402036</t>
  </si>
  <si>
    <t>Extirpación total ampliada del hueso temporal</t>
  </si>
  <si>
    <t>1402037</t>
  </si>
  <si>
    <t>Maxilectomia parcial y reparación protésica</t>
  </si>
  <si>
    <t>1402038</t>
  </si>
  <si>
    <t>Maxilectomía parcial (incluye paladar óseo; reparación con colgajo)</t>
  </si>
  <si>
    <t>1402039</t>
  </si>
  <si>
    <t>Maxilectomía radical ampliada (incluye exanteración orbitaria y de fosa craneal anterior o media)</t>
  </si>
  <si>
    <t>1402040</t>
  </si>
  <si>
    <t>Maxilectomía radical clásica (incluye exanteración orbitaria y reparación con colgajo)</t>
  </si>
  <si>
    <t>1402041</t>
  </si>
  <si>
    <t>Maxilectomía radical clásica (incluye exanteración orbitaria y reparación protésica)</t>
  </si>
  <si>
    <t>1402042</t>
  </si>
  <si>
    <t>Glosectomía parcial, reparación primaria</t>
  </si>
  <si>
    <t>1402043</t>
  </si>
  <si>
    <t>Resección amplia de tumor maligno cavidad oral y orofaringea y disección ganglionar cervical</t>
  </si>
  <si>
    <t>1402044</t>
  </si>
  <si>
    <t>Hemimandibulectomía</t>
  </si>
  <si>
    <t>1402045</t>
  </si>
  <si>
    <t>Mandibulectomía total</t>
  </si>
  <si>
    <t>1402046</t>
  </si>
  <si>
    <t>Operación "comando" (incluye extirp. del tumor, hemimandibulectomía y disección ganglionar radical de cuello)</t>
  </si>
  <si>
    <t>1402047</t>
  </si>
  <si>
    <t>Resección parcial de mandíbula</t>
  </si>
  <si>
    <t>1402048</t>
  </si>
  <si>
    <t>Extirpación de tumor intraoral amplia en tercio posterior cavidad oral (región faringea)</t>
  </si>
  <si>
    <t>1402050</t>
  </si>
  <si>
    <t>Faringectomía parcial</t>
  </si>
  <si>
    <t>1402051</t>
  </si>
  <si>
    <t>Genioplastía</t>
  </si>
  <si>
    <t>1402052</t>
  </si>
  <si>
    <t>Osteotomias segmentarias del maxilar o mandíbula</t>
  </si>
  <si>
    <t>1402053</t>
  </si>
  <si>
    <t>Osteotomias totales del maxilar o mandibula (tipo Le Fort I o sagital de rama)</t>
  </si>
  <si>
    <t>1402054</t>
  </si>
  <si>
    <t>Reducción cerrada de fracturas maxilofaciales</t>
  </si>
  <si>
    <t>1402055</t>
  </si>
  <si>
    <t>Reducción abierta de fracturas maxilofaciales y estabilización con elementos de osteosíntesis</t>
  </si>
  <si>
    <t>1402056</t>
  </si>
  <si>
    <t>Reducción abierta de fracturas maxilofaciales con osteosíntesis única</t>
  </si>
  <si>
    <t>1402057</t>
  </si>
  <si>
    <t>Reconstrucciones complejas de la cara simultáneas con proc. neuroquirúrgico (craneotomías más abordajes y trat. facial), tiempo facial</t>
  </si>
  <si>
    <t>1402058</t>
  </si>
  <si>
    <t>Reconstrucciones de partes duras y blandas de la cara, mediante abordajes múltiples y hemicoronal o coronal</t>
  </si>
  <si>
    <t>1402059</t>
  </si>
  <si>
    <t>Remoción de arcos dentarios o ligaduras de alambre</t>
  </si>
  <si>
    <t>1402060</t>
  </si>
  <si>
    <t>Remoción simple (proc.aut.)</t>
  </si>
  <si>
    <t>1502001</t>
  </si>
  <si>
    <t>Heridas de la cara Complicadas: 1 o varias de más de 5 cms. y/o ubicadas en bordes de párpados, labios o ala nasal y/o que comprometen músculos, conductos, vasos o nervios</t>
  </si>
  <si>
    <t>1502002</t>
  </si>
  <si>
    <t>Heridas de la cara simples: 1 o varias de hasta 5 cms. que sólo comprometen piel</t>
  </si>
  <si>
    <t>1502003</t>
  </si>
  <si>
    <t>Implante de silicona facial (cualquier zona o zonas)</t>
  </si>
  <si>
    <t>1502004</t>
  </si>
  <si>
    <t>Resección plástica de hasta 2 cicatrices (cualquier localización o tamaño)</t>
  </si>
  <si>
    <t>1502005</t>
  </si>
  <si>
    <t>Resección plástica de 3 o más cicatrices (cualquier localización o tamaño)</t>
  </si>
  <si>
    <t>1502006</t>
  </si>
  <si>
    <t>Injertos  hasta 1% superficie corporal receptora</t>
  </si>
  <si>
    <t>1502007</t>
  </si>
  <si>
    <t>Injertos  hasta 5% superficie corporal receptora</t>
  </si>
  <si>
    <t>1502008</t>
  </si>
  <si>
    <t>Injertos hasta 10% superficie corporal receptora</t>
  </si>
  <si>
    <t>1502009</t>
  </si>
  <si>
    <t>Injertos por cada 10% (o su fracción) adicional hasta 50%</t>
  </si>
  <si>
    <t>1502010</t>
  </si>
  <si>
    <t>Injertos 51% y más de superficie corporal receptora</t>
  </si>
  <si>
    <t>1502011</t>
  </si>
  <si>
    <t>Piel total, cualquier tamaño (incluye tratamiento zona dadora y receptora)</t>
  </si>
  <si>
    <t>1502012</t>
  </si>
  <si>
    <t>Toma de injertos cartílago (auricular, costal o similares) c/u</t>
  </si>
  <si>
    <t>1502013</t>
  </si>
  <si>
    <t>Toma de injertos-óseo (costal, ilíaco, tibial o similares) c/u.</t>
  </si>
  <si>
    <t>1502014</t>
  </si>
  <si>
    <t>Plastías en Z, hasta 3</t>
  </si>
  <si>
    <t>1502015</t>
  </si>
  <si>
    <t>Plastías en Z, 4 y más</t>
  </si>
  <si>
    <t>1502016</t>
  </si>
  <si>
    <t>Colgajos complejos (Abbe, Mustarda, Converse, Juri, Bakamjian o similar)</t>
  </si>
  <si>
    <t>1502017</t>
  </si>
  <si>
    <t>Colgajos libres con microanastomosis (incluye toma del colgajo y las suturas neurovasculares)</t>
  </si>
  <si>
    <t>1502018</t>
  </si>
  <si>
    <t>Colgajos musculares o musculocutáneos</t>
  </si>
  <si>
    <t>1502019</t>
  </si>
  <si>
    <t>Colgajos osteomusculocutáneos</t>
  </si>
  <si>
    <t>1502020</t>
  </si>
  <si>
    <t>Colgajos simples dos o más</t>
  </si>
  <si>
    <t>1502021</t>
  </si>
  <si>
    <t>Colgajo simple único</t>
  </si>
  <si>
    <t>1502022</t>
  </si>
  <si>
    <t>Parálisis facial, trasplantes musculares</t>
  </si>
  <si>
    <t>1502023</t>
  </si>
  <si>
    <t>Ridectomía cérvico-facial, un lado</t>
  </si>
  <si>
    <t>1502024</t>
  </si>
  <si>
    <t>Ridectomía frontal</t>
  </si>
  <si>
    <t>1502025</t>
  </si>
  <si>
    <t>Orejas aladas o en asa, corrección plástica</t>
  </si>
  <si>
    <t>1502026</t>
  </si>
  <si>
    <t>Lóbulo auricular partido, corrección plástica (proc. aut)</t>
  </si>
  <si>
    <t>1502027</t>
  </si>
  <si>
    <t>Malformación congénita compleja en orejas, cada plastía o plastías en tiempos diferentes</t>
  </si>
  <si>
    <t>1502028</t>
  </si>
  <si>
    <t>Corrección nasal parcial (alares, alargamiento columela o similar)</t>
  </si>
  <si>
    <t>1502029</t>
  </si>
  <si>
    <t>Blefaroplastia párpados inferiores, uni o bilateral</t>
  </si>
  <si>
    <t>1502030</t>
  </si>
  <si>
    <t>Blefaroplastia párpados superiores, uni o bilateral</t>
  </si>
  <si>
    <t>1502031</t>
  </si>
  <si>
    <t>Corrección quirúrgica secundaria de queiloplastía</t>
  </si>
  <si>
    <t>1502032</t>
  </si>
  <si>
    <t>Queiloplastía primaria, un lado (proc. quir. completo por cualquier técnica)</t>
  </si>
  <si>
    <t>1502033</t>
  </si>
  <si>
    <t>Cierre de paladar duro y/o cierre de comunicación oro-nasal</t>
  </si>
  <si>
    <t>1502034</t>
  </si>
  <si>
    <t>Cierre mucoso vestíbulo oral o gingivo-periostio-plastía</t>
  </si>
  <si>
    <t>1502035</t>
  </si>
  <si>
    <t>Plastia de velo (cualquier técnica)</t>
  </si>
  <si>
    <t>1502036</t>
  </si>
  <si>
    <t>Cierre de macrostomía, unilateral</t>
  </si>
  <si>
    <t>1502037</t>
  </si>
  <si>
    <t>Tratamiento quirúrgico de anomalías cráneo faciales</t>
  </si>
  <si>
    <t>1502038</t>
  </si>
  <si>
    <t>Reconstrucción osteoplástica reborde alveolar bilateral en un tiempo</t>
  </si>
  <si>
    <t>1502039</t>
  </si>
  <si>
    <t>Reconstrucción osteoplástica reborde alveolar unilateral</t>
  </si>
  <si>
    <t>1502040</t>
  </si>
  <si>
    <t>Distoplasias orbitarias: movilización unilateral o vertical tiempo facial</t>
  </si>
  <si>
    <t>1502041</t>
  </si>
  <si>
    <t>Expansión o reconstrucción de un micro-orbitismo</t>
  </si>
  <si>
    <t>1502042</t>
  </si>
  <si>
    <t>Síndrome de Apert Crouzon o similar: avance fronto-orbito-maxilar vía intracraneana, tiempo facial</t>
  </si>
  <si>
    <t>1502043</t>
  </si>
  <si>
    <t>Síndrome de Apert Crouzon o similar: osteotomía tipo Le Fort III o similar</t>
  </si>
  <si>
    <t>1502044</t>
  </si>
  <si>
    <t>Corrección telecanto</t>
  </si>
  <si>
    <t>1502045</t>
  </si>
  <si>
    <t>Movilización orbitaria extracraneana</t>
  </si>
  <si>
    <t>1502046</t>
  </si>
  <si>
    <t>Movilización orbitaria intracraneana, tiempo facial</t>
  </si>
  <si>
    <t>1502047</t>
  </si>
  <si>
    <t>Ginecomastia, corrección plástica</t>
  </si>
  <si>
    <t>1502048</t>
  </si>
  <si>
    <t>Mamoplastía de aumento (unilateral)</t>
  </si>
  <si>
    <t>1502049</t>
  </si>
  <si>
    <t>Mamoplastía de reducción</t>
  </si>
  <si>
    <t>1502050</t>
  </si>
  <si>
    <t>Mastopexia c/s implante de prótesis (no incluye valor de la prótesis)</t>
  </si>
  <si>
    <t>1502051</t>
  </si>
  <si>
    <t>Reconstrucción areola y/o pezón c/s plastía (proc. aut.)</t>
  </si>
  <si>
    <t>1502052</t>
  </si>
  <si>
    <t>Reconstrucción mamaria</t>
  </si>
  <si>
    <t>1502053</t>
  </si>
  <si>
    <t>Abdominoplastia</t>
  </si>
  <si>
    <t>1502054</t>
  </si>
  <si>
    <t>Escarectomía con resección ósea c/s colgajo de rotación</t>
  </si>
  <si>
    <t>1502055</t>
  </si>
  <si>
    <t>Tratamiento de escaras de decubito, con resección ósea y colgajos musculares o musculocutáneos</t>
  </si>
  <si>
    <t>1502056</t>
  </si>
  <si>
    <t>Sindactilia, trat. quir. cada espacio con injerto</t>
  </si>
  <si>
    <t>1502057</t>
  </si>
  <si>
    <t>Sindactilia, trat. quir. cada espacio sin injerto</t>
  </si>
  <si>
    <t>1502058</t>
  </si>
  <si>
    <t>Polidactilia, extirpación y plastía unilateral</t>
  </si>
  <si>
    <t>1502059</t>
  </si>
  <si>
    <t>Lipectomía glútea, unilateral</t>
  </si>
  <si>
    <t>1502060</t>
  </si>
  <si>
    <t>Lipectomía trocantérea, unilateral</t>
  </si>
  <si>
    <t>1502061</t>
  </si>
  <si>
    <t>Escarotomía hasta 10 % superficie corporal</t>
  </si>
  <si>
    <t>1502062</t>
  </si>
  <si>
    <t>Escarotomía por cada 10 % adicional (o su fracción)</t>
  </si>
  <si>
    <t>1502063</t>
  </si>
  <si>
    <t>Escarectomía hasta 1 % superficie corporal</t>
  </si>
  <si>
    <t>1502064</t>
  </si>
  <si>
    <t>Escarectomía hasta 5 % superficie corporal</t>
  </si>
  <si>
    <t>1502065</t>
  </si>
  <si>
    <t>Escarectomía  hasta 10% superficie corporal</t>
  </si>
  <si>
    <t>1502066</t>
  </si>
  <si>
    <t>Escarectomía por cada 10% adicional (o su fracción) (Se cobrará cód. ad. una sóla vez por superficie entre el 11% y 50%).</t>
  </si>
  <si>
    <t>1502067</t>
  </si>
  <si>
    <t>Toma de injerto de cuero cabelludo</t>
  </si>
  <si>
    <t>1502068</t>
  </si>
  <si>
    <t>Expansor de piel (dos o más) primer tiempo</t>
  </si>
  <si>
    <t>1502069</t>
  </si>
  <si>
    <t>Expansor de piel (dos o más) segundo tiempo retiro</t>
  </si>
  <si>
    <t>1502070</t>
  </si>
  <si>
    <t>Expansor de piel (único) primer tiempo</t>
  </si>
  <si>
    <t>1502071</t>
  </si>
  <si>
    <t>Expansor de piel (único) segundo tiempo o retiro</t>
  </si>
  <si>
    <t>1601110</t>
  </si>
  <si>
    <t>Curetaje de lesiones virales y similares hasta 10 lesiones por sesión</t>
  </si>
  <si>
    <t>1601111</t>
  </si>
  <si>
    <t>Aplicación de inmunomoduladores, químicos y similares hasta 10 lesiones por sesión</t>
  </si>
  <si>
    <t>1601112</t>
  </si>
  <si>
    <t>Fototerapia UVB, UVA localizada, por sesión</t>
  </si>
  <si>
    <t>1601113</t>
  </si>
  <si>
    <t>Fototerapia UVB, Banda Angosta y UVA por sesión en cabina</t>
  </si>
  <si>
    <t>1601115</t>
  </si>
  <si>
    <t>Implantes Subcutáneos, instalación o retiro</t>
  </si>
  <si>
    <t>1601116</t>
  </si>
  <si>
    <t>Crioterapia hasta 5 lesiones por sesión</t>
  </si>
  <si>
    <t>1601117</t>
  </si>
  <si>
    <t>Crioterapia 6 a 10 lesiones por sesión</t>
  </si>
  <si>
    <t>1601118</t>
  </si>
  <si>
    <t>Tumor maligno por criocirugía (por cada lesión) por sesión</t>
  </si>
  <si>
    <t>1601119</t>
  </si>
  <si>
    <t>Inyección intracutánea en áreas hasta 9 cm2 por sesión</t>
  </si>
  <si>
    <t>1601120</t>
  </si>
  <si>
    <t>Tratamiento abrasivo cutáneo mecánico por sesión</t>
  </si>
  <si>
    <t>1601121</t>
  </si>
  <si>
    <t>Tratamiento abrasivo cutáneo químico por sesión</t>
  </si>
  <si>
    <t>1601122</t>
  </si>
  <si>
    <t>Tricograma</t>
  </si>
  <si>
    <t>1601124</t>
  </si>
  <si>
    <t>Tratamiento por láser, IPL o similar por área hasta 16 cm2  por sesión</t>
  </si>
  <si>
    <t>1601125</t>
  </si>
  <si>
    <t>Terapia fotodinámica (no incluye medicamento) por sesión</t>
  </si>
  <si>
    <t>1601126</t>
  </si>
  <si>
    <t>Dermatoscopía digital con registro gráfico o digital hasta 5 lesiones</t>
  </si>
  <si>
    <t>1602201</t>
  </si>
  <si>
    <t>Biopsia de piel y/o mucosa por curetaje o sección tangencial c/s electro por 1 lesión</t>
  </si>
  <si>
    <t>1602202</t>
  </si>
  <si>
    <t>Cabeza, cuello, genitales hasta 3 lesiones: extirpación, reparación o biopsia, total o parcial, de lesiones benignas cutáneas por excisión</t>
  </si>
  <si>
    <t>1602203</t>
  </si>
  <si>
    <t>Resto del cuerpo hasta 3 lesiones: extirpación, reparación o biopsia, total o parcial, de lesiones benignas cutáneas por excisión</t>
  </si>
  <si>
    <t>1602204</t>
  </si>
  <si>
    <t>Cabeza, cuello y genitales desde 4 y hasta 6 lesiones: extirpación, reparación o biopsia, total o parcial, de lesiones benignas cutáneas por excisión</t>
  </si>
  <si>
    <t>1602205</t>
  </si>
  <si>
    <t>Resto del cuerpo desde 4 y hasta 6 lesiones: extirpación, reparación o biopsia, total o parcial, de lesiones benignas cutáneas por excisión</t>
  </si>
  <si>
    <t>1602206</t>
  </si>
  <si>
    <t>Extirpación de lesiones benignas por sec tangencial, curetaje y/o fulguración hasta 15 lesiones</t>
  </si>
  <si>
    <t>1602207</t>
  </si>
  <si>
    <t>Tratamiento por electro de hemangiomas o telangectasias hasta 15 lesiones</t>
  </si>
  <si>
    <t>1602211</t>
  </si>
  <si>
    <t>Cabeza, cuello, genitales: tratamiento quirúrgico de tumor maligno por escisión total o parcial, con o sin sutura, por cada lesión o melanoma cualquier localización</t>
  </si>
  <si>
    <t>1602212</t>
  </si>
  <si>
    <t>Resto del cuerpo: tratamiento quirúrgico de tumor maligno por escisión total o parcial, con o sin sutura, por cada lesión</t>
  </si>
  <si>
    <t>1602213</t>
  </si>
  <si>
    <t>Cabeza, cuello, genitales o melanoma cualquier ubicación: ampliación de márgenes quirúrgicos de tumor maligno extirpado previamente</t>
  </si>
  <si>
    <t>1602214</t>
  </si>
  <si>
    <t>Resto del cuerpo: ampliación de márgenes quirúrgicos de tumor maligno extirpado previamente</t>
  </si>
  <si>
    <t>1602215</t>
  </si>
  <si>
    <t>Tumores vasculares profundos cabeza, cuello, genitales</t>
  </si>
  <si>
    <t>1602216</t>
  </si>
  <si>
    <t>Tumores vasculares profundos resto del cuerpo</t>
  </si>
  <si>
    <t>1602221</t>
  </si>
  <si>
    <t>Herida cortante o contusa complicada, reparación y sutura (más de 5 cm)</t>
  </si>
  <si>
    <t>1602222</t>
  </si>
  <si>
    <t>Herida cortante o contusa no complicada, reparación y sutura (una o múltiple hasta 5 cms. de largo total que comprometa solo la piel)</t>
  </si>
  <si>
    <t>1602223</t>
  </si>
  <si>
    <t>Cabeza, cuello, genitales: extirpación de lesión benigna subepidérmica, incluye tumor sólido, quiste epidérmico y lipoma por lesión</t>
  </si>
  <si>
    <t>1602224</t>
  </si>
  <si>
    <t>Resto del cuerpo: extirpación de lesión benigna subepidérmica, incluye tumor sólido, quiste epidérmico y lipoma por lesión</t>
  </si>
  <si>
    <t>1602225</t>
  </si>
  <si>
    <t>Vaciamiento y curetaje quirúrgico de lesiones quísticas o abscesos</t>
  </si>
  <si>
    <t>1602231</t>
  </si>
  <si>
    <t>Onicectomía total o parcial simple</t>
  </si>
  <si>
    <t>1602232</t>
  </si>
  <si>
    <t>Cirugía reparadora ungueal por proceso inflamatorio</t>
  </si>
  <si>
    <t>1602233</t>
  </si>
  <si>
    <t>Corrección quirúrgica de defecto congénito o por tumor ungueal</t>
  </si>
  <si>
    <t>1602240</t>
  </si>
  <si>
    <t>Curación por Médico, Quemadura o Similar  menor al 5% superficie corporal en pabellón</t>
  </si>
  <si>
    <t>1602241</t>
  </si>
  <si>
    <t>Curación por Médico, Quemadura o Similar  5 a 10% superficie corporal en pabellón</t>
  </si>
  <si>
    <t>1602242</t>
  </si>
  <si>
    <t>Curación por Médico, Quemadura o Similar mayor al 10 %  superficie corporal en pabellón</t>
  </si>
  <si>
    <t>1701001</t>
  </si>
  <si>
    <t>E.C.G. de reposo (incluye mínimo 12 derivaciones y 4 complejos por derivación)</t>
  </si>
  <si>
    <t>1701003</t>
  </si>
  <si>
    <t>Electrocardiograma de esfuerzo</t>
  </si>
  <si>
    <t>1701004</t>
  </si>
  <si>
    <t>Registro de Haz de His, en adultos o niños</t>
  </si>
  <si>
    <t>1701006</t>
  </si>
  <si>
    <t>E.C.G. continuo (test Holter o similares, por ej. variabilidad de la frecuencia cardíaca y/o alta resolución del ST y/o depolarización tardía); 20 a 24 horas de registro</t>
  </si>
  <si>
    <t>1701007</t>
  </si>
  <si>
    <t>Ecocardiograma  Doppler, con registro (incluye cód. 17-01-008)</t>
  </si>
  <si>
    <t>1701008</t>
  </si>
  <si>
    <t>Ecocardiograma bidimensional (incluye registro modo M, papel fotosensible y fotografía), en adultos o niños (proc. aut.)</t>
  </si>
  <si>
    <t>1701009</t>
  </si>
  <si>
    <t>Monitoreo de presión arterial continuo</t>
  </si>
  <si>
    <t>1701010</t>
  </si>
  <si>
    <t>Sondeo cardíaco derecho c/s termodilución, en adultos o niños</t>
  </si>
  <si>
    <t>1701011</t>
  </si>
  <si>
    <t>Sondeo cardíaco izquierdo y derecho, en adultos o niños</t>
  </si>
  <si>
    <t>1701012</t>
  </si>
  <si>
    <t>Sondeo cardíaco izquierdo, en adultos o niños</t>
  </si>
  <si>
    <t>1701013</t>
  </si>
  <si>
    <t>Cateterismo en recién nacido por arteria umbilical</t>
  </si>
  <si>
    <t>1701014</t>
  </si>
  <si>
    <t>Instalación de catéter Swan-Ganz o similar, en adultos o niños (proc. aut.)</t>
  </si>
  <si>
    <t>1701015</t>
  </si>
  <si>
    <t>Doppler con ergometría (por sesión)</t>
  </si>
  <si>
    <t>1701016</t>
  </si>
  <si>
    <t>Doppler simple de vasos periféricos (por sesión)</t>
  </si>
  <si>
    <t>1701017</t>
  </si>
  <si>
    <t>Pletismografía en reposo, esfuerzo c/u (por sesión)</t>
  </si>
  <si>
    <t>1701018</t>
  </si>
  <si>
    <t>Registro ecoarterial o ecovenoso periférico c/u (por sesión)</t>
  </si>
  <si>
    <t>1701019</t>
  </si>
  <si>
    <t>Cinecoronariografía derecha y/o izquierda (incluye sondeo cardíaco izquierdo  y ventriculografía izquierda)</t>
  </si>
  <si>
    <t>1701020</t>
  </si>
  <si>
    <t>Ventriculografía derecha, en adultos o niños (incl. proc. rad., y sondeo cardíaco derecho)</t>
  </si>
  <si>
    <t>1701021</t>
  </si>
  <si>
    <t>Ventriculografía izquierda, en adultos o niños (incl. proc. rad., y sondeo cardíaco izquierdo)</t>
  </si>
  <si>
    <t>1701022</t>
  </si>
  <si>
    <t>Aortografía, en adultos o niños (Incluye proc. rad.)</t>
  </si>
  <si>
    <t>1701023</t>
  </si>
  <si>
    <t>Arteriografía de extremidades, en adultos o niños (incluye proc. rad.)</t>
  </si>
  <si>
    <t>1701030</t>
  </si>
  <si>
    <t>Punción evacuadora de pericardio, c/s toma de muestra c/s inyección de medicamento</t>
  </si>
  <si>
    <t>1701033</t>
  </si>
  <si>
    <t>Biopsia endomiocárdica (proc. completo)</t>
  </si>
  <si>
    <t>1701034</t>
  </si>
  <si>
    <t>Cardioversión</t>
  </si>
  <si>
    <t>1701035</t>
  </si>
  <si>
    <t>Colocación de sonda marcapaso transitorio (proc. completo)</t>
  </si>
  <si>
    <t>1701037</t>
  </si>
  <si>
    <t>Punción subclavia o yugular con colocación de catéter</t>
  </si>
  <si>
    <t>1701038</t>
  </si>
  <si>
    <t>Septostomía de Rashkind o con controlada con balón</t>
  </si>
  <si>
    <t>1701039</t>
  </si>
  <si>
    <t>Trombólisis arterial periférica</t>
  </si>
  <si>
    <t>1701040</t>
  </si>
  <si>
    <t>Trombólisis intracoronaria</t>
  </si>
  <si>
    <t>1701043</t>
  </si>
  <si>
    <t>Angioplastía de coartación aórtica (incl. proc. rad.) (proc. completo)</t>
  </si>
  <si>
    <t>1701045</t>
  </si>
  <si>
    <t>Ecocardiograma bidimensional doppler color</t>
  </si>
  <si>
    <t>1701046</t>
  </si>
  <si>
    <t>Estudio electrofisiológico endocardíaco de las arritmias</t>
  </si>
  <si>
    <t>1701050</t>
  </si>
  <si>
    <t>Ablación con corriente continua o radiofrecuencia de nódulo aurículo-ventricular</t>
  </si>
  <si>
    <t>1701051</t>
  </si>
  <si>
    <t>Ablación con corriente continua o con radiofrecuencia de vías accesorias y otros</t>
  </si>
  <si>
    <t>1701055</t>
  </si>
  <si>
    <t>Ecocardiograma bidimensional doppler color transesofágico</t>
  </si>
  <si>
    <t>1701056</t>
  </si>
  <si>
    <t>Ecocardiograma Fetal</t>
  </si>
  <si>
    <t>1701057</t>
  </si>
  <si>
    <t>Ecocardiograma de estrés (incluye medicamento)</t>
  </si>
  <si>
    <t>1701058</t>
  </si>
  <si>
    <t>Test de esfuerzo con consumo de oxígeno (adultos y niños)</t>
  </si>
  <si>
    <t>1701059</t>
  </si>
  <si>
    <t>Tilt test o prueba de inclinación</t>
  </si>
  <si>
    <t>1701060</t>
  </si>
  <si>
    <t>Revisión (re-implante) electrodo desfibrilador automático transvenoso</t>
  </si>
  <si>
    <t>1701061</t>
  </si>
  <si>
    <t>Arteriografía selectiva o superselectiva pulmonar en adultos o niños (incl. proc. rad.)</t>
  </si>
  <si>
    <t>1701062</t>
  </si>
  <si>
    <t>Arteriografía selectiva o superselectiva renal en adultos o niños (incl. proc. rad.)</t>
  </si>
  <si>
    <t>1701063</t>
  </si>
  <si>
    <t>Arteriografía selectiva o superselectiva tronco celíaco en adultos o niños (incl. proc. rad.)</t>
  </si>
  <si>
    <t>1701064</t>
  </si>
  <si>
    <t>Arteriografía selectiva o superselectiva arteria glútea en adultos o niños (incl. proc. rad.)</t>
  </si>
  <si>
    <t>1701065</t>
  </si>
  <si>
    <t>Arteriografía selectiva o superselectiva hipogástrica en adultos o niños (incl. proc. rad.)</t>
  </si>
  <si>
    <t>1701066</t>
  </si>
  <si>
    <t>Arteriografía selectiva o superselectiva hepática en adultos o niños (incl. proc. rad.)</t>
  </si>
  <si>
    <t>1701067</t>
  </si>
  <si>
    <t>Arteriografía selectiva o superselectiva mesentérica en adultos o niños (incl. proc. rad.)</t>
  </si>
  <si>
    <t>1701068</t>
  </si>
  <si>
    <t>Arteriografía selectiva o superselectiva arteria lumbar en adultos o niños (incl. proc. rad.)</t>
  </si>
  <si>
    <t>1701069</t>
  </si>
  <si>
    <t>Arteriografía selectiva o superselectiva arteria vesical en adultos o niños (incl. proc. rad.)</t>
  </si>
  <si>
    <t>1701078</t>
  </si>
  <si>
    <t>Instalación de reservorio subcutáneo (catéter de quimioterapia)</t>
  </si>
  <si>
    <t>1701079</t>
  </si>
  <si>
    <t>Retiro de reservorio subcutáneo (catéter de quimioterapia)</t>
  </si>
  <si>
    <t>1701131</t>
  </si>
  <si>
    <t>Angioplastía Intraluminal coronaria uno o múltiples vasos (incl. proc. rad; balón, rotablator, Stent o similar)</t>
  </si>
  <si>
    <t>1701132</t>
  </si>
  <si>
    <t>Angioplastía Intraluminal periférica (incluye proc. rad., balón, Stent o similar)</t>
  </si>
  <si>
    <t>1701141</t>
  </si>
  <si>
    <t>Valvuloplastía mitral o tricúspide (incl. proc. radiológico,  incluye balón)</t>
  </si>
  <si>
    <t>1701142</t>
  </si>
  <si>
    <t>Valvuloplastía aórtica y/o pulmonar c/u (incl. proc. radiológico,  incluye balón)</t>
  </si>
  <si>
    <t>1701144</t>
  </si>
  <si>
    <t>Angioplastía de arteria pulmonar o vena cava en niños (incluye proc. rad., balón, Stent o similar)</t>
  </si>
  <si>
    <t>1703001</t>
  </si>
  <si>
    <t>Embolectomía y/o trombectomía, unilateral, miembro superior o inferior (proc. aut.)</t>
  </si>
  <si>
    <t>1703002</t>
  </si>
  <si>
    <t>Fístula arteriovenosa congénita o traumática, repar. quir.</t>
  </si>
  <si>
    <t>1703003</t>
  </si>
  <si>
    <t>Fístula arteriovenosa nativa (vena autóloga)</t>
  </si>
  <si>
    <t>1703005</t>
  </si>
  <si>
    <t>Reparación quirúrgica de vasos arteriales y/o venosos intra-abdominales o intra-torácicos c/s injerto (biológicos o sintéticos)</t>
  </si>
  <si>
    <t>1703006</t>
  </si>
  <si>
    <t>Reparación quirúrgica de vasos arteriales y/o venosos periféricos c/s injerto (biológicos o sintéticos)</t>
  </si>
  <si>
    <t>1703007</t>
  </si>
  <si>
    <t>Aneurisma aórtico-abdominal trat. quir.</t>
  </si>
  <si>
    <t>1703008</t>
  </si>
  <si>
    <t>Aneurismas periféricos, trat. quir.</t>
  </si>
  <si>
    <t>1703009</t>
  </si>
  <si>
    <t>14</t>
  </si>
  <si>
    <t>Aneurisma tóraco-abdominal trat. quir.</t>
  </si>
  <si>
    <t>1703010</t>
  </si>
  <si>
    <t>Puente aorto-bifemoral; puentes de troncos supra-aórticos</t>
  </si>
  <si>
    <t>1703011</t>
  </si>
  <si>
    <t>Puente aorto-unifemoral</t>
  </si>
  <si>
    <t>1703012</t>
  </si>
  <si>
    <t>Puente aorto-visceral (renal, mesentérico o similar); c/u</t>
  </si>
  <si>
    <t>1703013</t>
  </si>
  <si>
    <t>Puente aorto-ilíaco</t>
  </si>
  <si>
    <t>1703014</t>
  </si>
  <si>
    <t>Endarterectomía carotídea, subclavia, vertebral, femoral, o similar  c/s injerto (proc. aut.)</t>
  </si>
  <si>
    <t>1703015</t>
  </si>
  <si>
    <t>Endarterectomía femoral común, superficial o profunda, poplítea u otras c/s injerto (proc. aut.)</t>
  </si>
  <si>
    <t>1703016</t>
  </si>
  <si>
    <t>Endarterectomía renal, c/s injerto (proc. aut.)</t>
  </si>
  <si>
    <t>1703017</t>
  </si>
  <si>
    <t>Puente fémoro-tibial o distales</t>
  </si>
  <si>
    <t>1703018</t>
  </si>
  <si>
    <t>Puente fémoro-poplíteo</t>
  </si>
  <si>
    <t>1703019</t>
  </si>
  <si>
    <t>Ligadura troncos arteriales, (proc. aut.)</t>
  </si>
  <si>
    <t>1703020</t>
  </si>
  <si>
    <t>Otras derivaciones: fémoro–femoral, axilo-humeral, axilo-femoral, carótidosubclavio, axilo-axilar o similares; c/u</t>
  </si>
  <si>
    <t>1703021</t>
  </si>
  <si>
    <t>Anastomosis portocava u otras portosistémicas</t>
  </si>
  <si>
    <t>1703022</t>
  </si>
  <si>
    <t>Anastomosis venosas intraabdominales</t>
  </si>
  <si>
    <t>1703023</t>
  </si>
  <si>
    <t>Denudación venosa (proc. aut.)</t>
  </si>
  <si>
    <t>1703024</t>
  </si>
  <si>
    <t>Derivaciones venosas de extremidades puentes venosos</t>
  </si>
  <si>
    <t>1703025</t>
  </si>
  <si>
    <t>Implante filtros venosos</t>
  </si>
  <si>
    <t>1703026</t>
  </si>
  <si>
    <t>Ligadura cayado safena interna, unilateral</t>
  </si>
  <si>
    <t>1703027</t>
  </si>
  <si>
    <t>Ligadura otros troncos venosos (poplíteo, femoral, ilíacas, humeral, axilar, otros); ligadura de venas comunicantes y/o perforantes, y/o resección de paquetes varicosos, cualquier técnica (una extremidad); c/u</t>
  </si>
  <si>
    <t>1703028</t>
  </si>
  <si>
    <t>Ligadura vena cava inferior</t>
  </si>
  <si>
    <t>1703029</t>
  </si>
  <si>
    <t>Resección cutáneo-aponeurótica unilateral (incluye fasciotomía interna o posterior)</t>
  </si>
  <si>
    <t>1703030</t>
  </si>
  <si>
    <t>Safenectomía interna y/o externa, unilateral, o endoablación por cualquier técnica (láser, radiofrecuencia o similar).</t>
  </si>
  <si>
    <t>1703031</t>
  </si>
  <si>
    <t>Trombectomía de venas profundas</t>
  </si>
  <si>
    <t>1703032</t>
  </si>
  <si>
    <t>Anastomosis linfovenosas</t>
  </si>
  <si>
    <t>1703033</t>
  </si>
  <si>
    <t>Linfedema, trat. quir. una extremidad</t>
  </si>
  <si>
    <t>1703034</t>
  </si>
  <si>
    <t>Drenaje quirúrgico adenitis</t>
  </si>
  <si>
    <t>1703035</t>
  </si>
  <si>
    <t>Biopsia quir. ganglionar (cualquier región periférica superficial o profunda) (proc. aut.)</t>
  </si>
  <si>
    <t>1703036</t>
  </si>
  <si>
    <t>Disección y extirpación ganglionar regional: axilo-supraclavicular</t>
  </si>
  <si>
    <t>1703037</t>
  </si>
  <si>
    <t>Disección y extirpación ganglionar regional: cérvico-torácica</t>
  </si>
  <si>
    <t>1703038</t>
  </si>
  <si>
    <t>Disección y extirpación ganglionar regional: ileoinguinal</t>
  </si>
  <si>
    <t>1703039</t>
  </si>
  <si>
    <t>Disección y extirpación ganglionar regional: inguinoescrotales</t>
  </si>
  <si>
    <t>1703040</t>
  </si>
  <si>
    <t>Disección y extirpación ganglionar regional: lumbo-aórticos</t>
  </si>
  <si>
    <t>1703042</t>
  </si>
  <si>
    <t>Disección y extirpación ganglionar regional: poplíteos</t>
  </si>
  <si>
    <t>1703043</t>
  </si>
  <si>
    <t>Vaciamiento (disección) radical cuello (v.r.c.) clásico ipsilateral</t>
  </si>
  <si>
    <t>1703044</t>
  </si>
  <si>
    <t>Disección y extirpación ganglionar regional: yugular simple</t>
  </si>
  <si>
    <t>1703045</t>
  </si>
  <si>
    <t>Simpatectomía cérvico-torácica</t>
  </si>
  <si>
    <t>1703046</t>
  </si>
  <si>
    <t>Simpatectomía lumbar</t>
  </si>
  <si>
    <t>1703047</t>
  </si>
  <si>
    <t>Anastomosis vasculares sistémicopulmonares (Blalock-Pott-Glenn o similares)</t>
  </si>
  <si>
    <t>1703048</t>
  </si>
  <si>
    <t>Cambio de generador de marcapaso, sin cambio de electrodo (no incluye el valor de la prótesis)</t>
  </si>
  <si>
    <t>1703049</t>
  </si>
  <si>
    <t>Coartación aórtica infantil (preductal) trat. quir.</t>
  </si>
  <si>
    <t>1703050</t>
  </si>
  <si>
    <t>Coartación aórtica, trat. quir.</t>
  </si>
  <si>
    <t>1703051</t>
  </si>
  <si>
    <t>Conducto arterioso persistente, trat. quir.</t>
  </si>
  <si>
    <t>1703052</t>
  </si>
  <si>
    <t>Fístula coronaria, trat. quir.</t>
  </si>
  <si>
    <t>1703053</t>
  </si>
  <si>
    <t>Implantación de marcapaso c/electrod. intraven. o epicárdico (no incluye el valor de la prótesis)</t>
  </si>
  <si>
    <t>1703054</t>
  </si>
  <si>
    <t>Operación sobre anillos valvulares o vasculares</t>
  </si>
  <si>
    <t>1703055</t>
  </si>
  <si>
    <t>Operaciones sobre arteria pulmonar, constricción por cinta</t>
  </si>
  <si>
    <t>1703056</t>
  </si>
  <si>
    <t>Pericardiectomía y/o extirp. de quistes y/o tumores</t>
  </si>
  <si>
    <t>1703057</t>
  </si>
  <si>
    <t>Pericardiorrafia o miopericardiorrafia en heridas penetrantes</t>
  </si>
  <si>
    <t>1703058</t>
  </si>
  <si>
    <t>Pericardiotomía</t>
  </si>
  <si>
    <t>1703061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</si>
  <si>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</si>
  <si>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1703062</t>
  </si>
  <si>
    <t>De complejidad mediana: incluye comunicación interventricular, reemplazo univalvular, uno o dos puentes aortocoronarios; aneurisma ventricular, corrección de Wolf-Parkinson White y otras arritmias</t>
  </si>
  <si>
    <t>1703063</t>
  </si>
  <si>
    <t>De complejidad menor: incluye comunicación interauricular simple, estenosis pulmonar valvular, estenosis mitral o similar</t>
  </si>
  <si>
    <t>1703064</t>
  </si>
  <si>
    <t>Implante de prótesis para hemodiálisis</t>
  </si>
  <si>
    <t>1703065</t>
  </si>
  <si>
    <t>Transposición basílica o similar</t>
  </si>
  <si>
    <t>1703066</t>
  </si>
  <si>
    <t>Instalación de catéter venoso de larga duración tunelizado (incluye cateter)</t>
  </si>
  <si>
    <t>1703067</t>
  </si>
  <si>
    <t>Simpatectomía cervico-torácica toracoscopia</t>
  </si>
  <si>
    <t>1703068</t>
  </si>
  <si>
    <t>Resección ganglios mediastínicos por toracotomía</t>
  </si>
  <si>
    <t>1703069</t>
  </si>
  <si>
    <t>Resección ganglios mediastínicos por vía videotoracoscopica</t>
  </si>
  <si>
    <t>1703070</t>
  </si>
  <si>
    <t>Vaciamiento mediastínico ántero-superior</t>
  </si>
  <si>
    <t>1703071</t>
  </si>
  <si>
    <t>Aneurisma torácico con compromiso de arco aórtico tratamiento endovascular</t>
  </si>
  <si>
    <t>1703072</t>
  </si>
  <si>
    <t>Implante de desfribilador con resincronizador VVI (incluye dispositivo)</t>
  </si>
  <si>
    <t>1703073</t>
  </si>
  <si>
    <t>Implante de desfribilador con resincronizador DDD  (incluye dispositivo)</t>
  </si>
  <si>
    <t>1703074</t>
  </si>
  <si>
    <t>Retiro de catéter venoso de larga duración tunelizado</t>
  </si>
  <si>
    <t>1703075</t>
  </si>
  <si>
    <t>Fístula Arteriovenosa Protésica</t>
  </si>
  <si>
    <t>1703076</t>
  </si>
  <si>
    <t>Transposición de vena basílica para hemodiálisis</t>
  </si>
  <si>
    <t>1703077</t>
  </si>
  <si>
    <t>Extracción de electrodo endocavitario, con o sin extracción de generador de marcapaso o desfibrilador</t>
  </si>
  <si>
    <t>1703080</t>
  </si>
  <si>
    <t>Implante y retiro de implante venoso (filtro de vena cava) por vía endovascular</t>
  </si>
  <si>
    <t>1703081</t>
  </si>
  <si>
    <t>Ablación troncos venosos con técnica térmica (laser, radiofrecuencia u otras)</t>
  </si>
  <si>
    <t>1703082</t>
  </si>
  <si>
    <t>Ablación troncos venosos con técnica no térmica no tumescente (cianocrilato, fármaco, mecánico u otras)</t>
  </si>
  <si>
    <t>1703148</t>
  </si>
  <si>
    <t>Cambio de generador de marcapaso (incluye el valor de la prótesis)</t>
  </si>
  <si>
    <t>1703153</t>
  </si>
  <si>
    <t>Implantación de marcapaso c/electrod. intraven. o epicárdico (incluye el valor de la prótesis)</t>
  </si>
  <si>
    <t>1704001</t>
  </si>
  <si>
    <t>Cirugía del opérculo torácico (resección de primera costilla, cualquier abordaje); unilateral</t>
  </si>
  <si>
    <t>1704002</t>
  </si>
  <si>
    <t>Cirugía tórax abierto traumático y/o fijación tórax volante, osteosíntesis costales múltiples y de esternón (no incluye el valor de la prótesis)</t>
  </si>
  <si>
    <t>1704003</t>
  </si>
  <si>
    <t>Fenestración o toracoplastía</t>
  </si>
  <si>
    <t>1704004</t>
  </si>
  <si>
    <t>Reparación pectum excavatum o carinatum, (proc. aut.)</t>
  </si>
  <si>
    <t>1704005</t>
  </si>
  <si>
    <t>Resección de costillas y/o pared costal y/o cartílago y/o esternón s/plastía (proc. aut.)</t>
  </si>
  <si>
    <t>1704006</t>
  </si>
  <si>
    <t>Resección de pared costal c/plastía (toracoplastía osteoplástica de York o similar)</t>
  </si>
  <si>
    <t>1704007</t>
  </si>
  <si>
    <t>Toracofrenolaparatomía exploradora c/s reparación vísceras torácicas y abdominales</t>
  </si>
  <si>
    <t>1704008</t>
  </si>
  <si>
    <t>Toracofrenotomía exploradora</t>
  </si>
  <si>
    <t>1704009</t>
  </si>
  <si>
    <t>Toracotomía exploradora, c/s biopsia, c/s debridación, c/s drenaje</t>
  </si>
  <si>
    <t>1704010</t>
  </si>
  <si>
    <t>Toracotomía mínima c/s resección costal, c/s biopsia, c/s drenaje</t>
  </si>
  <si>
    <t>1704011</t>
  </si>
  <si>
    <t>Mediastinotomía exploradora ant. o post. c/s biopsia proc. aut</t>
  </si>
  <si>
    <t>1704012</t>
  </si>
  <si>
    <t>Drenaje quir. de mediastino, vía cervical</t>
  </si>
  <si>
    <t>1704013</t>
  </si>
  <si>
    <t>Drenaje quir. de mediastino, vía torácica</t>
  </si>
  <si>
    <t>1704014</t>
  </si>
  <si>
    <t>Timectomía vía cervical</t>
  </si>
  <si>
    <t>1704015</t>
  </si>
  <si>
    <t>Timectomía  vía torácica medioesternal</t>
  </si>
  <si>
    <t>1704016</t>
  </si>
  <si>
    <t>Conducto torácico, ligadura quirúrgica</t>
  </si>
  <si>
    <t>1704017</t>
  </si>
  <si>
    <t>Tumores o quistes de mediastino (anterior o posterior) trat. quir. c/s disección ganglionar</t>
  </si>
  <si>
    <t>1704018</t>
  </si>
  <si>
    <t>Cirugía del diafragma con cirugía de vísceras abdominales o torácicas</t>
  </si>
  <si>
    <t>1704019</t>
  </si>
  <si>
    <t>Heridas traumáticas del diafragma, trat. quir.</t>
  </si>
  <si>
    <t>1704020</t>
  </si>
  <si>
    <t>Hernioplastía diafragmática por vía torácica c/ prótesis (no incluye valor de la prótesis)</t>
  </si>
  <si>
    <t>1704021</t>
  </si>
  <si>
    <t>Hernioplastía diafragmática por vía torácica, sin prótesis</t>
  </si>
  <si>
    <t>1704022</t>
  </si>
  <si>
    <t>Tumores, malformaciones o quistes del diafragma (no incluye valor de la prótesis) trat. quir.</t>
  </si>
  <si>
    <t>1704023</t>
  </si>
  <si>
    <t>Cuerpo extraño pleural, extrac. quir.</t>
  </si>
  <si>
    <t>1704024</t>
  </si>
  <si>
    <t>Decorticación pleuropulmonar (pleurectomía parcial o total)</t>
  </si>
  <si>
    <t>1704025</t>
  </si>
  <si>
    <t>Pleurodesis por pleurotomía</t>
  </si>
  <si>
    <t>1704026</t>
  </si>
  <si>
    <t>Pleurodesis por toracotomía</t>
  </si>
  <si>
    <t>1704027</t>
  </si>
  <si>
    <t>Pleurotomía única o doble</t>
  </si>
  <si>
    <t>1704028</t>
  </si>
  <si>
    <t>Tratamiento resectivo de tumores pleurales</t>
  </si>
  <si>
    <t>1704029</t>
  </si>
  <si>
    <t>Broncotomía o traqueobroncotomía exploradora o terapéutica por toracotomía (proc. aut.)</t>
  </si>
  <si>
    <t>1704030</t>
  </si>
  <si>
    <t>Cirugía ruptura traqueobronquial o tratamiento quirúrgico fístula bronquial por esternotomía media</t>
  </si>
  <si>
    <t>1704031</t>
  </si>
  <si>
    <t>Plastía de tráquea y/o bronquios c/s resección, c/s prótesis (no incluye el valor de la prótesis)</t>
  </si>
  <si>
    <t>1704032</t>
  </si>
  <si>
    <t>Tratamiento quirúrgico fístula bronquial por toracotomía</t>
  </si>
  <si>
    <t>1704033</t>
  </si>
  <si>
    <t>Tumores traqueales, extirpación</t>
  </si>
  <si>
    <t>1704034</t>
  </si>
  <si>
    <t>Absceso pulmonar, drenaje por toracotomía</t>
  </si>
  <si>
    <t>1704035</t>
  </si>
  <si>
    <t>Biopsia pulmonar por toracotomía</t>
  </si>
  <si>
    <t>1704036</t>
  </si>
  <si>
    <t>Bulas, trat. quir.</t>
  </si>
  <si>
    <t>1704037</t>
  </si>
  <si>
    <t>Cirugía de quiste hidatídico sin resección pulmonar</t>
  </si>
  <si>
    <t>1704038</t>
  </si>
  <si>
    <t>Cuerpo extraño intrapulmonar, extirp. quir.</t>
  </si>
  <si>
    <t>1704039</t>
  </si>
  <si>
    <t>Heridas de pulmón, trat. quir. (proc. aut.)</t>
  </si>
  <si>
    <t>1704040</t>
  </si>
  <si>
    <t>Lobectomía o bilobectomía</t>
  </si>
  <si>
    <t>1704041</t>
  </si>
  <si>
    <t>Metástasis bilateral pulmón, trat. quir. por esternotomía</t>
  </si>
  <si>
    <t>1704042</t>
  </si>
  <si>
    <t>Metástasis unilateral pulmón</t>
  </si>
  <si>
    <t>1704043</t>
  </si>
  <si>
    <t>Neumonectomía c/s resección de pared costal</t>
  </si>
  <si>
    <t>1704045</t>
  </si>
  <si>
    <t>Quistectomía simple de pulmón</t>
  </si>
  <si>
    <t>1704046</t>
  </si>
  <si>
    <t>Resecciones segmentarias anatómicas de pulmón</t>
  </si>
  <si>
    <t>1704047</t>
  </si>
  <si>
    <t>Extracción cuerpo extraño esofágico por vía cervical</t>
  </si>
  <si>
    <t>1704048</t>
  </si>
  <si>
    <t>Cuerpo extraño esofágico, extracción por esofagotomía, vía torácica</t>
  </si>
  <si>
    <t>1704049</t>
  </si>
  <si>
    <t>Esofagostomía cervical (proc. aut.)</t>
  </si>
  <si>
    <t>1704050</t>
  </si>
  <si>
    <t>Tumores benignos y/o quistes esofágicos,  trat. quir., vía cervical</t>
  </si>
  <si>
    <t>1704051</t>
  </si>
  <si>
    <t>Tratamiento quirúrgico de tumores esofagicos benignos y/o quistes vía torácica</t>
  </si>
  <si>
    <t>1704052</t>
  </si>
  <si>
    <t>Divertículos esofágicos, trat. quir., vía cervical</t>
  </si>
  <si>
    <t>1704053</t>
  </si>
  <si>
    <t>Divertículos esofágicos, trat. quir., vía torácica</t>
  </si>
  <si>
    <t>1704054</t>
  </si>
  <si>
    <t>Achalasia, trat. quir.</t>
  </si>
  <si>
    <t>1704055</t>
  </si>
  <si>
    <t>Atresia esofágica, trat. quir.</t>
  </si>
  <si>
    <t>1704056</t>
  </si>
  <si>
    <t>Esofagectomía con restitución del tránsito mediante estómago o intestino; parcial o total</t>
  </si>
  <si>
    <t>1704057</t>
  </si>
  <si>
    <t>Esofagectomía total con esofagostomía, gastrostomía y yeyunostomía</t>
  </si>
  <si>
    <t>1704058</t>
  </si>
  <si>
    <t>Esofagogastrectomía proximal</t>
  </si>
  <si>
    <t>1704059</t>
  </si>
  <si>
    <t>Prótesis o tubo endoesofágico, colocación de (proc. aut.)</t>
  </si>
  <si>
    <t>1704060</t>
  </si>
  <si>
    <t>Reconstitución de tránsito en segundo tiempo (estómago o intestino) de operación cód. 17-04-057</t>
  </si>
  <si>
    <t>1704061</t>
  </si>
  <si>
    <t>Sutura herida o perforación esófago cervical</t>
  </si>
  <si>
    <t>1704062</t>
  </si>
  <si>
    <t>Sutura herida o perforación esófago torácico</t>
  </si>
  <si>
    <t>1704063</t>
  </si>
  <si>
    <t>Várices esofágicos, ligadura directa</t>
  </si>
  <si>
    <t>1704064</t>
  </si>
  <si>
    <t>Frenoparálisis trat. quir.</t>
  </si>
  <si>
    <t>1704065</t>
  </si>
  <si>
    <t>Mediastinoscopía y/o videomediastinoscopía c/s biopsia</t>
  </si>
  <si>
    <t>1704066</t>
  </si>
  <si>
    <t>Tumores o quistes de mediastino (anterior o posterior) tratamiento quirúrgico c/s disección ganglionar por videotoracoscopia</t>
  </si>
  <si>
    <t>1704067</t>
  </si>
  <si>
    <t>Cirugía del diafragma con cirugía de vísceras abdominales o torácicas por vía toracoscopia</t>
  </si>
  <si>
    <t>1704068</t>
  </si>
  <si>
    <t>Heridas traumáticas, trat. quir. por vía videotoracoscopia</t>
  </si>
  <si>
    <t>1704069</t>
  </si>
  <si>
    <t>Cirugía de tumores o malformaciones diafragmaticos por videotoracoscopia</t>
  </si>
  <si>
    <t>1704070</t>
  </si>
  <si>
    <t>Biopsia pleural por videotoracoscopia</t>
  </si>
  <si>
    <t>1704071</t>
  </si>
  <si>
    <t>Cuerpo extraño pleural, por videotoracoscopia</t>
  </si>
  <si>
    <t>1704072</t>
  </si>
  <si>
    <t>Decorticación pleuropulmonar (pleurectomía parcial o total) por videotoracoscopia</t>
  </si>
  <si>
    <t>1704073</t>
  </si>
  <si>
    <t>Absceso pulmonar, drenaje por videotoracoscopia</t>
  </si>
  <si>
    <t>1704074</t>
  </si>
  <si>
    <t>Cirugía de quiste hidatídico c/s resección pulmonar por vía videotoracoscopia</t>
  </si>
  <si>
    <t>1704075</t>
  </si>
  <si>
    <t>Metástasis unilateral, trat. quir. por videotoracoscopia</t>
  </si>
  <si>
    <t>1704076</t>
  </si>
  <si>
    <t>Atresia esofágica con fístula traqueoesofágica por toracoscopia</t>
  </si>
  <si>
    <t>1704077</t>
  </si>
  <si>
    <t>Atresia esofágica sin fístula traqueoesofágica por toracoscopia</t>
  </si>
  <si>
    <t>1704078</t>
  </si>
  <si>
    <t>Atresia esofágica sin fístula traqueoesofágica. Anastomosis</t>
  </si>
  <si>
    <t>1704079</t>
  </si>
  <si>
    <t>Cirugía del opérculo torácico por vía videotoracoscopica</t>
  </si>
  <si>
    <t>1704080</t>
  </si>
  <si>
    <t>Videotoracoscopía exploradora</t>
  </si>
  <si>
    <t>1704081</t>
  </si>
  <si>
    <t>Conducto torácico, ligadura por vía videotoracoscopica</t>
  </si>
  <si>
    <t>1704082</t>
  </si>
  <si>
    <t>Frenoparalisis tratatamiento quirúrgico laparoscópico</t>
  </si>
  <si>
    <t>1704083</t>
  </si>
  <si>
    <t>Frenoparalisis tratamiento quirúrgico por vía videotoracoscopica</t>
  </si>
  <si>
    <t>1704084</t>
  </si>
  <si>
    <t>Hernioplastía diafragmática por vía torácica c/s prótesis por vía videotoracoscopica</t>
  </si>
  <si>
    <t>1704085</t>
  </si>
  <si>
    <t>Pleurodesis por vía videotoracoscopica</t>
  </si>
  <si>
    <t>1704086</t>
  </si>
  <si>
    <t>Tumores pleurales, por vía videotoracoscopica</t>
  </si>
  <si>
    <t>1704087</t>
  </si>
  <si>
    <t>Cirugía del mesotelioma maligno</t>
  </si>
  <si>
    <t>1704088</t>
  </si>
  <si>
    <t>Fibrinolisis pleural por pleurotomía</t>
  </si>
  <si>
    <t>1704089</t>
  </si>
  <si>
    <t>Resección segmentaria atipica por vía videotoracoscopica</t>
  </si>
  <si>
    <t>1704090</t>
  </si>
  <si>
    <t>Heridas de pulmón, trat. quir. por vía videotoracoscopica</t>
  </si>
  <si>
    <t>1704091</t>
  </si>
  <si>
    <t>Lobectomía o bilobectomía por vía videotoracoscopica</t>
  </si>
  <si>
    <t>1704092</t>
  </si>
  <si>
    <t>Neumonectomía por vía videotoracoscopica</t>
  </si>
  <si>
    <t>1704093</t>
  </si>
  <si>
    <t>Resecciones segmentarias anatómica por vía videotoracoscopica</t>
  </si>
  <si>
    <t>1704094</t>
  </si>
  <si>
    <t>Extracción cuerpo extraño esofágico por vía videotoracoscopica</t>
  </si>
  <si>
    <t>1704095</t>
  </si>
  <si>
    <t>Resección de tumor esofagico benignos por vía videotoracoscopica</t>
  </si>
  <si>
    <t>1704096</t>
  </si>
  <si>
    <t>Resección de diverticulos esofágicos por vía videotoracoscopica</t>
  </si>
  <si>
    <t>1704097</t>
  </si>
  <si>
    <t>Sutura herida o perforación esófago torácico por vía videotoracoscopica</t>
  </si>
  <si>
    <t>1707001</t>
  </si>
  <si>
    <t>Espirometría Basal</t>
  </si>
  <si>
    <t>1707002</t>
  </si>
  <si>
    <t>Espirometría Basal y con broncodilatador</t>
  </si>
  <si>
    <t>1707003</t>
  </si>
  <si>
    <t>Prueba de provocación con alergeno (incluye alergeno)</t>
  </si>
  <si>
    <t>1707004</t>
  </si>
  <si>
    <t>Provocación con ejercicio, test de</t>
  </si>
  <si>
    <t>1707005</t>
  </si>
  <si>
    <t>Test de provocación con metacolina (pc20) (incluye espirometría basal y tratamiento de efectos adversos de la metacolina)</t>
  </si>
  <si>
    <t>1707007</t>
  </si>
  <si>
    <t>Análisis de gas espirado</t>
  </si>
  <si>
    <t>1707008</t>
  </si>
  <si>
    <t>Capacidad de difusión, estudio de</t>
  </si>
  <si>
    <t>1707009</t>
  </si>
  <si>
    <t>Capacidad física del trabajo</t>
  </si>
  <si>
    <t>1707010</t>
  </si>
  <si>
    <t>Curva de lavado de nitrógeno (N)</t>
  </si>
  <si>
    <t>1707011</t>
  </si>
  <si>
    <t>Curva de relación flujo-volumen basal</t>
  </si>
  <si>
    <t>1707012</t>
  </si>
  <si>
    <t>Distensibilidad pulmonar, (compliance), estudio de</t>
  </si>
  <si>
    <t>1707013</t>
  </si>
  <si>
    <t>Medición de presión de oclusión</t>
  </si>
  <si>
    <t>1707014</t>
  </si>
  <si>
    <t>Medición de presión inspiratoria máxima (proc. aut.)</t>
  </si>
  <si>
    <t>1707015</t>
  </si>
  <si>
    <t>Medición de presión trans-diafragmática</t>
  </si>
  <si>
    <t>1707016</t>
  </si>
  <si>
    <t>Registro flujométrico, por semana</t>
  </si>
  <si>
    <t>1707017</t>
  </si>
  <si>
    <t>Respuesta respiratoria al co2</t>
  </si>
  <si>
    <t>1707018</t>
  </si>
  <si>
    <t>Tiempo de tolerancia a la fatiga respiratoria</t>
  </si>
  <si>
    <t>1707019</t>
  </si>
  <si>
    <t>Ventilación alveolar, estudio de (incluye ventilación minuto y alveolar, volumen del espacio muerto y cuociente resp.)</t>
  </si>
  <si>
    <t>1707020</t>
  </si>
  <si>
    <t>Volúmenes pulmonares por lavado de nitrógeno</t>
  </si>
  <si>
    <t>1707021</t>
  </si>
  <si>
    <t>Laringotraqueobroncoscopía con fibroscopio</t>
  </si>
  <si>
    <t>1707022</t>
  </si>
  <si>
    <t>Larigotraqueoscopía con tubo rígido</t>
  </si>
  <si>
    <t>1707024</t>
  </si>
  <si>
    <t>Pleuroscopia (toracoscopia) c/s biopsia</t>
  </si>
  <si>
    <t>1707025</t>
  </si>
  <si>
    <t>Procedimiento para determinar gasometría arterial en reposo y ejercicio</t>
  </si>
  <si>
    <t>1707026</t>
  </si>
  <si>
    <t>Procedimiento para determinar gasometría arterial respirando O2 puro</t>
  </si>
  <si>
    <t>1707027</t>
  </si>
  <si>
    <t>Broncoaspiración, c/s lavado y/o colocación de medicamentos por sonda traqueobronquial (proc. aut.)</t>
  </si>
  <si>
    <t>1707029</t>
  </si>
  <si>
    <t>Toracocentesis evacuadora, c/s toma de muestras c/s inyección de medicamentos</t>
  </si>
  <si>
    <t>1707051</t>
  </si>
  <si>
    <t>Curva dosis respuesta a broncodilatadores.</t>
  </si>
  <si>
    <t>1707052</t>
  </si>
  <si>
    <t>Saturometría nocturna del sueño</t>
  </si>
  <si>
    <t>1707053</t>
  </si>
  <si>
    <t>Titulación Automática de CPAP</t>
  </si>
  <si>
    <t>1707054</t>
  </si>
  <si>
    <t>Saturación de O2 en reposo y/o ejercicio (con oxímetro)</t>
  </si>
  <si>
    <t>1707055</t>
  </si>
  <si>
    <t>Saturación de O2 en reposo y ejercicio y O2 100% (con oxímetro)</t>
  </si>
  <si>
    <t>1707056</t>
  </si>
  <si>
    <t>Endosonografía bronquial (EBUS)</t>
  </si>
  <si>
    <t>1707057</t>
  </si>
  <si>
    <t>Determinación de umbral tusígeno</t>
  </si>
  <si>
    <t>1707058</t>
  </si>
  <si>
    <t>Volúmenes pulmonares por pletismografía corporal. Estudio basal</t>
  </si>
  <si>
    <t>1707059</t>
  </si>
  <si>
    <t>Volúmenes pulmonares por pletismografía corporal. Estudio basal y post broncodilatador</t>
  </si>
  <si>
    <t>1707060</t>
  </si>
  <si>
    <t>Colocación de stent endobronquial por broncoscopía</t>
  </si>
  <si>
    <t>1707061</t>
  </si>
  <si>
    <t>Fibrobroncoscopía con biopsia transbronquial</t>
  </si>
  <si>
    <t>1707062</t>
  </si>
  <si>
    <t>Selle endoscópico de fístula bronco-pleural</t>
  </si>
  <si>
    <t>1707063</t>
  </si>
  <si>
    <t>Poligrafía cardiorrespiratoria del sueño ambulatoria</t>
  </si>
  <si>
    <t>1801001</t>
  </si>
  <si>
    <t>Gastroduodenoscopía (incluye esofagoscopía)</t>
  </si>
  <si>
    <t>1801002</t>
  </si>
  <si>
    <t>Esofagoscopia</t>
  </si>
  <si>
    <t>1801003</t>
  </si>
  <si>
    <t>Enteroscopía</t>
  </si>
  <si>
    <t>1801004</t>
  </si>
  <si>
    <t>Ano-recto-sigmoidoscopia en adultos</t>
  </si>
  <si>
    <t>1801005</t>
  </si>
  <si>
    <t>Ano-recto-sigmoidoscopía en niños</t>
  </si>
  <si>
    <t>1801006</t>
  </si>
  <si>
    <t>Colonoscopía larga (incluye sigmoidoscopía y colonoscopía izquierda)</t>
  </si>
  <si>
    <t>1801007</t>
  </si>
  <si>
    <t>Sigmoidoscopía y colonoscopía izquierda con tubo flexible (incluye ano-recto-sigmoidoscopía)</t>
  </si>
  <si>
    <t>1801008</t>
  </si>
  <si>
    <t>Coledocoscopia intraoperatoria c/s extracción de cálculos</t>
  </si>
  <si>
    <t>1801009</t>
  </si>
  <si>
    <t>Peritoneoscopia transparietal (incluye el neumoperitoneo)</t>
  </si>
  <si>
    <t>1801011</t>
  </si>
  <si>
    <t>Manometría esofágica convencional</t>
  </si>
  <si>
    <t>1801012</t>
  </si>
  <si>
    <t>Reflujo ácido, test de (Grossman o similar) o Reflujo alcalino, test de</t>
  </si>
  <si>
    <t>1801015</t>
  </si>
  <si>
    <t>Biopsia de intestino delgado, por cápsula (de Rubin, Crosby o sim.)</t>
  </si>
  <si>
    <t>1801016</t>
  </si>
  <si>
    <t>Punción biopsia transparietal de órganos abdominales c/u</t>
  </si>
  <si>
    <t>1801018</t>
  </si>
  <si>
    <t>Colangiopancreatografía retrógrada c/s papilotomía</t>
  </si>
  <si>
    <t>1801019</t>
  </si>
  <si>
    <t>Drenaje de la vía biliar transhepática y/o percutáneo</t>
  </si>
  <si>
    <t>1801021</t>
  </si>
  <si>
    <t>Neumoperitoneo por punción transparietal</t>
  </si>
  <si>
    <t>1801022</t>
  </si>
  <si>
    <t>Instalación sonda de Sengstaken</t>
  </si>
  <si>
    <t>1801023</t>
  </si>
  <si>
    <t>Instalación endoscópica de sonda nasogástrica</t>
  </si>
  <si>
    <t>1801024</t>
  </si>
  <si>
    <t>Instalación endoscópica de sonda enteral</t>
  </si>
  <si>
    <t>1801025</t>
  </si>
  <si>
    <t>Dilatación de estenosis benignas o malignas del tracto digestivo por balón</t>
  </si>
  <si>
    <t>1801026</t>
  </si>
  <si>
    <t>Dilatación de estenosis benignas o malignas del tracto digestivo por bujía</t>
  </si>
  <si>
    <t>1801027</t>
  </si>
  <si>
    <t>Instalación prótesis plástica (s) en vía biliar o pancreática</t>
  </si>
  <si>
    <t>1801028</t>
  </si>
  <si>
    <t>Cuerpo extraño, extracción endoscópica</t>
  </si>
  <si>
    <t>1801029</t>
  </si>
  <si>
    <t>Devolvulación de colon por colonoscopía</t>
  </si>
  <si>
    <t>1801030</t>
  </si>
  <si>
    <t>Dilatación ano-rectal, por sesión</t>
  </si>
  <si>
    <t>1801031</t>
  </si>
  <si>
    <t>Polipectomía o Mucosectomía endoscópica alta</t>
  </si>
  <si>
    <t>1801032</t>
  </si>
  <si>
    <t>Escleroterapia de hemorroides, cualquier número</t>
  </si>
  <si>
    <t>1801033</t>
  </si>
  <si>
    <t>Inyectoterapia hemostática, Hemostasia mecánica, Hemostasia térmica, Ligadura elástica</t>
  </si>
  <si>
    <t>1801035</t>
  </si>
  <si>
    <t>Ligadura hemorroides</t>
  </si>
  <si>
    <t>1801036</t>
  </si>
  <si>
    <t>Extracción endoscópica de cálculos biliares o pancreáticos</t>
  </si>
  <si>
    <t>1801037</t>
  </si>
  <si>
    <t>Test Ureasa (para Helicobacter pylori) en gastroscopía</t>
  </si>
  <si>
    <t>1801038</t>
  </si>
  <si>
    <t>Punción evacuadora de absceso intraabdominales (hepático u otros), c/s toma de muestra, c/s inyección de medicamentos</t>
  </si>
  <si>
    <t>1801041</t>
  </si>
  <si>
    <t>Punción de líquido ascítico, diagnóstica</t>
  </si>
  <si>
    <t>1801042</t>
  </si>
  <si>
    <t>Vaciamiento manual de fecaloma</t>
  </si>
  <si>
    <t>1801043</t>
  </si>
  <si>
    <t>Manometría anorectal convencional</t>
  </si>
  <si>
    <t>1801045</t>
  </si>
  <si>
    <t>Polipectomía o Mucosectomía endoscópica baja</t>
  </si>
  <si>
    <t>1801046</t>
  </si>
  <si>
    <t>Hemorroidopexia grapada</t>
  </si>
  <si>
    <t>1801047</t>
  </si>
  <si>
    <t>Ligadura hemorroidaria con doppler</t>
  </si>
  <si>
    <t>1801048</t>
  </si>
  <si>
    <t>Punción evacuadora de líquido ascítico</t>
  </si>
  <si>
    <t>1801049</t>
  </si>
  <si>
    <t>Manometría anorrectal alta resolución</t>
  </si>
  <si>
    <t>1801050</t>
  </si>
  <si>
    <t>Endosonografía digestiva alta</t>
  </si>
  <si>
    <t>1801051</t>
  </si>
  <si>
    <t>Endosonografía digestiva baja</t>
  </si>
  <si>
    <t>1801052</t>
  </si>
  <si>
    <t>Punción guiada con endosonografía digestiva</t>
  </si>
  <si>
    <t>1801053</t>
  </si>
  <si>
    <t>Drenaje guiado con endosonografía digestiva</t>
  </si>
  <si>
    <t>1801054</t>
  </si>
  <si>
    <t>Endosonografía ano-rectal</t>
  </si>
  <si>
    <t>1801055</t>
  </si>
  <si>
    <t>Septotomía endoscópica (divertículo de zenker y otros)</t>
  </si>
  <si>
    <t>1801056</t>
  </si>
  <si>
    <t>Dilatación de acalasia</t>
  </si>
  <si>
    <t>1801057</t>
  </si>
  <si>
    <t>Instalación de prótesis autoexpandibles en tracto digestivo</t>
  </si>
  <si>
    <t>1801058</t>
  </si>
  <si>
    <t>Instalación de prótesis en vía biliar</t>
  </si>
  <si>
    <t>1801059</t>
  </si>
  <si>
    <t>Test de hidrógeno en aire espirado</t>
  </si>
  <si>
    <t>1801060</t>
  </si>
  <si>
    <t>Test de carbono en aire espirado</t>
  </si>
  <si>
    <t>1802001</t>
  </si>
  <si>
    <t>Hernia abdominal por laparotomía (no incluye malla)</t>
  </si>
  <si>
    <t>1802004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</si>
  <si>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</si>
  <si>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1802005</t>
  </si>
  <si>
    <t>Onfalocele (hasta 5 cms.); trat. quir.</t>
  </si>
  <si>
    <t>1802006</t>
  </si>
  <si>
    <t>Onfalocele (más de 5 cms.); trat. quir.</t>
  </si>
  <si>
    <t>1802007</t>
  </si>
  <si>
    <t>Peritonitis difusa aguda, trat. quir. (proc. aut.)</t>
  </si>
  <si>
    <t>1802008</t>
  </si>
  <si>
    <t>Tumor y/o quiste peritoneal (parietal)</t>
  </si>
  <si>
    <t>1802009</t>
  </si>
  <si>
    <t>Tumor y/o quiste retroperitoneal</t>
  </si>
  <si>
    <t>1802010</t>
  </si>
  <si>
    <t>Antrectomía y vagotomía troncular o selectiva (proc. aut.)</t>
  </si>
  <si>
    <t>1802011</t>
  </si>
  <si>
    <t>Desgastrectomía y neoanastomosis, c/s vaguectomía</t>
  </si>
  <si>
    <t>1802012</t>
  </si>
  <si>
    <t>Gastroenteroanastomosis, cualquier técnica. (proc. aut.)</t>
  </si>
  <si>
    <t>1802013</t>
  </si>
  <si>
    <t>Gastrosquisis</t>
  </si>
  <si>
    <t>1802014</t>
  </si>
  <si>
    <t>Gastrotomía y/o gastrostomía (proc. aut.)</t>
  </si>
  <si>
    <t>1802015</t>
  </si>
  <si>
    <t>Perforación gástrica aguda, trat. quir. (proc. aut.)</t>
  </si>
  <si>
    <t>1802016</t>
  </si>
  <si>
    <t>Piloroplastía (proc. aut.)</t>
  </si>
  <si>
    <t>1802017</t>
  </si>
  <si>
    <t>Gastrectomía subtotal con disección ganglionar</t>
  </si>
  <si>
    <t>1802018</t>
  </si>
  <si>
    <t>Gastrectomía subtotal sin disección ganglionar</t>
  </si>
  <si>
    <t>1802019</t>
  </si>
  <si>
    <t>Dumping y/o síndrome asa aferente, trat. quir.</t>
  </si>
  <si>
    <t>1802021</t>
  </si>
  <si>
    <t>Gastrectomía sub-total proximal con esófago-gastro-anastomosis u otra derivación</t>
  </si>
  <si>
    <t>1802022</t>
  </si>
  <si>
    <t>Gastrectomía total</t>
  </si>
  <si>
    <t>1802023</t>
  </si>
  <si>
    <t>Gastrectomía total o sub-total ampliada (incluye esplenectomía y pancreatectomía corporocaudal y disección ganglionar)</t>
  </si>
  <si>
    <t>1802024</t>
  </si>
  <si>
    <t>Gastropexia y/u otra cirugía antirreflujo, c/s vagotomía</t>
  </si>
  <si>
    <t>1802025</t>
  </si>
  <si>
    <t>Vagotomía selectiva y superselectiva c/s dren. gástrico, c/s piloroplastía (proc. aut.)</t>
  </si>
  <si>
    <t>1802026</t>
  </si>
  <si>
    <t>Drenaje de colecciones líquidas hepáticas</t>
  </si>
  <si>
    <t>1802027</t>
  </si>
  <si>
    <t>Colangioenteroanastomosis intrahepática</t>
  </si>
  <si>
    <t>1802028</t>
  </si>
  <si>
    <t>Colecistectomía c/s colangiografía operatoria</t>
  </si>
  <si>
    <t>1802029</t>
  </si>
  <si>
    <t>Colecistectomía y coledocostomía (sonda T y colangiografía postoperatoria) c/s colangiografía operatoria</t>
  </si>
  <si>
    <t>1802030</t>
  </si>
  <si>
    <t>Colecistogastroanastomosis o colecistoenteroanastomosis</t>
  </si>
  <si>
    <t>1802031</t>
  </si>
  <si>
    <t>Colecistostomía (proc. aut.)</t>
  </si>
  <si>
    <t>1802032</t>
  </si>
  <si>
    <t>Colédoco o hepatoenteroanastomosis</t>
  </si>
  <si>
    <t>1802033</t>
  </si>
  <si>
    <t>Coledocostomía supraduodenal o hepaticostomía (proc. aut.)</t>
  </si>
  <si>
    <t>1802034</t>
  </si>
  <si>
    <t>Colocación de válvula peritoneoyugular derivativa de ascitis</t>
  </si>
  <si>
    <t>1802035</t>
  </si>
  <si>
    <t>Desconexión ácigoportal con transección esofágica</t>
  </si>
  <si>
    <t>1802036</t>
  </si>
  <si>
    <t>Desconexión ácigoportal sin transección esofágica</t>
  </si>
  <si>
    <t>1802037</t>
  </si>
  <si>
    <t>Drenaje vía biliar transhepático</t>
  </si>
  <si>
    <t>1802038</t>
  </si>
  <si>
    <t>Esfinteroplastía transduodenal, (proc. aut.)</t>
  </si>
  <si>
    <t>1802039</t>
  </si>
  <si>
    <t>Hepatectomía segmentaria (proc. aut.)</t>
  </si>
  <si>
    <t>1802040</t>
  </si>
  <si>
    <t>Herida traumática de hígado y/o vía biliar, trat. quir.</t>
  </si>
  <si>
    <t>1802041</t>
  </si>
  <si>
    <t>Lobectomía hepática (proc. aut.)</t>
  </si>
  <si>
    <t>1802042</t>
  </si>
  <si>
    <t>Quiste hidatídico, único o múltiple, y/o cistoyeyunoanastomosis, trat. quir.</t>
  </si>
  <si>
    <t>1802043</t>
  </si>
  <si>
    <t>Abscesos, quistes, pseudoquistes o similares de páncreas, trat. quir.</t>
  </si>
  <si>
    <t>1802044</t>
  </si>
  <si>
    <t>Heridas, traumatismos de páncreas, trat.quir.</t>
  </si>
  <si>
    <t>1802045</t>
  </si>
  <si>
    <t>Pancreatectomía parcial</t>
  </si>
  <si>
    <t>1802046</t>
  </si>
  <si>
    <t>Pancreatectomía total c/s esplenectomía</t>
  </si>
  <si>
    <t>1802047</t>
  </si>
  <si>
    <t>Pancreatoduodenectomía</t>
  </si>
  <si>
    <t>1802048</t>
  </si>
  <si>
    <t>Secuestrectomía en pancreatitis aguda</t>
  </si>
  <si>
    <t>1802049</t>
  </si>
  <si>
    <t>Autoimplante de bazo (incluye esplenectomía)</t>
  </si>
  <si>
    <t>1802050</t>
  </si>
  <si>
    <t>Esplenectomía total o parcial (proc. aut.)</t>
  </si>
  <si>
    <t>1802051</t>
  </si>
  <si>
    <t>Operación de etapificación (incluye esplenectomía, biopsias hepáticas, de ganglios abdominales y de cresta ilíaca)</t>
  </si>
  <si>
    <t>1802052</t>
  </si>
  <si>
    <t>Sutura esplénica (proc. aut.)</t>
  </si>
  <si>
    <t>1802053</t>
  </si>
  <si>
    <t>Apendicectomía y/o dren. absceso apendicular (proc. aut.)</t>
  </si>
  <si>
    <t>1802054</t>
  </si>
  <si>
    <t>Cierre de colostomía (proc. aut.)</t>
  </si>
  <si>
    <t>1802055</t>
  </si>
  <si>
    <t>Colostomía (proc. aut.)</t>
  </si>
  <si>
    <t>1802056</t>
  </si>
  <si>
    <t>Colostomía, complicaciones tardías, trat. quir.</t>
  </si>
  <si>
    <t>1802057</t>
  </si>
  <si>
    <t>Divertículo de Meckel, trat. quir.</t>
  </si>
  <si>
    <t>1802058</t>
  </si>
  <si>
    <t>Entero-enteroanastomosis o enterocoloanastomosis (proc. aut.)</t>
  </si>
  <si>
    <t>1802059</t>
  </si>
  <si>
    <t>Enterotomía o enterostomía (yeyunostomía u otra) (proc. aut.)</t>
  </si>
  <si>
    <t>1802060</t>
  </si>
  <si>
    <t>Ileostomía terminal o en asa (proc. aut.)</t>
  </si>
  <si>
    <t>1802061</t>
  </si>
  <si>
    <t>Invaginación intestinal, trat. quir.</t>
  </si>
  <si>
    <t>1802062</t>
  </si>
  <si>
    <t>Persistencia conducto onfalomesentérico, trat. quir.</t>
  </si>
  <si>
    <t>1802063</t>
  </si>
  <si>
    <t>Quiste uraco, trat. quir.</t>
  </si>
  <si>
    <t>1802065</t>
  </si>
  <si>
    <t>Oclusión intestinal con resección</t>
  </si>
  <si>
    <t>1802066</t>
  </si>
  <si>
    <t>Oclusión intestinal sin resección</t>
  </si>
  <si>
    <t>1802067</t>
  </si>
  <si>
    <t>Colectomía parcial o hemicolectomía</t>
  </si>
  <si>
    <t>1802068</t>
  </si>
  <si>
    <t>Colectomía total abdominal</t>
  </si>
  <si>
    <t>1802069</t>
  </si>
  <si>
    <t>Descenso de colon c/conservación del esfínter, incluye resección de colon</t>
  </si>
  <si>
    <t>1802070</t>
  </si>
  <si>
    <t>Hartmann, operación de (o similar)</t>
  </si>
  <si>
    <t>1802071</t>
  </si>
  <si>
    <t>Perforación y/o herida de intestino, única o múltiple, trat. quir. (proc. aut.)</t>
  </si>
  <si>
    <t>1802072</t>
  </si>
  <si>
    <t>Quiste y/o tumor del mesenterio y/o epiplones, único y/o múltiple, trat. quir.</t>
  </si>
  <si>
    <t>1802073</t>
  </si>
  <si>
    <t>Reconstitución  tránsito post operación de Hartmann o sim.</t>
  </si>
  <si>
    <t>1802074</t>
  </si>
  <si>
    <t>Resección de intestino y enteroanastomosis (proc. aut.)</t>
  </si>
  <si>
    <t>1802075</t>
  </si>
  <si>
    <t>Resección intestinal masiva por trombosis mesentérica u otra etiología</t>
  </si>
  <si>
    <t>1802076</t>
  </si>
  <si>
    <t>Duplicación intestinal, trat. quir.</t>
  </si>
  <si>
    <t>1802077</t>
  </si>
  <si>
    <t>Mal rotación intestinal, trat. quir.</t>
  </si>
  <si>
    <t>1802079</t>
  </si>
  <si>
    <t>Gastrectomía total con ostomías proximal y distal</t>
  </si>
  <si>
    <t>1802080</t>
  </si>
  <si>
    <t>Reconstitución  de tránsito en 2° tiempo de operación código 18-02-079</t>
  </si>
  <si>
    <t>1802081</t>
  </si>
  <si>
    <t>Colecistectomía por videolaparoscopía, proc. completo</t>
  </si>
  <si>
    <t>1802082</t>
  </si>
  <si>
    <t>Resección intestinal con ostomías proximal y distal</t>
  </si>
  <si>
    <t>1802083</t>
  </si>
  <si>
    <t>Cirugía de la estenosis hipertrófica del píloro. Abierta</t>
  </si>
  <si>
    <t>1802084</t>
  </si>
  <si>
    <t>Cirugía de la estenosis hipertrófica del píloro. Laparoscopia</t>
  </si>
  <si>
    <t>1802085</t>
  </si>
  <si>
    <t>Laparotomía exploradora, instalación de VAC (por procedimiento)</t>
  </si>
  <si>
    <t>1802086</t>
  </si>
  <si>
    <t>Cirugía antirreflujo más gastrostomía</t>
  </si>
  <si>
    <t>1802087</t>
  </si>
  <si>
    <t>Cirugía antirreflujo más gastrostomia vía laparoscopia</t>
  </si>
  <si>
    <t>1802088</t>
  </si>
  <si>
    <t>Cirugía de la atresia de vía biliar</t>
  </si>
  <si>
    <t>1802089</t>
  </si>
  <si>
    <t>Cirugía de la atresia de vía biliar por vía laparoscopia</t>
  </si>
  <si>
    <t>1802090</t>
  </si>
  <si>
    <t>Atresia o estenosis duodenal, páncreas anular, reparación quirúrgica. Abierta</t>
  </si>
  <si>
    <t>1802091</t>
  </si>
  <si>
    <t>Atresia o estenosis duodenal, páncreas anular, reparación quirúrgica laparoscopia</t>
  </si>
  <si>
    <t>1802092</t>
  </si>
  <si>
    <t>Esplenectomía por vía laparoscopia</t>
  </si>
  <si>
    <t>1802093</t>
  </si>
  <si>
    <t>Cirugía de la enterocolitis neonatal con resección intestinal</t>
  </si>
  <si>
    <t>1802094</t>
  </si>
  <si>
    <t>Cirugía de la enterocolitis neonatal con resección intestinal laparoscopia</t>
  </si>
  <si>
    <t>1802095</t>
  </si>
  <si>
    <t>Cirugía de la enterocolitis neonatal con resección múltiple</t>
  </si>
  <si>
    <t>1802096</t>
  </si>
  <si>
    <t>Cirugía de la enterocolitis neonatal con resección múltiple laparoscopia</t>
  </si>
  <si>
    <t>1802097</t>
  </si>
  <si>
    <t>Cirugía de la enterocolitis neonatal sin resección intestinal</t>
  </si>
  <si>
    <t>1802098</t>
  </si>
  <si>
    <t>Cirugía de la enterocolitis neonatal sin resección intestinal laparoscopia</t>
  </si>
  <si>
    <t>1802099</t>
  </si>
  <si>
    <t>Reconstitución de transito post enterocolitis neonatal con una entero-entero anastomosis</t>
  </si>
  <si>
    <t>1802100</t>
  </si>
  <si>
    <t>Trasplante hepático</t>
  </si>
  <si>
    <t>1802101</t>
  </si>
  <si>
    <t>Hernia abdominal por laparotomía (incluye malla)</t>
  </si>
  <si>
    <t>1802102</t>
  </si>
  <si>
    <t>Atresia o estenosis yeyuno-ileal, reparación primaria abierta</t>
  </si>
  <si>
    <t>1802103</t>
  </si>
  <si>
    <t>Atresia o estenosis yeyuno-ileal, reparación primaria laparoscopia</t>
  </si>
  <si>
    <t>1802104</t>
  </si>
  <si>
    <t>Atresia o estenosis yeyuno-ileal, resección y ostomías abierta</t>
  </si>
  <si>
    <t>1802105</t>
  </si>
  <si>
    <t>Atresia o estenosis yeyuno-ileal, resección y ostomías laparoscopia</t>
  </si>
  <si>
    <t>1802106</t>
  </si>
  <si>
    <t>Reconstitución de transito post enterocolitis neonatal con múltiples entero-entero anastomosis</t>
  </si>
  <si>
    <t>1802148</t>
  </si>
  <si>
    <t>Yeyunopancreatostomía</t>
  </si>
  <si>
    <t>1802149</t>
  </si>
  <si>
    <t>By pass gástrico por cirugía abierta</t>
  </si>
  <si>
    <t>1802150</t>
  </si>
  <si>
    <t>By pass gástrico por laparoscopía</t>
  </si>
  <si>
    <t>1802151</t>
  </si>
  <si>
    <t>Cirugía del quiste de colédoco</t>
  </si>
  <si>
    <t>1802152</t>
  </si>
  <si>
    <t>Cirugía del quiste de colédoco laparoscópico</t>
  </si>
  <si>
    <t>1802154</t>
  </si>
  <si>
    <t>Hernia Abdominal por acceso miniinvasivo (no Incluye malla)</t>
  </si>
  <si>
    <t>1802155</t>
  </si>
  <si>
    <t>Hernia diafragmática, hernia hiatal, hernia ventral con abordaje retromuscular, cualquier vía (no incluye malla retromuscular)"</t>
  </si>
  <si>
    <t>1802158</t>
  </si>
  <si>
    <t>Cirugia bariátrica By Pass Gástrico por laparoscopia</t>
  </si>
  <si>
    <t>1802159</t>
  </si>
  <si>
    <t>Cirugia bariátrica Manga Gástrica por laparoscopia</t>
  </si>
  <si>
    <t>1802254</t>
  </si>
  <si>
    <t>Hernia Abdominal por acceso miniinvasivo (Incluye malla)</t>
  </si>
  <si>
    <t>1802255</t>
  </si>
  <si>
    <t>Hernia diafragmática, hernia hiatal, hernia ventral con abordaje retromuscular, cualquier vía (incluye malla retromuscular)"</t>
  </si>
  <si>
    <t>1803001</t>
  </si>
  <si>
    <t>Absceso ano rectal complejo, tratamiento quirúrgico</t>
  </si>
  <si>
    <t>1803002</t>
  </si>
  <si>
    <t>Absceso anorrectal simple, trat. quir.</t>
  </si>
  <si>
    <t>1803003</t>
  </si>
  <si>
    <t>Absceso sacrocoxígeo, drenaje</t>
  </si>
  <si>
    <t>1803004</t>
  </si>
  <si>
    <t>Biopsia quirúrgica rectal (proc. aut.)</t>
  </si>
  <si>
    <t>1803006</t>
  </si>
  <si>
    <t>Cuerpo extraño rectal, extracción por vía abdominal</t>
  </si>
  <si>
    <t>1803007</t>
  </si>
  <si>
    <t>Cuerpo extraño rectal, extracción por vía anal</t>
  </si>
  <si>
    <t>1803008</t>
  </si>
  <si>
    <t>Desgarros y heridas anorrectales con compromiso del esfínter</t>
  </si>
  <si>
    <t>1803009</t>
  </si>
  <si>
    <t>Desgarros y heridas anorrectales sin compromiso del esfínter</t>
  </si>
  <si>
    <t>1803010</t>
  </si>
  <si>
    <t>Esfinterotomía (proc. aut.)</t>
  </si>
  <si>
    <t>1803011</t>
  </si>
  <si>
    <t>Estenosis anal, plastía</t>
  </si>
  <si>
    <t>1803012</t>
  </si>
  <si>
    <t>Estenosis rectal, plastía</t>
  </si>
  <si>
    <t>1803013</t>
  </si>
  <si>
    <t>Fecaloma, trat. quir.</t>
  </si>
  <si>
    <t>1803014</t>
  </si>
  <si>
    <t>Fístula rectovesical, trat.quir.</t>
  </si>
  <si>
    <t>1803015</t>
  </si>
  <si>
    <t>Fístula rectovaginal, rectouretral o uretrovaginal, trat.quir.</t>
  </si>
  <si>
    <t>1803016</t>
  </si>
  <si>
    <t>Fístula anorrectal, trat.quir.de cualquier tipo</t>
  </si>
  <si>
    <t>1803017</t>
  </si>
  <si>
    <t>Fisura anal, repar. quir.</t>
  </si>
  <si>
    <t>1803018</t>
  </si>
  <si>
    <t>Hemorroidectomía (incluye otras operaciones complementarias en canal anal)</t>
  </si>
  <si>
    <t>1803019</t>
  </si>
  <si>
    <t>Hemorroides, trombectomía (proc. aut.)</t>
  </si>
  <si>
    <t>1803020</t>
  </si>
  <si>
    <t>Imperforación anal, reconstitución tránsito por vía abdómino-perineal</t>
  </si>
  <si>
    <t>1803021</t>
  </si>
  <si>
    <t>Imperforación anal, reconstitución tránsito por vía perineal</t>
  </si>
  <si>
    <t>1803023</t>
  </si>
  <si>
    <t>Incontinencia anal, trat.quir. con cerclaje</t>
  </si>
  <si>
    <t>1803024</t>
  </si>
  <si>
    <t>Incontinencia anal, trat.quir. con plastía muscular</t>
  </si>
  <si>
    <t>1803025</t>
  </si>
  <si>
    <t>Pólipo rectal, trat.quir. por vía abdominal</t>
  </si>
  <si>
    <t>1803026</t>
  </si>
  <si>
    <t>Pólipo rectal, trat.quir. por vía anal</t>
  </si>
  <si>
    <t>1803027</t>
  </si>
  <si>
    <t>Prolapso rectal, trat.quir. por vía abdominal</t>
  </si>
  <si>
    <t>1803028</t>
  </si>
  <si>
    <t>Prolapso rectal, trat.quir. por vía anal</t>
  </si>
  <si>
    <t>1803029</t>
  </si>
  <si>
    <t>Panproctocolectomía (2 equipos)</t>
  </si>
  <si>
    <t>1803030</t>
  </si>
  <si>
    <t>Prurito anal, trat. quir. por denervación</t>
  </si>
  <si>
    <t>1803031</t>
  </si>
  <si>
    <t>Quiste sacrocoxígeo, trat. quir.</t>
  </si>
  <si>
    <t>1803032</t>
  </si>
  <si>
    <t>Resección abdómino-perineal de ano y recto (2 equipos)</t>
  </si>
  <si>
    <t>1803033</t>
  </si>
  <si>
    <t>Resección abdómino-perineal de ano y recto ampliada (2 equipos) (incluye genitales femeninos)</t>
  </si>
  <si>
    <t>1803034</t>
  </si>
  <si>
    <t>Resección anterior de recto</t>
  </si>
  <si>
    <t>1803035</t>
  </si>
  <si>
    <t>Resección perineal de ano y recto</t>
  </si>
  <si>
    <t>1803038</t>
  </si>
  <si>
    <t>Condilomas anales, trat. quir.</t>
  </si>
  <si>
    <t>1803039</t>
  </si>
  <si>
    <t>Cirugía de la cloaca, primer tiempo de derivación</t>
  </si>
  <si>
    <t>1803040</t>
  </si>
  <si>
    <t>Cirugía de la cloaca, reparación definitiva</t>
  </si>
  <si>
    <t>1803041</t>
  </si>
  <si>
    <t>Cirugía reparadora en Enfermedad de Hirschsprung vía abdomino-perineal</t>
  </si>
  <si>
    <t>1803042</t>
  </si>
  <si>
    <t>Cirugía reparadora en Enfermedad de Hirschsprung vía endoanal</t>
  </si>
  <si>
    <t>1901001</t>
  </si>
  <si>
    <t>Exploración de uretra ántero-posterior con bujía y/o explorador olivar, y/o sonda, y/o Beniqué, y/o medición de residuo vesical (la calibración del meato esta incluída en el valor de la consulta)</t>
  </si>
  <si>
    <t>1901002</t>
  </si>
  <si>
    <t>Cistoscopía con o sin sondeo de uno o ambos uréteres, con o sin biopsia</t>
  </si>
  <si>
    <t>1901003</t>
  </si>
  <si>
    <t>Cistoscopia y/o uretrocistoscopia y/o uretroscopia (proc.aut.)</t>
  </si>
  <si>
    <t>1901004</t>
  </si>
  <si>
    <t>Ureteronefroscopia</t>
  </si>
  <si>
    <t>1901005</t>
  </si>
  <si>
    <t>Biopsia prostática transrectal o transperineal con apoyo ecográfico</t>
  </si>
  <si>
    <t>1901006</t>
  </si>
  <si>
    <t>Biopsia renal transparietal</t>
  </si>
  <si>
    <t>1901007</t>
  </si>
  <si>
    <t>Cistometría (proc.aut.)</t>
  </si>
  <si>
    <t>1901009</t>
  </si>
  <si>
    <t>Electromiografía perineal y del esfínter uretral en niños (proc.aut.)</t>
  </si>
  <si>
    <t>1901010</t>
  </si>
  <si>
    <t>Perfil uretral (proc.aut.)</t>
  </si>
  <si>
    <t>1901011</t>
  </si>
  <si>
    <t>Uroflujometría (proc.aut.)</t>
  </si>
  <si>
    <t>1901012</t>
  </si>
  <si>
    <t>Cistografía por sonda (de relleno) o por punción  hipogástrica</t>
  </si>
  <si>
    <t>1901013</t>
  </si>
  <si>
    <t>Inyección de medio de contraste en cuerpo cavernoso</t>
  </si>
  <si>
    <t>1901015</t>
  </si>
  <si>
    <t>Ureteropielografía ascendente (directa) por cateterismo ureteral uni o bilateral</t>
  </si>
  <si>
    <t>1901016</t>
  </si>
  <si>
    <t>Uretrografía retrógrada o cistouretrografía (miccional)</t>
  </si>
  <si>
    <t>1901018</t>
  </si>
  <si>
    <t>Dilatación uretra c/s masaje, c/s instilación o inyección de medicamentos: anterior y/o posterior</t>
  </si>
  <si>
    <t>1901019</t>
  </si>
  <si>
    <t>Instilación vesical (incluye colocación de sonda) proc. aut.</t>
  </si>
  <si>
    <t>1901020</t>
  </si>
  <si>
    <t>Inyección de medicamentos en el pene</t>
  </si>
  <si>
    <t>1901022</t>
  </si>
  <si>
    <t>Vaciamiento vesical por sonda uretral, (proc. aut.)</t>
  </si>
  <si>
    <t>1901025</t>
  </si>
  <si>
    <t>Peritoneodiálisis por sesión (incluye insumos)</t>
  </si>
  <si>
    <t>1901026</t>
  </si>
  <si>
    <t>Peritoneodiálisis continua en paciente crónico (adulto o niños) (tratamiento mensual)</t>
  </si>
  <si>
    <t>1901028</t>
  </si>
  <si>
    <t>Hemodiálisis con bicarbonato con insumos (por sesión, incluye traslado paciente)</t>
  </si>
  <si>
    <t>1901029</t>
  </si>
  <si>
    <t>Hemodiálisis con bicarbonato con insumos (tratamiento mensual)</t>
  </si>
  <si>
    <t>1901030</t>
  </si>
  <si>
    <t>Estudio urodinámico (incluye cistometría, EMG perineal y del esfínter uretral, perfil uretral y uroflujometría)</t>
  </si>
  <si>
    <t>1901031</t>
  </si>
  <si>
    <t>Instalación de catéter de peritoneodiálisis laparoscopia</t>
  </si>
  <si>
    <t>1901032</t>
  </si>
  <si>
    <t>Retiro de catéter de peritoneodiálisis</t>
  </si>
  <si>
    <t>1901033</t>
  </si>
  <si>
    <t>Revisión de catéter de peritoneodiálisis laparoscopia</t>
  </si>
  <si>
    <t>1901035</t>
  </si>
  <si>
    <t>Biopsia estereotáxica digital de próstata</t>
  </si>
  <si>
    <t>1901036</t>
  </si>
  <si>
    <t>Instilación vesical (incluye colocación de sonda y Micobacterium Bovis para instilación intravesical proc. aut.)</t>
  </si>
  <si>
    <t>1901126</t>
  </si>
  <si>
    <t>Instalación de Catéter para Peritoneodiálisis</t>
  </si>
  <si>
    <t>1901128</t>
  </si>
  <si>
    <t>Hemodiálisis con bicarbonato con insumos (por sesión, sin traslado paciente)</t>
  </si>
  <si>
    <t>1902002</t>
  </si>
  <si>
    <t>Arterias renales, operaciones sobre (proc. aut.)</t>
  </si>
  <si>
    <t>1902003</t>
  </si>
  <si>
    <t>Auto o heterotrasplante riñón</t>
  </si>
  <si>
    <t>1902004</t>
  </si>
  <si>
    <t>Cirugía de banco, (proc. completo) (micro-extracorpórea), autotrasplante</t>
  </si>
  <si>
    <t>1902005</t>
  </si>
  <si>
    <t>Litiasis renal, trat. quir. percutáneo c/s ultrasonido (incluye todo el procedimiento)</t>
  </si>
  <si>
    <t>1902006</t>
  </si>
  <si>
    <t>Litiasis renal o ureteral  por cirugía abierta o laparoscópica, por pielotomía o nefrotomía mínima o anatrófica.</t>
  </si>
  <si>
    <t>1902008</t>
  </si>
  <si>
    <t>Lumbotomía exploradora c/s dren., c/s biopsia (proc. aut.)</t>
  </si>
  <si>
    <t>1902009</t>
  </si>
  <si>
    <t>Nefrectomía parcial cualquier vía y técnica. Incluye disección ganglionar etapificadora o reductiva</t>
  </si>
  <si>
    <t>1902010</t>
  </si>
  <si>
    <t>Nefrectomía radical por cáncer renal, traumatismo renal, vía abierta, laparoscópica o robótica, incluye disección ganglionar etapificadora o reductiva</t>
  </si>
  <si>
    <t>1902011</t>
  </si>
  <si>
    <t>Nefrectomía por patología benigna o malformación o trasplante.</t>
  </si>
  <si>
    <t>1902012</t>
  </si>
  <si>
    <t>Drenaje percutáneo o endoscópico de hidronefrosis.  (proc.autónomo)</t>
  </si>
  <si>
    <t>1902013</t>
  </si>
  <si>
    <t>Pielotomía exploradora y/o terapéutica (incluye la  pielostomía y/o pieloplastía)</t>
  </si>
  <si>
    <t>1902015</t>
  </si>
  <si>
    <t>Suprarrenalectomía unilateral</t>
  </si>
  <si>
    <t>1902016</t>
  </si>
  <si>
    <t>Anastomosis de los uréteres</t>
  </si>
  <si>
    <t>1902017</t>
  </si>
  <si>
    <t>Fístula urétero-vaginal, trat. quir.</t>
  </si>
  <si>
    <t>1902018</t>
  </si>
  <si>
    <t>Nefroureterectomía en patología tumoral o malformación, cualquier vía o técnica.</t>
  </si>
  <si>
    <t>1902019</t>
  </si>
  <si>
    <t>Ureterectomía</t>
  </si>
  <si>
    <t>1902020</t>
  </si>
  <si>
    <t>Urétero-litotomía abierta</t>
  </si>
  <si>
    <t>1902021</t>
  </si>
  <si>
    <t>Urétero o nefro-litotomía endoscópica c/ureteroscopia rígida o flexible, con o sin fragmentación</t>
  </si>
  <si>
    <t>1902022</t>
  </si>
  <si>
    <t>Ureterectomía, ureteroplastía, ureterorrafia, ureterolisis, transureteroanastomosis, cualquier vía o técnica.</t>
  </si>
  <si>
    <t>1902023</t>
  </si>
  <si>
    <t>Ureterorrafia y/o ureterolisis c/u</t>
  </si>
  <si>
    <t>1902024</t>
  </si>
  <si>
    <t>Ureterostomía bilateral: vesical, cutánea o intestinal</t>
  </si>
  <si>
    <t>1902025</t>
  </si>
  <si>
    <t>Ureterostomía unilateral: vesical, cutánea o intestinal</t>
  </si>
  <si>
    <t>1902027</t>
  </si>
  <si>
    <t>Cistectomía parcial y/o trat. quir. de divertículo vesical</t>
  </si>
  <si>
    <t>1902028</t>
  </si>
  <si>
    <t>Cistectomía radical, cualquier vía o técnica, incluye linfadenectomía ampliada.</t>
  </si>
  <si>
    <t>1902029</t>
  </si>
  <si>
    <t>Cistoplastía, proc. completo</t>
  </si>
  <si>
    <t>1902030</t>
  </si>
  <si>
    <t>Reparación vesical por trauma o daño de cualquier tipo.</t>
  </si>
  <si>
    <t>1902031</t>
  </si>
  <si>
    <t>Cistostomía, extracción de litiasis o cuerpo extraño, instalación de catéter suprapúbico, por vía abierta o endoscopica, c/s láser</t>
  </si>
  <si>
    <t>1902032</t>
  </si>
  <si>
    <t>Extrofia vesical, proc. completo</t>
  </si>
  <si>
    <t>1902033</t>
  </si>
  <si>
    <t>Fístula vésico-cutánea, y/o vaginal, y/o intest., trat. quir.</t>
  </si>
  <si>
    <t>1902034</t>
  </si>
  <si>
    <t>Cirugía abierta o endoscópica de lesiones cuello vesical y/o hemovejiga primaria o post cirugía próstata o vejiga</t>
  </si>
  <si>
    <t>1902035</t>
  </si>
  <si>
    <t>Ligadura de arterias hipogástricas (proc. aut.)</t>
  </si>
  <si>
    <t>1902036</t>
  </si>
  <si>
    <t>Operación de Bricker</t>
  </si>
  <si>
    <t>1902037</t>
  </si>
  <si>
    <t>Resección endoscópica de cáncer vesical</t>
  </si>
  <si>
    <t>1902038</t>
  </si>
  <si>
    <t>Reservorio continente intestinal externo o interno</t>
  </si>
  <si>
    <t>1902040</t>
  </si>
  <si>
    <t>Extirpación divertículo o quiste para-uretral, cualquier vía</t>
  </si>
  <si>
    <t>1902041</t>
  </si>
  <si>
    <t>Flegmón urinoso, drenaje y cistostomía</t>
  </si>
  <si>
    <t>1902043</t>
  </si>
  <si>
    <t>Uretroplastía sin substitución - uretrorrafía</t>
  </si>
  <si>
    <t>1902044</t>
  </si>
  <si>
    <t>Uretroplastía de substitución, cada tiempo</t>
  </si>
  <si>
    <t>1902045</t>
  </si>
  <si>
    <t>Incontinencia urinaria de esfuerzo o d.i.e. (disfunción intrínseca del esfínter), cualquier vía única o combinada, con o sin instalación de mallas, elementos protésicos o esfínter artificial.</t>
  </si>
  <si>
    <t>1902047</t>
  </si>
  <si>
    <t>Meatotomía quirúrgica c/s resección de pólipo o carúncula</t>
  </si>
  <si>
    <t>1902049</t>
  </si>
  <si>
    <t>Uretrectomía y/o plastía abierta de la uretra en cualquiera de sus porciones, por trauma, o estenosis o cualquier etiología</t>
  </si>
  <si>
    <t>1902050</t>
  </si>
  <si>
    <t>Fistulectomía uretral</t>
  </si>
  <si>
    <t>1902051</t>
  </si>
  <si>
    <t>Uretrostomía</t>
  </si>
  <si>
    <t>1902052</t>
  </si>
  <si>
    <t>Uretrotomía externa (proc. aut.)</t>
  </si>
  <si>
    <t>1902053</t>
  </si>
  <si>
    <t>Uretrotomía interna y/o uretrolitotomía (proc. aut.)</t>
  </si>
  <si>
    <t>1902054</t>
  </si>
  <si>
    <t>Tratamiento quirúrgico de absceso prostático y/o vesículas seminales, cualquier vía o técnica</t>
  </si>
  <si>
    <t>1902055</t>
  </si>
  <si>
    <t>Adenoma o cáncer prostático, resección endoscópica desobstructiva, cualquier técnica (uni, bipolar, láser u otros)</t>
  </si>
  <si>
    <t>1902056</t>
  </si>
  <si>
    <t>Adenoma prostático, trat. quir. cualquier vía o técnica abierta</t>
  </si>
  <si>
    <t>1902057</t>
  </si>
  <si>
    <t>Prostatectomía radical por cáncer prostático, vía abierta, laparoscópica o robótica, incluye linfadenectomía si corresponde</t>
  </si>
  <si>
    <t>1902059</t>
  </si>
  <si>
    <t>Biopsia quirúrgica de testículo y/o aspiración epididimaria.</t>
  </si>
  <si>
    <t>1902060</t>
  </si>
  <si>
    <t>Descenso testicular con o sin hernia, cualquier tiempo, cualquier técnica</t>
  </si>
  <si>
    <t>1902061</t>
  </si>
  <si>
    <t>Descenso testículo inguinal c/s hernioplastía</t>
  </si>
  <si>
    <t>1902062</t>
  </si>
  <si>
    <t>Escroto, plastía de, proc. completo</t>
  </si>
  <si>
    <t>1902063</t>
  </si>
  <si>
    <t>Hidatidectomía unilat. c/s eversión de la vaginal (proc. aut.)</t>
  </si>
  <si>
    <t>1902064</t>
  </si>
  <si>
    <t>Hidrocele y/o hematocele, incluye quistes cordón y/o epidídimo y/o hidatidectomías y/o cirugía intravaginal del mismo lado</t>
  </si>
  <si>
    <t>1902065</t>
  </si>
  <si>
    <t>Orquidectomía unilateral</t>
  </si>
  <si>
    <t>1902066</t>
  </si>
  <si>
    <t>Orquidopexia unilateral</t>
  </si>
  <si>
    <t>1902067</t>
  </si>
  <si>
    <t>Prótesis testicular, (proc. aut.)</t>
  </si>
  <si>
    <t>1902068</t>
  </si>
  <si>
    <t>Orquidectomía ampliada por cáncer testicular</t>
  </si>
  <si>
    <t>1902069</t>
  </si>
  <si>
    <t>Disección ganglionar lumboaórtica por cáncer testicular, cualquier vía o técnica, uni o bilateral o modificada.</t>
  </si>
  <si>
    <t>1902070</t>
  </si>
  <si>
    <t>Anastomosis deferentes o epidídimo-deferencial</t>
  </si>
  <si>
    <t>1902071</t>
  </si>
  <si>
    <t>Cirugía del epidídimo y cordón (proc.aut), incluye cirugía intravaginal y/o varicocele mismo lado</t>
  </si>
  <si>
    <t>1902072</t>
  </si>
  <si>
    <t>Plastía epidídimo-deferente (operación de Martín o sim.)</t>
  </si>
  <si>
    <t>1902073</t>
  </si>
  <si>
    <t>Quistes del cordón, y/o epidídimo, extirpación; epididimotomía diagnóstica y/o terapéutica (proc. aut.)</t>
  </si>
  <si>
    <t>1902074</t>
  </si>
  <si>
    <t>Exploración escroto agudo. Incluye hematocele por trauma, destorsión y fijación testículo, hidatidectomía  y eversión bilateral si corresponde</t>
  </si>
  <si>
    <t>1902075</t>
  </si>
  <si>
    <t>Varicocele unilateral y/o denervación cordón espermático (incluye quistes, hidátides e hidrocele mismo lado)</t>
  </si>
  <si>
    <t>1902076</t>
  </si>
  <si>
    <t>Vasectomía bilateral, (proc. aut.) (la vasectomía como tiempo previo a una resección de próstata esta incluida en la prostatectomía)</t>
  </si>
  <si>
    <t>1902078</t>
  </si>
  <si>
    <t>Amputación parcial del pene (proc. aut.)</t>
  </si>
  <si>
    <t>1902079</t>
  </si>
  <si>
    <t>Amputación total del pene, proc. completo</t>
  </si>
  <si>
    <t>1902080</t>
  </si>
  <si>
    <t>Biopsia de pene (proc. aut.)</t>
  </si>
  <si>
    <t>1902081</t>
  </si>
  <si>
    <t>Cirugía del priapismo cualquier vía o técnica</t>
  </si>
  <si>
    <t>1902082</t>
  </si>
  <si>
    <t>Circuncisión (incluye sección de frenillo, y/o de sinequias bálano-prepuciales, y/o incisión dorsal c/s meatotomía)</t>
  </si>
  <si>
    <t>1902083</t>
  </si>
  <si>
    <t>Cirugía traumatismo peneano o curvaturas  adquiridas de la albugínea</t>
  </si>
  <si>
    <t>1902084</t>
  </si>
  <si>
    <t>Meatotomía hombre y/o sección frenillo y/o incisión dorsal, (proc. aut.)</t>
  </si>
  <si>
    <t>1902085</t>
  </si>
  <si>
    <t>Implantación prótesis peneana cualquier tipo o vía (no incluye prótesis)</t>
  </si>
  <si>
    <t>1902090</t>
  </si>
  <si>
    <t>Tratamiento integral litiasis urinaria por vía litotripsia extracorpórea</t>
  </si>
  <si>
    <t>1902091</t>
  </si>
  <si>
    <t>Reparación vesical por trauma o daño de cualquier tipo. Por vía de abordaje laparoscópica</t>
  </si>
  <si>
    <t>1902092</t>
  </si>
  <si>
    <t>Inyección ureteral o vesical de medicamentos o sustancias vía endoscópica (no incluye fármaco)</t>
  </si>
  <si>
    <t>1902093</t>
  </si>
  <si>
    <t>Ureterostomía unilateral: vesical, cutáneo o intestinal por vía de abordaje laparoscopia</t>
  </si>
  <si>
    <t>2001002</t>
  </si>
  <si>
    <t>Colposcopía</t>
  </si>
  <si>
    <t>2001005</t>
  </si>
  <si>
    <t>Histeroscopía diagnóstica (proc. aut.)</t>
  </si>
  <si>
    <t>2001006</t>
  </si>
  <si>
    <t>Amniocentesis</t>
  </si>
  <si>
    <t>2001007</t>
  </si>
  <si>
    <t>Culdocentesis (punción del Douglas)</t>
  </si>
  <si>
    <t>2001009</t>
  </si>
  <si>
    <t>Monitoreo basal con informe</t>
  </si>
  <si>
    <t>2001010</t>
  </si>
  <si>
    <t>Monitoreo fetal estresante, con control permanente del especialista y tratamiento de las posibles complicaciones</t>
  </si>
  <si>
    <t>2001012</t>
  </si>
  <si>
    <t>Galactografía (a.c. 04-02-005)</t>
  </si>
  <si>
    <t>2001013</t>
  </si>
  <si>
    <t>Histerosalpingografía (a.c. 04-02-011)</t>
  </si>
  <si>
    <t>2001014</t>
  </si>
  <si>
    <t>Biopsia endometrio, vulva, vagina, cuello, c/u (proc. aut.)</t>
  </si>
  <si>
    <t>2001015</t>
  </si>
  <si>
    <t>Colocación o extracción de dispositivo intrauterino (no incluye el valor del dispositivo)</t>
  </si>
  <si>
    <t>2001016</t>
  </si>
  <si>
    <t>Electrodiatermo o criocoagulación de lesiones del cuello</t>
  </si>
  <si>
    <t>2001020</t>
  </si>
  <si>
    <t>Test postcoital</t>
  </si>
  <si>
    <t>2001021</t>
  </si>
  <si>
    <t>Cordocentesis</t>
  </si>
  <si>
    <t>2001022</t>
  </si>
  <si>
    <t>Punción evacuadora de quistes mamarios, c/s toma de muestras, c/s inyección de medicamentos</t>
  </si>
  <si>
    <t>2001023</t>
  </si>
  <si>
    <t>Biopsia estereotáxica digital de mama</t>
  </si>
  <si>
    <t>2001024</t>
  </si>
  <si>
    <t>Biopsia Corial</t>
  </si>
  <si>
    <t>2001025</t>
  </si>
  <si>
    <t>Toma de biopsia con aguja bajo visión ecográfica de la Mama (Biopsia Core)</t>
  </si>
  <si>
    <t>2001026</t>
  </si>
  <si>
    <t>Instalación o retiro dispositivo subdérmico anticonceptivo</t>
  </si>
  <si>
    <t>2002001</t>
  </si>
  <si>
    <t>Absceso y/o hematoma de mama, trat.quir.</t>
  </si>
  <si>
    <t>2002002</t>
  </si>
  <si>
    <t>Mastectomía parcial (cuadrantectomía o similar) o total s/vaciamiento ganglionar</t>
  </si>
  <si>
    <t>2002003</t>
  </si>
  <si>
    <t>Mastectomía radical o tumorectomía c/vaciamiento ganglionar o mastectomía total c/vaciamiento ganglionar</t>
  </si>
  <si>
    <t>2002005</t>
  </si>
  <si>
    <t>Tumor benigno y/o quiste y/o mama supernumeraria y/o aberrante o politelia, o biopsia quirúrgica extemporánea, trat. quir. (proc. aut)</t>
  </si>
  <si>
    <t>2002006</t>
  </si>
  <si>
    <t>Biopsia linfonodo centinela</t>
  </si>
  <si>
    <t>2003001</t>
  </si>
  <si>
    <t>Ooforectomía parcial o total, uni o bilateral (proc. aut.)</t>
  </si>
  <si>
    <t>2003002</t>
  </si>
  <si>
    <t>Anexectomía y/o vac. de absceso tubo-ovárico, uni o bilateral.</t>
  </si>
  <si>
    <t>2003003</t>
  </si>
  <si>
    <t>Embarazo tubario, trat. quir.</t>
  </si>
  <si>
    <t>2003004</t>
  </si>
  <si>
    <t>Ligadura o sección uni o bilateral de las trompas (Madlener, Pomeroy, o similares) (proc. aut.)</t>
  </si>
  <si>
    <t>2003005</t>
  </si>
  <si>
    <t>Salpingectomía uni o bilateral</t>
  </si>
  <si>
    <t>2003006</t>
  </si>
  <si>
    <t>Esterilidad tubaria, operación plástica uni o bilateral con microcirugía</t>
  </si>
  <si>
    <t>2003007</t>
  </si>
  <si>
    <t>Esterilidad tubaria, operación plástica uni o bilateral sin microcirugía</t>
  </si>
  <si>
    <t>2003008</t>
  </si>
  <si>
    <t>Miomectomía</t>
  </si>
  <si>
    <t>2003009</t>
  </si>
  <si>
    <t>Histerectomía subtotal por vía abdominal</t>
  </si>
  <si>
    <t>2003010</t>
  </si>
  <si>
    <t>Histerectomía total o ampliada por vía abdominal</t>
  </si>
  <si>
    <t>2003011</t>
  </si>
  <si>
    <t>Ligamento ancho: abscesos y/o hematomas y/o flegmones y/o quistomas y/o várices u otros, trat. quir. (proc. aut.)</t>
  </si>
  <si>
    <t>2003012</t>
  </si>
  <si>
    <t>Conización y/o amputación del cuello uterino, diagnóstica y/o terapéutica  c/s biopsia</t>
  </si>
  <si>
    <t>2003013</t>
  </si>
  <si>
    <t>Exanteración pelviana anterior y/o posterior</t>
  </si>
  <si>
    <t>2003014</t>
  </si>
  <si>
    <t>Histerectomía por vía vaginal</t>
  </si>
  <si>
    <t>2003015</t>
  </si>
  <si>
    <t>Histerectomía radical con disección pelviana completa de territorios ganglionares, incluye ganglios lumboaórticos (operación de Wertheim o similares)</t>
  </si>
  <si>
    <t>2003016</t>
  </si>
  <si>
    <t>Histerectomía total c/intervención incontinencia urinaria, cualquier técnica</t>
  </si>
  <si>
    <t>2003017</t>
  </si>
  <si>
    <t>Histeropexia</t>
  </si>
  <si>
    <t>2003018</t>
  </si>
  <si>
    <t>Plastía uterina (operación de Strassmann o similares)</t>
  </si>
  <si>
    <t>2003019</t>
  </si>
  <si>
    <t>Polipectomía (uno o más) (proc. aut.)</t>
  </si>
  <si>
    <t>2003020</t>
  </si>
  <si>
    <t>Sinequia y/o estenosis cervical, trat. quir.</t>
  </si>
  <si>
    <t>2003021</t>
  </si>
  <si>
    <t>Colpoceliotomía</t>
  </si>
  <si>
    <t>2003022</t>
  </si>
  <si>
    <t>Incontinencia urinaria de esfuerzo, trat. quir. por vía vaginal (proc. aut.)</t>
  </si>
  <si>
    <t>2003023</t>
  </si>
  <si>
    <t>Prolapso anterior y/o posterior con repar., incontinencia urinaria por vía extravaginal o combinada</t>
  </si>
  <si>
    <t>2003024</t>
  </si>
  <si>
    <t>Prolapso anterior y/o posterior c/s trat. de incontinencia urinaria por vía vaginal, trat. quir.</t>
  </si>
  <si>
    <t>2003025</t>
  </si>
  <si>
    <t>Quiste y/o desgarro y/o tabique vaginal, trat. quir.</t>
  </si>
  <si>
    <t>2003026</t>
  </si>
  <si>
    <t>Bartolinitis, vaciamiento y drenaje (proc. aut.)</t>
  </si>
  <si>
    <t>2003027</t>
  </si>
  <si>
    <t>Bartolinocistoneostomía o extirp. de la glándula</t>
  </si>
  <si>
    <t>2003028</t>
  </si>
  <si>
    <t>Vulvectomía radical</t>
  </si>
  <si>
    <t>2003029</t>
  </si>
  <si>
    <t>Vulvectomía simple</t>
  </si>
  <si>
    <t>2003030</t>
  </si>
  <si>
    <t>Desgarro cervical trat. quir.</t>
  </si>
  <si>
    <t>2003031</t>
  </si>
  <si>
    <t>Videolaparoscopía ginecológica exploradora (incluye toma de muestras para biopsias, punción de quistes y liberación de adherencias) (proc. aut.)</t>
  </si>
  <si>
    <t>2003040</t>
  </si>
  <si>
    <t>Incompetencia cervical trat. quir.</t>
  </si>
  <si>
    <t>2003041</t>
  </si>
  <si>
    <t>Extracción de DIU incrustado, por vía abdominal</t>
  </si>
  <si>
    <t>2003042</t>
  </si>
  <si>
    <t>Linfadenectomía pélvica bilateral laparoscopia</t>
  </si>
  <si>
    <t>2003043</t>
  </si>
  <si>
    <t>Traquelectomía radical</t>
  </si>
  <si>
    <t>2003044</t>
  </si>
  <si>
    <t>Linfadenectomía pelvica bilateral abierta</t>
  </si>
  <si>
    <t>2003045</t>
  </si>
  <si>
    <t>Traquelectomía radical laparoscópica</t>
  </si>
  <si>
    <t>2003046</t>
  </si>
  <si>
    <t>Traquelectomía simple por vía vaginal</t>
  </si>
  <si>
    <t>2003047</t>
  </si>
  <si>
    <t>Prueba de neuromodulación sacra básica: Evaluación periférica de raíces sacras</t>
  </si>
  <si>
    <t>2003048</t>
  </si>
  <si>
    <t>Implante conjunto de neuroelectrodo sacro cuadripolar y generador de pulso implantable de neuromodulación sacra</t>
  </si>
  <si>
    <t>2003049</t>
  </si>
  <si>
    <t>Prueba avanzada de neuromodulación sacra: Implante o revisión de neuroelectrodo sacro cuadripolar</t>
  </si>
  <si>
    <t>2003050</t>
  </si>
  <si>
    <t>Implante de generador de pulso implantable de neuromodulación sacra</t>
  </si>
  <si>
    <t>2003051</t>
  </si>
  <si>
    <t>Explante de neuroelectrodo sacro cuadripolar espiculado o revisión de bolsillo glúteo</t>
  </si>
  <si>
    <t>2004001</t>
  </si>
  <si>
    <t>Aborto retenido, vaciamiento de (incluye la inducción en los casos que corresponda)</t>
  </si>
  <si>
    <t>2004002</t>
  </si>
  <si>
    <t>Raspado uterino diagnóstico o terapéutico por metrorragia o por restos de aborto</t>
  </si>
  <si>
    <t>2004005</t>
  </si>
  <si>
    <t>Cesárea con histerectomía</t>
  </si>
  <si>
    <t>2004006</t>
  </si>
  <si>
    <t>Cesárea c/s salpingoligadura o salpingectomía</t>
  </si>
  <si>
    <t>2004007</t>
  </si>
  <si>
    <t>Aspiración manual endouterina (AMEU)</t>
  </si>
  <si>
    <t>2004008</t>
  </si>
  <si>
    <t>Tratamiento Farmacológico Ley IVE (incluye Consulta especialidad en Obstetricia y Ginecología y Fármacos)</t>
  </si>
  <si>
    <t>2004009</t>
  </si>
  <si>
    <t>Fototerapia a recién nacidos</t>
  </si>
  <si>
    <t>2004013</t>
  </si>
  <si>
    <t>Cirugía quiste o tumor benigno del ovario abierta, neonatal</t>
  </si>
  <si>
    <t>2004014</t>
  </si>
  <si>
    <t>Cirugía quiste o tumor benigno del ovario laparoscópico, neonatal</t>
  </si>
  <si>
    <t>2004015</t>
  </si>
  <si>
    <t>Tratamiento quirúrgico abierto del quiste paraovárico o del ligamento ancho, neonatal</t>
  </si>
  <si>
    <t>2004016</t>
  </si>
  <si>
    <t>Tratamiento quirúrgico laparoscópico del quiste paraovárico o del ligamento ancho, laparoscópico, neonatal</t>
  </si>
  <si>
    <t>2004017</t>
  </si>
  <si>
    <t>Tratamiento quirúrgico de himen imperforado, paciente pediátrico</t>
  </si>
  <si>
    <t>2004103</t>
  </si>
  <si>
    <t>Parto normal</t>
  </si>
  <si>
    <t>2004113</t>
  </si>
  <si>
    <t>Parto distócico vaginal</t>
  </si>
  <si>
    <t>2101001</t>
  </si>
  <si>
    <t>Infiltración local medicamentos (bursas, tendones, yuxtaarticulares y/o intraarticulares</t>
  </si>
  <si>
    <t>2101002</t>
  </si>
  <si>
    <t>Procedimiento para exploraciones radiologicas (incluye maniobra e inyeccion del medio de contraste)</t>
  </si>
  <si>
    <t>2101003</t>
  </si>
  <si>
    <t>Movilización articular bajo anestesia general.</t>
  </si>
  <si>
    <t>2104001</t>
  </si>
  <si>
    <t>Artroscopía diagnóstica c/s biopsia, c/s sección de bridas, extracción de cuerpo extraño</t>
  </si>
  <si>
    <t>2104002</t>
  </si>
  <si>
    <t>Exostosis u osteocondroma, trat. quir.</t>
  </si>
  <si>
    <t>2104003</t>
  </si>
  <si>
    <t>Quistes sinoviales de vainas flexoras, bursas</t>
  </si>
  <si>
    <t>2104004</t>
  </si>
  <si>
    <t>Tracción halocraneana o estribo-craneana (proc. aut.)</t>
  </si>
  <si>
    <t>2104005</t>
  </si>
  <si>
    <t>Tracción halocráneo-femoral</t>
  </si>
  <si>
    <t>2104006</t>
  </si>
  <si>
    <t>Tracción transesquelética o de partes blandas en adultos o en niños (proc. aut.)</t>
  </si>
  <si>
    <t>2104007</t>
  </si>
  <si>
    <t>Artrodesis de codo o muñeca, c/u</t>
  </si>
  <si>
    <t>2104008</t>
  </si>
  <si>
    <t>Artrodesis de hombro, cadera,rodilla, tobillo o sacroilíaca, c/u</t>
  </si>
  <si>
    <t>2104009</t>
  </si>
  <si>
    <t>Artrodesis de mano o pie c/u</t>
  </si>
  <si>
    <t>2104010</t>
  </si>
  <si>
    <t>Tratamiento completo de fracturas expuestas de brazo, antebrazo, muslo y pierna, c/u</t>
  </si>
  <si>
    <t>2104011</t>
  </si>
  <si>
    <t>Tratamiento completo de fracturas expuestas de mano o pie, c/u</t>
  </si>
  <si>
    <t>2104012</t>
  </si>
  <si>
    <t>Osteítis, raspado, c/s secuestrectomía</t>
  </si>
  <si>
    <t>2104013</t>
  </si>
  <si>
    <t>Osteomielitis aguda hematógena, drenaje quirúrgico, c/s dispositivos de osteoclisis</t>
  </si>
  <si>
    <t>2104014</t>
  </si>
  <si>
    <t>Osteomielitis crónica huesos largos, legrado óseo,  c/s osteosíntesis o aparato de yeso</t>
  </si>
  <si>
    <t>2104015</t>
  </si>
  <si>
    <t>Artrotomía hombro o cadera c/u</t>
  </si>
  <si>
    <t>2104016</t>
  </si>
  <si>
    <t>Artrotomía de codo, muñeca, tobillo o temporomandibular, c/u</t>
  </si>
  <si>
    <t>2104017</t>
  </si>
  <si>
    <t>Pseudoartrosis  infectada huesos largos, trat. quir. cualquier técnica, c/s dispositivo de osteoclisis, c/s osteosíntesis o aparato de yeso</t>
  </si>
  <si>
    <t>2104018</t>
  </si>
  <si>
    <t>Autotrasplante óseo microquirúrgico</t>
  </si>
  <si>
    <t>2104019</t>
  </si>
  <si>
    <t>Injerto esponjoso metafisiario</t>
  </si>
  <si>
    <t>2104020</t>
  </si>
  <si>
    <t>Injertos esponjosos o córtico-esponjosos de cresta ilíaca</t>
  </si>
  <si>
    <t>2104021</t>
  </si>
  <si>
    <t>Trasplante óseo (auto u homotrasplante)</t>
  </si>
  <si>
    <t>2104022</t>
  </si>
  <si>
    <t>Lesiones quísticas con fractura patológica: legrado óseo, c/s relleno injerto esponjoso, c/s osteosíntesis y/o aparato de inmovilización postoperatoria</t>
  </si>
  <si>
    <t>2104023</t>
  </si>
  <si>
    <t>Lesiones quísticas intraosea: legrado óseo, c/s relleno de injertos</t>
  </si>
  <si>
    <t>2104024</t>
  </si>
  <si>
    <t>Metástasis ósea c/s fractura patológica, legrado tumoral, relleno cemento quirúrgico y osteosíntesis</t>
  </si>
  <si>
    <t>2104025</t>
  </si>
  <si>
    <t>Tumor óseo, resección en bloque, c/s osteosíntesis y/o aparato inmovilización postoperatorio</t>
  </si>
  <si>
    <t>2104026</t>
  </si>
  <si>
    <t>Tumores o quistes o lesiones pseudoquísticas o musculares y/o tendíneas, trat. quir.</t>
  </si>
  <si>
    <t>2104027</t>
  </si>
  <si>
    <t>Tumores óseos: resección en bloque, epifisiaria c/artrodesis o diafisiaria</t>
  </si>
  <si>
    <t>2104028</t>
  </si>
  <si>
    <t>Tumores primarios o metastásicos vertebrales: corporectomía, reemplazo por cemento quir. o injerto óseo, c/s osteosíntesis</t>
  </si>
  <si>
    <t>2104029</t>
  </si>
  <si>
    <t>Sinovectomías quirúrgicas de codo o muñeca o metacarpofalángicas, c/u</t>
  </si>
  <si>
    <t>2104030</t>
  </si>
  <si>
    <t>Sinovectomías quirúrgicas de rodilla o cadera u hombro, c/u</t>
  </si>
  <si>
    <t>2104031</t>
  </si>
  <si>
    <t>Epineurorrafia microquirúrgica con magnificación cualquier tronco nervioso (con excepción nervios digitales)</t>
  </si>
  <si>
    <t>2104033</t>
  </si>
  <si>
    <t>Biopsia ósea por punción</t>
  </si>
  <si>
    <t>2104034</t>
  </si>
  <si>
    <t>Biopsia ósea quirúrgica</t>
  </si>
  <si>
    <t>2104035</t>
  </si>
  <si>
    <t>Biopsia sinovial o muscular por punción</t>
  </si>
  <si>
    <t>2104036</t>
  </si>
  <si>
    <t>Biopsia sinovial o muscular quirúrgica</t>
  </si>
  <si>
    <t>2104037</t>
  </si>
  <si>
    <t>Biopsia vertebral por punción</t>
  </si>
  <si>
    <t>2104038</t>
  </si>
  <si>
    <t>Regularización de Muñón de amputación</t>
  </si>
  <si>
    <t>2104039</t>
  </si>
  <si>
    <t>Osteocondrosis o epifisitis, trat. quir.</t>
  </si>
  <si>
    <t>2104040</t>
  </si>
  <si>
    <t>Amputación interescápulo-torácica</t>
  </si>
  <si>
    <t>2104041</t>
  </si>
  <si>
    <t>Desarticulación escápulo-humeral</t>
  </si>
  <si>
    <t>2104042</t>
  </si>
  <si>
    <t>Endoprótesis total de hombro,(cualquier técnica)</t>
  </si>
  <si>
    <t>2104044</t>
  </si>
  <si>
    <t>Fractura cuello humeral, trat. quir.</t>
  </si>
  <si>
    <t>2104045</t>
  </si>
  <si>
    <t>Fractura de clavícula, osteosíntesis</t>
  </si>
  <si>
    <t>2104046</t>
  </si>
  <si>
    <t>Fractura escápula, osteosíntesis</t>
  </si>
  <si>
    <t>2104047</t>
  </si>
  <si>
    <t>Luxación acromio-clavicular o esterno-clavicular, reducción o plastía cápsuloligamentosa y osteosíntesis</t>
  </si>
  <si>
    <t>2104048</t>
  </si>
  <si>
    <t>Luxación recidivante de hombro, trat. quir.</t>
  </si>
  <si>
    <t>2104049</t>
  </si>
  <si>
    <t>Luxación traumática de hombro, reducción cruenta</t>
  </si>
  <si>
    <t>2104050</t>
  </si>
  <si>
    <t>Luxofractura, reducción y osteosíntesis hombro</t>
  </si>
  <si>
    <t>2104051</t>
  </si>
  <si>
    <t>Ruptura manguito rotadores, trat. quir. c/s acromiectomía</t>
  </si>
  <si>
    <t>2104052</t>
  </si>
  <si>
    <t>Transposiciones musculares</t>
  </si>
  <si>
    <t>2104053</t>
  </si>
  <si>
    <t>Amputación brazo</t>
  </si>
  <si>
    <t>2104054</t>
  </si>
  <si>
    <t>Fractura supracondílea niño; tracción esquelética, c/s osteosíntesis y aparato de yeso</t>
  </si>
  <si>
    <t>2104055</t>
  </si>
  <si>
    <t>Osteosíntesis diafisiaria de húmero (cualquier técnica)</t>
  </si>
  <si>
    <t>2104056</t>
  </si>
  <si>
    <t>Osteosíntesis supra o intercondílea (cualquier técnica)</t>
  </si>
  <si>
    <t>2104057</t>
  </si>
  <si>
    <t>Osteotomía húmero (cualquier técnica)</t>
  </si>
  <si>
    <t>2104058</t>
  </si>
  <si>
    <t>Pseudoartrosis c/s osteosíntesis c/s yeso húmero</t>
  </si>
  <si>
    <t>2104059</t>
  </si>
  <si>
    <t>Artroplastía con fascia codo</t>
  </si>
  <si>
    <t>2104060</t>
  </si>
  <si>
    <t>Cúpula radial, resección</t>
  </si>
  <si>
    <t>2104061</t>
  </si>
  <si>
    <t>Cúpula radial, (resección con implante de prótesis) artroplastía</t>
  </si>
  <si>
    <t>2104062</t>
  </si>
  <si>
    <t>Endoprótesis total de codo, (cualquier técnica)</t>
  </si>
  <si>
    <t>2104063</t>
  </si>
  <si>
    <t>Epicondilitis, trat. quir. (cualquier técnica)</t>
  </si>
  <si>
    <t>2104064</t>
  </si>
  <si>
    <t>Luxación de codo, reducción cruenta</t>
  </si>
  <si>
    <t>2104065</t>
  </si>
  <si>
    <t>Luxofractura de codo, reducción cruenta c/s resección cúpula radial</t>
  </si>
  <si>
    <t>2104066</t>
  </si>
  <si>
    <t>Osteosíntesis epitroclea-epicóndilo (cualquier técnica)</t>
  </si>
  <si>
    <t>2104067</t>
  </si>
  <si>
    <t>Osteosíntesis olécranon u osteosíntesis de cúpula radial (proc. aut.) (cualquier técnica)</t>
  </si>
  <si>
    <t>2104068</t>
  </si>
  <si>
    <t>Traslocación nervio cubital (proc. aut.)</t>
  </si>
  <si>
    <t>2104069</t>
  </si>
  <si>
    <t>Operación de salvataje radio-procúbito</t>
  </si>
  <si>
    <t>2104070</t>
  </si>
  <si>
    <t>Amputación antebrazo</t>
  </si>
  <si>
    <t>2104071</t>
  </si>
  <si>
    <t>Extirpación metáfisis distal del cúbito y artrodesis radiocubital inferior</t>
  </si>
  <si>
    <t>2104072</t>
  </si>
  <si>
    <t>Luxofracturas (Monteggia-Galeazzi), reducc. y osteosíntesis</t>
  </si>
  <si>
    <t>2104073</t>
  </si>
  <si>
    <t>Osteosíntesis, fract.cerrada cúbito y/o radio (cualq. tecn.)</t>
  </si>
  <si>
    <t>2104074</t>
  </si>
  <si>
    <t>Osteotomía uno o ambos huesos, c/s osteosíntesis c/s yeso o trat. quir. Enf. de Kienbock</t>
  </si>
  <si>
    <t>2104075</t>
  </si>
  <si>
    <t>Pseudoartrosis  cúbito y/o radio c/s osteosíntesis c/s yeso</t>
  </si>
  <si>
    <t>2104076</t>
  </si>
  <si>
    <t>Sinostosis radio-cubital, trat. quir., c/s injerto</t>
  </si>
  <si>
    <t>2104077</t>
  </si>
  <si>
    <t>Trasplantes músculo-tendinosos antebrazo</t>
  </si>
  <si>
    <t>2104078</t>
  </si>
  <si>
    <t>Contractura isquem. de Volkmann: descenso muscular, neurolisis</t>
  </si>
  <si>
    <t>2104079</t>
  </si>
  <si>
    <t>Endoprótesis total de muñeca, (cualquier técnica)</t>
  </si>
  <si>
    <t>2104080</t>
  </si>
  <si>
    <t>Estiloides cubital, radial, resección de.</t>
  </si>
  <si>
    <t>2104081</t>
  </si>
  <si>
    <t>Fractura o pseudoartrosis escafoides, trat. quir. cualq. técn.</t>
  </si>
  <si>
    <t>2104083</t>
  </si>
  <si>
    <t>Luxación radiocarpiana, trat. quir.</t>
  </si>
  <si>
    <t>2104084</t>
  </si>
  <si>
    <t>Luxación semilunar ,escafoidea, reducción y osteosíntesis semicruenta o cruenta</t>
  </si>
  <si>
    <t>2104085</t>
  </si>
  <si>
    <t>Osteosíntesis radio, (cualquier técnica)</t>
  </si>
  <si>
    <t>2104086</t>
  </si>
  <si>
    <t>Tendovaginosis de De Quervain, trat. quir.</t>
  </si>
  <si>
    <t>2104087</t>
  </si>
  <si>
    <t>Amputación dedos (tres o más)</t>
  </si>
  <si>
    <t>2104088</t>
  </si>
  <si>
    <t>Amputación dedos (uno o dos)</t>
  </si>
  <si>
    <t>2104089</t>
  </si>
  <si>
    <t>Amputación mano o del pulgar</t>
  </si>
  <si>
    <t>2104090</t>
  </si>
  <si>
    <t>Amputación pulpejos (plastía Kutler o similares)</t>
  </si>
  <si>
    <t>2104091</t>
  </si>
  <si>
    <t>Contractura Dupuytren, trat. quir., cada tiempo</t>
  </si>
  <si>
    <t>2104092</t>
  </si>
  <si>
    <t>Contusión-compresión grave mano, trat. quir. incluye incisiones liberadoras y/o fasciotomía y/o escarectomía y/o injertos piel inmediatos y síntesis percutánea</t>
  </si>
  <si>
    <t>2104093</t>
  </si>
  <si>
    <t>Dedos en gatillo, trat. quir., cualquier número</t>
  </si>
  <si>
    <t>2104094</t>
  </si>
  <si>
    <t>Flegmón mano, trat. quir.</t>
  </si>
  <si>
    <t>2104095</t>
  </si>
  <si>
    <t>Luxofractura metacarpofalángica o interfalángica, trat. quir.</t>
  </si>
  <si>
    <t>2104096</t>
  </si>
  <si>
    <t>Mano reumática en ráfaga: traslocaciones tendinosas, plastías capsulares, tenotomías, inmovilización postoperatoria</t>
  </si>
  <si>
    <t>2104097</t>
  </si>
  <si>
    <t>Mano reumática: implant. silastic, cualq. número (proc. aut.)</t>
  </si>
  <si>
    <t>2104098</t>
  </si>
  <si>
    <t>Mutilación grave mano, aseo. quir. completo c/s osteosíntesis, c/s injertos</t>
  </si>
  <si>
    <t>2104099</t>
  </si>
  <si>
    <t>Osteosíntesis metacarpianas o de falanges, cualquier técnica</t>
  </si>
  <si>
    <t>2104100</t>
  </si>
  <si>
    <t>Panadizo, trat. quir.</t>
  </si>
  <si>
    <t>2104101</t>
  </si>
  <si>
    <t>Pulgarización dedo (índice o anular)</t>
  </si>
  <si>
    <t>2104102</t>
  </si>
  <si>
    <t>Reimplante mano o dedo(s)</t>
  </si>
  <si>
    <t>2104103</t>
  </si>
  <si>
    <t>Reparación flexores: primer tiempo espaciador silastic</t>
  </si>
  <si>
    <t>2104104</t>
  </si>
  <si>
    <t>Reparación nervio digital con injerto interfascicular: cualquier número</t>
  </si>
  <si>
    <t>2104105</t>
  </si>
  <si>
    <t>Rupturas cerradas cápsulo-ligament. o tendinosas, trat. quir. Mano</t>
  </si>
  <si>
    <t>2104106</t>
  </si>
  <si>
    <t>Sutura nervio(s) digital(es); microcirugía</t>
  </si>
  <si>
    <t>2104107</t>
  </si>
  <si>
    <t>Tenorrafia extensores mano</t>
  </si>
  <si>
    <t>2104108</t>
  </si>
  <si>
    <t>Tenorrafia o injertos flexores mano</t>
  </si>
  <si>
    <t>2104109</t>
  </si>
  <si>
    <t>Tenosinovitis séptica, trat. quir. mano</t>
  </si>
  <si>
    <t>2104110</t>
  </si>
  <si>
    <t>Trasplante microquirúrgico para pulgar</t>
  </si>
  <si>
    <t>2104111</t>
  </si>
  <si>
    <t>Transposiciones tendinosas flexoras o extensoras mano</t>
  </si>
  <si>
    <t>2104112</t>
  </si>
  <si>
    <t>Diastematomielia, resección espolón c/s instrumentación</t>
  </si>
  <si>
    <t>2104113</t>
  </si>
  <si>
    <t>Escoliosis, trat. quir., cualquier vía de abordaje, e instrumentación de Harrington,  Luque, Dwyer o similares</t>
  </si>
  <si>
    <t>2104116</t>
  </si>
  <si>
    <t>Luxaciones, luxofracturas vertebrales (cervical, dorsal, lumbar), reducción cruenta, cualquier vía de abordaje, cualquier número</t>
  </si>
  <si>
    <t>2104117</t>
  </si>
  <si>
    <t>Osteotomías vertebrales correctoras, c/s instrumentación, c/s injertos óseos, c/s artrodesis</t>
  </si>
  <si>
    <t>2104118</t>
  </si>
  <si>
    <t>Plastías costales, cualquier número</t>
  </si>
  <si>
    <t>2104119</t>
  </si>
  <si>
    <t>Reemplazo cuerpo vertebral con artrodesis c/s osteosíntesis c/s instrumentación</t>
  </si>
  <si>
    <t>2104121</t>
  </si>
  <si>
    <t>Resección del coxis</t>
  </si>
  <si>
    <t>2104122</t>
  </si>
  <si>
    <t>Osteosíntesis en fractura de arco anterior de pelvis y disyunciones pubianas</t>
  </si>
  <si>
    <t>2104123</t>
  </si>
  <si>
    <t>Fractura de pelvis, osteosíntesis quir.</t>
  </si>
  <si>
    <t>2104124</t>
  </si>
  <si>
    <t>Osteotomía pelviana (Salter, Chiari o similares)</t>
  </si>
  <si>
    <t>2104125</t>
  </si>
  <si>
    <t>Triple osteotomía de pelvis</t>
  </si>
  <si>
    <t>2104126</t>
  </si>
  <si>
    <t>Amputación inter-ilio abdominal</t>
  </si>
  <si>
    <t>2104127</t>
  </si>
  <si>
    <t>Desarticulación cadera</t>
  </si>
  <si>
    <t>2104128</t>
  </si>
  <si>
    <t>Endoprótesis parcial de cadera c/s cementación (cualquier técnica) (no incluye prótesis)</t>
  </si>
  <si>
    <t>2104129</t>
  </si>
  <si>
    <t>Endoprótesis total de cadera  (no incluye prótesis)</t>
  </si>
  <si>
    <t>2104130</t>
  </si>
  <si>
    <t>Epifisiolisis lenta o aguda, trat. quir.</t>
  </si>
  <si>
    <t>2104131</t>
  </si>
  <si>
    <t>Fractura de cuello de fémur, osteosíntesis, cualquier técnica</t>
  </si>
  <si>
    <t>2104132</t>
  </si>
  <si>
    <t>Fractura de cuello de fémur, resección epífisis femoral</t>
  </si>
  <si>
    <t>2104133</t>
  </si>
  <si>
    <t>Luxación traumática de cadera, reducción cruenta</t>
  </si>
  <si>
    <t>2104134</t>
  </si>
  <si>
    <t>Luxofractura acetabular, trat. quir.</t>
  </si>
  <si>
    <t>2104135</t>
  </si>
  <si>
    <t>Operación de salvataje cadera, columna o similares</t>
  </si>
  <si>
    <t>2104136</t>
  </si>
  <si>
    <t>Osteotomías femorales</t>
  </si>
  <si>
    <t>2104137</t>
  </si>
  <si>
    <t>Reducción cruenta en luxación congénita o traumática de cadera</t>
  </si>
  <si>
    <t>2104138</t>
  </si>
  <si>
    <t>Reducción cruenta y acetabuloplastía femoral c/s osteotomía femoral</t>
  </si>
  <si>
    <t>2104139</t>
  </si>
  <si>
    <t>Reducción cruenta y osteotomía femoral</t>
  </si>
  <si>
    <t>2104140</t>
  </si>
  <si>
    <t>Tenotomía aductores c/s botas, con yugo (proc. aut.)</t>
  </si>
  <si>
    <t>2104141</t>
  </si>
  <si>
    <t>Trocanteroplastías</t>
  </si>
  <si>
    <t>2104142</t>
  </si>
  <si>
    <t>Amputación muslo</t>
  </si>
  <si>
    <t>2104143</t>
  </si>
  <si>
    <t>Epifisiodesis (fémur y/o tibia)</t>
  </si>
  <si>
    <t>2104144</t>
  </si>
  <si>
    <t>Osteosíntesis diafisiaria o metafisiaria muslo (cualquier técnica)</t>
  </si>
  <si>
    <t>2104145</t>
  </si>
  <si>
    <t>Osteotomía correctora muslo</t>
  </si>
  <si>
    <t>2104146</t>
  </si>
  <si>
    <t>Osteotomía de alargamiento o acortamiento con osteosíntesis inmediata o distracción instrumental progresiva muslo</t>
  </si>
  <si>
    <t>2104147</t>
  </si>
  <si>
    <t>Osteotomía en rosario con enclavijamiento clavo telescópico</t>
  </si>
  <si>
    <t>2104148</t>
  </si>
  <si>
    <t>Pseudoartrosis, trat. quir. (cualquier técnica) muslo</t>
  </si>
  <si>
    <t>2104149</t>
  </si>
  <si>
    <t>Ruptura y/o hernia muscular, trat. quir. muslo</t>
  </si>
  <si>
    <t>2104150</t>
  </si>
  <si>
    <t>Artrotomía por cuerpos libres, osteocondritis rodilla (proc. aut)</t>
  </si>
  <si>
    <t>2104151</t>
  </si>
  <si>
    <t>Desarticulación rodilla</t>
  </si>
  <si>
    <t>2104152</t>
  </si>
  <si>
    <t>Disfunción patelo-femoral, realineamiento (cualquier técnica)</t>
  </si>
  <si>
    <t>2104153</t>
  </si>
  <si>
    <t>Endoprótesis total de rodilla, (cualquier técnica)</t>
  </si>
  <si>
    <t>2104154</t>
  </si>
  <si>
    <t>Fractura rótula: osteosíntesis o patelectomía parc. o total</t>
  </si>
  <si>
    <t>2104155</t>
  </si>
  <si>
    <t>Fracturas condíleas o de platillos tibiales, reducción, osteosíntesis  (cualquier técnica)</t>
  </si>
  <si>
    <t>2104156</t>
  </si>
  <si>
    <t>Inestabilidad crónica de rodilla, reconstrucción cápsuloligamentosa (cualquier técnica)</t>
  </si>
  <si>
    <t>2104157</t>
  </si>
  <si>
    <t>Luxación o rotura ligamentos, trat. quir. cápsulo-ligamentoso</t>
  </si>
  <si>
    <t>2104158</t>
  </si>
  <si>
    <t>Meniscectomía quirúrgica, interna y/o externa</t>
  </si>
  <si>
    <t>2104159</t>
  </si>
  <si>
    <t>Meniscectomía u otras intervenciones por vía artroscópica (incluye artroscopía diagnóstica)</t>
  </si>
  <si>
    <t>2104160</t>
  </si>
  <si>
    <t>Quiste poplíteo, trat. quir.</t>
  </si>
  <si>
    <t>2104161</t>
  </si>
  <si>
    <t>Reconstrucción aparato extensor de rodilla</t>
  </si>
  <si>
    <t>2104162</t>
  </si>
  <si>
    <t>Reparación quirúrgica ligamentos colaterales y/o cruzados de rodilla</t>
  </si>
  <si>
    <t>2104163</t>
  </si>
  <si>
    <t>Traslocaciones músculo-tendinosas en rodilla paralítica o espástica</t>
  </si>
  <si>
    <t>2104164</t>
  </si>
  <si>
    <t>Amputación pierna</t>
  </si>
  <si>
    <t>2104165</t>
  </si>
  <si>
    <t>Colgajo cruzado de pierna, trat. quir. completo</t>
  </si>
  <si>
    <t>2104166</t>
  </si>
  <si>
    <t>Fasciotomía por síndrome compartamental</t>
  </si>
  <si>
    <t>2104167</t>
  </si>
  <si>
    <t>Osteosíntesis tibio-peroné  (cualquier técnica)</t>
  </si>
  <si>
    <t>2104168</t>
  </si>
  <si>
    <t>Osteotomía correctora de ejes  (cualquier técnica) pierna</t>
  </si>
  <si>
    <t>2104169</t>
  </si>
  <si>
    <t>Osteotomía de alargamiento o acortamiento con osteosíntesis inmediata o distracción instrumental progresiva pierna</t>
  </si>
  <si>
    <t>2104170</t>
  </si>
  <si>
    <t>Osteotomía del peroné</t>
  </si>
  <si>
    <t>2104171</t>
  </si>
  <si>
    <t>Peroné protibia</t>
  </si>
  <si>
    <t>2104172</t>
  </si>
  <si>
    <t>Pseudoartrosis, c/s osteosíntesis  (cualquier técnica) pierna</t>
  </si>
  <si>
    <t>2104173</t>
  </si>
  <si>
    <t>Desarticulación tobillo</t>
  </si>
  <si>
    <t>2104174</t>
  </si>
  <si>
    <t>Endoprótesis total tobillo, (cualquier técnica)</t>
  </si>
  <si>
    <t>2104175</t>
  </si>
  <si>
    <t>Esguince grave de tobillo, trat. quir. cápsulo-ligamentoso</t>
  </si>
  <si>
    <t>2104176</t>
  </si>
  <si>
    <t>Fractura astrágalo y/o calcáneo, osteosíntesis (cualq. técn.)</t>
  </si>
  <si>
    <t>2104177</t>
  </si>
  <si>
    <t>Huesos supernumerarios, extirpación, uno o más, unilateral</t>
  </si>
  <si>
    <t>2104178</t>
  </si>
  <si>
    <t>Luxación tibio-astrág.-calcán., reducc. cruenta y osteosínt.</t>
  </si>
  <si>
    <t>2104179</t>
  </si>
  <si>
    <t>Luxofractura tobillo, cualquier tipo, osteosíntesis y reparación cápsulo-ligamentosa</t>
  </si>
  <si>
    <t>2104180</t>
  </si>
  <si>
    <t>Osteoplastía tibio-calcánea</t>
  </si>
  <si>
    <t>2104181</t>
  </si>
  <si>
    <t>Ruptura tendón de Aquiles o tibial posterior, tenorrafia primaria y/o transposiciones tendinosas</t>
  </si>
  <si>
    <t>2104182</t>
  </si>
  <si>
    <t>Ruptura tibial anterior u otros, tenorrafia</t>
  </si>
  <si>
    <t>2104183</t>
  </si>
  <si>
    <t>Tenorrafia extensores o tenotomía de alargamiento de tendón de Aquiles</t>
  </si>
  <si>
    <t>2104184</t>
  </si>
  <si>
    <t>Traslocación tendinosa tobillo</t>
  </si>
  <si>
    <t>2104185</t>
  </si>
  <si>
    <t>Amputación transmetatarsiana</t>
  </si>
  <si>
    <t>2104186</t>
  </si>
  <si>
    <t>Astrágalo vertical, trat. quir.</t>
  </si>
  <si>
    <t>2104187</t>
  </si>
  <si>
    <t>Espolón calcáneo, trat. quir.</t>
  </si>
  <si>
    <t>2104188</t>
  </si>
  <si>
    <t>Exostosis 5° metatarsiano, ("juanetillo")  trat. quir.</t>
  </si>
  <si>
    <t>2104189</t>
  </si>
  <si>
    <t>Fasciotomía plantar (proc. aut.)</t>
  </si>
  <si>
    <t>2104190</t>
  </si>
  <si>
    <t>Hallux valgus o rígidus, trat.quir. completo (cualquier téc.)</t>
  </si>
  <si>
    <t>2104191</t>
  </si>
  <si>
    <t>Luxaciones, luxofracturas, fracturas, reducción cruenta pie</t>
  </si>
  <si>
    <t>2104192</t>
  </si>
  <si>
    <t>Mal perforante plantar, trat. quir.</t>
  </si>
  <si>
    <t>2104193</t>
  </si>
  <si>
    <t>Neuroma de Morton, trat. quir.</t>
  </si>
  <si>
    <t>2104194</t>
  </si>
  <si>
    <t>Ortejos en garra, trat. quir., cualq. número (cualq. técnica)</t>
  </si>
  <si>
    <t>2104195</t>
  </si>
  <si>
    <t>Ortejos, amputación, uno o más, unilateral</t>
  </si>
  <si>
    <t>2104196</t>
  </si>
  <si>
    <t>Pie bot u otras malformaciones congénitas, trat. quir. (cualquier técnica)</t>
  </si>
  <si>
    <t>2104197</t>
  </si>
  <si>
    <t>Pie cavo, trat.quir. (cualquier técnica)</t>
  </si>
  <si>
    <t>2104198</t>
  </si>
  <si>
    <t>Pie plano, trat. quir. (cualquier técnica)</t>
  </si>
  <si>
    <t>2104199</t>
  </si>
  <si>
    <t>Pie reumatoideo, trat.quir.completo (cualquier técnica)</t>
  </si>
  <si>
    <t>2104200</t>
  </si>
  <si>
    <t>Sesamoídeos, extirpación de uno o más, unilateral</t>
  </si>
  <si>
    <t>2104201</t>
  </si>
  <si>
    <t>Tenorrafia extensores pie</t>
  </si>
  <si>
    <t>2104202</t>
  </si>
  <si>
    <t>Trasplantes tendinosos pie (cualquier técnica)</t>
  </si>
  <si>
    <t>2104203</t>
  </si>
  <si>
    <t>Tratamiento quir., dedos en gatillo, cualquier número téc. WALANT (anestesia local sin torniquete)</t>
  </si>
  <si>
    <t>2104204</t>
  </si>
  <si>
    <t>Recambio prótesis de rodilla. Incluye prótesis</t>
  </si>
  <si>
    <t>2104205</t>
  </si>
  <si>
    <t>Recambio prótesis de cadera. Incluye prótesis</t>
  </si>
  <si>
    <t>2104213</t>
  </si>
  <si>
    <t>Escoliosis, trat. quir., cualquier vía de abordaje, con instrumentación (incluye elementos de osteosíntesis)</t>
  </si>
  <si>
    <t>2104228</t>
  </si>
  <si>
    <t>Endoprótesis parcial de cadera c/s cementación (cualquier técnica) (incluye prótesis)</t>
  </si>
  <si>
    <t>2104229</t>
  </si>
  <si>
    <t>Endoprótesis total de cadera (incluye prótesis)</t>
  </si>
  <si>
    <t>2104231</t>
  </si>
  <si>
    <t>Fractura de cuello de fémur, osteosíntesis, cualquier técnica (incluye elementos de osteosíntesis)</t>
  </si>
  <si>
    <t>2104232</t>
  </si>
  <si>
    <t>Punción discal diagnóstica o terapéutica</t>
  </si>
  <si>
    <t>2104233</t>
  </si>
  <si>
    <t>Biopsia vertebral abierta</t>
  </si>
  <si>
    <t>2104234</t>
  </si>
  <si>
    <t>Resección parcial de sacro distal y coxis</t>
  </si>
  <si>
    <t>2104235</t>
  </si>
  <si>
    <t>Resección parcial de sacro proximal</t>
  </si>
  <si>
    <t>2104236</t>
  </si>
  <si>
    <t>Teratoma sacrococcigeo</t>
  </si>
  <si>
    <t>2104237</t>
  </si>
  <si>
    <t>Teratoma sacrococcigeo intra y extrapelviano</t>
  </si>
  <si>
    <t>2105001</t>
  </si>
  <si>
    <t>Calzón corto de yeso</t>
  </si>
  <si>
    <t>2105004</t>
  </si>
  <si>
    <t>Rodillera, bota larga o corta de yeso</t>
  </si>
  <si>
    <t>2105005</t>
  </si>
  <si>
    <t>Velpeau</t>
  </si>
  <si>
    <t>2105006</t>
  </si>
  <si>
    <t>Yeso antebraquial c/s férula digital</t>
  </si>
  <si>
    <t>2105007</t>
  </si>
  <si>
    <t>Yeso braquicarpiano</t>
  </si>
  <si>
    <t>2105008</t>
  </si>
  <si>
    <t>Yeso pelvipedio bilateral</t>
  </si>
  <si>
    <t>2105009</t>
  </si>
  <si>
    <t>Yeso pelvipedio unilateral</t>
  </si>
  <si>
    <t>2105010</t>
  </si>
  <si>
    <t>Yeso toracobraquial</t>
  </si>
  <si>
    <t>2105011</t>
  </si>
  <si>
    <t>Corsets de milwaukee o similares (incluye la toma de molde )</t>
  </si>
  <si>
    <t>2106001</t>
  </si>
  <si>
    <t>Retiro de endoprótesis u osteosíntesis internas articulares o de columna vertebral</t>
  </si>
  <si>
    <t>2106002</t>
  </si>
  <si>
    <t>Retiro de placas rectas o anguladas</t>
  </si>
  <si>
    <t>2106003</t>
  </si>
  <si>
    <t>Retiro de tornillos, clavos, agujas de osteosíntesis o similares</t>
  </si>
  <si>
    <t>2107001</t>
  </si>
  <si>
    <t>Luxaciones de articulaciones medianas (hombro, codo, rodilla, tobillo, muñeca, tarso y esternoclavicular)</t>
  </si>
  <si>
    <t>2107002</t>
  </si>
  <si>
    <t>Luxaciones de articulaciones  mayores (columna, cadera, pelvis)</t>
  </si>
  <si>
    <t>2107003</t>
  </si>
  <si>
    <t>Luxaciones de articulaciones menores (el resto)</t>
  </si>
  <si>
    <t>2107004</t>
  </si>
  <si>
    <t>Fracturas mayores (columna, pelvis, supracondílea, codo, epífisis femorales)</t>
  </si>
  <si>
    <t>2107005</t>
  </si>
  <si>
    <t>Fracturas medianas (diáfisis humeral, radial, cubital, diáfisis femoral, tibial, peroneal, clavicular, platillos tibiales)</t>
  </si>
  <si>
    <t>2107006</t>
  </si>
  <si>
    <t>Fracturas menores (el resto)</t>
  </si>
  <si>
    <t>2107010</t>
  </si>
  <si>
    <t>Pie bot, unilateral, hasta 10 cambios de yeso</t>
  </si>
  <si>
    <t>2201001</t>
  </si>
  <si>
    <t>Anestesia general o regional otorgada por médico diferente al primer cirujano (en intervenciones o procedimientos diagnósticos o terapéuticos)</t>
  </si>
  <si>
    <t>2201002</t>
  </si>
  <si>
    <t>Anestesia peridural continua, proc. aut.</t>
  </si>
  <si>
    <t>2201102</t>
  </si>
  <si>
    <t>Anestesia peridural o epidural  continua para partos</t>
  </si>
  <si>
    <t>2702101</t>
  </si>
  <si>
    <t>Radiografía Retroalveolar Unitaria Adulto (por placa)</t>
  </si>
  <si>
    <t>2702102</t>
  </si>
  <si>
    <t>Radiografía Retroalveolar Unitaria Niño (por placa)</t>
  </si>
  <si>
    <t>2702103</t>
  </si>
  <si>
    <t>Radiografía Bite Wing Adulto (por placa)</t>
  </si>
  <si>
    <t>2702104</t>
  </si>
  <si>
    <t>Radiografía Bite-Wing Niño (por placa)</t>
  </si>
  <si>
    <t>2702105</t>
  </si>
  <si>
    <t>Radiografía extraoral (por placa)</t>
  </si>
  <si>
    <t>2702106</t>
  </si>
  <si>
    <t>Radiografía oclusal (por placa)</t>
  </si>
  <si>
    <t>2702107</t>
  </si>
  <si>
    <t>Sialografía (cada lado) (incluye el proc.)</t>
  </si>
  <si>
    <t>2702108</t>
  </si>
  <si>
    <t>Telerradiografía</t>
  </si>
  <si>
    <t>2702109</t>
  </si>
  <si>
    <t>Radiografía panorámica u ortopantomografía</t>
  </si>
  <si>
    <t>2702110</t>
  </si>
  <si>
    <t>Radiografía de ATM Bilateral en Boca Cerrada y Boca Abierta</t>
  </si>
  <si>
    <t>2702111</t>
  </si>
  <si>
    <t>Tomografía Computacional Maxilo Facial Cone Beam Zona Dentaria</t>
  </si>
  <si>
    <t>2702112</t>
  </si>
  <si>
    <t>Tomografía Computacional Maxilo Facial Cone Beam Unimaxilar</t>
  </si>
  <si>
    <t>2702113</t>
  </si>
  <si>
    <t>Tomografía Computada Cone Beam Bimaxilar, Máxilo Facial, Cráneo Completo, Sialo Tc Cone Beam</t>
  </si>
  <si>
    <t>2702114</t>
  </si>
  <si>
    <t>Tomografía Computada de Cuello Suprahioideo con contraste</t>
  </si>
  <si>
    <t>2702115</t>
  </si>
  <si>
    <t>Sialo Tomografía Computada</t>
  </si>
  <si>
    <t>2702116</t>
  </si>
  <si>
    <t>Resonancia Magnética de Cuello Suprahioideo</t>
  </si>
  <si>
    <t>2702117</t>
  </si>
  <si>
    <t>Estudio de Localización Maxilofacial</t>
  </si>
  <si>
    <t>2703101</t>
  </si>
  <si>
    <t>Aplicación de sellantes</t>
  </si>
  <si>
    <t>2703102</t>
  </si>
  <si>
    <t>Desgastes selectivos</t>
  </si>
  <si>
    <t>2703103</t>
  </si>
  <si>
    <t>Destartraje y pulido coronario</t>
  </si>
  <si>
    <t>2703104</t>
  </si>
  <si>
    <t>Mantenedores de espacio</t>
  </si>
  <si>
    <t>2703105</t>
  </si>
  <si>
    <t>Pulpotomía</t>
  </si>
  <si>
    <t>2703106</t>
  </si>
  <si>
    <t>Aplicación tópica de fluoruros</t>
  </si>
  <si>
    <t>2703107</t>
  </si>
  <si>
    <t>Exodoncia simple diente permanente</t>
  </si>
  <si>
    <t>2703108</t>
  </si>
  <si>
    <t>Exodoncia diente primario</t>
  </si>
  <si>
    <t>2703109</t>
  </si>
  <si>
    <t>Obturación amalgama</t>
  </si>
  <si>
    <t>2703110</t>
  </si>
  <si>
    <t>Obturación composite</t>
  </si>
  <si>
    <t>2703111</t>
  </si>
  <si>
    <t>Obturación Vidrio Ionómero</t>
  </si>
  <si>
    <t>2703112</t>
  </si>
  <si>
    <t>Profilaxis Dental</t>
  </si>
  <si>
    <t>2703113</t>
  </si>
  <si>
    <t>Acceso Cavitario</t>
  </si>
  <si>
    <t>2703114</t>
  </si>
  <si>
    <t>Ferulización por grupo</t>
  </si>
  <si>
    <t>2703115</t>
  </si>
  <si>
    <t>Recubrimiento Directo</t>
  </si>
  <si>
    <t>2703116</t>
  </si>
  <si>
    <t>Pulpectomía (por odontólogo general)</t>
  </si>
  <si>
    <t>2704001</t>
  </si>
  <si>
    <t>Obturación Inlay metal (incluye materiales no preciosos, no incluye oro)</t>
  </si>
  <si>
    <t>2704002</t>
  </si>
  <si>
    <t>Dispositivo Interoclusal</t>
  </si>
  <si>
    <t>2704003</t>
  </si>
  <si>
    <t>Prótesis de restitución (fase clínica)</t>
  </si>
  <si>
    <t>2704004</t>
  </si>
  <si>
    <t>Prótesis metálica</t>
  </si>
  <si>
    <t>2704005</t>
  </si>
  <si>
    <t>Prótesis de restitución (fase laboratorio)</t>
  </si>
  <si>
    <t>2704006</t>
  </si>
  <si>
    <t>Reparación compuesta de prótesis</t>
  </si>
  <si>
    <t>2704007</t>
  </si>
  <si>
    <t>Reparación corona</t>
  </si>
  <si>
    <t>2704008</t>
  </si>
  <si>
    <t>Reparación o reajuste prótesis</t>
  </si>
  <si>
    <t>2704009</t>
  </si>
  <si>
    <t>Restitución por corona (combinada)</t>
  </si>
  <si>
    <t>2704010</t>
  </si>
  <si>
    <t>Restitución por corona provisoria</t>
  </si>
  <si>
    <t>2704011</t>
  </si>
  <si>
    <t>Tratamiento ortodoncia con aparatología removible (incluye aparato)(año 1)</t>
  </si>
  <si>
    <t>2704012</t>
  </si>
  <si>
    <t>Tratamiento ortodoncia con aparatología fija (incluye aparato) (año 1)</t>
  </si>
  <si>
    <t>2704013</t>
  </si>
  <si>
    <t>Tratamiento ortodoncia con aparatología fija (incluye aparato) (año 2)</t>
  </si>
  <si>
    <t>2704014</t>
  </si>
  <si>
    <t>Endodoncia Multirradicular</t>
  </si>
  <si>
    <t>2704015</t>
  </si>
  <si>
    <t>Endodoncia birradicular</t>
  </si>
  <si>
    <t>2704016</t>
  </si>
  <si>
    <t>Endodoncia unirradicular</t>
  </si>
  <si>
    <t>2704017</t>
  </si>
  <si>
    <t>Destartraje Subgingival y Pulido Radicular</t>
  </si>
  <si>
    <t>2704018</t>
  </si>
  <si>
    <t>Sedación inhalatoria con óxido nitroso</t>
  </si>
  <si>
    <t>2704019</t>
  </si>
  <si>
    <t>Corona Metálica Preformada en diente temporal</t>
  </si>
  <si>
    <t>2704020</t>
  </si>
  <si>
    <t>Sialometría</t>
  </si>
  <si>
    <t>2704021</t>
  </si>
  <si>
    <t>Inyección Intralesional de Medicamentos en el territorio de la Mucosa Oral</t>
  </si>
  <si>
    <t>2704022</t>
  </si>
  <si>
    <t>Tratamiento No Quirúrgico de Obstrucción Glándula Salival</t>
  </si>
  <si>
    <t>2704023</t>
  </si>
  <si>
    <t>Cateterismo de Conducto Excretor Glándula Salival en Adultos (c/u)</t>
  </si>
  <si>
    <t>2704024</t>
  </si>
  <si>
    <t>Cateterismo de Conducto Excretor Glándula Salival en Niños (c/u)</t>
  </si>
  <si>
    <t>2704025</t>
  </si>
  <si>
    <t>Instilación de Glándula Salival (c/u) (Procedimiento)</t>
  </si>
  <si>
    <t>2704026</t>
  </si>
  <si>
    <t>Infiltración de la Articulación Temporomandibular, por sesión</t>
  </si>
  <si>
    <t>2704027</t>
  </si>
  <si>
    <t>Reducción de Luxación Discal de la Articulación Témporomandibular</t>
  </si>
  <si>
    <t>2704028</t>
  </si>
  <si>
    <t>Tratamiento de Ronquido Primario y Saos (Dispositivos de Avance Mandibular)</t>
  </si>
  <si>
    <t>2704029</t>
  </si>
  <si>
    <t>Reparación o reajuste de Dispositivo Interoclusal</t>
  </si>
  <si>
    <t>2704030</t>
  </si>
  <si>
    <t>Artrocentesis temporomandibular unilateral</t>
  </si>
  <si>
    <t>2705001</t>
  </si>
  <si>
    <t>Cirugía bucal</t>
  </si>
  <si>
    <t>2705002</t>
  </si>
  <si>
    <t>Cirugía de enfermedad periodontal (por grupo)</t>
  </si>
  <si>
    <t>2705003</t>
  </si>
  <si>
    <t>Corticotomía</t>
  </si>
  <si>
    <t>2705004</t>
  </si>
  <si>
    <t>Disyunción palatina quirúrgica</t>
  </si>
  <si>
    <t>2705005</t>
  </si>
  <si>
    <t>Extirpación de pseudoquistes, quistes y tumores</t>
  </si>
  <si>
    <t>2705006</t>
  </si>
  <si>
    <t>Glosectomías</t>
  </si>
  <si>
    <t>2705007</t>
  </si>
  <si>
    <t>Implante endodóntico intraóseo</t>
  </si>
  <si>
    <t>2705008</t>
  </si>
  <si>
    <t>Implantes subperiósticos</t>
  </si>
  <si>
    <t>2705009</t>
  </si>
  <si>
    <t>Exodoncia de dientes retenidos</t>
  </si>
  <si>
    <t>2705010</t>
  </si>
  <si>
    <t>Exodoncia de tercer molar con osteotomía</t>
  </si>
  <si>
    <t>2705011</t>
  </si>
  <si>
    <t>Injertos en boca</t>
  </si>
  <si>
    <t>2705012</t>
  </si>
  <si>
    <t>Elevación de piso del seno maxilar</t>
  </si>
  <si>
    <t>2705013</t>
  </si>
  <si>
    <t>Plastía de fístula salival</t>
  </si>
  <si>
    <t>2705014</t>
  </si>
  <si>
    <t>Preparación quirúrgica de los maxilares con fines protésicos</t>
  </si>
  <si>
    <t>2705015</t>
  </si>
  <si>
    <t>Profundización de vestíbulo o reconstrucción de rebordes, con o sin injerto</t>
  </si>
  <si>
    <t>2705016</t>
  </si>
  <si>
    <t>Reimplante y trasplante dentario</t>
  </si>
  <si>
    <t>2705017</t>
  </si>
  <si>
    <t>Remoción de cuerpo extraño y secuestrectomía</t>
  </si>
  <si>
    <t>2705018</t>
  </si>
  <si>
    <t>Sutura completa de herida mayor</t>
  </si>
  <si>
    <t>2705019</t>
  </si>
  <si>
    <t>Sutura completa de herida menor</t>
  </si>
  <si>
    <t>2705020</t>
  </si>
  <si>
    <t>Sutura simple de herida</t>
  </si>
  <si>
    <t>2705021</t>
  </si>
  <si>
    <t>Tratamiento quirúrgico fracturas maxilar superior</t>
  </si>
  <si>
    <t>2705022</t>
  </si>
  <si>
    <t>Tratamiento quirúrgico de fracturas en maxilar inferior</t>
  </si>
  <si>
    <t>2705023</t>
  </si>
  <si>
    <t>Tratamiento de traumatismo dento alveolar simple</t>
  </si>
  <si>
    <t>2705024</t>
  </si>
  <si>
    <t>Tratamiento de traumatismo dento alveolar complejo</t>
  </si>
  <si>
    <t>2705025</t>
  </si>
  <si>
    <t>Implante oseointegrado</t>
  </si>
  <si>
    <t>2705026</t>
  </si>
  <si>
    <t>Pilar Protésico sobre Implantes</t>
  </si>
  <si>
    <t>Plantilla de carga web CRR - ingreso diario de pabellones</t>
  </si>
  <si>
    <t>Obligatorio</t>
  </si>
  <si>
    <t>Opcional</t>
  </si>
  <si>
    <t>Automático</t>
  </si>
  <si>
    <t>Obligatorio primera cirugía</t>
  </si>
  <si>
    <t>Obligatorio si se realiza</t>
  </si>
  <si>
    <t>Manual</t>
  </si>
  <si>
    <t>Obligatorio si suspendido</t>
  </si>
  <si>
    <t>Fecha Quirofano</t>
  </si>
  <si>
    <t>Episodio</t>
  </si>
  <si>
    <t>Paciente</t>
  </si>
  <si>
    <t>Apellido</t>
  </si>
  <si>
    <t>Edad</t>
  </si>
  <si>
    <t>Diagnostico</t>
  </si>
  <si>
    <t>Descripción Intervención</t>
  </si>
  <si>
    <t>Codigo 1</t>
  </si>
  <si>
    <t>Codigo 2</t>
  </si>
  <si>
    <t>Cirugia</t>
  </si>
  <si>
    <t>Anestesista</t>
  </si>
  <si>
    <t>Cirujano</t>
  </si>
  <si>
    <t>Estado</t>
  </si>
  <si>
    <t>Ingreso Pabellon</t>
  </si>
  <si>
    <t>Clasificación ingreso 08:00-08:15</t>
  </si>
  <si>
    <t>Inicio Cirugia</t>
  </si>
  <si>
    <t>Termino Cirugia</t>
  </si>
  <si>
    <t>Salida Pabellon</t>
  </si>
  <si>
    <t>Demora Ingreso-Inicio Min</t>
  </si>
  <si>
    <t>Duracion Cirugia Formula Min</t>
  </si>
  <si>
    <t>Diferencia Real - Programado Min</t>
  </si>
  <si>
    <t>Causa Suspension</t>
  </si>
  <si>
    <t>I0001187219</t>
  </si>
  <si>
    <t>DIEGO ANDRES</t>
  </si>
  <si>
    <t>GONZALEZ</t>
  </si>
  <si>
    <t>16a 0m 25d</t>
  </si>
  <si>
    <t>FRACTURA O PSEUDOARTROSIS ESCAFOIDES, TRAT. QUIR. CUALQ. TECN.</t>
  </si>
  <si>
    <t>2104081-5</t>
  </si>
  <si>
    <t>SERVICIO DE TRAUMATOLOGIA</t>
  </si>
  <si>
    <t>ALVARO RIDERELLI SANCHEZ</t>
  </si>
  <si>
    <t>Dr. Alexis Arredondo Torrales</t>
  </si>
  <si>
    <t>Quirofano 11</t>
  </si>
  <si>
    <t>Sin Suspensión</t>
  </si>
  <si>
    <t>I0001187220</t>
  </si>
  <si>
    <t>MÓNICA DEL CARMEN</t>
  </si>
  <si>
    <t>ROJAS</t>
  </si>
  <si>
    <t>57a 11m 0d</t>
  </si>
  <si>
    <t>OSTEOSINTESIS RADIO, (CUALQUIER TECNICA)</t>
  </si>
  <si>
    <t>2104085-6</t>
  </si>
  <si>
    <t>I0001187212</t>
  </si>
  <si>
    <t>JOSÉ JAIME</t>
  </si>
  <si>
    <t>BARRIENTOS</t>
  </si>
  <si>
    <t>64a 11m 14d</t>
  </si>
  <si>
    <t>OSTEOSINTESIS METACARPIANAS O DE FALANGES, CUALQUIER TECNICA</t>
  </si>
  <si>
    <t>2104099-4</t>
  </si>
  <si>
    <t>I0001187223</t>
  </si>
  <si>
    <t>MARÍA ERCILIA</t>
  </si>
  <si>
    <t>MOLINA</t>
  </si>
  <si>
    <t>72a 4m 15d</t>
  </si>
  <si>
    <t>RETIRO DE TORNILLOS, CLAVOS, AGUJAS DE OSTEOSINTESIS O SIMILARES</t>
  </si>
  <si>
    <t>2106003-5</t>
  </si>
  <si>
    <t>I0001187222</t>
  </si>
  <si>
    <t>MARTÍN ALFONSO</t>
  </si>
  <si>
    <t>ASTUDILLO</t>
  </si>
  <si>
    <t>22a 0m 0d</t>
  </si>
  <si>
    <t>No se presenta</t>
  </si>
  <si>
    <t>I0001187195</t>
  </si>
  <si>
    <t>LÚA AMARA</t>
  </si>
  <si>
    <t>HERMOSILLA</t>
  </si>
  <si>
    <t>3a 10m 12d</t>
  </si>
  <si>
    <t>MANO DEDOS EN GATILLO, TRAT. QUIR., CUALQUIER NUMERO</t>
  </si>
  <si>
    <t>2104093-4</t>
  </si>
  <si>
    <t>Maximo Sepulveda Pizarro</t>
  </si>
  <si>
    <t>Dr. Isaías Sulantay Oyanedel</t>
  </si>
  <si>
    <t>Quirofano 13</t>
  </si>
  <si>
    <t>I0001187199</t>
  </si>
  <si>
    <t>DIEGO ALONSO</t>
  </si>
  <si>
    <t>MUGA</t>
  </si>
  <si>
    <t>10a 8m 4d</t>
  </si>
  <si>
    <t>SINOVECTOMIAS QUIRURGICAS (PROC. AUT.) CODO O MUÑECA O METACARPOFALANGICAS, C/U</t>
  </si>
  <si>
    <t>2104029-5</t>
  </si>
  <si>
    <t>Dr. Camilo Garcia</t>
  </si>
  <si>
    <t>I0001187201</t>
  </si>
  <si>
    <t>KARL-HERTZ STURRIDGE</t>
  </si>
  <si>
    <t>DESVALLONS</t>
  </si>
  <si>
    <t>11a 4m 1d</t>
  </si>
  <si>
    <t>I0001187204</t>
  </si>
  <si>
    <t>MATÍAS IGNACIO</t>
  </si>
  <si>
    <t>MONTENEGRO</t>
  </si>
  <si>
    <t>13a 5m 2d</t>
  </si>
  <si>
    <t>PIE PLANO, TRAT. QUIR. (CUALQUIER TECNICA)</t>
  </si>
  <si>
    <t>2104198-5</t>
  </si>
  <si>
    <t>Maria Jose Rosen Petersen</t>
  </si>
  <si>
    <t>I0001187210</t>
  </si>
  <si>
    <t>MAITE EMILIA</t>
  </si>
  <si>
    <t>GOMEZ</t>
  </si>
  <si>
    <t>11a 9m 14d</t>
  </si>
  <si>
    <t>HALLUX VALGUS O RIGIDUS, TRAT.QUIR. COMPLETO (CUALQUIER TEC.)</t>
  </si>
  <si>
    <t>2104190-5</t>
  </si>
  <si>
    <t>I0001187211</t>
  </si>
  <si>
    <t>ALONSO EMILIANO</t>
  </si>
  <si>
    <t>MADRID</t>
  </si>
  <si>
    <t>12a 6m 0d</t>
  </si>
  <si>
    <t>I0001187197</t>
  </si>
  <si>
    <t>DANNA</t>
  </si>
  <si>
    <t>LIENDRO</t>
  </si>
  <si>
    <t>3a 5m 15d</t>
  </si>
  <si>
    <t>POLIDACTILIA, EXTIRPACION Y PLASTIA UN LADO</t>
  </si>
  <si>
    <t>1502058-5</t>
  </si>
  <si>
    <t>Guia rapida para cargar datos CRR en la web</t>
  </si>
  <si>
    <t>Qué completar</t>
  </si>
  <si>
    <t>Columnas</t>
  </si>
  <si>
    <t>Quién lo completa</t>
  </si>
  <si>
    <t>Regla</t>
  </si>
  <si>
    <t>Impacto en web</t>
  </si>
  <si>
    <t>Identificación del paciente</t>
  </si>
  <si>
    <t>Fecha, Episodio, Paciente, Apellido, Edad</t>
  </si>
  <si>
    <t>Administrativo / pabellón</t>
  </si>
  <si>
    <t>No dejar vacío</t>
  </si>
  <si>
    <t>Permite filtrar por día y auditar caso a caso</t>
  </si>
  <si>
    <t>Cirugía y códigos</t>
  </si>
  <si>
    <t>Descripción Intervención, Codigo 1, Codigo 2</t>
  </si>
  <si>
    <t>Equipo quirúrgico / administrativo</t>
  </si>
  <si>
    <t>Codigo 1 es obligatorio; Codigo 2 si corresponde</t>
  </si>
  <si>
    <t>Calcula categoría quirúrgica</t>
  </si>
  <si>
    <t>Categoría</t>
  </si>
  <si>
    <t>Se obtiene desde Catalogo MINSAL</t>
  </si>
  <si>
    <t>Gráfico de cirugía mayor/menor/procedimiento</t>
  </si>
  <si>
    <t>Equipo y pabellón</t>
  </si>
  <si>
    <t>Especialidad, Anestesista, Cirujano, Pabellon</t>
  </si>
  <si>
    <t>Pabellón</t>
  </si>
  <si>
    <t>Usar nombres consistentes</t>
  </si>
  <si>
    <t>Filtros por especialidad y resumen por pabellón</t>
  </si>
  <si>
    <t>Elegir Atendido, Realizado, Suspendido o Agendado</t>
  </si>
  <si>
    <t>Calcula suspensiones y causas</t>
  </si>
  <si>
    <t>Horas</t>
  </si>
  <si>
    <t>Ingreso, Inicio, Término, Salida</t>
  </si>
  <si>
    <t>Formato hh:mm</t>
  </si>
  <si>
    <t>Calcula atraso, demora y duración real</t>
  </si>
  <si>
    <t>Ingreso primera hora</t>
  </si>
  <si>
    <t>Hasta 08:15 adecuado; mayor a 08:15 atraso</t>
  </si>
  <si>
    <t>Indicador operativo de primera hora</t>
  </si>
  <si>
    <t>Tiempo programado</t>
  </si>
  <si>
    <t>Jefatura / programación</t>
  </si>
  <si>
    <t>Ingresar minutos manualmente</t>
  </si>
  <si>
    <t>Calcula asertividad</t>
  </si>
  <si>
    <t>Suspensiones</t>
  </si>
  <si>
    <t>Pabellón / jefatura</t>
  </si>
  <si>
    <t>Obligatorio si Estado = Suspendido</t>
  </si>
  <si>
    <t>Gráfico y tabla de causas</t>
  </si>
  <si>
    <t>Actualizar web</t>
  </si>
  <si>
    <t>Guardar Excel</t>
  </si>
  <si>
    <t>Usuario</t>
  </si>
  <si>
    <t>Luego presionar Actualizar desde Excel en la web</t>
  </si>
  <si>
    <t>Dashboard queda actualizado</t>
  </si>
  <si>
    <t>Colores</t>
  </si>
  <si>
    <t>Blanco</t>
  </si>
  <si>
    <t>Entrada manual</t>
  </si>
  <si>
    <t>Naranjo</t>
  </si>
  <si>
    <t>Dato manual crítico</t>
  </si>
  <si>
    <t>I0001187788</t>
  </si>
  <si>
    <t>I0001187790</t>
  </si>
  <si>
    <t>I0001187794</t>
  </si>
  <si>
    <t>I0001187796</t>
  </si>
  <si>
    <t>I0001187797</t>
  </si>
  <si>
    <t>I0001187721</t>
  </si>
  <si>
    <t>I0001187723</t>
  </si>
  <si>
    <t>I0001187725</t>
  </si>
  <si>
    <t>I0001187724</t>
  </si>
  <si>
    <t>I0001187726</t>
  </si>
  <si>
    <t>I0001187728</t>
  </si>
  <si>
    <t>I0001188095</t>
  </si>
  <si>
    <t>I0001188096</t>
  </si>
  <si>
    <t>I0001188101</t>
  </si>
  <si>
    <t>I0001188094</t>
  </si>
  <si>
    <t>I0001188099</t>
  </si>
  <si>
    <t>I0001188069</t>
  </si>
  <si>
    <t>I0001188068</t>
  </si>
  <si>
    <t>I0001188070</t>
  </si>
  <si>
    <t>I0001188091</t>
  </si>
  <si>
    <t>I0001188077</t>
  </si>
  <si>
    <t>I0001188071</t>
  </si>
  <si>
    <t>I0001188072</t>
  </si>
  <si>
    <t>I0001188078</t>
  </si>
  <si>
    <t>I0001188347</t>
  </si>
  <si>
    <t>I0001188400</t>
  </si>
  <si>
    <t>I0001188399</t>
  </si>
  <si>
    <t>I0001188587</t>
  </si>
  <si>
    <t>I0001188395</t>
  </si>
  <si>
    <t>I0001188393</t>
  </si>
  <si>
    <t>I0001188391</t>
  </si>
  <si>
    <t>I0001188397</t>
  </si>
  <si>
    <t>I0001188442</t>
  </si>
  <si>
    <t>I0001188444</t>
  </si>
  <si>
    <t>I0001188445</t>
  </si>
  <si>
    <t>I0001188424</t>
  </si>
  <si>
    <t>I0001188427</t>
  </si>
  <si>
    <t>I0001188431</t>
  </si>
  <si>
    <t>I0001188708</t>
  </si>
  <si>
    <t>I0001188711</t>
  </si>
  <si>
    <t>I0001188712</t>
  </si>
  <si>
    <t>I0001188714</t>
  </si>
  <si>
    <t>I0001188715</t>
  </si>
  <si>
    <t>I0001188716</t>
  </si>
  <si>
    <t>I0001188719</t>
  </si>
  <si>
    <t>I0001188722</t>
  </si>
  <si>
    <t>I0001188729</t>
  </si>
  <si>
    <t>I0001188732</t>
  </si>
  <si>
    <t>I0001188727</t>
  </si>
  <si>
    <t>I0001188725</t>
  </si>
  <si>
    <t>BALTAZAR LEON</t>
  </si>
  <si>
    <t>JARED VALENTINO</t>
  </si>
  <si>
    <t>ÁNGEL ALEJANDRO</t>
  </si>
  <si>
    <t>AYELEN TRINIDAD</t>
  </si>
  <si>
    <t>BENJAMÍN ALONSO</t>
  </si>
  <si>
    <t>PAOLA ANDREA</t>
  </si>
  <si>
    <t>JUANA ROSA</t>
  </si>
  <si>
    <t>MARÍA JOSÉ</t>
  </si>
  <si>
    <t>JESSICA ROSARIO</t>
  </si>
  <si>
    <t>BEATRIZ SOLEDAD</t>
  </si>
  <si>
    <t>RUTH XIMENA</t>
  </si>
  <si>
    <t>SALVADOR ALONSO</t>
  </si>
  <si>
    <t>NINOSKA ANDREA</t>
  </si>
  <si>
    <t>KETTELENE</t>
  </si>
  <si>
    <t>PABLO ANDRES</t>
  </si>
  <si>
    <t>MARGARITA JAVIERA</t>
  </si>
  <si>
    <t>MARÍA ADELA</t>
  </si>
  <si>
    <t>NAVIDAD DEL CARMEN</t>
  </si>
  <si>
    <t>PATRICIA DEL CARMEN</t>
  </si>
  <si>
    <t>LUZ ANDREA</t>
  </si>
  <si>
    <t>CARMEN RAFAELA</t>
  </si>
  <si>
    <t>JOSÉ ABRAHAM</t>
  </si>
  <si>
    <t>MARÍA INÉS</t>
  </si>
  <si>
    <t>TERESA DE LAS MERCEDES</t>
  </si>
  <si>
    <t>ERNESTO SEGUNDO</t>
  </si>
  <si>
    <t>JORGE ANTONIO</t>
  </si>
  <si>
    <t>MARLON RICARDO</t>
  </si>
  <si>
    <t>JULIO CÉSAR</t>
  </si>
  <si>
    <t>JUAN IGNACIO</t>
  </si>
  <si>
    <t>DIEGO ALFREDO</t>
  </si>
  <si>
    <t>HORACIO ALEJANDRO</t>
  </si>
  <si>
    <t>JORGE ALEX</t>
  </si>
  <si>
    <t>MARÍA ELIANA</t>
  </si>
  <si>
    <t>GABRIEL BERNARDO</t>
  </si>
  <si>
    <t>EMA MARÍA</t>
  </si>
  <si>
    <t>ALICIA DEL CARMEN</t>
  </si>
  <si>
    <t>GUILLERMINA DEL CARM</t>
  </si>
  <si>
    <t>FRESIA OLIVIA</t>
  </si>
  <si>
    <t>DANTE GABRIEL</t>
  </si>
  <si>
    <t>LUKAS MATEO</t>
  </si>
  <si>
    <t>MICHEL ANDY</t>
  </si>
  <si>
    <t>RAFAEL ANTONIO</t>
  </si>
  <si>
    <t>SEBASTIÁN DARIEL</t>
  </si>
  <si>
    <t>JAIRO ISAAC</t>
  </si>
  <si>
    <t>CECILIA DE LAS MERCEDES</t>
  </si>
  <si>
    <t>MARÍA ELENA</t>
  </si>
  <si>
    <t>SAMANTHA BELEN</t>
  </si>
  <si>
    <t>GUSTAVO PATRICIO</t>
  </si>
  <si>
    <t>GONZALO ANTONIO</t>
  </si>
  <si>
    <t>MARIBEL DEL CARMEN</t>
  </si>
  <si>
    <t>PAILLAVIL</t>
  </si>
  <si>
    <t>SALINAS</t>
  </si>
  <si>
    <t>CARIQUEO</t>
  </si>
  <si>
    <t>GONZÁLEZ</t>
  </si>
  <si>
    <t>CORDERO</t>
  </si>
  <si>
    <t>OLGUÍN</t>
  </si>
  <si>
    <t>FLORES</t>
  </si>
  <si>
    <t>ARIAS</t>
  </si>
  <si>
    <t>NORAMBUENA</t>
  </si>
  <si>
    <t>ROSALES</t>
  </si>
  <si>
    <t>DOMINGUAL</t>
  </si>
  <si>
    <t>SILVA</t>
  </si>
  <si>
    <t>ORILUS</t>
  </si>
  <si>
    <t>ALARCÓN</t>
  </si>
  <si>
    <t>TARRÉS</t>
  </si>
  <si>
    <t>PALMA</t>
  </si>
  <si>
    <t>OLIVERA</t>
  </si>
  <si>
    <t>VELASCO</t>
  </si>
  <si>
    <t>MOYANO</t>
  </si>
  <si>
    <t>SIMOZA</t>
  </si>
  <si>
    <t>CERDA</t>
  </si>
  <si>
    <t>RÍOS</t>
  </si>
  <si>
    <t>BLANCO</t>
  </si>
  <si>
    <t>MOYA</t>
  </si>
  <si>
    <t>QUEZADA</t>
  </si>
  <si>
    <t>PIRAZAN</t>
  </si>
  <si>
    <t>ESPINOZA</t>
  </si>
  <si>
    <t>VILLARROEL</t>
  </si>
  <si>
    <t>ZÚÑIGA</t>
  </si>
  <si>
    <t>GAVILÁN</t>
  </si>
  <si>
    <t>NEIRA</t>
  </si>
  <si>
    <t>NÚÑEZ</t>
  </si>
  <si>
    <t>COLOMA</t>
  </si>
  <si>
    <t>DE LA FUENTE</t>
  </si>
  <si>
    <t>VERGARA</t>
  </si>
  <si>
    <t>CEA</t>
  </si>
  <si>
    <t>MORENO</t>
  </si>
  <si>
    <t>ARAYA</t>
  </si>
  <si>
    <t>RAMÍREZ</t>
  </si>
  <si>
    <t>MONTILUS</t>
  </si>
  <si>
    <t>SALAS</t>
  </si>
  <si>
    <t>LUCERO</t>
  </si>
  <si>
    <t>PÉREZ</t>
  </si>
  <si>
    <t>VELÁSQUEZ</t>
  </si>
  <si>
    <t>CERRO</t>
  </si>
  <si>
    <t>3a 3m 5d</t>
  </si>
  <si>
    <t>6a 0m 1d</t>
  </si>
  <si>
    <t>4a 9m 12d</t>
  </si>
  <si>
    <t>11a 1m 28d</t>
  </si>
  <si>
    <t>17a 3m 25d</t>
  </si>
  <si>
    <t>57a 6m 11d</t>
  </si>
  <si>
    <t>43a 9m 11d</t>
  </si>
  <si>
    <t>41a 4m 13d</t>
  </si>
  <si>
    <t>48a 5m 9d</t>
  </si>
  <si>
    <t>50a 8m 10d</t>
  </si>
  <si>
    <t>41a 3m 27d</t>
  </si>
  <si>
    <t>3a 11m 14d</t>
  </si>
  <si>
    <t>37a 8m 23d</t>
  </si>
  <si>
    <t>29a 2m 4d</t>
  </si>
  <si>
    <t>4a 5m 25d</t>
  </si>
  <si>
    <t>69a 10m 24d</t>
  </si>
  <si>
    <t>67a 10m 7d</t>
  </si>
  <si>
    <t>65a 5m 2d</t>
  </si>
  <si>
    <t>69a 7m 16d</t>
  </si>
  <si>
    <t>77a 2m 2d</t>
  </si>
  <si>
    <t>75a 7m 3d</t>
  </si>
  <si>
    <t>66a 11m 23d</t>
  </si>
  <si>
    <t>67a 6m 12d</t>
  </si>
  <si>
    <t>76a 7m 24d</t>
  </si>
  <si>
    <t>64a 7m 2d</t>
  </si>
  <si>
    <t>51a 6m 12d</t>
  </si>
  <si>
    <t>43a 1m 13d</t>
  </si>
  <si>
    <t>40a 6m 15d</t>
  </si>
  <si>
    <t>34a 11m 5d</t>
  </si>
  <si>
    <t>35a 5m 19d</t>
  </si>
  <si>
    <t>20a 2m 25d</t>
  </si>
  <si>
    <t>56a 6m 15d</t>
  </si>
  <si>
    <t>75a 7m 19d</t>
  </si>
  <si>
    <t>70a 7m 24d</t>
  </si>
  <si>
    <t>75a 7m 25d</t>
  </si>
  <si>
    <t>75a 9m 25d</t>
  </si>
  <si>
    <t>73a 11m 3d</t>
  </si>
  <si>
    <t>83a 8m 8d</t>
  </si>
  <si>
    <t>8a 3m 4d</t>
  </si>
  <si>
    <t>11a 4m 29d</t>
  </si>
  <si>
    <t>9a 3m 19d</t>
  </si>
  <si>
    <t>9a 3m 9d</t>
  </si>
  <si>
    <t>13a 4m 12d</t>
  </si>
  <si>
    <t>10a 6m 24d</t>
  </si>
  <si>
    <t>60a 8m 6d</t>
  </si>
  <si>
    <t>82a 11m 9d</t>
  </si>
  <si>
    <t>20a 6m 12d</t>
  </si>
  <si>
    <t>37a 4m 5d</t>
  </si>
  <si>
    <t>41a 5m 28d</t>
  </si>
  <si>
    <t>61a 10m 6d</t>
  </si>
  <si>
    <t>AMIGDALECTOMIA C/S ADENOIDECTOMIA, UNI O BILATERAL</t>
  </si>
  <si>
    <t>ADENOIDECTOMIA (PROC. AUT.)</t>
  </si>
  <si>
    <t>COLECISTECTOMIA POR VIDEOLAPAROSCOPIA, PROC. COMPLETO</t>
  </si>
  <si>
    <t>- FACOERESIS EXTRACAPSULAR CON IMPLANTE DE LENTE INTRAOCULAR (NO INCLUYE EL VALOR DE LA PROTESIS)</t>
  </si>
  <si>
    <t>VITRECTOMIA CON VITREOFAGO (PROC. AUT)</t>
  </si>
  <si>
    <t>- FACOERESIS EXTRACAPSULAR CON IMPLANTE DE LENTE INTRAOCULAR (INCLUYE EL VALOR DE LA PROTESIS)</t>
  </si>
  <si>
    <t>CIRCUNCISION (INCLUYE SECCION DE FRENILLO, Y/O DE SINEQUIAS BALANO-PREPUCIALES, Y/O INCISION DORSAL C/S MEATOTOMIA)</t>
  </si>
  <si>
    <t>VASECTOMIA BILATERAL, (PROC. AUT.) (LA VASECTOMIA COMO TIEMPO PREVIO A UNA RESECCION DE PROSTATA ESTA INCLUIDA EN LA PROSTATECTOMIA)</t>
  </si>
  <si>
    <t>MEATOTOMIA HOMBRE Y/O SECCION FRENILLO Y/O INCISION DORSAL, (PROC. AUT.)</t>
  </si>
  <si>
    <t>OSTEOSINTESIS, FRACT. CERRADA CUBITO Y/O RADIO (CUALQ. TECN.)</t>
  </si>
  <si>
    <t>REDUCCION SIMPLE (PROC. AUT.)</t>
  </si>
  <si>
    <t>CUERPO EXTRAÑO CUTANEO, Y/O NEVUS, Y/O ANGIOMA CUTANEO O MUCOSO Y/O TUMOR BENIGNO, EXTIRP. DE 6 O MAS ELEMENTOS</t>
  </si>
  <si>
    <t>1302029-5</t>
  </si>
  <si>
    <t>1302028-5</t>
  </si>
  <si>
    <t>1802081-10</t>
  </si>
  <si>
    <t>1302042-4</t>
  </si>
  <si>
    <t>1302002-3</t>
  </si>
  <si>
    <t>1302055-6</t>
  </si>
  <si>
    <t>1202064-10</t>
  </si>
  <si>
    <t>1202062-8</t>
  </si>
  <si>
    <t>1202164-10</t>
  </si>
  <si>
    <t>1902068-6</t>
  </si>
  <si>
    <t>1902082-5</t>
  </si>
  <si>
    <t>1902084-4</t>
  </si>
  <si>
    <t>1902060-6</t>
  </si>
  <si>
    <t>2104073-6</t>
  </si>
  <si>
    <t>1402060-3</t>
  </si>
  <si>
    <t>1602003-3</t>
  </si>
  <si>
    <t>1402009-7</t>
  </si>
  <si>
    <t>SERVICIO DE CIRUGIA ADULTO</t>
  </si>
  <si>
    <t>UNIDAD DE OFTALMOLOGIA</t>
  </si>
  <si>
    <t>SERVICIO DE UROLOGIA</t>
  </si>
  <si>
    <t>SERVICIO DE CIRUGIA INFANTIL</t>
  </si>
  <si>
    <t>Rodrigo Alejandro Villegas Lugo</t>
  </si>
  <si>
    <t>Aliana Violeta Morales Ruiz</t>
  </si>
  <si>
    <t>Jackeline Nuñez</t>
  </si>
  <si>
    <t>Valentina Fernanda Silva Barreto</t>
  </si>
  <si>
    <t>Diandra Silva Rodriguez</t>
  </si>
  <si>
    <t>Ivette Lopez Muñoz</t>
  </si>
  <si>
    <t>Isidora Fernanda Gonzalez Arenas</t>
  </si>
  <si>
    <t>Juan Carlos Gonzalez Segovia</t>
  </si>
  <si>
    <t>Dr. Cristian Aedo Bendel</t>
  </si>
  <si>
    <t>Dr. Christian Diaz Frias</t>
  </si>
  <si>
    <t>Dr. Fernando Rivas Castillo</t>
  </si>
  <si>
    <t>Felicia Meza Maldonado</t>
  </si>
  <si>
    <t>Carleny Cordero Lugo</t>
  </si>
  <si>
    <t>Jesus Soublett Rivas</t>
  </si>
  <si>
    <t>Gonzalo Godoy Moya</t>
  </si>
  <si>
    <t>Dr. Pablo Acuña Espinoza</t>
  </si>
  <si>
    <t>Hector Contreras Pinto</t>
  </si>
  <si>
    <t>Dr. Arturo Hillerns Eltit</t>
  </si>
  <si>
    <t>Lucas Martin Arzeno Thome</t>
  </si>
  <si>
    <t>Sara Francisca Barria Oyarce</t>
  </si>
  <si>
    <t>Sebastian Aceituno Arroyo</t>
  </si>
  <si>
    <t>Dr. Richard Vega Duran</t>
  </si>
  <si>
    <t>Sebastián Ramón Cáceres González</t>
  </si>
  <si>
    <t>Diego Ahumada Perez</t>
  </si>
  <si>
    <t>Diego Echiburu Perez</t>
  </si>
  <si>
    <t>Dra. Lisette Irausquin Gudiño</t>
  </si>
  <si>
    <t>Paula Ramírez Vargas</t>
  </si>
  <si>
    <t>Quirofano 06</t>
  </si>
  <si>
    <t>Quirofano 09</t>
  </si>
  <si>
    <t>Quirofano 08</t>
  </si>
  <si>
    <t>Quirofano 07</t>
  </si>
  <si>
    <t>Error de programación</t>
  </si>
  <si>
    <t>Falta de preparación de piel, intestinal, antibiótica u otra específica</t>
  </si>
  <si>
    <t>Instrumental y/o material con falla de esterilización</t>
  </si>
  <si>
    <t>Patología crónica descompensada</t>
  </si>
  <si>
    <t>Rechaza operación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</si>
</sst>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hh:mm"/>
  </numFmts>
  <fonts count="19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10365A"/>
      <name val="Carlito"/>
    </font>
    <font>
      <b/>
      <sz val="15"/>
      <color rgb="FFFFFFFF"/>
      <name val="Carlito"/>
    </font>
    <font>
      <sz val="9"/>
      <name val="Calibri"/>
      <family val="2"/>
    </font>
    <font>
      <sz val="9"/>
      <name val="Aptos Narrow"/>
    </font>
    <font>
      <sz val="9"/>
      <name val="Arial"/>
      <family val="2"/>
    </font>
    <font>
      <sz val="10"/>
      <name val="Arial"/>
      <family val="2"/>
    </font>
    <font>
      <sz val="9"/>
      <color rgb="FF473821"/>
      <name val="Calibri"/>
      <family val="2"/>
    </font>
    <font>
      <b/>
      <sz val="10"/>
      <color rgb="FF60768B"/>
      <name val="Carlito"/>
    </font>
    <font>
      <sz val="8"/>
      <name val="Arial"/>
      <family val="2"/>
    </font>
    <font>
      <sz val="8"/>
      <color rgb="FF101010"/>
      <name val="Arial"/>
      <family val="2"/>
    </font>
    <font>
      <sz val="8"/>
      <color rgb="FF465ABD"/>
      <name val="Arial"/>
      <family val="2"/>
    </font>
    <font>
      <sz val="8"/>
      <color rgb="FF0C0D0C"/>
      <name val="Arial"/>
      <family val="2"/>
    </font>
    <font>
      <sz val="8"/>
      <color rgb="FF141313"/>
      <name val="Arial"/>
      <family val="2"/>
    </font>
    <font>
      <sz val="8"/>
      <color rgb="FF473821"/>
      <name val="Arial"/>
      <family val="2"/>
    </font>
    <font>
      <sz val="8"/>
      <color rgb="FF5A3286"/>
      <name val="Arial"/>
      <family val="2"/>
    </font>
    <font>
      <sz val="8"/>
      <color rgb="FF215A6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6639F"/>
      </patternFill>
    </fill>
    <fill>
      <patternFill patternType="solid">
        <fgColor rgb="FFFFF0E7"/>
      </patternFill>
    </fill>
    <fill>
      <patternFill patternType="solid">
        <fgColor rgb="FF16639F"/>
      </patternFill>
    </fill>
    <fill>
      <patternFill patternType="solid">
        <fgColor rgb="FF16639F"/>
      </patternFill>
    </fill>
    <fill>
      <patternFill patternType="solid">
        <fgColor rgb="FFF5F7FA"/>
      </patternFill>
    </fill>
    <fill>
      <patternFill patternType="solid">
        <fgColor rgb="FFFFFFFF"/>
      </patternFill>
    </fill>
    <fill>
      <patternFill patternType="solid">
        <fgColor rgb="FFFBFDFF"/>
      </patternFill>
    </fill>
    <fill>
      <patternFill patternType="solid">
        <fgColor rgb="FFE8F3FB"/>
      </patternFill>
    </fill>
    <fill>
      <patternFill patternType="solid">
        <fgColor rgb="FFFFF0E7"/>
      </patternFill>
    </fill>
  </fills>
  <borders count="16">
    <border>
      <left/>
      <right/>
      <top/>
      <bottom/>
      <diagonal/>
    </border>
    <border>
      <left/>
      <right style="thin">
        <color rgb="FFD7E3EE"/>
      </right>
      <top/>
      <bottom style="thin">
        <color rgb="FFD7E3EE"/>
      </bottom>
      <diagonal/>
    </border>
    <border>
      <left style="thin">
        <color rgb="FFD7E3EE"/>
      </left>
      <right style="thin">
        <color rgb="FFD7E3EE"/>
      </right>
      <top/>
      <bottom style="thin">
        <color rgb="FFD7E3EE"/>
      </bottom>
      <diagonal/>
    </border>
    <border>
      <left style="thin">
        <color rgb="FFD7E3EE"/>
      </left>
      <right/>
      <top/>
      <bottom style="thin">
        <color rgb="FFD7E3EE"/>
      </bottom>
      <diagonal/>
    </border>
    <border>
      <left/>
      <right style="thin">
        <color rgb="FFD7E3EE"/>
      </right>
      <top style="thin">
        <color rgb="FFD7E3EE"/>
      </top>
      <bottom style="thin">
        <color rgb="FFD7E3EE"/>
      </bottom>
      <diagonal/>
    </border>
    <border>
      <left style="thin">
        <color rgb="FFD7E3EE"/>
      </left>
      <right style="thin">
        <color rgb="FFD7E3EE"/>
      </right>
      <top style="thin">
        <color rgb="FFD7E3EE"/>
      </top>
      <bottom style="thin">
        <color rgb="FFD7E3EE"/>
      </bottom>
      <diagonal/>
    </border>
    <border>
      <left style="thin">
        <color rgb="FFD7E3EE"/>
      </left>
      <right/>
      <top style="thin">
        <color rgb="FFD7E3EE"/>
      </top>
      <bottom style="thin">
        <color rgb="FFD7E3EE"/>
      </bottom>
      <diagonal/>
    </border>
    <border>
      <left/>
      <right style="thin">
        <color rgb="FFD7E3EE"/>
      </right>
      <top style="thin">
        <color rgb="FFD7E3EE"/>
      </top>
      <bottom/>
      <diagonal/>
    </border>
    <border>
      <left style="thin">
        <color rgb="FFD7E3EE"/>
      </left>
      <right style="thin">
        <color rgb="FFD7E3EE"/>
      </right>
      <top style="thin">
        <color rgb="FFD7E3EE"/>
      </top>
      <bottom/>
      <diagonal/>
    </border>
    <border>
      <left style="thin">
        <color rgb="FFD7E3EE"/>
      </left>
      <right/>
      <top style="thin">
        <color rgb="FFD7E3EE"/>
      </top>
      <bottom/>
      <diagonal/>
    </border>
    <border>
      <left style="thin">
        <color rgb="FFD7E3EE"/>
      </left>
      <right style="thin">
        <color rgb="FFD7E3EE"/>
      </right>
      <top style="thin">
        <color rgb="FFD7E3EE"/>
      </top>
      <bottom style="thin">
        <color rgb="FFB9D7ED"/>
      </bottom>
      <diagonal/>
    </border>
    <border>
      <left style="thin">
        <color rgb="FFD7E3EE"/>
      </left>
      <right style="thin">
        <color rgb="FFD7E3EE"/>
      </right>
      <top style="thin">
        <color rgb="FFB9D7ED"/>
      </top>
      <bottom style="thin">
        <color rgb="FFB9D7ED"/>
      </bottom>
      <diagonal/>
    </border>
    <border>
      <left style="thin">
        <color rgb="FFD7E3EE"/>
      </left>
      <right style="thin">
        <color rgb="FFD7E3EE"/>
      </right>
      <top style="thin">
        <color rgb="FFB9D7ED"/>
      </top>
      <bottom style="thin">
        <color rgb="FFD7E3EE"/>
      </bottom>
      <diagonal/>
    </border>
    <border>
      <left/>
      <right/>
      <top/>
      <bottom style="thin">
        <color rgb="FFE8743B"/>
      </bottom>
      <diagonal/>
    </border>
    <border>
      <left/>
      <right/>
      <top style="thin">
        <color rgb="FFE8743B"/>
      </top>
      <bottom style="thin">
        <color rgb="FFE8743B"/>
      </bottom>
      <diagonal/>
    </border>
    <border>
      <left/>
      <right/>
      <top style="thin">
        <color rgb="FFE8743B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" fontId="0" fillId="0" borderId="5" xfId="0" applyNumberFormat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20" fontId="6" fillId="0" borderId="5" xfId="0" applyNumberFormat="1" applyFont="1" applyBorder="1" applyAlignment="1">
      <alignment vertical="center" wrapText="1"/>
    </xf>
    <xf numFmtId="1" fontId="3" fillId="3" borderId="5" xfId="0" applyNumberFormat="1" applyFont="1" applyFill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20" fontId="7" fillId="0" borderId="5" xfId="0" applyNumberFormat="1" applyFont="1" applyBorder="1" applyAlignment="1">
      <alignment vertical="center" wrapText="1"/>
    </xf>
    <xf numFmtId="165" fontId="6" fillId="0" borderId="5" xfId="0" applyNumberFormat="1" applyFont="1" applyBorder="1" applyAlignment="1">
      <alignment vertical="center" wrapText="1"/>
    </xf>
    <xf numFmtId="165" fontId="8" fillId="0" borderId="5" xfId="0" applyNumberFormat="1" applyFont="1" applyBorder="1" applyAlignment="1">
      <alignment vertical="center" wrapText="1"/>
    </xf>
    <xf numFmtId="165" fontId="0" fillId="0" borderId="5" xfId="0" applyNumberFormat="1" applyBorder="1" applyAlignment="1">
      <alignment vertical="center" wrapText="1"/>
    </xf>
    <xf numFmtId="0" fontId="1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64" fontId="5" fillId="7" borderId="4" xfId="0" applyNumberFormat="1" applyFont="1" applyFill="1" applyBorder="1" applyAlignment="1">
      <alignment vertical="center" wrapText="1"/>
    </xf>
    <xf numFmtId="0" fontId="6" fillId="7" borderId="5" xfId="0" applyFont="1" applyFill="1" applyBorder="1" applyAlignment="1">
      <alignment vertical="center" wrapText="1"/>
    </xf>
    <xf numFmtId="164" fontId="0" fillId="7" borderId="4" xfId="0" applyNumberFormat="1" applyFill="1" applyBorder="1" applyAlignment="1">
      <alignment vertical="center" wrapText="1"/>
    </xf>
    <xf numFmtId="0" fontId="0" fillId="7" borderId="5" xfId="0" applyFill="1" applyBorder="1" applyAlignment="1">
      <alignment vertical="center" wrapText="1"/>
    </xf>
    <xf numFmtId="0" fontId="0" fillId="8" borderId="5" xfId="0" applyFill="1" applyBorder="1" applyAlignment="1">
      <alignment vertical="center" wrapText="1"/>
    </xf>
    <xf numFmtId="0" fontId="3" fillId="9" borderId="10" xfId="0" applyFont="1" applyFill="1" applyBorder="1" applyAlignment="1">
      <alignment vertical="center" wrapText="1"/>
    </xf>
    <xf numFmtId="0" fontId="3" fillId="9" borderId="11" xfId="0" applyFont="1" applyFill="1" applyBorder="1" applyAlignment="1">
      <alignment vertical="center" wrapText="1"/>
    </xf>
    <xf numFmtId="0" fontId="3" fillId="9" borderId="12" xfId="0" applyFont="1" applyFill="1" applyBorder="1" applyAlignment="1">
      <alignment vertical="center" wrapText="1"/>
    </xf>
    <xf numFmtId="1" fontId="3" fillId="10" borderId="13" xfId="0" applyNumberFormat="1" applyFont="1" applyFill="1" applyBorder="1"/>
    <xf numFmtId="1" fontId="3" fillId="10" borderId="14" xfId="0" applyNumberFormat="1" applyFont="1" applyFill="1" applyBorder="1"/>
    <xf numFmtId="1" fontId="3" fillId="10" borderId="15" xfId="0" applyNumberFormat="1" applyFont="1" applyFill="1" applyBorder="1"/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4" fontId="11" fillId="0" borderId="0" xfId="0" applyNumberFormat="1" applyFont="1"/>
    <xf numFmtId="0" fontId="11" fillId="0" borderId="0" xfId="0" applyFont="1"/>
    <xf numFmtId="0" fontId="8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20" fontId="11" fillId="0" borderId="0" xfId="0" applyNumberFormat="1" applyFont="1"/>
    <xf numFmtId="0" fontId="16" fillId="0" borderId="0" xfId="0" applyFont="1"/>
    <xf numFmtId="0" fontId="17" fillId="0" borderId="0" xfId="0" applyFont="1"/>
    <xf numFmtId="0" fontId="18" fillId="0" borderId="0" xfId="0" applyFont="1"/>
  </cellXfs>
  <cellStyles count="1">
    <cellStyle name="Normal" xfId="0" builtinId="0"/>
  </cellStyles>
  <dxfs count="24">
    <dxf>
      <font>
        <b/>
        <color rgb="FF16639F"/>
      </font>
      <fill>
        <patternFill>
          <bgColor rgb="FFE8F3FB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B91C1C"/>
      </font>
      <fill>
        <patternFill>
          <bgColor rgb="FFFEE2E2"/>
        </patternFill>
      </fill>
    </dxf>
    <dxf>
      <font>
        <b/>
        <color rgb="FFB91C1C"/>
      </font>
      <fill>
        <patternFill>
          <bgColor rgb="FFFEE2E2"/>
        </patternFill>
      </fill>
    </dxf>
    <dxf>
      <font>
        <b/>
        <color rgb="FF16639F"/>
      </font>
      <fill>
        <patternFill>
          <bgColor rgb="FFE8F3FB"/>
        </patternFill>
      </fill>
    </dxf>
    <dxf>
      <font>
        <b/>
        <color rgb="FF16639F"/>
      </font>
      <fill>
        <patternFill>
          <bgColor rgb="FFE8F3FB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B91C1C"/>
      </font>
      <fill>
        <patternFill>
          <bgColor rgb="FFFEE2E2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B91C1C"/>
      </font>
      <fill>
        <patternFill>
          <bgColor rgb="FFFEE2E2"/>
        </patternFill>
      </fill>
    </dxf>
    <dxf>
      <font>
        <b/>
        <color rgb="FF16639F"/>
      </font>
      <fill>
        <patternFill>
          <bgColor rgb="FFE8F3FB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E8743B"/>
      </font>
      <fill>
        <patternFill>
          <bgColor rgb="FFFFF0E7"/>
        </patternFill>
      </fill>
    </dxf>
    <dxf>
      <font>
        <b/>
        <color rgb="FFE8743B"/>
      </font>
      <fill>
        <patternFill>
          <bgColor rgb="FFFFF0E7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E8743B"/>
      </font>
      <fill>
        <patternFill>
          <bgColor rgb="FFFFF0E7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E8743B"/>
      </font>
      <fill>
        <patternFill>
          <bgColor rgb="FFFFF0E7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E8743B"/>
      </font>
      <fill>
        <patternFill>
          <bgColor rgb="FFFFF0E7"/>
        </patternFill>
      </fill>
    </dxf>
    <dxf>
      <font>
        <b/>
        <color rgb="FF177E55"/>
      </font>
      <fill>
        <patternFill>
          <bgColor rgb="FFDDF4E9"/>
        </patternFill>
      </fill>
    </dxf>
    <dxf>
      <font>
        <b/>
        <color rgb="FFE8743B"/>
      </font>
      <fill>
        <patternFill>
          <bgColor rgb="FFFFF0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500"/>
  <sheetViews>
    <sheetView tabSelected="1" workbookViewId="0">
      <selection activeCell="AB28" sqref="AB28"/>
    </sheetView>
  </sheetViews>
  <sheetFormatPr baseColWidth="10" defaultColWidth="8.83203125" defaultRowHeight="15"/>
  <cols>
    <col min="1" max="28" width="65.5" customWidth="1"/>
  </cols>
  <sheetData>
    <row r="1" spans="1:28" ht="34" customHeight="1">
      <c r="A1" s="40" t="s">
        <v>3216</v>
      </c>
      <c r="B1" s="40" t="s">
        <v>3216</v>
      </c>
      <c r="C1" s="40" t="s">
        <v>3216</v>
      </c>
      <c r="D1" s="40" t="s">
        <v>3216</v>
      </c>
      <c r="E1" s="40" t="s">
        <v>3216</v>
      </c>
      <c r="F1" s="40" t="s">
        <v>3216</v>
      </c>
      <c r="G1" s="40" t="s">
        <v>3216</v>
      </c>
      <c r="H1" s="40" t="s">
        <v>3216</v>
      </c>
      <c r="I1" s="40" t="s">
        <v>3216</v>
      </c>
      <c r="J1" s="40" t="s">
        <v>3216</v>
      </c>
      <c r="K1" s="40" t="s">
        <v>3216</v>
      </c>
      <c r="L1" s="40" t="s">
        <v>3216</v>
      </c>
      <c r="M1" s="40" t="s">
        <v>3216</v>
      </c>
      <c r="N1" s="40" t="s">
        <v>3216</v>
      </c>
      <c r="O1" s="40" t="s">
        <v>3216</v>
      </c>
      <c r="P1" s="40" t="s">
        <v>3216</v>
      </c>
      <c r="Q1" s="40" t="s">
        <v>3216</v>
      </c>
      <c r="R1" s="40" t="s">
        <v>3216</v>
      </c>
      <c r="S1" s="40" t="s">
        <v>3216</v>
      </c>
      <c r="T1" s="40" t="s">
        <v>3216</v>
      </c>
      <c r="U1" s="40" t="s">
        <v>3216</v>
      </c>
      <c r="V1" s="40" t="s">
        <v>3216</v>
      </c>
      <c r="W1" s="40" t="s">
        <v>3216</v>
      </c>
      <c r="X1" s="40" t="s">
        <v>3216</v>
      </c>
      <c r="Y1" s="40" t="s">
        <v>3216</v>
      </c>
      <c r="Z1" s="40" t="s">
        <v>3216</v>
      </c>
      <c r="AA1" s="40" t="s">
        <v>3216</v>
      </c>
      <c r="AB1" s="25" t="s">
        <v>3216</v>
      </c>
    </row>
    <row r="2" spans="1:28" ht="34" customHeight="1">
      <c r="A2" s="26" t="s">
        <v>3217</v>
      </c>
      <c r="B2" s="26" t="s">
        <v>3217</v>
      </c>
      <c r="C2" s="26" t="s">
        <v>3217</v>
      </c>
      <c r="D2" s="26" t="s">
        <v>3217</v>
      </c>
      <c r="E2" s="26" t="s">
        <v>3217</v>
      </c>
      <c r="F2" s="26" t="s">
        <v>3218</v>
      </c>
      <c r="G2" s="26" t="s">
        <v>3217</v>
      </c>
      <c r="H2" s="26" t="s">
        <v>3217</v>
      </c>
      <c r="I2" s="26" t="s">
        <v>3218</v>
      </c>
      <c r="J2" s="26" t="s">
        <v>3219</v>
      </c>
      <c r="K2" s="26" t="s">
        <v>3218</v>
      </c>
      <c r="L2" s="26" t="s">
        <v>3217</v>
      </c>
      <c r="M2" s="26" t="s">
        <v>3218</v>
      </c>
      <c r="N2" s="26" t="s">
        <v>3217</v>
      </c>
      <c r="O2" s="26" t="s">
        <v>3217</v>
      </c>
      <c r="P2" s="26" t="s">
        <v>3217</v>
      </c>
      <c r="Q2" s="26" t="s">
        <v>3220</v>
      </c>
      <c r="R2" s="26" t="s">
        <v>3219</v>
      </c>
      <c r="S2" s="26" t="s">
        <v>3221</v>
      </c>
      <c r="T2" s="26" t="s">
        <v>3221</v>
      </c>
      <c r="U2" s="26" t="s">
        <v>3218</v>
      </c>
      <c r="V2" s="26" t="s">
        <v>3219</v>
      </c>
      <c r="W2" s="26" t="s">
        <v>3219</v>
      </c>
      <c r="X2" s="26" t="s">
        <v>3222</v>
      </c>
      <c r="Y2" s="26" t="s">
        <v>3219</v>
      </c>
      <c r="Z2" s="26" t="s">
        <v>3219</v>
      </c>
      <c r="AA2" s="26" t="s">
        <v>3223</v>
      </c>
      <c r="AB2" s="26" t="s">
        <v>3218</v>
      </c>
    </row>
    <row r="3" spans="1:28" ht="34" customHeight="1">
      <c r="A3" s="27" t="s">
        <v>3224</v>
      </c>
      <c r="B3" s="28" t="s">
        <v>3225</v>
      </c>
      <c r="C3" s="28" t="s">
        <v>3226</v>
      </c>
      <c r="D3" s="28" t="s">
        <v>3227</v>
      </c>
      <c r="E3" s="28" t="s">
        <v>3228</v>
      </c>
      <c r="F3" s="28" t="s">
        <v>3229</v>
      </c>
      <c r="G3" s="28" t="s">
        <v>3230</v>
      </c>
      <c r="H3" s="28" t="s">
        <v>3231</v>
      </c>
      <c r="I3" s="28" t="s">
        <v>3232</v>
      </c>
      <c r="J3" s="28" t="s">
        <v>31</v>
      </c>
      <c r="K3" s="28" t="s">
        <v>3233</v>
      </c>
      <c r="L3" s="28" t="s">
        <v>3</v>
      </c>
      <c r="M3" s="28" t="s">
        <v>3234</v>
      </c>
      <c r="N3" s="28" t="s">
        <v>3235</v>
      </c>
      <c r="O3" s="28" t="s">
        <v>4</v>
      </c>
      <c r="P3" s="28" t="s">
        <v>3236</v>
      </c>
      <c r="Q3" s="28" t="s">
        <v>3237</v>
      </c>
      <c r="R3" s="28" t="s">
        <v>3238</v>
      </c>
      <c r="S3" s="28" t="s">
        <v>3239</v>
      </c>
      <c r="T3" s="28" t="s">
        <v>3240</v>
      </c>
      <c r="U3" s="28" t="s">
        <v>3241</v>
      </c>
      <c r="V3" s="28" t="s">
        <v>3242</v>
      </c>
      <c r="W3" s="28" t="s">
        <v>3243</v>
      </c>
      <c r="X3" s="28" t="s">
        <v>71</v>
      </c>
      <c r="Y3" s="28" t="s">
        <v>3244</v>
      </c>
      <c r="Z3" s="28" t="s">
        <v>29</v>
      </c>
      <c r="AA3" s="28" t="s">
        <v>3245</v>
      </c>
      <c r="AB3" s="28" t="s">
        <v>10</v>
      </c>
    </row>
    <row r="4" spans="1:28" ht="16">
      <c r="A4" s="29">
        <v>46167</v>
      </c>
      <c r="B4" s="30" t="s">
        <v>3246</v>
      </c>
      <c r="C4" s="30" t="s">
        <v>3247</v>
      </c>
      <c r="D4" s="30" t="s">
        <v>3248</v>
      </c>
      <c r="E4" s="30" t="s">
        <v>3249</v>
      </c>
      <c r="F4" s="33"/>
      <c r="G4" s="17" t="s">
        <v>3250</v>
      </c>
      <c r="H4" s="17" t="s">
        <v>3251</v>
      </c>
      <c r="I4" s="2"/>
      <c r="J4" s="34" t="str">
        <f>IF(H4&lt;&gt;"",IFERROR(VLOOKUP(IFERROR(LEFT(H4,FIND("-",H4)-1),H4),'Catalogo MINSAL'!A:E,5,FALSE),""),IF(I4&lt;&gt;"",IFERROR(VLOOKUP(IFERROR(LEFT(I4,FIND("-",I4)-1),I4),'Catalogo MINSAL'!A:E,5,FALSE),""),""))</f>
        <v>Cirugía Mayor</v>
      </c>
      <c r="K4" s="2"/>
      <c r="L4" s="18" t="s">
        <v>3252</v>
      </c>
      <c r="M4" s="19" t="s">
        <v>3253</v>
      </c>
      <c r="N4" s="17" t="s">
        <v>3254</v>
      </c>
      <c r="O4" s="17" t="s">
        <v>3255</v>
      </c>
      <c r="P4" s="17" t="s">
        <v>32</v>
      </c>
      <c r="Q4" s="22">
        <v>0.3611111111111111</v>
      </c>
      <c r="R4" s="14" t="str">
        <f t="shared" ref="R4:R67" si="0">IF(Q4="","",IF(IF(ISNUMBER(Q4),MOD(Q4,1),TIMEVALUE(Q4))&lt;=TIME(8,15,0),"Ingreso adecuado","Atraso"))</f>
        <v>Atraso</v>
      </c>
      <c r="S4" s="14">
        <v>0.38194444444444442</v>
      </c>
      <c r="T4" s="14">
        <v>0.41666666666666669</v>
      </c>
      <c r="U4" s="10"/>
      <c r="V4" s="10">
        <f t="shared" ref="V4:V67" si="1">IFERROR(IF(OR(Q4="",S4=""),"",IF(IF(ISNUMBER(S4),MOD(S4,1),TIMEVALUE(S4))&gt;=IF(ISNUMBER(Q4),MOD(Q4,1),TIMEVALUE(Q4)),(IF(ISNUMBER(S4),MOD(S4,1),TIMEVALUE(S4))-IF(ISNUMBER(Q4),MOD(Q4,1),TIMEVALUE(Q4)))*1440,(IF(ISNUMBER(S4),MOD(S4,1),TIMEVALUE(S4))+1-IF(ISNUMBER(Q4),MOD(Q4,1),TIMEVALUE(Q4)))*1440)),"")</f>
        <v>29.999999999999972</v>
      </c>
      <c r="W4" s="15">
        <f t="shared" ref="W4:W67" si="2">IFERROR(IF(OR(S4="",T4=""),"",IF(IF(ISNUMBER(T4),MOD(T4,1),TIMEVALUE(T4))&gt;=IF(ISNUMBER(S4),MOD(S4,1),TIMEVALUE(S4)),(IF(ISNUMBER(T4),MOD(T4,1),TIMEVALUE(T4))-IF(ISNUMBER(S4),MOD(S4,1),TIMEVALUE(S4)))*1440,(IF(ISNUMBER(T4),MOD(T4,1),TIMEVALUE(T4))+1-IF(ISNUMBER(S4),MOD(S4,1),TIMEVALUE(S4)))*1440)),"")</f>
        <v>50.000000000000064</v>
      </c>
      <c r="X4" s="37">
        <f t="shared" ref="X4:X67" si="3">IFERROR(IF(OR(V4="",W4=""),"",V4-W4),"")</f>
        <v>-20.000000000000092</v>
      </c>
      <c r="Y4" s="10">
        <f t="shared" ref="Y4:Y67" si="4">IFERROR(IF(OR(W4="",X4=""),"",W4-X4),"")</f>
        <v>70.000000000000156</v>
      </c>
      <c r="Z4" s="18" t="str">
        <f t="shared" ref="Z4:Z67" si="5">IFERROR(IF(Y4="","",IF(Y4&gt;15,"Subestimacion",IF(Y4&lt;-15,"Sobrestimacion","Asertivo"))),"")</f>
        <v>Subestimacion</v>
      </c>
      <c r="AA4" s="2" t="s">
        <v>3256</v>
      </c>
      <c r="AB4" s="2"/>
    </row>
    <row r="5" spans="1:28" ht="16">
      <c r="A5" s="29">
        <v>46167</v>
      </c>
      <c r="B5" s="30" t="s">
        <v>3257</v>
      </c>
      <c r="C5" s="30" t="s">
        <v>3258</v>
      </c>
      <c r="D5" s="30" t="s">
        <v>3259</v>
      </c>
      <c r="E5" s="30" t="s">
        <v>3260</v>
      </c>
      <c r="F5" s="33"/>
      <c r="G5" s="17" t="s">
        <v>3261</v>
      </c>
      <c r="H5" s="17" t="s">
        <v>3262</v>
      </c>
      <c r="I5" s="2"/>
      <c r="J5" s="35" t="str">
        <f>IF(H5&lt;&gt;"",IFERROR(VLOOKUP(IFERROR(LEFT(H5,FIND("-",H5)-1),H5),'Catalogo MINSAL'!A:E,5,FALSE),""),IF(I5&lt;&gt;"",IFERROR(VLOOKUP(IFERROR(LEFT(I5,FIND("-",I5)-1),I5),'Catalogo MINSAL'!A:E,5,FALSE),""),""))</f>
        <v>Cirugía Mayor</v>
      </c>
      <c r="K5" s="2"/>
      <c r="L5" s="18" t="s">
        <v>3252</v>
      </c>
      <c r="M5" s="19" t="s">
        <v>3253</v>
      </c>
      <c r="N5" s="17" t="s">
        <v>3254</v>
      </c>
      <c r="O5" s="17" t="s">
        <v>3255</v>
      </c>
      <c r="P5" s="17" t="s">
        <v>32</v>
      </c>
      <c r="Q5" s="22">
        <v>0.4375</v>
      </c>
      <c r="R5" s="14" t="str">
        <f t="shared" si="0"/>
        <v>Atraso</v>
      </c>
      <c r="S5" s="14">
        <v>0.46666666666666667</v>
      </c>
      <c r="T5" s="14">
        <v>0.53472222222222221</v>
      </c>
      <c r="U5" s="10" t="str">
        <f t="shared" ref="U5:U67" si="6">IFERROR(IF(OR(Q5="",R5=""),"",IF(TIMEVALUE(R5)&gt;=TIMEVALUE(Q5),(TIMEVALUE(R5)-TIMEVALUE(Q5))*1440,(TIMEVALUE(R5)+1-TIMEVALUE(Q5))*1440)),"")</f>
        <v/>
      </c>
      <c r="V5" s="10">
        <f t="shared" si="1"/>
        <v>42.000000000000014</v>
      </c>
      <c r="W5" s="15">
        <f t="shared" si="2"/>
        <v>97.999999999999972</v>
      </c>
      <c r="X5" s="38">
        <f t="shared" si="3"/>
        <v>-55.999999999999957</v>
      </c>
      <c r="Y5" s="10">
        <f t="shared" si="4"/>
        <v>153.99999999999994</v>
      </c>
      <c r="Z5" s="18" t="str">
        <f t="shared" si="5"/>
        <v>Subestimacion</v>
      </c>
      <c r="AA5" s="2" t="s">
        <v>3256</v>
      </c>
      <c r="AB5" s="2"/>
    </row>
    <row r="6" spans="1:28" ht="16">
      <c r="A6" s="29">
        <v>46167</v>
      </c>
      <c r="B6" s="30" t="s">
        <v>3263</v>
      </c>
      <c r="C6" s="30" t="s">
        <v>3264</v>
      </c>
      <c r="D6" s="30" t="s">
        <v>3265</v>
      </c>
      <c r="E6" s="30" t="s">
        <v>3266</v>
      </c>
      <c r="F6" s="33"/>
      <c r="G6" s="17" t="s">
        <v>3267</v>
      </c>
      <c r="H6" s="17" t="s">
        <v>3268</v>
      </c>
      <c r="I6" s="2"/>
      <c r="J6" s="35" t="str">
        <f>IF(H6&lt;&gt;"",IFERROR(VLOOKUP(IFERROR(LEFT(H6,FIND("-",H6)-1),H6),'Catalogo MINSAL'!A:E,5,FALSE),""),IF(I6&lt;&gt;"",IFERROR(VLOOKUP(IFERROR(LEFT(I6,FIND("-",I6)-1),I6),'Catalogo MINSAL'!A:E,5,FALSE),""),""))</f>
        <v>Cirugía Menor</v>
      </c>
      <c r="K6" s="2"/>
      <c r="L6" s="18" t="s">
        <v>3252</v>
      </c>
      <c r="M6" s="19" t="s">
        <v>3253</v>
      </c>
      <c r="N6" s="17" t="s">
        <v>3254</v>
      </c>
      <c r="O6" s="17" t="s">
        <v>3255</v>
      </c>
      <c r="P6" s="17" t="s">
        <v>32</v>
      </c>
      <c r="Q6" s="22">
        <v>0.57638888888888884</v>
      </c>
      <c r="R6" s="14" t="str">
        <f t="shared" si="0"/>
        <v>Atraso</v>
      </c>
      <c r="S6" s="14">
        <v>0.60416666666666663</v>
      </c>
      <c r="T6" s="14">
        <v>0.66666666666666663</v>
      </c>
      <c r="U6" s="10" t="str">
        <f t="shared" si="6"/>
        <v/>
      </c>
      <c r="V6" s="10">
        <f t="shared" si="1"/>
        <v>40.000000000000014</v>
      </c>
      <c r="W6" s="15">
        <f t="shared" si="2"/>
        <v>90</v>
      </c>
      <c r="X6" s="38">
        <f t="shared" si="3"/>
        <v>-49.999999999999986</v>
      </c>
      <c r="Y6" s="10">
        <f t="shared" si="4"/>
        <v>140</v>
      </c>
      <c r="Z6" s="18" t="str">
        <f t="shared" si="5"/>
        <v>Subestimacion</v>
      </c>
      <c r="AA6" s="2" t="s">
        <v>3256</v>
      </c>
      <c r="AB6" s="2"/>
    </row>
    <row r="7" spans="1:28" ht="16">
      <c r="A7" s="29">
        <v>46167</v>
      </c>
      <c r="B7" s="30" t="s">
        <v>3269</v>
      </c>
      <c r="C7" s="30" t="s">
        <v>3270</v>
      </c>
      <c r="D7" s="30" t="s">
        <v>3271</v>
      </c>
      <c r="E7" s="30" t="s">
        <v>3272</v>
      </c>
      <c r="F7" s="33"/>
      <c r="G7" s="17" t="s">
        <v>3273</v>
      </c>
      <c r="H7" s="17" t="s">
        <v>3274</v>
      </c>
      <c r="I7" s="2"/>
      <c r="J7" s="35" t="str">
        <f>IF(H7&lt;&gt;"",IFERROR(VLOOKUP(IFERROR(LEFT(H7,FIND("-",H7)-1),H7),'Catalogo MINSAL'!A:E,5,FALSE),""),IF(I7&lt;&gt;"",IFERROR(VLOOKUP(IFERROR(LEFT(I7,FIND("-",I7)-1),I7),'Catalogo MINSAL'!A:E,5,FALSE),""),""))</f>
        <v>Cirugía Mayor</v>
      </c>
      <c r="K7" s="2"/>
      <c r="L7" s="18" t="s">
        <v>3252</v>
      </c>
      <c r="M7" s="19" t="s">
        <v>3253</v>
      </c>
      <c r="N7" s="17" t="s">
        <v>3254</v>
      </c>
      <c r="O7" s="17" t="s">
        <v>3255</v>
      </c>
      <c r="P7" s="17" t="s">
        <v>32</v>
      </c>
      <c r="Q7" s="22">
        <v>0.70833333333333337</v>
      </c>
      <c r="R7" s="14" t="str">
        <f t="shared" si="0"/>
        <v>Atraso</v>
      </c>
      <c r="S7" s="14">
        <v>0.72916666666666663</v>
      </c>
      <c r="T7" s="14">
        <v>0.77083333333333337</v>
      </c>
      <c r="U7" s="10" t="str">
        <f t="shared" si="6"/>
        <v/>
      </c>
      <c r="V7" s="10">
        <f t="shared" si="1"/>
        <v>29.999999999999893</v>
      </c>
      <c r="W7" s="15">
        <f t="shared" si="2"/>
        <v>60.000000000000107</v>
      </c>
      <c r="X7" s="38">
        <f t="shared" si="3"/>
        <v>-30.000000000000213</v>
      </c>
      <c r="Y7" s="10">
        <f t="shared" si="4"/>
        <v>90.000000000000313</v>
      </c>
      <c r="Z7" s="18" t="str">
        <f t="shared" si="5"/>
        <v>Subestimacion</v>
      </c>
      <c r="AA7" s="2" t="s">
        <v>3256</v>
      </c>
      <c r="AB7" s="2"/>
    </row>
    <row r="8" spans="1:28" ht="16">
      <c r="A8" s="29">
        <v>46167</v>
      </c>
      <c r="B8" s="30" t="s">
        <v>3275</v>
      </c>
      <c r="C8" s="30" t="s">
        <v>3276</v>
      </c>
      <c r="D8" s="30" t="s">
        <v>3277</v>
      </c>
      <c r="E8" s="30" t="s">
        <v>3278</v>
      </c>
      <c r="F8" s="33"/>
      <c r="G8" s="17" t="s">
        <v>3267</v>
      </c>
      <c r="H8" s="17" t="s">
        <v>3268</v>
      </c>
      <c r="I8" s="2"/>
      <c r="J8" s="35" t="str">
        <f>IF(H8&lt;&gt;"",IFERROR(VLOOKUP(IFERROR(LEFT(H8,FIND("-",H8)-1),H8),'Catalogo MINSAL'!A:E,5,FALSE),""),IF(I8&lt;&gt;"",IFERROR(VLOOKUP(IFERROR(LEFT(I8,FIND("-",I8)-1),I8),'Catalogo MINSAL'!A:E,5,FALSE),""),""))</f>
        <v>Cirugía Menor</v>
      </c>
      <c r="K8" s="2"/>
      <c r="L8" s="18" t="s">
        <v>3252</v>
      </c>
      <c r="M8" s="16"/>
      <c r="N8" s="17" t="s">
        <v>3254</v>
      </c>
      <c r="O8" s="17" t="s">
        <v>3255</v>
      </c>
      <c r="P8" s="17" t="s">
        <v>51</v>
      </c>
      <c r="Q8" s="23"/>
      <c r="R8" s="16" t="str">
        <f t="shared" si="0"/>
        <v/>
      </c>
      <c r="S8" s="16"/>
      <c r="T8" s="16"/>
      <c r="U8" s="10" t="str">
        <f t="shared" si="6"/>
        <v/>
      </c>
      <c r="V8" s="10" t="str">
        <f t="shared" si="1"/>
        <v/>
      </c>
      <c r="W8" s="15" t="str">
        <f t="shared" si="2"/>
        <v/>
      </c>
      <c r="X8" s="38" t="str">
        <f t="shared" si="3"/>
        <v/>
      </c>
      <c r="Y8" s="10" t="str">
        <f t="shared" si="4"/>
        <v/>
      </c>
      <c r="Z8" s="20" t="str">
        <f t="shared" si="5"/>
        <v/>
      </c>
      <c r="AA8" s="2" t="s">
        <v>3279</v>
      </c>
      <c r="AB8" s="2"/>
    </row>
    <row r="9" spans="1:28" ht="16">
      <c r="A9" s="29">
        <v>46167</v>
      </c>
      <c r="B9" s="30" t="s">
        <v>3280</v>
      </c>
      <c r="C9" s="30" t="s">
        <v>3281</v>
      </c>
      <c r="D9" s="30" t="s">
        <v>3282</v>
      </c>
      <c r="E9" s="30" t="s">
        <v>3283</v>
      </c>
      <c r="F9" s="33"/>
      <c r="G9" s="17" t="s">
        <v>3284</v>
      </c>
      <c r="H9" s="17" t="s">
        <v>3285</v>
      </c>
      <c r="I9" s="2"/>
      <c r="J9" s="35" t="str">
        <f>IF(H9&lt;&gt;"",IFERROR(VLOOKUP(IFERROR(LEFT(H9,FIND("-",H9)-1),H9),'Catalogo MINSAL'!A:E,5,FALSE),""),IF(I9&lt;&gt;"",IFERROR(VLOOKUP(IFERROR(LEFT(I9,FIND("-",I9)-1),I9),'Catalogo MINSAL'!A:E,5,FALSE),""),""))</f>
        <v>Cirugía Menor</v>
      </c>
      <c r="K9" s="2"/>
      <c r="L9" s="18" t="s">
        <v>3252</v>
      </c>
      <c r="M9" s="19" t="s">
        <v>3286</v>
      </c>
      <c r="N9" s="17" t="s">
        <v>3287</v>
      </c>
      <c r="O9" s="17" t="s">
        <v>3288</v>
      </c>
      <c r="P9" s="17" t="s">
        <v>36</v>
      </c>
      <c r="Q9" s="22">
        <v>0.34236111111111112</v>
      </c>
      <c r="R9" s="14" t="str">
        <f t="shared" si="0"/>
        <v>Ingreso adecuado</v>
      </c>
      <c r="S9" s="14">
        <v>0.35833333333333334</v>
      </c>
      <c r="T9" s="21">
        <v>0.375</v>
      </c>
      <c r="U9" s="10" t="str">
        <f t="shared" si="6"/>
        <v/>
      </c>
      <c r="V9" s="10">
        <f t="shared" si="1"/>
        <v>23</v>
      </c>
      <c r="W9" s="15">
        <f t="shared" si="2"/>
        <v>23.999999999999993</v>
      </c>
      <c r="X9" s="38">
        <f t="shared" si="3"/>
        <v>-0.99999999999999289</v>
      </c>
      <c r="Y9" s="10">
        <f t="shared" si="4"/>
        <v>24.999999999999986</v>
      </c>
      <c r="Z9" s="18" t="str">
        <f t="shared" si="5"/>
        <v>Subestimacion</v>
      </c>
      <c r="AA9" s="2" t="s">
        <v>3256</v>
      </c>
      <c r="AB9" s="2"/>
    </row>
    <row r="10" spans="1:28" ht="16">
      <c r="A10" s="29">
        <v>46167</v>
      </c>
      <c r="B10" s="30" t="s">
        <v>3289</v>
      </c>
      <c r="C10" s="30" t="s">
        <v>3290</v>
      </c>
      <c r="D10" s="30" t="s">
        <v>3291</v>
      </c>
      <c r="E10" s="30" t="s">
        <v>3292</v>
      </c>
      <c r="F10" s="33"/>
      <c r="G10" s="17" t="s">
        <v>3293</v>
      </c>
      <c r="H10" s="17" t="s">
        <v>3294</v>
      </c>
      <c r="I10" s="2"/>
      <c r="J10" s="35" t="str">
        <f>IF(H10&lt;&gt;"",IFERROR(VLOOKUP(IFERROR(LEFT(H10,FIND("-",H10)-1),H10),'Catalogo MINSAL'!A:E,5,FALSE),""),IF(I10&lt;&gt;"",IFERROR(VLOOKUP(IFERROR(LEFT(I10,FIND("-",I10)-1),I10),'Catalogo MINSAL'!A:E,5,FALSE),""),""))</f>
        <v>Cirugía Mayor</v>
      </c>
      <c r="K10" s="2"/>
      <c r="L10" s="18" t="s">
        <v>3252</v>
      </c>
      <c r="M10" s="19" t="s">
        <v>3286</v>
      </c>
      <c r="N10" s="17" t="s">
        <v>3295</v>
      </c>
      <c r="O10" s="17" t="s">
        <v>3288</v>
      </c>
      <c r="P10" s="17" t="s">
        <v>32</v>
      </c>
      <c r="Q10" s="22">
        <v>0.39930555555555558</v>
      </c>
      <c r="R10" s="14" t="str">
        <f t="shared" si="0"/>
        <v>Atraso</v>
      </c>
      <c r="S10" s="14">
        <v>0.42152777777777778</v>
      </c>
      <c r="T10" s="14">
        <v>0.45833333333333331</v>
      </c>
      <c r="U10" s="10" t="str">
        <f t="shared" si="6"/>
        <v/>
      </c>
      <c r="V10" s="10">
        <f t="shared" si="1"/>
        <v>31.999999999999964</v>
      </c>
      <c r="W10" s="15">
        <f t="shared" si="2"/>
        <v>52.999999999999972</v>
      </c>
      <c r="X10" s="38">
        <f t="shared" si="3"/>
        <v>-21.000000000000007</v>
      </c>
      <c r="Y10" s="10">
        <f t="shared" si="4"/>
        <v>73.999999999999972</v>
      </c>
      <c r="Z10" s="18" t="str">
        <f t="shared" si="5"/>
        <v>Subestimacion</v>
      </c>
      <c r="AA10" s="2" t="s">
        <v>3256</v>
      </c>
      <c r="AB10" s="2"/>
    </row>
    <row r="11" spans="1:28" ht="16">
      <c r="A11" s="29">
        <v>46167</v>
      </c>
      <c r="B11" s="30" t="s">
        <v>3296</v>
      </c>
      <c r="C11" s="30" t="s">
        <v>3297</v>
      </c>
      <c r="D11" s="30" t="s">
        <v>3298</v>
      </c>
      <c r="E11" s="30" t="s">
        <v>3299</v>
      </c>
      <c r="F11" s="33"/>
      <c r="G11" s="17" t="s">
        <v>3273</v>
      </c>
      <c r="H11" s="17" t="s">
        <v>3274</v>
      </c>
      <c r="I11" s="2"/>
      <c r="J11" s="35" t="str">
        <f>IF(H11&lt;&gt;"",IFERROR(VLOOKUP(IFERROR(LEFT(H11,FIND("-",H11)-1),H11),'Catalogo MINSAL'!A:E,5,FALSE),""),IF(I11&lt;&gt;"",IFERROR(VLOOKUP(IFERROR(LEFT(I11,FIND("-",I11)-1),I11),'Catalogo MINSAL'!A:E,5,FALSE),""),""))</f>
        <v>Cirugía Mayor</v>
      </c>
      <c r="K11" s="2"/>
      <c r="L11" s="18" t="s">
        <v>3252</v>
      </c>
      <c r="M11" s="19" t="s">
        <v>3286</v>
      </c>
      <c r="N11" s="17" t="s">
        <v>3287</v>
      </c>
      <c r="O11" s="17" t="s">
        <v>3288</v>
      </c>
      <c r="P11" s="17" t="s">
        <v>32</v>
      </c>
      <c r="Q11" s="22">
        <v>0.4777777777777778</v>
      </c>
      <c r="R11" s="14" t="str">
        <f t="shared" si="0"/>
        <v>Atraso</v>
      </c>
      <c r="S11" s="14">
        <v>0.50763888888888886</v>
      </c>
      <c r="T11" s="14">
        <v>0.55208333333333337</v>
      </c>
      <c r="U11" s="10" t="str">
        <f t="shared" si="6"/>
        <v/>
      </c>
      <c r="V11" s="10">
        <f t="shared" si="1"/>
        <v>42.999999999999929</v>
      </c>
      <c r="W11" s="15">
        <f t="shared" si="2"/>
        <v>64.000000000000085</v>
      </c>
      <c r="X11" s="38">
        <f t="shared" si="3"/>
        <v>-21.000000000000156</v>
      </c>
      <c r="Y11" s="10">
        <f t="shared" si="4"/>
        <v>85.000000000000242</v>
      </c>
      <c r="Z11" s="18" t="str">
        <f t="shared" si="5"/>
        <v>Subestimacion</v>
      </c>
      <c r="AA11" s="2" t="s">
        <v>3256</v>
      </c>
      <c r="AB11" s="2"/>
    </row>
    <row r="12" spans="1:28" ht="16">
      <c r="A12" s="29">
        <v>46167</v>
      </c>
      <c r="B12" s="30" t="s">
        <v>3300</v>
      </c>
      <c r="C12" s="30" t="s">
        <v>3301</v>
      </c>
      <c r="D12" s="30" t="s">
        <v>3302</v>
      </c>
      <c r="E12" s="30" t="s">
        <v>3303</v>
      </c>
      <c r="F12" s="33"/>
      <c r="G12" s="17" t="s">
        <v>3304</v>
      </c>
      <c r="H12" s="17" t="s">
        <v>3305</v>
      </c>
      <c r="I12" s="2"/>
      <c r="J12" s="35" t="str">
        <f>IF(H12&lt;&gt;"",IFERROR(VLOOKUP(IFERROR(LEFT(H12,FIND("-",H12)-1),H12),'Catalogo MINSAL'!A:E,5,FALSE),""),IF(I12&lt;&gt;"",IFERROR(VLOOKUP(IFERROR(LEFT(I12,FIND("-",I12)-1),I12),'Catalogo MINSAL'!A:E,5,FALSE),""),""))</f>
        <v>Cirugía Mayor</v>
      </c>
      <c r="K12" s="2"/>
      <c r="L12" s="18" t="s">
        <v>3252</v>
      </c>
      <c r="M12" s="19" t="s">
        <v>3286</v>
      </c>
      <c r="N12" s="17" t="s">
        <v>3306</v>
      </c>
      <c r="O12" s="17" t="s">
        <v>3288</v>
      </c>
      <c r="P12" s="17" t="s">
        <v>32</v>
      </c>
      <c r="Q12" s="22">
        <v>0.57986111111111116</v>
      </c>
      <c r="R12" s="14" t="str">
        <f t="shared" si="0"/>
        <v>Atraso</v>
      </c>
      <c r="S12" s="14">
        <v>0.59722222222222221</v>
      </c>
      <c r="T12" s="14">
        <v>0.61805555555555558</v>
      </c>
      <c r="U12" s="10" t="str">
        <f t="shared" si="6"/>
        <v/>
      </c>
      <c r="V12" s="10">
        <f t="shared" si="1"/>
        <v>24.999999999999911</v>
      </c>
      <c r="W12" s="15">
        <f t="shared" si="2"/>
        <v>30.000000000000053</v>
      </c>
      <c r="X12" s="38">
        <f t="shared" si="3"/>
        <v>-5.0000000000001421</v>
      </c>
      <c r="Y12" s="10">
        <f t="shared" si="4"/>
        <v>35.000000000000199</v>
      </c>
      <c r="Z12" s="18" t="str">
        <f t="shared" si="5"/>
        <v>Subestimacion</v>
      </c>
      <c r="AA12" s="2" t="s">
        <v>3256</v>
      </c>
      <c r="AB12" s="2"/>
    </row>
    <row r="13" spans="1:28" ht="16">
      <c r="A13" s="29">
        <v>46167</v>
      </c>
      <c r="B13" s="30" t="s">
        <v>3307</v>
      </c>
      <c r="C13" s="30" t="s">
        <v>3308</v>
      </c>
      <c r="D13" s="30" t="s">
        <v>3309</v>
      </c>
      <c r="E13" s="30" t="s">
        <v>3310</v>
      </c>
      <c r="F13" s="33"/>
      <c r="G13" s="17" t="s">
        <v>3311</v>
      </c>
      <c r="H13" s="17" t="s">
        <v>3312</v>
      </c>
      <c r="I13" s="2"/>
      <c r="J13" s="35" t="str">
        <f>IF(H13&lt;&gt;"",IFERROR(VLOOKUP(IFERROR(LEFT(H13,FIND("-",H13)-1),H13),'Catalogo MINSAL'!A:E,5,FALSE),""),IF(I13&lt;&gt;"",IFERROR(VLOOKUP(IFERROR(LEFT(I13,FIND("-",I13)-1),I13),'Catalogo MINSAL'!A:E,5,FALSE),""),""))</f>
        <v>Cirugía Mayor</v>
      </c>
      <c r="K13" s="2"/>
      <c r="L13" s="18" t="s">
        <v>3252</v>
      </c>
      <c r="M13" s="19" t="s">
        <v>3286</v>
      </c>
      <c r="N13" s="17" t="s">
        <v>3306</v>
      </c>
      <c r="O13" s="17" t="s">
        <v>3288</v>
      </c>
      <c r="P13" s="17" t="s">
        <v>32</v>
      </c>
      <c r="Q13" s="22">
        <v>0.64930555555555558</v>
      </c>
      <c r="R13" s="14" t="str">
        <f t="shared" si="0"/>
        <v>Atraso</v>
      </c>
      <c r="S13" s="14">
        <v>0.6743055555555556</v>
      </c>
      <c r="T13" s="14">
        <v>0.70486111111111116</v>
      </c>
      <c r="U13" s="10" t="str">
        <f t="shared" si="6"/>
        <v/>
      </c>
      <c r="V13" s="10">
        <f t="shared" si="1"/>
        <v>36.000000000000028</v>
      </c>
      <c r="W13" s="15">
        <f t="shared" si="2"/>
        <v>44</v>
      </c>
      <c r="X13" s="38">
        <f t="shared" si="3"/>
        <v>-7.9999999999999716</v>
      </c>
      <c r="Y13" s="10">
        <f t="shared" si="4"/>
        <v>51.999999999999972</v>
      </c>
      <c r="Z13" s="18" t="str">
        <f t="shared" si="5"/>
        <v>Subestimacion</v>
      </c>
      <c r="AA13" s="2" t="s">
        <v>3256</v>
      </c>
      <c r="AB13" s="2"/>
    </row>
    <row r="14" spans="1:28" ht="16">
      <c r="A14" s="29">
        <v>46167</v>
      </c>
      <c r="B14" s="30" t="s">
        <v>3313</v>
      </c>
      <c r="C14" s="30" t="s">
        <v>3314</v>
      </c>
      <c r="D14" s="30" t="s">
        <v>3315</v>
      </c>
      <c r="E14" s="30" t="s">
        <v>3316</v>
      </c>
      <c r="F14" s="33"/>
      <c r="G14" s="17" t="s">
        <v>3293</v>
      </c>
      <c r="H14" s="17" t="s">
        <v>3294</v>
      </c>
      <c r="I14" s="2"/>
      <c r="J14" s="35" t="str">
        <f>IF(H14&lt;&gt;"",IFERROR(VLOOKUP(IFERROR(LEFT(H14,FIND("-",H14)-1),H14),'Catalogo MINSAL'!A:E,5,FALSE),""),IF(I14&lt;&gt;"",IFERROR(VLOOKUP(IFERROR(LEFT(I14,FIND("-",I14)-1),I14),'Catalogo MINSAL'!A:E,5,FALSE),""),""))</f>
        <v>Cirugía Mayor</v>
      </c>
      <c r="K14" s="2"/>
      <c r="L14" s="18" t="s">
        <v>3252</v>
      </c>
      <c r="M14" s="19" t="s">
        <v>3286</v>
      </c>
      <c r="N14" s="17" t="s">
        <v>3306</v>
      </c>
      <c r="O14" s="17" t="s">
        <v>3288</v>
      </c>
      <c r="P14" s="17" t="s">
        <v>32</v>
      </c>
      <c r="Q14" s="22">
        <v>0.71944444444444444</v>
      </c>
      <c r="R14" s="14" t="str">
        <f t="shared" si="0"/>
        <v>Atraso</v>
      </c>
      <c r="S14" s="14">
        <v>0.74583333333333335</v>
      </c>
      <c r="T14" s="14">
        <v>0.77777777777777779</v>
      </c>
      <c r="U14" s="10" t="str">
        <f t="shared" si="6"/>
        <v/>
      </c>
      <c r="V14" s="10">
        <f t="shared" si="1"/>
        <v>38.000000000000028</v>
      </c>
      <c r="W14" s="15">
        <f t="shared" si="2"/>
        <v>46</v>
      </c>
      <c r="X14" s="38">
        <f t="shared" si="3"/>
        <v>-7.9999999999999716</v>
      </c>
      <c r="Y14" s="10">
        <f t="shared" si="4"/>
        <v>53.999999999999972</v>
      </c>
      <c r="Z14" s="18" t="str">
        <f t="shared" si="5"/>
        <v>Subestimacion</v>
      </c>
      <c r="AA14" s="2" t="s">
        <v>3256</v>
      </c>
      <c r="AB14" s="2"/>
    </row>
    <row r="15" spans="1:28" ht="16">
      <c r="A15" s="29">
        <v>46167</v>
      </c>
      <c r="B15" s="30" t="s">
        <v>3317</v>
      </c>
      <c r="C15" s="30" t="s">
        <v>3318</v>
      </c>
      <c r="D15" s="30" t="s">
        <v>3319</v>
      </c>
      <c r="E15" s="30" t="s">
        <v>3320</v>
      </c>
      <c r="F15" s="33"/>
      <c r="G15" s="17" t="s">
        <v>3321</v>
      </c>
      <c r="H15" s="17" t="s">
        <v>3322</v>
      </c>
      <c r="I15" s="2"/>
      <c r="J15" s="35" t="str">
        <f>IF(H15&lt;&gt;"",IFERROR(VLOOKUP(IFERROR(LEFT(H15,FIND("-",H15)-1),H15),'Catalogo MINSAL'!A:E,5,FALSE),""),IF(I15&lt;&gt;"",IFERROR(VLOOKUP(IFERROR(LEFT(I15,FIND("-",I15)-1),I15),'Catalogo MINSAL'!A:E,5,FALSE),""),""))</f>
        <v>Cirugía Mayor</v>
      </c>
      <c r="K15" s="2"/>
      <c r="L15" s="18" t="s">
        <v>3252</v>
      </c>
      <c r="M15" s="19" t="s">
        <v>3286</v>
      </c>
      <c r="N15" s="17" t="s">
        <v>3306</v>
      </c>
      <c r="O15" s="17" t="s">
        <v>3288</v>
      </c>
      <c r="P15" s="17" t="s">
        <v>46</v>
      </c>
      <c r="Q15" s="23"/>
      <c r="R15" s="16" t="str">
        <f t="shared" si="0"/>
        <v/>
      </c>
      <c r="S15" s="16"/>
      <c r="T15" s="16"/>
      <c r="U15" s="10" t="str">
        <f t="shared" si="6"/>
        <v/>
      </c>
      <c r="V15" s="10" t="str">
        <f t="shared" si="1"/>
        <v/>
      </c>
      <c r="W15" s="15" t="str">
        <f t="shared" si="2"/>
        <v/>
      </c>
      <c r="X15" s="38" t="str">
        <f t="shared" si="3"/>
        <v/>
      </c>
      <c r="Y15" s="10" t="str">
        <f t="shared" si="4"/>
        <v/>
      </c>
      <c r="Z15" s="20" t="str">
        <f t="shared" si="5"/>
        <v/>
      </c>
      <c r="AA15" s="2" t="s">
        <v>3279</v>
      </c>
      <c r="AB15" s="2"/>
    </row>
    <row r="16" spans="1:28" ht="16">
      <c r="A16" s="44">
        <v>46167</v>
      </c>
      <c r="B16" s="45" t="s">
        <v>3246</v>
      </c>
      <c r="C16" s="45" t="s">
        <v>3247</v>
      </c>
      <c r="D16" s="45" t="s">
        <v>3248</v>
      </c>
      <c r="E16" s="45" t="s">
        <v>3249</v>
      </c>
      <c r="F16" s="33"/>
      <c r="G16" s="45" t="s">
        <v>3250</v>
      </c>
      <c r="H16" s="45" t="s">
        <v>3251</v>
      </c>
      <c r="I16" s="2"/>
      <c r="J16" s="35" t="str">
        <f>IF(H16&lt;&gt;"",IFERROR(VLOOKUP(IFERROR(LEFT(H16,FIND("-",H16)-1),H16),'Catalogo MINSAL'!A:E,5,FALSE),""),IF(I16&lt;&gt;"",IFERROR(VLOOKUP(IFERROR(LEFT(I16,FIND("-",I16)-1),I16),'Catalogo MINSAL'!A:E,5,FALSE),""),""))</f>
        <v>Cirugía Mayor</v>
      </c>
      <c r="K16" s="2"/>
      <c r="L16" s="45" t="s">
        <v>3252</v>
      </c>
      <c r="M16" s="45" t="s">
        <v>3253</v>
      </c>
      <c r="N16" s="45" t="s">
        <v>3254</v>
      </c>
      <c r="O16" s="45" t="s">
        <v>3255</v>
      </c>
      <c r="P16" s="45" t="s">
        <v>32</v>
      </c>
      <c r="Q16" s="51">
        <v>0.3611111111111111</v>
      </c>
      <c r="R16" s="2" t="str">
        <f t="shared" si="0"/>
        <v>Atraso</v>
      </c>
      <c r="S16" s="51">
        <v>0.38194444444444442</v>
      </c>
      <c r="T16" s="51">
        <v>0.41666666666666669</v>
      </c>
      <c r="U16" s="51">
        <v>0.4236111111111111</v>
      </c>
      <c r="V16" s="10">
        <f t="shared" si="1"/>
        <v>29.999999999999972</v>
      </c>
      <c r="W16" s="15">
        <f t="shared" si="2"/>
        <v>50.000000000000064</v>
      </c>
      <c r="X16" s="38">
        <f t="shared" si="3"/>
        <v>-20.000000000000092</v>
      </c>
      <c r="Y16" s="10">
        <f t="shared" si="4"/>
        <v>70.000000000000156</v>
      </c>
      <c r="Z16" s="2" t="str">
        <f t="shared" si="5"/>
        <v>Subestimacion</v>
      </c>
      <c r="AA16" s="45" t="s">
        <v>3256</v>
      </c>
      <c r="AB16" s="2"/>
    </row>
    <row r="17" spans="1:28" ht="16">
      <c r="A17" s="44">
        <v>46167</v>
      </c>
      <c r="B17" s="45" t="s">
        <v>3257</v>
      </c>
      <c r="C17" s="45" t="s">
        <v>3258</v>
      </c>
      <c r="D17" s="45" t="s">
        <v>3259</v>
      </c>
      <c r="E17" s="45" t="s">
        <v>3260</v>
      </c>
      <c r="F17" s="33"/>
      <c r="G17" s="45" t="s">
        <v>3261</v>
      </c>
      <c r="H17" s="45" t="s">
        <v>3262</v>
      </c>
      <c r="I17" s="2"/>
      <c r="J17" s="35" t="str">
        <f>IF(H17&lt;&gt;"",IFERROR(VLOOKUP(IFERROR(LEFT(H17,FIND("-",H17)-1),H17),'Catalogo MINSAL'!A:E,5,FALSE),""),IF(I17&lt;&gt;"",IFERROR(VLOOKUP(IFERROR(LEFT(I17,FIND("-",I17)-1),I17),'Catalogo MINSAL'!A:E,5,FALSE),""),""))</f>
        <v>Cirugía Mayor</v>
      </c>
      <c r="K17" s="2"/>
      <c r="L17" s="45" t="s">
        <v>3252</v>
      </c>
      <c r="M17" s="45" t="s">
        <v>3253</v>
      </c>
      <c r="N17" s="45" t="s">
        <v>3254</v>
      </c>
      <c r="O17" s="45" t="s">
        <v>3255</v>
      </c>
      <c r="P17" s="45" t="s">
        <v>32</v>
      </c>
      <c r="Q17" s="51">
        <v>0.4375</v>
      </c>
      <c r="R17" s="2" t="str">
        <f t="shared" si="0"/>
        <v>Atraso</v>
      </c>
      <c r="S17" s="51">
        <v>0.46666666666666667</v>
      </c>
      <c r="T17" s="51">
        <v>0.53472222222222221</v>
      </c>
      <c r="U17" s="51">
        <v>0.54861111111111116</v>
      </c>
      <c r="V17" s="10">
        <f t="shared" si="1"/>
        <v>42.000000000000014</v>
      </c>
      <c r="W17" s="15">
        <f t="shared" si="2"/>
        <v>97.999999999999972</v>
      </c>
      <c r="X17" s="38">
        <f t="shared" si="3"/>
        <v>-55.999999999999957</v>
      </c>
      <c r="Y17" s="10">
        <f t="shared" si="4"/>
        <v>153.99999999999994</v>
      </c>
      <c r="Z17" s="2" t="str">
        <f t="shared" si="5"/>
        <v>Subestimacion</v>
      </c>
      <c r="AA17" s="45" t="s">
        <v>3256</v>
      </c>
      <c r="AB17" s="2"/>
    </row>
    <row r="18" spans="1:28" ht="16">
      <c r="A18" s="44">
        <v>46167</v>
      </c>
      <c r="B18" s="45" t="s">
        <v>3263</v>
      </c>
      <c r="C18" s="45" t="s">
        <v>3264</v>
      </c>
      <c r="D18" s="45" t="s">
        <v>3265</v>
      </c>
      <c r="E18" s="45" t="s">
        <v>3266</v>
      </c>
      <c r="F18" s="33"/>
      <c r="G18" s="45" t="s">
        <v>3267</v>
      </c>
      <c r="H18" s="45" t="s">
        <v>3268</v>
      </c>
      <c r="I18" s="2"/>
      <c r="J18" s="35" t="str">
        <f>IF(H18&lt;&gt;"",IFERROR(VLOOKUP(IFERROR(LEFT(H18,FIND("-",H18)-1),H18),'Catalogo MINSAL'!A:E,5,FALSE),""),IF(I18&lt;&gt;"",IFERROR(VLOOKUP(IFERROR(LEFT(I18,FIND("-",I18)-1),I18),'Catalogo MINSAL'!A:E,5,FALSE),""),""))</f>
        <v>Cirugía Menor</v>
      </c>
      <c r="K18" s="2"/>
      <c r="L18" s="45" t="s">
        <v>3252</v>
      </c>
      <c r="M18" s="45" t="s">
        <v>3253</v>
      </c>
      <c r="N18" s="45" t="s">
        <v>3254</v>
      </c>
      <c r="O18" s="45" t="s">
        <v>3255</v>
      </c>
      <c r="P18" s="45" t="s">
        <v>32</v>
      </c>
      <c r="Q18" s="51">
        <v>0.57638888888888884</v>
      </c>
      <c r="R18" s="2" t="str">
        <f t="shared" si="0"/>
        <v>Atraso</v>
      </c>
      <c r="S18" s="51">
        <v>0.60416666666666663</v>
      </c>
      <c r="T18" s="51">
        <v>0.66666666666666663</v>
      </c>
      <c r="U18" s="51">
        <v>0.67013888888888884</v>
      </c>
      <c r="V18" s="10">
        <f t="shared" si="1"/>
        <v>40.000000000000014</v>
      </c>
      <c r="W18" s="15">
        <f t="shared" si="2"/>
        <v>90</v>
      </c>
      <c r="X18" s="38">
        <f t="shared" si="3"/>
        <v>-49.999999999999986</v>
      </c>
      <c r="Y18" s="10">
        <f t="shared" si="4"/>
        <v>140</v>
      </c>
      <c r="Z18" s="2" t="str">
        <f t="shared" si="5"/>
        <v>Subestimacion</v>
      </c>
      <c r="AA18" s="45" t="s">
        <v>3256</v>
      </c>
      <c r="AB18" s="2"/>
    </row>
    <row r="19" spans="1:28" ht="16">
      <c r="A19" s="44">
        <v>46167</v>
      </c>
      <c r="B19" s="45" t="s">
        <v>3269</v>
      </c>
      <c r="C19" s="45" t="s">
        <v>3270</v>
      </c>
      <c r="D19" s="45" t="s">
        <v>3271</v>
      </c>
      <c r="E19" s="45" t="s">
        <v>3272</v>
      </c>
      <c r="F19" s="33"/>
      <c r="G19" s="45" t="s">
        <v>3273</v>
      </c>
      <c r="H19" s="45" t="s">
        <v>3274</v>
      </c>
      <c r="I19" s="2"/>
      <c r="J19" s="35" t="str">
        <f>IF(H19&lt;&gt;"",IFERROR(VLOOKUP(IFERROR(LEFT(H19,FIND("-",H19)-1),H19),'Catalogo MINSAL'!A:E,5,FALSE),""),IF(I19&lt;&gt;"",IFERROR(VLOOKUP(IFERROR(LEFT(I19,FIND("-",I19)-1),I19),'Catalogo MINSAL'!A:E,5,FALSE),""),""))</f>
        <v>Cirugía Mayor</v>
      </c>
      <c r="K19" s="2"/>
      <c r="L19" s="45" t="s">
        <v>3252</v>
      </c>
      <c r="M19" s="45" t="s">
        <v>3253</v>
      </c>
      <c r="N19" s="45" t="s">
        <v>3254</v>
      </c>
      <c r="O19" s="45" t="s">
        <v>3255</v>
      </c>
      <c r="P19" s="45" t="s">
        <v>32</v>
      </c>
      <c r="Q19" s="51">
        <v>0.70833333333333337</v>
      </c>
      <c r="R19" s="2" t="str">
        <f t="shared" si="0"/>
        <v>Atraso</v>
      </c>
      <c r="S19" s="51">
        <v>0.72916666666666663</v>
      </c>
      <c r="T19" s="51">
        <v>0.77083333333333337</v>
      </c>
      <c r="U19" s="51">
        <v>0.77777777777777779</v>
      </c>
      <c r="V19" s="10">
        <f t="shared" si="1"/>
        <v>29.999999999999893</v>
      </c>
      <c r="W19" s="15">
        <f t="shared" si="2"/>
        <v>60.000000000000107</v>
      </c>
      <c r="X19" s="38">
        <f t="shared" si="3"/>
        <v>-30.000000000000213</v>
      </c>
      <c r="Y19" s="10">
        <f t="shared" si="4"/>
        <v>90.000000000000313</v>
      </c>
      <c r="Z19" s="2" t="str">
        <f t="shared" si="5"/>
        <v>Subestimacion</v>
      </c>
      <c r="AA19" s="45" t="s">
        <v>3256</v>
      </c>
      <c r="AB19" s="2"/>
    </row>
    <row r="20" spans="1:28" ht="16">
      <c r="A20" s="44">
        <v>46167</v>
      </c>
      <c r="B20" s="45" t="s">
        <v>3275</v>
      </c>
      <c r="C20" s="45" t="s">
        <v>3276</v>
      </c>
      <c r="D20" s="45" t="s">
        <v>3277</v>
      </c>
      <c r="E20" s="45" t="s">
        <v>3278</v>
      </c>
      <c r="F20" s="33"/>
      <c r="G20" s="45" t="s">
        <v>3267</v>
      </c>
      <c r="H20" s="45" t="s">
        <v>3268</v>
      </c>
      <c r="I20" s="2"/>
      <c r="J20" s="35" t="str">
        <f>IF(H20&lt;&gt;"",IFERROR(VLOOKUP(IFERROR(LEFT(H20,FIND("-",H20)-1),H20),'Catalogo MINSAL'!A:E,5,FALSE),""),IF(I20&lt;&gt;"",IFERROR(VLOOKUP(IFERROR(LEFT(I20,FIND("-",I20)-1),I20),'Catalogo MINSAL'!A:E,5,FALSE),""),""))</f>
        <v>Cirugía Menor</v>
      </c>
      <c r="K20" s="2"/>
      <c r="L20" s="45" t="s">
        <v>3252</v>
      </c>
      <c r="M20" s="46"/>
      <c r="N20" s="45" t="s">
        <v>3254</v>
      </c>
      <c r="O20" s="45" t="s">
        <v>3255</v>
      </c>
      <c r="P20" s="45" t="s">
        <v>51</v>
      </c>
      <c r="Q20" s="46"/>
      <c r="R20" s="2" t="str">
        <f t="shared" si="0"/>
        <v/>
      </c>
      <c r="S20" s="46"/>
      <c r="T20" s="46"/>
      <c r="U20" s="46"/>
      <c r="V20" s="10" t="str">
        <f t="shared" si="1"/>
        <v/>
      </c>
      <c r="W20" s="15" t="str">
        <f t="shared" si="2"/>
        <v/>
      </c>
      <c r="X20" s="38" t="str">
        <f t="shared" si="3"/>
        <v/>
      </c>
      <c r="Y20" s="10" t="str">
        <f t="shared" si="4"/>
        <v/>
      </c>
      <c r="Z20" s="2" t="str">
        <f t="shared" si="5"/>
        <v/>
      </c>
      <c r="AA20" s="52" t="s">
        <v>3279</v>
      </c>
      <c r="AB20" s="2"/>
    </row>
    <row r="21" spans="1:28" ht="16">
      <c r="A21" s="44">
        <v>46167</v>
      </c>
      <c r="B21" s="45" t="s">
        <v>3280</v>
      </c>
      <c r="C21" s="45" t="s">
        <v>3281</v>
      </c>
      <c r="D21" s="45" t="s">
        <v>3282</v>
      </c>
      <c r="E21" s="45" t="s">
        <v>3283</v>
      </c>
      <c r="F21" s="33"/>
      <c r="G21" s="45" t="s">
        <v>3284</v>
      </c>
      <c r="H21" s="45" t="s">
        <v>3285</v>
      </c>
      <c r="I21" s="2"/>
      <c r="J21" s="35" t="str">
        <f>IF(H21&lt;&gt;"",IFERROR(VLOOKUP(IFERROR(LEFT(H21,FIND("-",H21)-1),H21),'Catalogo MINSAL'!A:E,5,FALSE),""),IF(I21&lt;&gt;"",IFERROR(VLOOKUP(IFERROR(LEFT(I21,FIND("-",I21)-1),I21),'Catalogo MINSAL'!A:E,5,FALSE),""),""))</f>
        <v>Cirugía Menor</v>
      </c>
      <c r="K21" s="2"/>
      <c r="L21" s="45" t="s">
        <v>3252</v>
      </c>
      <c r="M21" s="45" t="s">
        <v>3286</v>
      </c>
      <c r="N21" s="45" t="s">
        <v>3287</v>
      </c>
      <c r="O21" s="45" t="s">
        <v>3288</v>
      </c>
      <c r="P21" s="45" t="s">
        <v>36</v>
      </c>
      <c r="Q21" s="51">
        <v>0.34236111111111112</v>
      </c>
      <c r="R21" s="2" t="str">
        <f t="shared" si="0"/>
        <v>Ingreso adecuado</v>
      </c>
      <c r="S21" s="51">
        <v>0.35833333333333334</v>
      </c>
      <c r="T21" s="51">
        <v>0.375</v>
      </c>
      <c r="U21" s="51">
        <v>0.38333333333333336</v>
      </c>
      <c r="V21" s="10">
        <f t="shared" si="1"/>
        <v>23</v>
      </c>
      <c r="W21" s="15">
        <f t="shared" si="2"/>
        <v>23.999999999999993</v>
      </c>
      <c r="X21" s="38">
        <f t="shared" si="3"/>
        <v>-0.99999999999999289</v>
      </c>
      <c r="Y21" s="10">
        <f t="shared" si="4"/>
        <v>24.999999999999986</v>
      </c>
      <c r="Z21" s="2" t="str">
        <f t="shared" si="5"/>
        <v>Subestimacion</v>
      </c>
      <c r="AA21" s="45" t="s">
        <v>3256</v>
      </c>
      <c r="AB21" s="2"/>
    </row>
    <row r="22" spans="1:28" ht="16">
      <c r="A22" s="44">
        <v>46167</v>
      </c>
      <c r="B22" s="45" t="s">
        <v>3289</v>
      </c>
      <c r="C22" s="45" t="s">
        <v>3290</v>
      </c>
      <c r="D22" s="45" t="s">
        <v>3291</v>
      </c>
      <c r="E22" s="45" t="s">
        <v>3292</v>
      </c>
      <c r="F22" s="33"/>
      <c r="G22" s="45" t="s">
        <v>3293</v>
      </c>
      <c r="H22" s="45" t="s">
        <v>3294</v>
      </c>
      <c r="I22" s="2"/>
      <c r="J22" s="35" t="str">
        <f>IF(H22&lt;&gt;"",IFERROR(VLOOKUP(IFERROR(LEFT(H22,FIND("-",H22)-1),H22),'Catalogo MINSAL'!A:E,5,FALSE),""),IF(I22&lt;&gt;"",IFERROR(VLOOKUP(IFERROR(LEFT(I22,FIND("-",I22)-1),I22),'Catalogo MINSAL'!A:E,5,FALSE),""),""))</f>
        <v>Cirugía Mayor</v>
      </c>
      <c r="K22" s="2"/>
      <c r="L22" s="45" t="s">
        <v>3252</v>
      </c>
      <c r="M22" s="45" t="s">
        <v>3286</v>
      </c>
      <c r="N22" s="45" t="s">
        <v>3295</v>
      </c>
      <c r="O22" s="45" t="s">
        <v>3288</v>
      </c>
      <c r="P22" s="45" t="s">
        <v>32</v>
      </c>
      <c r="Q22" s="51">
        <v>0.39930555555555558</v>
      </c>
      <c r="R22" s="2" t="str">
        <f t="shared" si="0"/>
        <v>Atraso</v>
      </c>
      <c r="S22" s="51">
        <v>0.42152777777777778</v>
      </c>
      <c r="T22" s="51">
        <v>0.45833333333333331</v>
      </c>
      <c r="U22" s="51">
        <v>0.46666666666666667</v>
      </c>
      <c r="V22" s="10">
        <f t="shared" si="1"/>
        <v>31.999999999999964</v>
      </c>
      <c r="W22" s="15">
        <f t="shared" si="2"/>
        <v>52.999999999999972</v>
      </c>
      <c r="X22" s="38">
        <f t="shared" si="3"/>
        <v>-21.000000000000007</v>
      </c>
      <c r="Y22" s="10">
        <f t="shared" si="4"/>
        <v>73.999999999999972</v>
      </c>
      <c r="Z22" s="2" t="str">
        <f t="shared" si="5"/>
        <v>Subestimacion</v>
      </c>
      <c r="AA22" s="45" t="s">
        <v>3256</v>
      </c>
      <c r="AB22" s="2"/>
    </row>
    <row r="23" spans="1:28" ht="16">
      <c r="A23" s="44">
        <v>46167</v>
      </c>
      <c r="B23" s="45" t="s">
        <v>3296</v>
      </c>
      <c r="C23" s="45" t="s">
        <v>3297</v>
      </c>
      <c r="D23" s="45" t="s">
        <v>3298</v>
      </c>
      <c r="E23" s="45" t="s">
        <v>3299</v>
      </c>
      <c r="F23" s="33"/>
      <c r="G23" s="45" t="s">
        <v>3273</v>
      </c>
      <c r="H23" s="45" t="s">
        <v>3274</v>
      </c>
      <c r="I23" s="2"/>
      <c r="J23" s="35" t="str">
        <f>IF(H23&lt;&gt;"",IFERROR(VLOOKUP(IFERROR(LEFT(H23,FIND("-",H23)-1),H23),'Catalogo MINSAL'!A:E,5,FALSE),""),IF(I23&lt;&gt;"",IFERROR(VLOOKUP(IFERROR(LEFT(I23,FIND("-",I23)-1),I23),'Catalogo MINSAL'!A:E,5,FALSE),""),""))</f>
        <v>Cirugía Mayor</v>
      </c>
      <c r="K23" s="2"/>
      <c r="L23" s="45" t="s">
        <v>3252</v>
      </c>
      <c r="M23" s="45" t="s">
        <v>3286</v>
      </c>
      <c r="N23" s="45" t="s">
        <v>3287</v>
      </c>
      <c r="O23" s="45" t="s">
        <v>3288</v>
      </c>
      <c r="P23" s="45" t="s">
        <v>32</v>
      </c>
      <c r="Q23" s="51">
        <v>0.4777777777777778</v>
      </c>
      <c r="R23" s="2" t="str">
        <f t="shared" si="0"/>
        <v>Atraso</v>
      </c>
      <c r="S23" s="51">
        <v>0.50763888888888886</v>
      </c>
      <c r="T23" s="51">
        <v>0.55208333333333337</v>
      </c>
      <c r="U23" s="51">
        <v>0.56597222222222221</v>
      </c>
      <c r="V23" s="10">
        <f t="shared" si="1"/>
        <v>42.999999999999929</v>
      </c>
      <c r="W23" s="15">
        <f t="shared" si="2"/>
        <v>64.000000000000085</v>
      </c>
      <c r="X23" s="38">
        <f t="shared" si="3"/>
        <v>-21.000000000000156</v>
      </c>
      <c r="Y23" s="10">
        <f t="shared" si="4"/>
        <v>85.000000000000242</v>
      </c>
      <c r="Z23" s="2" t="str">
        <f t="shared" si="5"/>
        <v>Subestimacion</v>
      </c>
      <c r="AA23" s="45" t="s">
        <v>3256</v>
      </c>
      <c r="AB23" s="2"/>
    </row>
    <row r="24" spans="1:28" ht="16">
      <c r="A24" s="44">
        <v>46167</v>
      </c>
      <c r="B24" s="45" t="s">
        <v>3300</v>
      </c>
      <c r="C24" s="45" t="s">
        <v>3301</v>
      </c>
      <c r="D24" s="45" t="s">
        <v>3302</v>
      </c>
      <c r="E24" s="45" t="s">
        <v>3303</v>
      </c>
      <c r="F24" s="33"/>
      <c r="G24" s="45" t="s">
        <v>3304</v>
      </c>
      <c r="H24" s="45" t="s">
        <v>3305</v>
      </c>
      <c r="I24" s="2"/>
      <c r="J24" s="35" t="str">
        <f>IF(H24&lt;&gt;"",IFERROR(VLOOKUP(IFERROR(LEFT(H24,FIND("-",H24)-1),H24),'Catalogo MINSAL'!A:E,5,FALSE),""),IF(I24&lt;&gt;"",IFERROR(VLOOKUP(IFERROR(LEFT(I24,FIND("-",I24)-1),I24),'Catalogo MINSAL'!A:E,5,FALSE),""),""))</f>
        <v>Cirugía Mayor</v>
      </c>
      <c r="K24" s="2"/>
      <c r="L24" s="45" t="s">
        <v>3252</v>
      </c>
      <c r="M24" s="45" t="s">
        <v>3286</v>
      </c>
      <c r="N24" s="45" t="s">
        <v>3306</v>
      </c>
      <c r="O24" s="45" t="s">
        <v>3288</v>
      </c>
      <c r="P24" s="45" t="s">
        <v>32</v>
      </c>
      <c r="Q24" s="51">
        <v>0.57986111111111116</v>
      </c>
      <c r="R24" s="2" t="str">
        <f t="shared" si="0"/>
        <v>Atraso</v>
      </c>
      <c r="S24" s="51">
        <v>0.59722222222222221</v>
      </c>
      <c r="T24" s="51">
        <v>0.61805555555555558</v>
      </c>
      <c r="U24" s="51">
        <v>0.63194444444444442</v>
      </c>
      <c r="V24" s="10">
        <f t="shared" si="1"/>
        <v>24.999999999999911</v>
      </c>
      <c r="W24" s="15">
        <f t="shared" si="2"/>
        <v>30.000000000000053</v>
      </c>
      <c r="X24" s="38">
        <f t="shared" si="3"/>
        <v>-5.0000000000001421</v>
      </c>
      <c r="Y24" s="10">
        <f t="shared" si="4"/>
        <v>35.000000000000199</v>
      </c>
      <c r="Z24" s="2" t="str">
        <f t="shared" si="5"/>
        <v>Subestimacion</v>
      </c>
      <c r="AA24" s="45" t="s">
        <v>3256</v>
      </c>
      <c r="AB24" s="2"/>
    </row>
    <row r="25" spans="1:28" ht="16">
      <c r="A25" s="44">
        <v>46167</v>
      </c>
      <c r="B25" s="45" t="s">
        <v>3307</v>
      </c>
      <c r="C25" s="45" t="s">
        <v>3308</v>
      </c>
      <c r="D25" s="45" t="s">
        <v>3309</v>
      </c>
      <c r="E25" s="45" t="s">
        <v>3310</v>
      </c>
      <c r="F25" s="33"/>
      <c r="G25" s="45" t="s">
        <v>3311</v>
      </c>
      <c r="H25" s="45" t="s">
        <v>3312</v>
      </c>
      <c r="I25" s="2"/>
      <c r="J25" s="35" t="str">
        <f>IF(H25&lt;&gt;"",IFERROR(VLOOKUP(IFERROR(LEFT(H25,FIND("-",H25)-1),H25),'Catalogo MINSAL'!A:E,5,FALSE),""),IF(I25&lt;&gt;"",IFERROR(VLOOKUP(IFERROR(LEFT(I25,FIND("-",I25)-1),I25),'Catalogo MINSAL'!A:E,5,FALSE),""),""))</f>
        <v>Cirugía Mayor</v>
      </c>
      <c r="K25" s="2"/>
      <c r="L25" s="45" t="s">
        <v>3252</v>
      </c>
      <c r="M25" s="45" t="s">
        <v>3286</v>
      </c>
      <c r="N25" s="45" t="s">
        <v>3306</v>
      </c>
      <c r="O25" s="45" t="s">
        <v>3288</v>
      </c>
      <c r="P25" s="45" t="s">
        <v>32</v>
      </c>
      <c r="Q25" s="51">
        <v>0.64930555555555558</v>
      </c>
      <c r="R25" s="2" t="str">
        <f t="shared" si="0"/>
        <v>Atraso</v>
      </c>
      <c r="S25" s="51">
        <v>0.6743055555555556</v>
      </c>
      <c r="T25" s="51">
        <v>0.70486111111111116</v>
      </c>
      <c r="U25" s="51">
        <v>0.71319444444444446</v>
      </c>
      <c r="V25" s="10">
        <f t="shared" si="1"/>
        <v>36.000000000000028</v>
      </c>
      <c r="W25" s="15">
        <f t="shared" si="2"/>
        <v>44</v>
      </c>
      <c r="X25" s="38">
        <f t="shared" si="3"/>
        <v>-7.9999999999999716</v>
      </c>
      <c r="Y25" s="10">
        <f t="shared" si="4"/>
        <v>51.999999999999972</v>
      </c>
      <c r="Z25" s="2" t="str">
        <f t="shared" si="5"/>
        <v>Subestimacion</v>
      </c>
      <c r="AA25" s="45" t="s">
        <v>3256</v>
      </c>
      <c r="AB25" s="2"/>
    </row>
    <row r="26" spans="1:28" ht="16">
      <c r="A26" s="44">
        <v>46167</v>
      </c>
      <c r="B26" s="45" t="s">
        <v>3313</v>
      </c>
      <c r="C26" s="45" t="s">
        <v>3314</v>
      </c>
      <c r="D26" s="45" t="s">
        <v>3315</v>
      </c>
      <c r="E26" s="45" t="s">
        <v>3316</v>
      </c>
      <c r="F26" s="33"/>
      <c r="G26" s="45" t="s">
        <v>3293</v>
      </c>
      <c r="H26" s="45" t="s">
        <v>3294</v>
      </c>
      <c r="I26" s="2"/>
      <c r="J26" s="35" t="str">
        <f>IF(H26&lt;&gt;"",IFERROR(VLOOKUP(IFERROR(LEFT(H26,FIND("-",H26)-1),H26),'Catalogo MINSAL'!A:E,5,FALSE),""),IF(I26&lt;&gt;"",IFERROR(VLOOKUP(IFERROR(LEFT(I26,FIND("-",I26)-1),I26),'Catalogo MINSAL'!A:E,5,FALSE),""),""))</f>
        <v>Cirugía Mayor</v>
      </c>
      <c r="K26" s="2"/>
      <c r="L26" s="45" t="s">
        <v>3252</v>
      </c>
      <c r="M26" s="45" t="s">
        <v>3286</v>
      </c>
      <c r="N26" s="45" t="s">
        <v>3306</v>
      </c>
      <c r="O26" s="45" t="s">
        <v>3288</v>
      </c>
      <c r="P26" s="45" t="s">
        <v>32</v>
      </c>
      <c r="Q26" s="51">
        <v>0.71944444444444444</v>
      </c>
      <c r="R26" s="2" t="str">
        <f t="shared" si="0"/>
        <v>Atraso</v>
      </c>
      <c r="S26" s="51">
        <v>0.74583333333333335</v>
      </c>
      <c r="T26" s="51">
        <v>0.77777777777777779</v>
      </c>
      <c r="U26" s="51">
        <v>0.79166666666666663</v>
      </c>
      <c r="V26" s="10">
        <f t="shared" si="1"/>
        <v>38.000000000000028</v>
      </c>
      <c r="W26" s="15">
        <f t="shared" si="2"/>
        <v>46</v>
      </c>
      <c r="X26" s="38">
        <f t="shared" si="3"/>
        <v>-7.9999999999999716</v>
      </c>
      <c r="Y26" s="10">
        <f t="shared" si="4"/>
        <v>53.999999999999972</v>
      </c>
      <c r="Z26" s="2" t="str">
        <f t="shared" si="5"/>
        <v>Subestimacion</v>
      </c>
      <c r="AA26" s="45" t="s">
        <v>3256</v>
      </c>
      <c r="AB26" s="2"/>
    </row>
    <row r="27" spans="1:28" ht="16">
      <c r="A27" s="44">
        <v>46167</v>
      </c>
      <c r="B27" s="45" t="s">
        <v>3317</v>
      </c>
      <c r="C27" s="45" t="s">
        <v>3318</v>
      </c>
      <c r="D27" s="45" t="s">
        <v>3319</v>
      </c>
      <c r="E27" s="45" t="s">
        <v>3320</v>
      </c>
      <c r="F27" s="33"/>
      <c r="G27" s="45" t="s">
        <v>3321</v>
      </c>
      <c r="H27" s="45" t="s">
        <v>3322</v>
      </c>
      <c r="I27" s="2"/>
      <c r="J27" s="35" t="str">
        <f>IF(H27&lt;&gt;"",IFERROR(VLOOKUP(IFERROR(LEFT(H27,FIND("-",H27)-1),H27),'Catalogo MINSAL'!A:E,5,FALSE),""),IF(I27&lt;&gt;"",IFERROR(VLOOKUP(IFERROR(LEFT(I27,FIND("-",I27)-1),I27),'Catalogo MINSAL'!A:E,5,FALSE),""),""))</f>
        <v>Cirugía Mayor</v>
      </c>
      <c r="K27" s="2"/>
      <c r="L27" s="45" t="s">
        <v>3252</v>
      </c>
      <c r="M27" s="45" t="s">
        <v>3286</v>
      </c>
      <c r="N27" s="45" t="s">
        <v>3306</v>
      </c>
      <c r="O27" s="45" t="s">
        <v>3288</v>
      </c>
      <c r="P27" s="45" t="s">
        <v>46</v>
      </c>
      <c r="Q27" s="46"/>
      <c r="R27" s="2" t="str">
        <f t="shared" si="0"/>
        <v/>
      </c>
      <c r="S27" s="46"/>
      <c r="T27" s="46"/>
      <c r="U27" s="46"/>
      <c r="V27" s="10" t="str">
        <f t="shared" si="1"/>
        <v/>
      </c>
      <c r="W27" s="15" t="str">
        <f t="shared" si="2"/>
        <v/>
      </c>
      <c r="X27" s="38" t="str">
        <f t="shared" si="3"/>
        <v/>
      </c>
      <c r="Y27" s="10" t="str">
        <f t="shared" si="4"/>
        <v/>
      </c>
      <c r="Z27" s="2" t="str">
        <f t="shared" si="5"/>
        <v/>
      </c>
      <c r="AA27" s="52" t="s">
        <v>3279</v>
      </c>
      <c r="AB27" s="2"/>
    </row>
    <row r="28" spans="1:28" ht="16">
      <c r="A28" s="44">
        <v>46168</v>
      </c>
      <c r="B28" s="45" t="s">
        <v>3374</v>
      </c>
      <c r="C28" s="45" t="s">
        <v>3424</v>
      </c>
      <c r="D28" s="45" t="s">
        <v>3474</v>
      </c>
      <c r="E28" s="45" t="s">
        <v>3519</v>
      </c>
      <c r="F28" s="33"/>
      <c r="G28" s="45" t="s">
        <v>3569</v>
      </c>
      <c r="H28" s="45" t="s">
        <v>3581</v>
      </c>
      <c r="I28" s="2"/>
      <c r="J28" s="35" t="str">
        <f>IF(H28&lt;&gt;"",IFERROR(VLOOKUP(IFERROR(LEFT(H28,FIND("-",H28)-1),H28),'Catalogo MINSAL'!A:E,5,FALSE),""),IF(I28&lt;&gt;"",IFERROR(VLOOKUP(IFERROR(LEFT(I28,FIND("-",I28)-1),I28),'Catalogo MINSAL'!A:E,5,FALSE),""),""))</f>
        <v>Cirugía Mayor</v>
      </c>
      <c r="K28" s="2"/>
      <c r="L28" s="47" t="s">
        <v>3598</v>
      </c>
      <c r="M28" s="45" t="s">
        <v>3602</v>
      </c>
      <c r="N28" s="45" t="s">
        <v>3610</v>
      </c>
      <c r="O28" s="45" t="s">
        <v>3629</v>
      </c>
      <c r="P28" s="45" t="s">
        <v>32</v>
      </c>
      <c r="Q28" s="51">
        <v>0.35555555555555557</v>
      </c>
      <c r="R28" s="2" t="str">
        <f t="shared" si="0"/>
        <v>Atraso</v>
      </c>
      <c r="S28" s="51">
        <v>0.37847222222222221</v>
      </c>
      <c r="T28" s="51">
        <v>0.3923611111111111</v>
      </c>
      <c r="U28" s="51">
        <v>0.42708333333333331</v>
      </c>
      <c r="V28" s="10">
        <f t="shared" si="1"/>
        <v>32.999999999999964</v>
      </c>
      <c r="W28" s="15">
        <f t="shared" si="2"/>
        <v>20.000000000000007</v>
      </c>
      <c r="X28" s="38">
        <f t="shared" si="3"/>
        <v>12.999999999999957</v>
      </c>
      <c r="Y28" s="10">
        <f t="shared" si="4"/>
        <v>7.0000000000000497</v>
      </c>
      <c r="Z28" s="2" t="str">
        <f t="shared" si="5"/>
        <v>Asertivo</v>
      </c>
      <c r="AA28" s="45" t="s">
        <v>3256</v>
      </c>
      <c r="AB28" s="2"/>
    </row>
    <row r="29" spans="1:28" ht="16">
      <c r="A29" s="44">
        <v>46168</v>
      </c>
      <c r="B29" s="45" t="s">
        <v>3375</v>
      </c>
      <c r="C29" s="45" t="s">
        <v>3425</v>
      </c>
      <c r="D29" s="45" t="s">
        <v>3475</v>
      </c>
      <c r="E29" s="45" t="s">
        <v>3520</v>
      </c>
      <c r="F29" s="33"/>
      <c r="G29" s="45" t="s">
        <v>3569</v>
      </c>
      <c r="H29" s="45" t="s">
        <v>3581</v>
      </c>
      <c r="I29" s="2"/>
      <c r="J29" s="35" t="str">
        <f>IF(H29&lt;&gt;"",IFERROR(VLOOKUP(IFERROR(LEFT(H29,FIND("-",H29)-1),H29),'Catalogo MINSAL'!A:E,5,FALSE),""),IF(I29&lt;&gt;"",IFERROR(VLOOKUP(IFERROR(LEFT(I29,FIND("-",I29)-1),I29),'Catalogo MINSAL'!A:E,5,FALSE),""),""))</f>
        <v>Cirugía Mayor</v>
      </c>
      <c r="K29" s="2"/>
      <c r="L29" s="47" t="s">
        <v>3598</v>
      </c>
      <c r="M29" s="45" t="s">
        <v>3602</v>
      </c>
      <c r="N29" s="45" t="s">
        <v>3610</v>
      </c>
      <c r="O29" s="45" t="s">
        <v>3629</v>
      </c>
      <c r="P29" s="45" t="s">
        <v>32</v>
      </c>
      <c r="Q29" s="51">
        <v>0.44444444444444442</v>
      </c>
      <c r="R29" s="2" t="str">
        <f t="shared" si="0"/>
        <v>Atraso</v>
      </c>
      <c r="S29" s="51">
        <v>0.45833333333333331</v>
      </c>
      <c r="T29" s="51">
        <v>0.5</v>
      </c>
      <c r="U29" s="51">
        <v>0.51041666666666663</v>
      </c>
      <c r="V29" s="10">
        <f t="shared" si="1"/>
        <v>20.000000000000007</v>
      </c>
      <c r="W29" s="15">
        <f t="shared" si="2"/>
        <v>60.000000000000028</v>
      </c>
      <c r="X29" s="38">
        <f t="shared" si="3"/>
        <v>-40.000000000000021</v>
      </c>
      <c r="Y29" s="10">
        <f t="shared" si="4"/>
        <v>100.00000000000006</v>
      </c>
      <c r="Z29" s="2" t="str">
        <f t="shared" si="5"/>
        <v>Subestimacion</v>
      </c>
      <c r="AA29" s="45" t="s">
        <v>3256</v>
      </c>
      <c r="AB29" s="2"/>
    </row>
    <row r="30" spans="1:28" ht="16">
      <c r="A30" s="44">
        <v>46168</v>
      </c>
      <c r="B30" s="45" t="s">
        <v>3376</v>
      </c>
      <c r="C30" s="45" t="s">
        <v>3426</v>
      </c>
      <c r="D30" s="45" t="s">
        <v>3476</v>
      </c>
      <c r="E30" s="45" t="s">
        <v>3521</v>
      </c>
      <c r="F30" s="33"/>
      <c r="G30" s="45" t="s">
        <v>3569</v>
      </c>
      <c r="H30" s="45" t="s">
        <v>3581</v>
      </c>
      <c r="I30" s="2"/>
      <c r="J30" s="35" t="str">
        <f>IF(H30&lt;&gt;"",IFERROR(VLOOKUP(IFERROR(LEFT(H30,FIND("-",H30)-1),H30),'Catalogo MINSAL'!A:E,5,FALSE),""),IF(I30&lt;&gt;"",IFERROR(VLOOKUP(IFERROR(LEFT(I30,FIND("-",I30)-1),I30),'Catalogo MINSAL'!A:E,5,FALSE),""),""))</f>
        <v>Cirugía Mayor</v>
      </c>
      <c r="K30" s="2"/>
      <c r="L30" s="47" t="s">
        <v>3598</v>
      </c>
      <c r="M30" s="45" t="s">
        <v>3602</v>
      </c>
      <c r="N30" s="45" t="s">
        <v>3611</v>
      </c>
      <c r="O30" s="45" t="s">
        <v>3629</v>
      </c>
      <c r="P30" s="45" t="s">
        <v>40</v>
      </c>
      <c r="Q30" s="51">
        <v>0.52083333333333337</v>
      </c>
      <c r="R30" s="2" t="str">
        <f t="shared" si="0"/>
        <v>Atraso</v>
      </c>
      <c r="S30" s="51">
        <v>0.53611111111111109</v>
      </c>
      <c r="T30" s="51">
        <v>0.55972222222222223</v>
      </c>
      <c r="U30" s="51">
        <v>0.57777777777777772</v>
      </c>
      <c r="V30" s="10">
        <f t="shared" si="1"/>
        <v>21.999999999999922</v>
      </c>
      <c r="W30" s="15">
        <f t="shared" si="2"/>
        <v>34.000000000000043</v>
      </c>
      <c r="X30" s="38">
        <f t="shared" si="3"/>
        <v>-12.000000000000121</v>
      </c>
      <c r="Y30" s="10">
        <f t="shared" si="4"/>
        <v>46.000000000000163</v>
      </c>
      <c r="Z30" s="2" t="str">
        <f t="shared" si="5"/>
        <v>Subestimacion</v>
      </c>
      <c r="AA30" s="45" t="s">
        <v>3256</v>
      </c>
      <c r="AB30" s="2"/>
    </row>
    <row r="31" spans="1:28" ht="16">
      <c r="A31" s="44">
        <v>46168</v>
      </c>
      <c r="B31" s="45" t="s">
        <v>3377</v>
      </c>
      <c r="C31" s="45" t="s">
        <v>3427</v>
      </c>
      <c r="D31" s="45" t="s">
        <v>3477</v>
      </c>
      <c r="E31" s="45" t="s">
        <v>3522</v>
      </c>
      <c r="F31" s="33"/>
      <c r="G31" s="45" t="s">
        <v>3570</v>
      </c>
      <c r="H31" s="45" t="s">
        <v>3582</v>
      </c>
      <c r="I31" s="2"/>
      <c r="J31" s="35" t="str">
        <f>IF(H31&lt;&gt;"",IFERROR(VLOOKUP(IFERROR(LEFT(H31,FIND("-",H31)-1),H31),'Catalogo MINSAL'!A:E,5,FALSE),""),IF(I31&lt;&gt;"",IFERROR(VLOOKUP(IFERROR(LEFT(I31,FIND("-",I31)-1),I31),'Catalogo MINSAL'!A:E,5,FALSE),""),""))</f>
        <v>Cirugía Mayor</v>
      </c>
      <c r="K31" s="2"/>
      <c r="L31" s="47" t="s">
        <v>3598</v>
      </c>
      <c r="M31" s="45" t="s">
        <v>3602</v>
      </c>
      <c r="N31" s="45" t="s">
        <v>3611</v>
      </c>
      <c r="O31" s="45" t="s">
        <v>3629</v>
      </c>
      <c r="P31" s="45" t="s">
        <v>32</v>
      </c>
      <c r="Q31" s="51">
        <v>0.61111111111111116</v>
      </c>
      <c r="R31" s="2" t="str">
        <f t="shared" si="0"/>
        <v>Atraso</v>
      </c>
      <c r="S31" s="51">
        <v>0.62152777777777779</v>
      </c>
      <c r="T31" s="51">
        <v>0.64097222222222228</v>
      </c>
      <c r="U31" s="51">
        <v>0.65277777777777779</v>
      </c>
      <c r="V31" s="10">
        <f t="shared" si="1"/>
        <v>14.999999999999947</v>
      </c>
      <c r="W31" s="15">
        <f t="shared" si="2"/>
        <v>28.00000000000006</v>
      </c>
      <c r="X31" s="38">
        <f t="shared" si="3"/>
        <v>-13.000000000000114</v>
      </c>
      <c r="Y31" s="10">
        <f t="shared" si="4"/>
        <v>41.000000000000171</v>
      </c>
      <c r="Z31" s="2" t="str">
        <f t="shared" si="5"/>
        <v>Subestimacion</v>
      </c>
      <c r="AA31" s="45" t="s">
        <v>3256</v>
      </c>
      <c r="AB31" s="2"/>
    </row>
    <row r="32" spans="1:28" ht="16">
      <c r="A32" s="44">
        <v>46168</v>
      </c>
      <c r="B32" s="45" t="s">
        <v>3378</v>
      </c>
      <c r="C32" s="45" t="s">
        <v>3428</v>
      </c>
      <c r="D32" s="45" t="s">
        <v>3478</v>
      </c>
      <c r="E32" s="45" t="s">
        <v>3523</v>
      </c>
      <c r="F32" s="33"/>
      <c r="G32" s="45" t="s">
        <v>3569</v>
      </c>
      <c r="H32" s="45" t="s">
        <v>3581</v>
      </c>
      <c r="I32" s="2"/>
      <c r="J32" s="35" t="str">
        <f>IF(H32&lt;&gt;"",IFERROR(VLOOKUP(IFERROR(LEFT(H32,FIND("-",H32)-1),H32),'Catalogo MINSAL'!A:E,5,FALSE),""),IF(I32&lt;&gt;"",IFERROR(VLOOKUP(IFERROR(LEFT(I32,FIND("-",I32)-1),I32),'Catalogo MINSAL'!A:E,5,FALSE),""),""))</f>
        <v>Cirugía Mayor</v>
      </c>
      <c r="K32" s="2"/>
      <c r="L32" s="47" t="s">
        <v>3598</v>
      </c>
      <c r="M32" s="45" t="s">
        <v>3602</v>
      </c>
      <c r="N32" s="45" t="s">
        <v>3612</v>
      </c>
      <c r="O32" s="45" t="s">
        <v>3629</v>
      </c>
      <c r="P32" s="45" t="s">
        <v>32</v>
      </c>
      <c r="Q32" s="51">
        <v>0.66111111111111109</v>
      </c>
      <c r="R32" s="2" t="str">
        <f t="shared" si="0"/>
        <v>Atraso</v>
      </c>
      <c r="S32" s="51">
        <v>0.67013888888888884</v>
      </c>
      <c r="T32" s="51">
        <v>0.70138888888888884</v>
      </c>
      <c r="U32" s="51">
        <v>0.72083333333333333</v>
      </c>
      <c r="V32" s="10">
        <f t="shared" si="1"/>
        <v>12.999999999999954</v>
      </c>
      <c r="W32" s="15">
        <f t="shared" si="2"/>
        <v>45</v>
      </c>
      <c r="X32" s="38">
        <f t="shared" si="3"/>
        <v>-32.000000000000043</v>
      </c>
      <c r="Y32" s="10">
        <f t="shared" si="4"/>
        <v>77.000000000000043</v>
      </c>
      <c r="Z32" s="2" t="str">
        <f t="shared" si="5"/>
        <v>Subestimacion</v>
      </c>
      <c r="AA32" s="45" t="s">
        <v>3256</v>
      </c>
      <c r="AB32" s="2"/>
    </row>
    <row r="33" spans="1:28" ht="16">
      <c r="A33" s="44">
        <v>46168</v>
      </c>
      <c r="B33" s="45" t="s">
        <v>3379</v>
      </c>
      <c r="C33" s="45" t="s">
        <v>3429</v>
      </c>
      <c r="D33" s="45" t="s">
        <v>3479</v>
      </c>
      <c r="E33" s="45" t="s">
        <v>3524</v>
      </c>
      <c r="F33" s="33"/>
      <c r="G33" s="45" t="s">
        <v>3571</v>
      </c>
      <c r="H33" s="45" t="s">
        <v>3583</v>
      </c>
      <c r="I33" s="2"/>
      <c r="J33" s="35" t="str">
        <f>IF(H33&lt;&gt;"",IFERROR(VLOOKUP(IFERROR(LEFT(H33,FIND("-",H33)-1),H33),'Catalogo MINSAL'!A:E,5,FALSE),""),IF(I33&lt;&gt;"",IFERROR(VLOOKUP(IFERROR(LEFT(I33,FIND("-",I33)-1),I33),'Catalogo MINSAL'!A:E,5,FALSE),""),""))</f>
        <v>Cirugía Mayor</v>
      </c>
      <c r="K33" s="2"/>
      <c r="L33" s="47" t="s">
        <v>3598</v>
      </c>
      <c r="M33" s="45" t="s">
        <v>3603</v>
      </c>
      <c r="N33" s="45" t="s">
        <v>3613</v>
      </c>
      <c r="O33" s="45" t="s">
        <v>3630</v>
      </c>
      <c r="P33" s="45" t="s">
        <v>40</v>
      </c>
      <c r="Q33" s="51">
        <v>0.35208333333333336</v>
      </c>
      <c r="R33" s="2" t="str">
        <f t="shared" si="0"/>
        <v>Atraso</v>
      </c>
      <c r="S33" s="51">
        <v>0.38750000000000001</v>
      </c>
      <c r="T33" s="51">
        <v>0.41249999999999998</v>
      </c>
      <c r="U33" s="51">
        <v>0.43541666666666667</v>
      </c>
      <c r="V33" s="10">
        <f t="shared" si="1"/>
        <v>50.999999999999979</v>
      </c>
      <c r="W33" s="15">
        <f t="shared" si="2"/>
        <v>35.99999999999995</v>
      </c>
      <c r="X33" s="38">
        <f t="shared" si="3"/>
        <v>15.000000000000028</v>
      </c>
      <c r="Y33" s="10">
        <f t="shared" si="4"/>
        <v>20.999999999999922</v>
      </c>
      <c r="Z33" s="2" t="str">
        <f t="shared" si="5"/>
        <v>Subestimacion</v>
      </c>
      <c r="AA33" s="45" t="s">
        <v>3256</v>
      </c>
      <c r="AB33" s="2"/>
    </row>
    <row r="34" spans="1:28" ht="16">
      <c r="A34" s="44">
        <v>46168</v>
      </c>
      <c r="B34" s="45" t="s">
        <v>3380</v>
      </c>
      <c r="C34" s="45" t="s">
        <v>3430</v>
      </c>
      <c r="D34" s="45" t="s">
        <v>3480</v>
      </c>
      <c r="E34" s="45" t="s">
        <v>3525</v>
      </c>
      <c r="F34" s="33"/>
      <c r="G34" s="45" t="s">
        <v>3571</v>
      </c>
      <c r="H34" s="45" t="s">
        <v>3583</v>
      </c>
      <c r="I34" s="2"/>
      <c r="J34" s="35" t="str">
        <f>IF(H34&lt;&gt;"",IFERROR(VLOOKUP(IFERROR(LEFT(H34,FIND("-",H34)-1),H34),'Catalogo MINSAL'!A:E,5,FALSE),""),IF(I34&lt;&gt;"",IFERROR(VLOOKUP(IFERROR(LEFT(I34,FIND("-",I34)-1),I34),'Catalogo MINSAL'!A:E,5,FALSE),""),""))</f>
        <v>Cirugía Mayor</v>
      </c>
      <c r="K34" s="2"/>
      <c r="L34" s="47" t="s">
        <v>3598</v>
      </c>
      <c r="M34" s="45" t="s">
        <v>3603</v>
      </c>
      <c r="N34" s="45" t="s">
        <v>3614</v>
      </c>
      <c r="O34" s="45" t="s">
        <v>3630</v>
      </c>
      <c r="P34" s="45" t="s">
        <v>32</v>
      </c>
      <c r="Q34" s="51">
        <v>0.44444444444444442</v>
      </c>
      <c r="R34" s="2" t="str">
        <f t="shared" si="0"/>
        <v>Atraso</v>
      </c>
      <c r="S34" s="51">
        <v>0.46875</v>
      </c>
      <c r="T34" s="51">
        <v>0.5</v>
      </c>
      <c r="U34" s="51">
        <v>0.52083333333333337</v>
      </c>
      <c r="V34" s="10">
        <f t="shared" si="1"/>
        <v>35.000000000000036</v>
      </c>
      <c r="W34" s="15">
        <f t="shared" si="2"/>
        <v>45</v>
      </c>
      <c r="X34" s="38">
        <f t="shared" si="3"/>
        <v>-9.9999999999999645</v>
      </c>
      <c r="Y34" s="10">
        <f t="shared" si="4"/>
        <v>54.999999999999964</v>
      </c>
      <c r="Z34" s="2" t="str">
        <f t="shared" si="5"/>
        <v>Subestimacion</v>
      </c>
      <c r="AA34" s="45" t="s">
        <v>3256</v>
      </c>
      <c r="AB34" s="2"/>
    </row>
    <row r="35" spans="1:28" ht="16">
      <c r="A35" s="44">
        <v>46168</v>
      </c>
      <c r="B35" s="45" t="s">
        <v>3381</v>
      </c>
      <c r="C35" s="45" t="s">
        <v>3431</v>
      </c>
      <c r="D35" s="45" t="s">
        <v>3481</v>
      </c>
      <c r="E35" s="45" t="s">
        <v>3526</v>
      </c>
      <c r="F35" s="33"/>
      <c r="G35" s="45" t="s">
        <v>3571</v>
      </c>
      <c r="H35" s="45" t="s">
        <v>3583</v>
      </c>
      <c r="I35" s="2"/>
      <c r="J35" s="35" t="str">
        <f>IF(H35&lt;&gt;"",IFERROR(VLOOKUP(IFERROR(LEFT(H35,FIND("-",H35)-1),H35),'Catalogo MINSAL'!A:E,5,FALSE),""),IF(I35&lt;&gt;"",IFERROR(VLOOKUP(IFERROR(LEFT(I35,FIND("-",I35)-1),I35),'Catalogo MINSAL'!A:E,5,FALSE),""),""))</f>
        <v>Cirugía Mayor</v>
      </c>
      <c r="K35" s="2"/>
      <c r="L35" s="47" t="s">
        <v>3598</v>
      </c>
      <c r="M35" s="45" t="s">
        <v>3603</v>
      </c>
      <c r="N35" s="45" t="s">
        <v>3615</v>
      </c>
      <c r="O35" s="45" t="s">
        <v>3630</v>
      </c>
      <c r="P35" s="45" t="s">
        <v>32</v>
      </c>
      <c r="Q35" s="51">
        <v>0.53125</v>
      </c>
      <c r="R35" s="2" t="str">
        <f t="shared" si="0"/>
        <v>Atraso</v>
      </c>
      <c r="S35" s="51">
        <v>0.55555555555555558</v>
      </c>
      <c r="T35" s="51">
        <v>0.59722222222222221</v>
      </c>
      <c r="U35" s="51">
        <v>0.61527777777777781</v>
      </c>
      <c r="V35" s="10">
        <f t="shared" si="1"/>
        <v>35.000000000000036</v>
      </c>
      <c r="W35" s="15">
        <f t="shared" si="2"/>
        <v>59.999999999999943</v>
      </c>
      <c r="X35" s="38">
        <f t="shared" si="3"/>
        <v>-24.999999999999908</v>
      </c>
      <c r="Y35" s="10">
        <f t="shared" si="4"/>
        <v>84.999999999999858</v>
      </c>
      <c r="Z35" s="2" t="str">
        <f t="shared" si="5"/>
        <v>Subestimacion</v>
      </c>
      <c r="AA35" s="45" t="s">
        <v>3256</v>
      </c>
      <c r="AB35" s="2"/>
    </row>
    <row r="36" spans="1:28" ht="16">
      <c r="A36" s="44">
        <v>46168</v>
      </c>
      <c r="B36" s="45" t="s">
        <v>3382</v>
      </c>
      <c r="C36" s="45" t="s">
        <v>3432</v>
      </c>
      <c r="D36" s="45" t="s">
        <v>3482</v>
      </c>
      <c r="E36" s="45" t="s">
        <v>3527</v>
      </c>
      <c r="F36" s="33"/>
      <c r="G36" s="45" t="s">
        <v>3571</v>
      </c>
      <c r="H36" s="45" t="s">
        <v>3583</v>
      </c>
      <c r="I36" s="2"/>
      <c r="J36" s="35" t="str">
        <f>IF(H36&lt;&gt;"",IFERROR(VLOOKUP(IFERROR(LEFT(H36,FIND("-",H36)-1),H36),'Catalogo MINSAL'!A:E,5,FALSE),""),IF(I36&lt;&gt;"",IFERROR(VLOOKUP(IFERROR(LEFT(I36,FIND("-",I36)-1),I36),'Catalogo MINSAL'!A:E,5,FALSE),""),""))</f>
        <v>Cirugía Mayor</v>
      </c>
      <c r="K36" s="2"/>
      <c r="L36" s="47" t="s">
        <v>3598</v>
      </c>
      <c r="M36" s="45" t="s">
        <v>3603</v>
      </c>
      <c r="N36" s="45" t="s">
        <v>3616</v>
      </c>
      <c r="O36" s="45" t="s">
        <v>3630</v>
      </c>
      <c r="P36" s="45" t="s">
        <v>32</v>
      </c>
      <c r="Q36" s="51">
        <v>0.625</v>
      </c>
      <c r="R36" s="2" t="str">
        <f t="shared" si="0"/>
        <v>Atraso</v>
      </c>
      <c r="S36" s="51">
        <v>0.65138888888888891</v>
      </c>
      <c r="T36" s="51">
        <v>0.67638888888888893</v>
      </c>
      <c r="U36" s="51">
        <v>0.69236111111111109</v>
      </c>
      <c r="V36" s="10">
        <f t="shared" si="1"/>
        <v>38.000000000000028</v>
      </c>
      <c r="W36" s="15">
        <f t="shared" si="2"/>
        <v>36.000000000000028</v>
      </c>
      <c r="X36" s="38">
        <f t="shared" si="3"/>
        <v>2</v>
      </c>
      <c r="Y36" s="10">
        <f t="shared" si="4"/>
        <v>34.000000000000028</v>
      </c>
      <c r="Z36" s="2" t="str">
        <f t="shared" si="5"/>
        <v>Subestimacion</v>
      </c>
      <c r="AA36" s="45" t="s">
        <v>3256</v>
      </c>
      <c r="AB36" s="2"/>
    </row>
    <row r="37" spans="1:28" ht="16">
      <c r="A37" s="44">
        <v>46168</v>
      </c>
      <c r="B37" s="45" t="s">
        <v>3383</v>
      </c>
      <c r="C37" s="45" t="s">
        <v>3433</v>
      </c>
      <c r="D37" s="45" t="s">
        <v>3483</v>
      </c>
      <c r="E37" s="45" t="s">
        <v>3528</v>
      </c>
      <c r="F37" s="33"/>
      <c r="G37" s="45" t="s">
        <v>3571</v>
      </c>
      <c r="H37" s="45" t="s">
        <v>3583</v>
      </c>
      <c r="I37" s="2"/>
      <c r="J37" s="35" t="str">
        <f>IF(H37&lt;&gt;"",IFERROR(VLOOKUP(IFERROR(LEFT(H37,FIND("-",H37)-1),H37),'Catalogo MINSAL'!A:E,5,FALSE),""),IF(I37&lt;&gt;"",IFERROR(VLOOKUP(IFERROR(LEFT(I37,FIND("-",I37)-1),I37),'Catalogo MINSAL'!A:E,5,FALSE),""),""))</f>
        <v>Cirugía Mayor</v>
      </c>
      <c r="K37" s="2"/>
      <c r="L37" s="47" t="s">
        <v>3598</v>
      </c>
      <c r="M37" s="45" t="s">
        <v>3603</v>
      </c>
      <c r="N37" s="45" t="s">
        <v>3616</v>
      </c>
      <c r="O37" s="45" t="s">
        <v>3630</v>
      </c>
      <c r="P37" s="45" t="s">
        <v>40</v>
      </c>
      <c r="Q37" s="51">
        <v>0.70277777777777772</v>
      </c>
      <c r="R37" s="2" t="str">
        <f t="shared" si="0"/>
        <v>Atraso</v>
      </c>
      <c r="S37" s="51">
        <v>0.74305555555555558</v>
      </c>
      <c r="T37" s="51">
        <v>0.76388888888888884</v>
      </c>
      <c r="U37" s="51">
        <v>0.77430555555555558</v>
      </c>
      <c r="V37" s="10">
        <f t="shared" si="1"/>
        <v>58.000000000000114</v>
      </c>
      <c r="W37" s="15">
        <f t="shared" si="2"/>
        <v>29.999999999999893</v>
      </c>
      <c r="X37" s="38">
        <f t="shared" si="3"/>
        <v>28.00000000000022</v>
      </c>
      <c r="Y37" s="10">
        <f t="shared" si="4"/>
        <v>1.9999999999996732</v>
      </c>
      <c r="Z37" s="2" t="str">
        <f t="shared" si="5"/>
        <v>Asertivo</v>
      </c>
      <c r="AA37" s="45" t="s">
        <v>3256</v>
      </c>
      <c r="AB37" s="2"/>
    </row>
    <row r="38" spans="1:28" ht="16">
      <c r="A38" s="44">
        <v>46168</v>
      </c>
      <c r="B38" s="45" t="s">
        <v>3384</v>
      </c>
      <c r="C38" s="45" t="s">
        <v>3434</v>
      </c>
      <c r="D38" s="45" t="s">
        <v>3484</v>
      </c>
      <c r="E38" s="45" t="s">
        <v>3529</v>
      </c>
      <c r="F38" s="33"/>
      <c r="G38" s="45" t="s">
        <v>3571</v>
      </c>
      <c r="H38" s="45" t="s">
        <v>3583</v>
      </c>
      <c r="I38" s="2"/>
      <c r="J38" s="35" t="str">
        <f>IF(H38&lt;&gt;"",IFERROR(VLOOKUP(IFERROR(LEFT(H38,FIND("-",H38)-1),H38),'Catalogo MINSAL'!A:E,5,FALSE),""),IF(I38&lt;&gt;"",IFERROR(VLOOKUP(IFERROR(LEFT(I38,FIND("-",I38)-1),I38),'Catalogo MINSAL'!A:E,5,FALSE),""),""))</f>
        <v>Cirugía Mayor</v>
      </c>
      <c r="K38" s="2"/>
      <c r="L38" s="47" t="s">
        <v>3598</v>
      </c>
      <c r="M38" s="45" t="s">
        <v>3603</v>
      </c>
      <c r="N38" s="45" t="s">
        <v>3616</v>
      </c>
      <c r="O38" s="45" t="s">
        <v>3630</v>
      </c>
      <c r="P38" s="45" t="s">
        <v>51</v>
      </c>
      <c r="Q38" s="46"/>
      <c r="R38" s="2" t="str">
        <f t="shared" si="0"/>
        <v/>
      </c>
      <c r="S38" s="46"/>
      <c r="T38" s="46"/>
      <c r="U38" s="46"/>
      <c r="V38" s="10" t="str">
        <f t="shared" si="1"/>
        <v/>
      </c>
      <c r="W38" s="15" t="str">
        <f t="shared" si="2"/>
        <v/>
      </c>
      <c r="X38" s="38" t="str">
        <f t="shared" si="3"/>
        <v/>
      </c>
      <c r="Y38" s="10" t="str">
        <f t="shared" si="4"/>
        <v/>
      </c>
      <c r="Z38" s="2" t="str">
        <f t="shared" si="5"/>
        <v/>
      </c>
      <c r="AA38" s="53" t="s">
        <v>3633</v>
      </c>
      <c r="AB38" s="2"/>
    </row>
    <row r="39" spans="1:28" ht="16">
      <c r="A39" s="44">
        <v>46169</v>
      </c>
      <c r="B39" s="45" t="s">
        <v>3385</v>
      </c>
      <c r="C39" s="45" t="s">
        <v>3435</v>
      </c>
      <c r="D39" s="45" t="s">
        <v>3485</v>
      </c>
      <c r="E39" s="45" t="s">
        <v>3530</v>
      </c>
      <c r="F39" s="33"/>
      <c r="G39" s="45" t="s">
        <v>3569</v>
      </c>
      <c r="H39" s="45" t="s">
        <v>3581</v>
      </c>
      <c r="I39" s="2"/>
      <c r="J39" s="35" t="str">
        <f>IF(H39&lt;&gt;"",IFERROR(VLOOKUP(IFERROR(LEFT(H39,FIND("-",H39)-1),H39),'Catalogo MINSAL'!A:E,5,FALSE),""),IF(I39&lt;&gt;"",IFERROR(VLOOKUP(IFERROR(LEFT(I39,FIND("-",I39)-1),I39),'Catalogo MINSAL'!A:E,5,FALSE),""),""))</f>
        <v>Cirugía Mayor</v>
      </c>
      <c r="K39" s="2"/>
      <c r="L39" s="47" t="s">
        <v>3598</v>
      </c>
      <c r="M39" s="45" t="s">
        <v>3604</v>
      </c>
      <c r="N39" s="45" t="s">
        <v>3617</v>
      </c>
      <c r="O39" s="45" t="s">
        <v>3629</v>
      </c>
      <c r="P39" s="45" t="s">
        <v>32</v>
      </c>
      <c r="Q39" s="51">
        <v>0.375</v>
      </c>
      <c r="R39" s="2" t="str">
        <f t="shared" si="0"/>
        <v>Atraso</v>
      </c>
      <c r="S39" s="51">
        <v>0.37847222222222221</v>
      </c>
      <c r="T39" s="51">
        <v>0.39583333333333331</v>
      </c>
      <c r="U39" s="51">
        <v>0.40972222222222221</v>
      </c>
      <c r="V39" s="10">
        <f t="shared" si="1"/>
        <v>4.9999999999999822</v>
      </c>
      <c r="W39" s="15">
        <f t="shared" si="2"/>
        <v>24.999999999999993</v>
      </c>
      <c r="X39" s="38">
        <f t="shared" si="3"/>
        <v>-20.000000000000011</v>
      </c>
      <c r="Y39" s="10">
        <f t="shared" si="4"/>
        <v>45</v>
      </c>
      <c r="Z39" s="2" t="str">
        <f t="shared" si="5"/>
        <v>Subestimacion</v>
      </c>
      <c r="AA39" s="45" t="s">
        <v>3256</v>
      </c>
      <c r="AB39" s="2"/>
    </row>
    <row r="40" spans="1:28" ht="16">
      <c r="A40" s="44">
        <v>46169</v>
      </c>
      <c r="B40" s="45" t="s">
        <v>3386</v>
      </c>
      <c r="C40" s="45" t="s">
        <v>3436</v>
      </c>
      <c r="D40" s="45" t="s">
        <v>3477</v>
      </c>
      <c r="E40" s="45" t="s">
        <v>3531</v>
      </c>
      <c r="F40" s="33"/>
      <c r="G40" s="45" t="s">
        <v>3569</v>
      </c>
      <c r="H40" s="45" t="s">
        <v>3581</v>
      </c>
      <c r="I40" s="2"/>
      <c r="J40" s="35" t="str">
        <f>IF(H40&lt;&gt;"",IFERROR(VLOOKUP(IFERROR(LEFT(H40,FIND("-",H40)-1),H40),'Catalogo MINSAL'!A:E,5,FALSE),""),IF(I40&lt;&gt;"",IFERROR(VLOOKUP(IFERROR(LEFT(I40,FIND("-",I40)-1),I40),'Catalogo MINSAL'!A:E,5,FALSE),""),""))</f>
        <v>Cirugía Mayor</v>
      </c>
      <c r="K40" s="2"/>
      <c r="L40" s="47" t="s">
        <v>3598</v>
      </c>
      <c r="M40" s="45" t="s">
        <v>3604</v>
      </c>
      <c r="N40" s="45" t="s">
        <v>3617</v>
      </c>
      <c r="O40" s="45" t="s">
        <v>3629</v>
      </c>
      <c r="P40" s="45" t="s">
        <v>32</v>
      </c>
      <c r="Q40" s="51">
        <v>0.4201388888888889</v>
      </c>
      <c r="R40" s="2" t="str">
        <f t="shared" si="0"/>
        <v>Atraso</v>
      </c>
      <c r="S40" s="51">
        <v>0.43402777777777779</v>
      </c>
      <c r="T40" s="51">
        <v>0.46875</v>
      </c>
      <c r="U40" s="51">
        <v>0.48472222222222222</v>
      </c>
      <c r="V40" s="10">
        <f t="shared" si="1"/>
        <v>20.000000000000007</v>
      </c>
      <c r="W40" s="15">
        <f t="shared" si="2"/>
        <v>49.999999999999986</v>
      </c>
      <c r="X40" s="38">
        <f t="shared" si="3"/>
        <v>-29.999999999999979</v>
      </c>
      <c r="Y40" s="10">
        <f t="shared" si="4"/>
        <v>79.999999999999972</v>
      </c>
      <c r="Z40" s="2" t="str">
        <f t="shared" si="5"/>
        <v>Subestimacion</v>
      </c>
      <c r="AA40" s="45" t="s">
        <v>3256</v>
      </c>
      <c r="AB40" s="2"/>
    </row>
    <row r="41" spans="1:28" ht="16">
      <c r="A41" s="44">
        <v>46169</v>
      </c>
      <c r="B41" s="45" t="s">
        <v>3387</v>
      </c>
      <c r="C41" s="45" t="s">
        <v>3437</v>
      </c>
      <c r="D41" s="45" t="s">
        <v>3486</v>
      </c>
      <c r="E41" s="45" t="s">
        <v>3532</v>
      </c>
      <c r="F41" s="33"/>
      <c r="G41" s="45" t="s">
        <v>768</v>
      </c>
      <c r="H41" s="45" t="s">
        <v>3584</v>
      </c>
      <c r="I41" s="2"/>
      <c r="J41" s="35" t="str">
        <f>IF(H41&lt;&gt;"",IFERROR(VLOOKUP(IFERROR(LEFT(H41,FIND("-",H41)-1),H41),'Catalogo MINSAL'!A:E,5,FALSE),""),IF(I41&lt;&gt;"",IFERROR(VLOOKUP(IFERROR(LEFT(I41,FIND("-",I41)-1),I41),'Catalogo MINSAL'!A:E,5,FALSE),""),""))</f>
        <v>Cirugía Menor</v>
      </c>
      <c r="K41" s="2"/>
      <c r="L41" s="47" t="s">
        <v>3598</v>
      </c>
      <c r="M41" s="45" t="s">
        <v>3604</v>
      </c>
      <c r="N41" s="45" t="s">
        <v>3618</v>
      </c>
      <c r="O41" s="45" t="s">
        <v>3629</v>
      </c>
      <c r="P41" s="45" t="s">
        <v>40</v>
      </c>
      <c r="Q41" s="51">
        <v>0.60416666666666663</v>
      </c>
      <c r="R41" s="2" t="str">
        <f t="shared" si="0"/>
        <v>Atraso</v>
      </c>
      <c r="S41" s="51">
        <v>0.61458333333333337</v>
      </c>
      <c r="T41" s="51">
        <v>0.63194444444444442</v>
      </c>
      <c r="U41" s="51">
        <v>0.64583333333333337</v>
      </c>
      <c r="V41" s="10">
        <f t="shared" si="1"/>
        <v>15.000000000000107</v>
      </c>
      <c r="W41" s="15">
        <f t="shared" si="2"/>
        <v>24.999999999999911</v>
      </c>
      <c r="X41" s="38">
        <f t="shared" si="3"/>
        <v>-9.9999999999998046</v>
      </c>
      <c r="Y41" s="10">
        <f t="shared" si="4"/>
        <v>34.999999999999716</v>
      </c>
      <c r="Z41" s="2" t="str">
        <f t="shared" si="5"/>
        <v>Subestimacion</v>
      </c>
      <c r="AA41" s="45" t="s">
        <v>3256</v>
      </c>
      <c r="AB41" s="2"/>
    </row>
    <row r="42" spans="1:28" ht="16">
      <c r="A42" s="44">
        <v>46169</v>
      </c>
      <c r="B42" s="45" t="s">
        <v>3388</v>
      </c>
      <c r="C42" s="45" t="s">
        <v>3438</v>
      </c>
      <c r="D42" s="45" t="s">
        <v>3487</v>
      </c>
      <c r="E42" s="45" t="s">
        <v>3533</v>
      </c>
      <c r="F42" s="33"/>
      <c r="G42" s="45" t="s">
        <v>690</v>
      </c>
      <c r="H42" s="45" t="s">
        <v>3585</v>
      </c>
      <c r="I42" s="2"/>
      <c r="J42" s="35" t="str">
        <f>IF(H42&lt;&gt;"",IFERROR(VLOOKUP(IFERROR(LEFT(H42,FIND("-",H42)-1),H42),'Catalogo MINSAL'!A:E,5,FALSE),""),IF(I42&lt;&gt;"",IFERROR(VLOOKUP(IFERROR(LEFT(I42,FIND("-",I42)-1),I42),'Catalogo MINSAL'!A:E,5,FALSE),""),""))</f>
        <v>Cirugía Menor</v>
      </c>
      <c r="K42" s="2"/>
      <c r="L42" s="47" t="s">
        <v>3598</v>
      </c>
      <c r="M42" s="45" t="s">
        <v>3605</v>
      </c>
      <c r="N42" s="45" t="s">
        <v>3617</v>
      </c>
      <c r="O42" s="45" t="s">
        <v>3629</v>
      </c>
      <c r="P42" s="45" t="s">
        <v>51</v>
      </c>
      <c r="Q42" s="46"/>
      <c r="R42" s="2" t="str">
        <f t="shared" si="0"/>
        <v/>
      </c>
      <c r="S42" s="46"/>
      <c r="T42" s="46"/>
      <c r="U42" s="46"/>
      <c r="V42" s="10" t="str">
        <f t="shared" si="1"/>
        <v/>
      </c>
      <c r="W42" s="15" t="str">
        <f t="shared" si="2"/>
        <v/>
      </c>
      <c r="X42" s="38" t="str">
        <f t="shared" si="3"/>
        <v/>
      </c>
      <c r="Y42" s="10" t="str">
        <f t="shared" si="4"/>
        <v/>
      </c>
      <c r="Z42" s="2" t="str">
        <f t="shared" si="5"/>
        <v/>
      </c>
      <c r="AA42" s="52" t="s">
        <v>3634</v>
      </c>
      <c r="AB42" s="2"/>
    </row>
    <row r="43" spans="1:28" ht="16">
      <c r="A43" s="44">
        <v>46169</v>
      </c>
      <c r="B43" s="45" t="s">
        <v>3389</v>
      </c>
      <c r="C43" s="45" t="s">
        <v>3439</v>
      </c>
      <c r="D43" s="45" t="s">
        <v>3488</v>
      </c>
      <c r="E43" s="45" t="s">
        <v>3534</v>
      </c>
      <c r="F43" s="33"/>
      <c r="G43" s="45" t="s">
        <v>794</v>
      </c>
      <c r="H43" s="45" t="s">
        <v>3586</v>
      </c>
      <c r="I43" s="2"/>
      <c r="J43" s="35" t="str">
        <f>IF(H43&lt;&gt;"",IFERROR(VLOOKUP(IFERROR(LEFT(H43,FIND("-",H43)-1),H43),'Catalogo MINSAL'!A:E,5,FALSE),""),IF(I43&lt;&gt;"",IFERROR(VLOOKUP(IFERROR(LEFT(I43,FIND("-",I43)-1),I43),'Catalogo MINSAL'!A:E,5,FALSE),""),""))</f>
        <v>Cirugía Mayor</v>
      </c>
      <c r="K43" s="2"/>
      <c r="L43" s="47" t="s">
        <v>3598</v>
      </c>
      <c r="M43" s="45" t="s">
        <v>3605</v>
      </c>
      <c r="N43" s="45" t="s">
        <v>3617</v>
      </c>
      <c r="O43" s="45" t="s">
        <v>3629</v>
      </c>
      <c r="P43" s="45" t="s">
        <v>51</v>
      </c>
      <c r="Q43" s="46"/>
      <c r="R43" s="2" t="str">
        <f t="shared" si="0"/>
        <v/>
      </c>
      <c r="S43" s="46"/>
      <c r="T43" s="46"/>
      <c r="U43" s="46"/>
      <c r="V43" s="10" t="str">
        <f t="shared" si="1"/>
        <v/>
      </c>
      <c r="W43" s="15" t="str">
        <f t="shared" si="2"/>
        <v/>
      </c>
      <c r="X43" s="38" t="str">
        <f t="shared" si="3"/>
        <v/>
      </c>
      <c r="Y43" s="10" t="str">
        <f t="shared" si="4"/>
        <v/>
      </c>
      <c r="Z43" s="2" t="str">
        <f t="shared" si="5"/>
        <v/>
      </c>
      <c r="AA43" s="54" t="s">
        <v>3635</v>
      </c>
      <c r="AB43" s="2"/>
    </row>
    <row r="44" spans="1:28" ht="16">
      <c r="A44" s="44">
        <v>46169</v>
      </c>
      <c r="B44" s="45" t="s">
        <v>3390</v>
      </c>
      <c r="C44" s="45" t="s">
        <v>3440</v>
      </c>
      <c r="D44" s="45" t="s">
        <v>3489</v>
      </c>
      <c r="E44" s="45" t="s">
        <v>3535</v>
      </c>
      <c r="F44" s="33"/>
      <c r="G44" s="45" t="s">
        <v>3572</v>
      </c>
      <c r="H44" s="45" t="s">
        <v>3587</v>
      </c>
      <c r="I44" s="2"/>
      <c r="J44" s="35" t="str">
        <f>IF(H44&lt;&gt;"",IFERROR(VLOOKUP(IFERROR(LEFT(H44,FIND("-",H44)-1),H44),'Catalogo MINSAL'!A:E,5,FALSE),""),IF(I44&lt;&gt;"",IFERROR(VLOOKUP(IFERROR(LEFT(I44,FIND("-",I44)-1),I44),'Catalogo MINSAL'!A:E,5,FALSE),""),""))</f>
        <v>Cirugía Mayor</v>
      </c>
      <c r="K44" s="2"/>
      <c r="L44" s="48" t="s">
        <v>3599</v>
      </c>
      <c r="M44" s="45" t="s">
        <v>3606</v>
      </c>
      <c r="N44" s="45" t="s">
        <v>3619</v>
      </c>
      <c r="O44" s="45" t="s">
        <v>3631</v>
      </c>
      <c r="P44" s="45" t="s">
        <v>32</v>
      </c>
      <c r="Q44" s="51">
        <v>0.36458333333333331</v>
      </c>
      <c r="R44" s="2" t="str">
        <f t="shared" si="0"/>
        <v>Atraso</v>
      </c>
      <c r="S44" s="51">
        <v>0.36666666666666664</v>
      </c>
      <c r="T44" s="51">
        <v>0.37430555555555556</v>
      </c>
      <c r="U44" s="51">
        <v>0.37638888888888888</v>
      </c>
      <c r="V44" s="10">
        <f t="shared" si="1"/>
        <v>2.9999999999999893</v>
      </c>
      <c r="W44" s="15">
        <f t="shared" si="2"/>
        <v>11.000000000000041</v>
      </c>
      <c r="X44" s="38">
        <f t="shared" si="3"/>
        <v>-8.0000000000000515</v>
      </c>
      <c r="Y44" s="10">
        <f t="shared" si="4"/>
        <v>19.000000000000092</v>
      </c>
      <c r="Z44" s="2" t="str">
        <f t="shared" si="5"/>
        <v>Subestimacion</v>
      </c>
      <c r="AA44" s="45" t="s">
        <v>3256</v>
      </c>
      <c r="AB44" s="2"/>
    </row>
    <row r="45" spans="1:28" ht="16">
      <c r="A45" s="44">
        <v>46169</v>
      </c>
      <c r="B45" s="45" t="s">
        <v>3391</v>
      </c>
      <c r="C45" s="45" t="s">
        <v>3441</v>
      </c>
      <c r="D45" s="45" t="s">
        <v>3490</v>
      </c>
      <c r="E45" s="45" t="s">
        <v>3536</v>
      </c>
      <c r="F45" s="33"/>
      <c r="G45" s="45" t="s">
        <v>3573</v>
      </c>
      <c r="H45" s="45" t="s">
        <v>3588</v>
      </c>
      <c r="I45" s="2"/>
      <c r="J45" s="35" t="str">
        <f>IF(H45&lt;&gt;"",IFERROR(VLOOKUP(IFERROR(LEFT(H45,FIND("-",H45)-1),H45),'Catalogo MINSAL'!A:E,5,FALSE),""),IF(I45&lt;&gt;"",IFERROR(VLOOKUP(IFERROR(LEFT(I45,FIND("-",I45)-1),I45),'Catalogo MINSAL'!A:E,5,FALSE),""),""))</f>
        <v>Cirugía Mayor</v>
      </c>
      <c r="K45" s="2"/>
      <c r="L45" s="48" t="s">
        <v>3599</v>
      </c>
      <c r="M45" s="45" t="s">
        <v>3606</v>
      </c>
      <c r="N45" s="45" t="s">
        <v>3619</v>
      </c>
      <c r="O45" s="45" t="s">
        <v>3631</v>
      </c>
      <c r="P45" s="45" t="s">
        <v>32</v>
      </c>
      <c r="Q45" s="51">
        <v>0.41666666666666669</v>
      </c>
      <c r="R45" s="2" t="str">
        <f t="shared" si="0"/>
        <v>Atraso</v>
      </c>
      <c r="S45" s="51">
        <v>0.41875000000000001</v>
      </c>
      <c r="T45" s="51">
        <v>0.43402777777777779</v>
      </c>
      <c r="U45" s="51">
        <v>0.43541666666666667</v>
      </c>
      <c r="V45" s="10">
        <f t="shared" si="1"/>
        <v>2.9999999999999893</v>
      </c>
      <c r="W45" s="15">
        <f t="shared" si="2"/>
        <v>22</v>
      </c>
      <c r="X45" s="38">
        <f t="shared" si="3"/>
        <v>-19.000000000000011</v>
      </c>
      <c r="Y45" s="10">
        <f t="shared" si="4"/>
        <v>41.000000000000014</v>
      </c>
      <c r="Z45" s="2" t="str">
        <f t="shared" si="5"/>
        <v>Subestimacion</v>
      </c>
      <c r="AA45" s="45" t="s">
        <v>3256</v>
      </c>
      <c r="AB45" s="2"/>
    </row>
    <row r="46" spans="1:28" ht="16">
      <c r="A46" s="44">
        <v>46169</v>
      </c>
      <c r="B46" s="45" t="s">
        <v>3392</v>
      </c>
      <c r="C46" s="45" t="s">
        <v>3442</v>
      </c>
      <c r="D46" s="45" t="s">
        <v>3491</v>
      </c>
      <c r="E46" s="45" t="s">
        <v>3537</v>
      </c>
      <c r="F46" s="33"/>
      <c r="G46" s="45" t="s">
        <v>3572</v>
      </c>
      <c r="H46" s="45" t="s">
        <v>3587</v>
      </c>
      <c r="I46" s="2"/>
      <c r="J46" s="35" t="str">
        <f>IF(H46&lt;&gt;"",IFERROR(VLOOKUP(IFERROR(LEFT(H46,FIND("-",H46)-1),H46),'Catalogo MINSAL'!A:E,5,FALSE),""),IF(I46&lt;&gt;"",IFERROR(VLOOKUP(IFERROR(LEFT(I46,FIND("-",I46)-1),I46),'Catalogo MINSAL'!A:E,5,FALSE),""),""))</f>
        <v>Cirugía Mayor</v>
      </c>
      <c r="K46" s="2"/>
      <c r="L46" s="48" t="s">
        <v>3599</v>
      </c>
      <c r="M46" s="45" t="s">
        <v>3606</v>
      </c>
      <c r="N46" s="45" t="s">
        <v>3619</v>
      </c>
      <c r="O46" s="45" t="s">
        <v>3631</v>
      </c>
      <c r="P46" s="45" t="s">
        <v>32</v>
      </c>
      <c r="Q46" s="51">
        <v>0.44305555555555554</v>
      </c>
      <c r="R46" s="2" t="str">
        <f t="shared" si="0"/>
        <v>Atraso</v>
      </c>
      <c r="S46" s="51">
        <v>0.44791666666666669</v>
      </c>
      <c r="T46" s="51">
        <v>0.46041666666666664</v>
      </c>
      <c r="U46" s="51">
        <v>0.46180555555555558</v>
      </c>
      <c r="V46" s="10">
        <f t="shared" si="1"/>
        <v>7.0000000000000551</v>
      </c>
      <c r="W46" s="15">
        <f t="shared" si="2"/>
        <v>17.999999999999936</v>
      </c>
      <c r="X46" s="38">
        <f t="shared" si="3"/>
        <v>-10.999999999999881</v>
      </c>
      <c r="Y46" s="10">
        <f t="shared" si="4"/>
        <v>28.999999999999815</v>
      </c>
      <c r="Z46" s="2" t="str">
        <f t="shared" si="5"/>
        <v>Subestimacion</v>
      </c>
      <c r="AA46" s="45" t="s">
        <v>3256</v>
      </c>
      <c r="AB46" s="2"/>
    </row>
    <row r="47" spans="1:28" ht="16">
      <c r="A47" s="44">
        <v>46169</v>
      </c>
      <c r="B47" s="45" t="s">
        <v>3393</v>
      </c>
      <c r="C47" s="45" t="s">
        <v>3443</v>
      </c>
      <c r="D47" s="45" t="s">
        <v>3492</v>
      </c>
      <c r="E47" s="45" t="s">
        <v>3538</v>
      </c>
      <c r="F47" s="33"/>
      <c r="G47" s="45" t="s">
        <v>3574</v>
      </c>
      <c r="H47" s="45" t="s">
        <v>3589</v>
      </c>
      <c r="I47" s="2"/>
      <c r="J47" s="35" t="str">
        <f>IF(H47&lt;&gt;"",IFERROR(VLOOKUP(IFERROR(LEFT(H47,FIND("-",H47)-1),H47),'Catalogo MINSAL'!A:E,5,FALSE),""),IF(I47&lt;&gt;"",IFERROR(VLOOKUP(IFERROR(LEFT(I47,FIND("-",I47)-1),I47),'Catalogo MINSAL'!A:E,5,FALSE),""),""))</f>
        <v>Cirugía Mayor</v>
      </c>
      <c r="K47" s="2"/>
      <c r="L47" s="48" t="s">
        <v>3599</v>
      </c>
      <c r="M47" s="45" t="s">
        <v>3606</v>
      </c>
      <c r="N47" s="45" t="s">
        <v>3619</v>
      </c>
      <c r="O47" s="45" t="s">
        <v>3631</v>
      </c>
      <c r="P47" s="45" t="s">
        <v>40</v>
      </c>
      <c r="Q47" s="51">
        <v>0.49652777777777779</v>
      </c>
      <c r="R47" s="2" t="str">
        <f t="shared" si="0"/>
        <v>Atraso</v>
      </c>
      <c r="S47" s="51">
        <v>0.50555555555555554</v>
      </c>
      <c r="T47" s="51">
        <v>0.51041666666666663</v>
      </c>
      <c r="U47" s="51">
        <v>0.51527777777777772</v>
      </c>
      <c r="V47" s="10">
        <f t="shared" si="1"/>
        <v>12.999999999999954</v>
      </c>
      <c r="W47" s="15">
        <f t="shared" si="2"/>
        <v>6.9999999999999751</v>
      </c>
      <c r="X47" s="38">
        <f t="shared" si="3"/>
        <v>5.9999999999999787</v>
      </c>
      <c r="Y47" s="10">
        <f t="shared" si="4"/>
        <v>0.99999999999999645</v>
      </c>
      <c r="Z47" s="2" t="str">
        <f t="shared" si="5"/>
        <v>Asertivo</v>
      </c>
      <c r="AA47" s="45" t="s">
        <v>3256</v>
      </c>
      <c r="AB47" s="2"/>
    </row>
    <row r="48" spans="1:28" ht="16">
      <c r="A48" s="44">
        <v>46169</v>
      </c>
      <c r="B48" s="45" t="s">
        <v>3394</v>
      </c>
      <c r="C48" s="45" t="s">
        <v>3444</v>
      </c>
      <c r="D48" s="45" t="s">
        <v>3493</v>
      </c>
      <c r="E48" s="45" t="s">
        <v>3539</v>
      </c>
      <c r="F48" s="33"/>
      <c r="G48" s="45" t="s">
        <v>3572</v>
      </c>
      <c r="H48" s="45" t="s">
        <v>3587</v>
      </c>
      <c r="I48" s="2"/>
      <c r="J48" s="35" t="str">
        <f>IF(H48&lt;&gt;"",IFERROR(VLOOKUP(IFERROR(LEFT(H48,FIND("-",H48)-1),H48),'Catalogo MINSAL'!A:E,5,FALSE),""),IF(I48&lt;&gt;"",IFERROR(VLOOKUP(IFERROR(LEFT(I48,FIND("-",I48)-1),I48),'Catalogo MINSAL'!A:E,5,FALSE),""),""))</f>
        <v>Cirugía Mayor</v>
      </c>
      <c r="K48" s="2"/>
      <c r="L48" s="48" t="s">
        <v>3599</v>
      </c>
      <c r="M48" s="45" t="s">
        <v>3606</v>
      </c>
      <c r="N48" s="45" t="s">
        <v>3619</v>
      </c>
      <c r="O48" s="45" t="s">
        <v>3631</v>
      </c>
      <c r="P48" s="45" t="s">
        <v>32</v>
      </c>
      <c r="Q48" s="51">
        <v>0.52430555555555558</v>
      </c>
      <c r="R48" s="2" t="str">
        <f t="shared" si="0"/>
        <v>Atraso</v>
      </c>
      <c r="S48" s="51">
        <v>0.53125</v>
      </c>
      <c r="T48" s="51">
        <v>0.53819444444444442</v>
      </c>
      <c r="U48" s="51">
        <v>0.5395833333333333</v>
      </c>
      <c r="V48" s="10">
        <f t="shared" si="1"/>
        <v>9.9999999999999645</v>
      </c>
      <c r="W48" s="15">
        <f t="shared" si="2"/>
        <v>9.9999999999999645</v>
      </c>
      <c r="X48" s="38">
        <f t="shared" si="3"/>
        <v>0</v>
      </c>
      <c r="Y48" s="10">
        <f t="shared" si="4"/>
        <v>9.9999999999999645</v>
      </c>
      <c r="Z48" s="2" t="str">
        <f t="shared" si="5"/>
        <v>Asertivo</v>
      </c>
      <c r="AA48" s="45" t="s">
        <v>3256</v>
      </c>
      <c r="AB48" s="2"/>
    </row>
    <row r="49" spans="1:28" ht="16">
      <c r="A49" s="44">
        <v>46169</v>
      </c>
      <c r="B49" s="45" t="s">
        <v>3395</v>
      </c>
      <c r="C49" s="45" t="s">
        <v>3445</v>
      </c>
      <c r="D49" s="45" t="s">
        <v>3494</v>
      </c>
      <c r="E49" s="45" t="s">
        <v>3540</v>
      </c>
      <c r="F49" s="33"/>
      <c r="G49" s="45" t="s">
        <v>3572</v>
      </c>
      <c r="H49" s="45" t="s">
        <v>3587</v>
      </c>
      <c r="I49" s="2"/>
      <c r="J49" s="35" t="str">
        <f>IF(H49&lt;&gt;"",IFERROR(VLOOKUP(IFERROR(LEFT(H49,FIND("-",H49)-1),H49),'Catalogo MINSAL'!A:E,5,FALSE),""),IF(I49&lt;&gt;"",IFERROR(VLOOKUP(IFERROR(LEFT(I49,FIND("-",I49)-1),I49),'Catalogo MINSAL'!A:E,5,FALSE),""),""))</f>
        <v>Cirugía Mayor</v>
      </c>
      <c r="K49" s="2"/>
      <c r="L49" s="48" t="s">
        <v>3599</v>
      </c>
      <c r="M49" s="45" t="s">
        <v>3606</v>
      </c>
      <c r="N49" s="45" t="s">
        <v>3619</v>
      </c>
      <c r="O49" s="45" t="s">
        <v>3631</v>
      </c>
      <c r="P49" s="45" t="s">
        <v>32</v>
      </c>
      <c r="Q49" s="51">
        <v>0.58680555555555558</v>
      </c>
      <c r="R49" s="2" t="str">
        <f t="shared" si="0"/>
        <v>Atraso</v>
      </c>
      <c r="S49" s="51">
        <v>0.59722222222222221</v>
      </c>
      <c r="T49" s="51">
        <v>0.61736111111111114</v>
      </c>
      <c r="U49" s="51">
        <v>0.61944444444444446</v>
      </c>
      <c r="V49" s="10">
        <f t="shared" si="1"/>
        <v>14.999999999999947</v>
      </c>
      <c r="W49" s="15">
        <f t="shared" si="2"/>
        <v>29.000000000000057</v>
      </c>
      <c r="X49" s="38">
        <f t="shared" si="3"/>
        <v>-14.00000000000011</v>
      </c>
      <c r="Y49" s="10">
        <f t="shared" si="4"/>
        <v>43.000000000000171</v>
      </c>
      <c r="Z49" s="2" t="str">
        <f t="shared" si="5"/>
        <v>Subestimacion</v>
      </c>
      <c r="AA49" s="45" t="s">
        <v>3256</v>
      </c>
      <c r="AB49" s="2"/>
    </row>
    <row r="50" spans="1:28" ht="16">
      <c r="A50" s="44">
        <v>46169</v>
      </c>
      <c r="B50" s="45" t="s">
        <v>3396</v>
      </c>
      <c r="C50" s="45" t="s">
        <v>3446</v>
      </c>
      <c r="D50" s="45" t="s">
        <v>3495</v>
      </c>
      <c r="E50" s="45" t="s">
        <v>3541</v>
      </c>
      <c r="F50" s="33"/>
      <c r="G50" s="45" t="s">
        <v>3572</v>
      </c>
      <c r="H50" s="45" t="s">
        <v>3587</v>
      </c>
      <c r="I50" s="2"/>
      <c r="J50" s="35" t="str">
        <f>IF(H50&lt;&gt;"",IFERROR(VLOOKUP(IFERROR(LEFT(H50,FIND("-",H50)-1),H50),'Catalogo MINSAL'!A:E,5,FALSE),""),IF(I50&lt;&gt;"",IFERROR(VLOOKUP(IFERROR(LEFT(I50,FIND("-",I50)-1),I50),'Catalogo MINSAL'!A:E,5,FALSE),""),""))</f>
        <v>Cirugía Mayor</v>
      </c>
      <c r="K50" s="2"/>
      <c r="L50" s="48" t="s">
        <v>3599</v>
      </c>
      <c r="M50" s="45" t="s">
        <v>3606</v>
      </c>
      <c r="N50" s="45" t="s">
        <v>3619</v>
      </c>
      <c r="O50" s="45" t="s">
        <v>3631</v>
      </c>
      <c r="P50" s="45" t="s">
        <v>32</v>
      </c>
      <c r="Q50" s="51">
        <v>0.62152777777777779</v>
      </c>
      <c r="R50" s="2" t="str">
        <f t="shared" si="0"/>
        <v>Atraso</v>
      </c>
      <c r="S50" s="51">
        <v>0.63055555555555554</v>
      </c>
      <c r="T50" s="51">
        <v>0.64444444444444449</v>
      </c>
      <c r="U50" s="51">
        <v>0.64583333333333337</v>
      </c>
      <c r="V50" s="10">
        <f t="shared" si="1"/>
        <v>12.999999999999954</v>
      </c>
      <c r="W50" s="15">
        <f t="shared" si="2"/>
        <v>20.000000000000089</v>
      </c>
      <c r="X50" s="38">
        <f t="shared" si="3"/>
        <v>-7.000000000000135</v>
      </c>
      <c r="Y50" s="10">
        <f t="shared" si="4"/>
        <v>27.000000000000224</v>
      </c>
      <c r="Z50" s="2" t="str">
        <f t="shared" si="5"/>
        <v>Subestimacion</v>
      </c>
      <c r="AA50" s="45" t="s">
        <v>3256</v>
      </c>
      <c r="AB50" s="2"/>
    </row>
    <row r="51" spans="1:28" ht="16">
      <c r="A51" s="44">
        <v>46169</v>
      </c>
      <c r="B51" s="45" t="s">
        <v>3397</v>
      </c>
      <c r="C51" s="45" t="s">
        <v>3447</v>
      </c>
      <c r="D51" s="45" t="s">
        <v>3496</v>
      </c>
      <c r="E51" s="45" t="s">
        <v>3542</v>
      </c>
      <c r="F51" s="33"/>
      <c r="G51" s="45" t="s">
        <v>3572</v>
      </c>
      <c r="H51" s="45" t="s">
        <v>3587</v>
      </c>
      <c r="I51" s="2"/>
      <c r="J51" s="35" t="str">
        <f>IF(H51&lt;&gt;"",IFERROR(VLOOKUP(IFERROR(LEFT(H51,FIND("-",H51)-1),H51),'Catalogo MINSAL'!A:E,5,FALSE),""),IF(I51&lt;&gt;"",IFERROR(VLOOKUP(IFERROR(LEFT(I51,FIND("-",I51)-1),I51),'Catalogo MINSAL'!A:E,5,FALSE),""),""))</f>
        <v>Cirugía Mayor</v>
      </c>
      <c r="K51" s="2"/>
      <c r="L51" s="48" t="s">
        <v>3599</v>
      </c>
      <c r="M51" s="45" t="s">
        <v>3606</v>
      </c>
      <c r="N51" s="45" t="s">
        <v>3619</v>
      </c>
      <c r="O51" s="45" t="s">
        <v>3631</v>
      </c>
      <c r="P51" s="45" t="s">
        <v>40</v>
      </c>
      <c r="Q51" s="51">
        <v>0.65</v>
      </c>
      <c r="R51" s="2" t="str">
        <f t="shared" si="0"/>
        <v>Atraso</v>
      </c>
      <c r="S51" s="51">
        <v>0.65416666666666667</v>
      </c>
      <c r="T51" s="51">
        <v>0.66041666666666665</v>
      </c>
      <c r="U51" s="51">
        <v>0.66249999999999998</v>
      </c>
      <c r="V51" s="10">
        <f t="shared" si="1"/>
        <v>5.9999999999999787</v>
      </c>
      <c r="W51" s="15">
        <f t="shared" si="2"/>
        <v>8.999999999999968</v>
      </c>
      <c r="X51" s="38">
        <f t="shared" si="3"/>
        <v>-2.9999999999999893</v>
      </c>
      <c r="Y51" s="10">
        <f t="shared" si="4"/>
        <v>11.999999999999957</v>
      </c>
      <c r="Z51" s="2" t="str">
        <f t="shared" si="5"/>
        <v>Asertivo</v>
      </c>
      <c r="AA51" s="45" t="s">
        <v>3256</v>
      </c>
      <c r="AB51" s="2"/>
    </row>
    <row r="52" spans="1:28" ht="16">
      <c r="A52" s="44">
        <v>46169</v>
      </c>
      <c r="B52" s="45" t="s">
        <v>3398</v>
      </c>
      <c r="C52" s="45" t="s">
        <v>3448</v>
      </c>
      <c r="D52" s="45" t="s">
        <v>3497</v>
      </c>
      <c r="E52" s="45" t="s">
        <v>3543</v>
      </c>
      <c r="F52" s="33"/>
      <c r="G52" s="45" t="s">
        <v>3572</v>
      </c>
      <c r="H52" s="45" t="s">
        <v>3587</v>
      </c>
      <c r="I52" s="2"/>
      <c r="J52" s="35" t="str">
        <f>IF(H52&lt;&gt;"",IFERROR(VLOOKUP(IFERROR(LEFT(H52,FIND("-",H52)-1),H52),'Catalogo MINSAL'!A:E,5,FALSE),""),IF(I52&lt;&gt;"",IFERROR(VLOOKUP(IFERROR(LEFT(I52,FIND("-",I52)-1),I52),'Catalogo MINSAL'!A:E,5,FALSE),""),""))</f>
        <v>Cirugía Mayor</v>
      </c>
      <c r="K52" s="2"/>
      <c r="L52" s="48" t="s">
        <v>3599</v>
      </c>
      <c r="M52" s="45" t="s">
        <v>3606</v>
      </c>
      <c r="N52" s="45" t="s">
        <v>3619</v>
      </c>
      <c r="O52" s="45" t="s">
        <v>3631</v>
      </c>
      <c r="P52" s="45" t="s">
        <v>32</v>
      </c>
      <c r="Q52" s="51">
        <v>0.66666666666666663</v>
      </c>
      <c r="R52" s="2" t="str">
        <f t="shared" si="0"/>
        <v>Atraso</v>
      </c>
      <c r="S52" s="51">
        <v>0.6694444444444444</v>
      </c>
      <c r="T52" s="51">
        <v>0.67847222222222225</v>
      </c>
      <c r="U52" s="51">
        <v>0.68125000000000002</v>
      </c>
      <c r="V52" s="10">
        <f t="shared" si="1"/>
        <v>3.9999999999999858</v>
      </c>
      <c r="W52" s="15">
        <f t="shared" si="2"/>
        <v>13.000000000000114</v>
      </c>
      <c r="X52" s="38">
        <f t="shared" si="3"/>
        <v>-9.0000000000001279</v>
      </c>
      <c r="Y52" s="10">
        <f t="shared" si="4"/>
        <v>22.000000000000242</v>
      </c>
      <c r="Z52" s="2" t="str">
        <f t="shared" si="5"/>
        <v>Subestimacion</v>
      </c>
      <c r="AA52" s="45" t="s">
        <v>3256</v>
      </c>
      <c r="AB52" s="2"/>
    </row>
    <row r="53" spans="1:28" ht="16">
      <c r="A53" s="44">
        <v>46170</v>
      </c>
      <c r="B53" s="45" t="s">
        <v>3399</v>
      </c>
      <c r="C53" s="45" t="s">
        <v>3449</v>
      </c>
      <c r="D53" s="45" t="s">
        <v>3498</v>
      </c>
      <c r="E53" s="45" t="s">
        <v>3544</v>
      </c>
      <c r="F53" s="33"/>
      <c r="G53" s="45" t="s">
        <v>2369</v>
      </c>
      <c r="H53" s="45" t="s">
        <v>3590</v>
      </c>
      <c r="I53" s="2"/>
      <c r="J53" s="35" t="str">
        <f>IF(H53&lt;&gt;"",IFERROR(VLOOKUP(IFERROR(LEFT(H53,FIND("-",H53)-1),H53),'Catalogo MINSAL'!A:E,5,FALSE),""),IF(I53&lt;&gt;"",IFERROR(VLOOKUP(IFERROR(LEFT(I53,FIND("-",I53)-1),I53),'Catalogo MINSAL'!A:E,5,FALSE),""),""))</f>
        <v>Cirugía Mayor</v>
      </c>
      <c r="K53" s="2"/>
      <c r="L53" s="49" t="s">
        <v>3600</v>
      </c>
      <c r="M53" s="45" t="s">
        <v>3607</v>
      </c>
      <c r="N53" s="45" t="s">
        <v>3620</v>
      </c>
      <c r="O53" s="45" t="s">
        <v>3632</v>
      </c>
      <c r="P53" s="45" t="s">
        <v>32</v>
      </c>
      <c r="Q53" s="51">
        <v>0.34722222222222221</v>
      </c>
      <c r="R53" s="2" t="str">
        <f t="shared" si="0"/>
        <v>Atraso</v>
      </c>
      <c r="S53" s="51">
        <v>0.36458333333333331</v>
      </c>
      <c r="T53" s="51">
        <v>0.41319444444444442</v>
      </c>
      <c r="U53" s="51">
        <v>0.4201388888888889</v>
      </c>
      <c r="V53" s="10">
        <f t="shared" si="1"/>
        <v>24.999999999999993</v>
      </c>
      <c r="W53" s="15">
        <f t="shared" si="2"/>
        <v>69.999999999999986</v>
      </c>
      <c r="X53" s="38">
        <f t="shared" si="3"/>
        <v>-44.999999999999993</v>
      </c>
      <c r="Y53" s="10">
        <f t="shared" si="4"/>
        <v>114.99999999999997</v>
      </c>
      <c r="Z53" s="2" t="str">
        <f t="shared" si="5"/>
        <v>Subestimacion</v>
      </c>
      <c r="AA53" s="45" t="s">
        <v>3256</v>
      </c>
      <c r="AB53" s="2"/>
    </row>
    <row r="54" spans="1:28" ht="16">
      <c r="A54" s="44">
        <v>46170</v>
      </c>
      <c r="B54" s="45" t="s">
        <v>3400</v>
      </c>
      <c r="C54" s="45" t="s">
        <v>3450</v>
      </c>
      <c r="D54" s="45" t="s">
        <v>3499</v>
      </c>
      <c r="E54" s="45" t="s">
        <v>3545</v>
      </c>
      <c r="F54" s="33"/>
      <c r="G54" s="45" t="s">
        <v>3575</v>
      </c>
      <c r="H54" s="45" t="s">
        <v>3591</v>
      </c>
      <c r="I54" s="2"/>
      <c r="J54" s="35" t="str">
        <f>IF(H54&lt;&gt;"",IFERROR(VLOOKUP(IFERROR(LEFT(H54,FIND("-",H54)-1),H54),'Catalogo MINSAL'!A:E,5,FALSE),""),IF(I54&lt;&gt;"",IFERROR(VLOOKUP(IFERROR(LEFT(I54,FIND("-",I54)-1),I54),'Catalogo MINSAL'!A:E,5,FALSE),""),""))</f>
        <v>Cirugía Mayor</v>
      </c>
      <c r="K54" s="2"/>
      <c r="L54" s="49" t="s">
        <v>3600</v>
      </c>
      <c r="M54" s="45" t="s">
        <v>3607</v>
      </c>
      <c r="N54" s="45" t="s">
        <v>3620</v>
      </c>
      <c r="O54" s="45" t="s">
        <v>3632</v>
      </c>
      <c r="P54" s="45" t="s">
        <v>32</v>
      </c>
      <c r="Q54" s="51">
        <v>0.43055555555555558</v>
      </c>
      <c r="R54" s="2" t="str">
        <f t="shared" si="0"/>
        <v>Atraso</v>
      </c>
      <c r="S54" s="51">
        <v>0.4548611111111111</v>
      </c>
      <c r="T54" s="51">
        <v>0.50347222222222221</v>
      </c>
      <c r="U54" s="51">
        <v>0.51388888888888884</v>
      </c>
      <c r="V54" s="10">
        <f t="shared" si="1"/>
        <v>34.999999999999957</v>
      </c>
      <c r="W54" s="15">
        <f t="shared" si="2"/>
        <v>69.999999999999986</v>
      </c>
      <c r="X54" s="38">
        <f t="shared" si="3"/>
        <v>-35.000000000000028</v>
      </c>
      <c r="Y54" s="10">
        <f t="shared" si="4"/>
        <v>105.00000000000001</v>
      </c>
      <c r="Z54" s="2" t="str">
        <f t="shared" si="5"/>
        <v>Subestimacion</v>
      </c>
      <c r="AA54" s="45" t="s">
        <v>3256</v>
      </c>
      <c r="AB54" s="2"/>
    </row>
    <row r="55" spans="1:28" ht="16">
      <c r="A55" s="44">
        <v>46170</v>
      </c>
      <c r="B55" s="45" t="s">
        <v>3401</v>
      </c>
      <c r="C55" s="45" t="s">
        <v>3451</v>
      </c>
      <c r="D55" s="45" t="s">
        <v>3500</v>
      </c>
      <c r="E55" s="45" t="s">
        <v>3546</v>
      </c>
      <c r="F55" s="33"/>
      <c r="G55" s="45" t="s">
        <v>3576</v>
      </c>
      <c r="H55" s="45">
        <v>1902076</v>
      </c>
      <c r="I55" s="2"/>
      <c r="J55" s="35" t="str">
        <f>IF(H55&lt;&gt;"",IFERROR(VLOOKUP(IFERROR(LEFT(H55,FIND("-",H55)-1),H55),'Catalogo MINSAL'!A:E,5,FALSE),""),IF(I55&lt;&gt;"",IFERROR(VLOOKUP(IFERROR(LEFT(I55,FIND("-",I55)-1),I55),'Catalogo MINSAL'!A:E,5,FALSE),""),""))</f>
        <v/>
      </c>
      <c r="K55" s="2"/>
      <c r="L55" s="49" t="s">
        <v>3600</v>
      </c>
      <c r="M55" s="45" t="s">
        <v>3607</v>
      </c>
      <c r="N55" s="45" t="s">
        <v>3621</v>
      </c>
      <c r="O55" s="45" t="s">
        <v>3632</v>
      </c>
      <c r="P55" s="45" t="s">
        <v>32</v>
      </c>
      <c r="Q55" s="51">
        <v>0.52083333333333337</v>
      </c>
      <c r="R55" s="2" t="str">
        <f t="shared" si="0"/>
        <v>Atraso</v>
      </c>
      <c r="S55" s="51">
        <v>0.54097222222222219</v>
      </c>
      <c r="T55" s="51">
        <v>0.56041666666666667</v>
      </c>
      <c r="U55" s="51">
        <v>0.56458333333333333</v>
      </c>
      <c r="V55" s="10">
        <f t="shared" si="1"/>
        <v>28.999999999999897</v>
      </c>
      <c r="W55" s="15">
        <f t="shared" si="2"/>
        <v>28.00000000000006</v>
      </c>
      <c r="X55" s="38">
        <f t="shared" si="3"/>
        <v>0.99999999999983658</v>
      </c>
      <c r="Y55" s="10">
        <f t="shared" si="4"/>
        <v>27.000000000000224</v>
      </c>
      <c r="Z55" s="2" t="str">
        <f t="shared" si="5"/>
        <v>Subestimacion</v>
      </c>
      <c r="AA55" s="45" t="s">
        <v>3256</v>
      </c>
      <c r="AB55" s="2"/>
    </row>
    <row r="56" spans="1:28" ht="16">
      <c r="A56" s="44">
        <v>46170</v>
      </c>
      <c r="B56" s="45" t="s">
        <v>3402</v>
      </c>
      <c r="C56" s="45" t="s">
        <v>3452</v>
      </c>
      <c r="D56" s="45" t="s">
        <v>3501</v>
      </c>
      <c r="E56" s="45" t="s">
        <v>3547</v>
      </c>
      <c r="F56" s="33"/>
      <c r="G56" s="45" t="s">
        <v>3576</v>
      </c>
      <c r="H56" s="45">
        <v>1902076</v>
      </c>
      <c r="I56" s="2"/>
      <c r="J56" s="35" t="str">
        <f>IF(H56&lt;&gt;"",IFERROR(VLOOKUP(IFERROR(LEFT(H56,FIND("-",H56)-1),H56),'Catalogo MINSAL'!A:E,5,FALSE),""),IF(I56&lt;&gt;"",IFERROR(VLOOKUP(IFERROR(LEFT(I56,FIND("-",I56)-1),I56),'Catalogo MINSAL'!A:E,5,FALSE),""),""))</f>
        <v/>
      </c>
      <c r="K56" s="2"/>
      <c r="L56" s="49" t="s">
        <v>3600</v>
      </c>
      <c r="M56" s="45" t="s">
        <v>3607</v>
      </c>
      <c r="N56" s="45" t="s">
        <v>3621</v>
      </c>
      <c r="O56" s="45" t="s">
        <v>3632</v>
      </c>
      <c r="P56" s="45" t="s">
        <v>32</v>
      </c>
      <c r="Q56" s="51">
        <v>0.5756944444444444</v>
      </c>
      <c r="R56" s="2" t="str">
        <f t="shared" si="0"/>
        <v>Atraso</v>
      </c>
      <c r="S56" s="51">
        <v>0.58750000000000002</v>
      </c>
      <c r="T56" s="51">
        <v>0.60763888888888884</v>
      </c>
      <c r="U56" s="51">
        <v>0.61527777777777781</v>
      </c>
      <c r="V56" s="10">
        <f t="shared" si="1"/>
        <v>17.000000000000099</v>
      </c>
      <c r="W56" s="15">
        <f t="shared" si="2"/>
        <v>28.999999999999897</v>
      </c>
      <c r="X56" s="38">
        <f t="shared" si="3"/>
        <v>-11.999999999999797</v>
      </c>
      <c r="Y56" s="10">
        <f t="shared" si="4"/>
        <v>40.999999999999694</v>
      </c>
      <c r="Z56" s="2" t="str">
        <f t="shared" si="5"/>
        <v>Subestimacion</v>
      </c>
      <c r="AA56" s="45" t="s">
        <v>3256</v>
      </c>
      <c r="AB56" s="2"/>
    </row>
    <row r="57" spans="1:28" ht="16">
      <c r="A57" s="44">
        <v>46170</v>
      </c>
      <c r="B57" s="45" t="s">
        <v>3403</v>
      </c>
      <c r="C57" s="45" t="s">
        <v>3453</v>
      </c>
      <c r="D57" s="45" t="s">
        <v>3502</v>
      </c>
      <c r="E57" s="45" t="s">
        <v>3548</v>
      </c>
      <c r="F57" s="33"/>
      <c r="G57" s="45" t="s">
        <v>3576</v>
      </c>
      <c r="H57" s="45">
        <v>1902076</v>
      </c>
      <c r="I57" s="2"/>
      <c r="J57" s="35" t="str">
        <f>IF(H57&lt;&gt;"",IFERROR(VLOOKUP(IFERROR(LEFT(H57,FIND("-",H57)-1),H57),'Catalogo MINSAL'!A:E,5,FALSE),""),IF(I57&lt;&gt;"",IFERROR(VLOOKUP(IFERROR(LEFT(I57,FIND("-",I57)-1),I57),'Catalogo MINSAL'!A:E,5,FALSE),""),""))</f>
        <v/>
      </c>
      <c r="K57" s="2"/>
      <c r="L57" s="49" t="s">
        <v>3600</v>
      </c>
      <c r="M57" s="45" t="s">
        <v>3607</v>
      </c>
      <c r="N57" s="45" t="s">
        <v>3621</v>
      </c>
      <c r="O57" s="45" t="s">
        <v>3632</v>
      </c>
      <c r="P57" s="45" t="s">
        <v>40</v>
      </c>
      <c r="Q57" s="51">
        <v>0.62569444444444444</v>
      </c>
      <c r="R57" s="2" t="str">
        <f t="shared" si="0"/>
        <v>Atraso</v>
      </c>
      <c r="S57" s="51">
        <v>0.63541666666666663</v>
      </c>
      <c r="T57" s="51">
        <v>0.65625</v>
      </c>
      <c r="U57" s="51">
        <v>0.66111111111111109</v>
      </c>
      <c r="V57" s="10">
        <f t="shared" si="1"/>
        <v>13.99999999999995</v>
      </c>
      <c r="W57" s="15">
        <f t="shared" si="2"/>
        <v>30.000000000000053</v>
      </c>
      <c r="X57" s="38">
        <f t="shared" si="3"/>
        <v>-16.000000000000103</v>
      </c>
      <c r="Y57" s="10">
        <f t="shared" si="4"/>
        <v>46.000000000000156</v>
      </c>
      <c r="Z57" s="2" t="str">
        <f t="shared" si="5"/>
        <v>Subestimacion</v>
      </c>
      <c r="AA57" s="45" t="s">
        <v>3256</v>
      </c>
      <c r="AB57" s="2"/>
    </row>
    <row r="58" spans="1:28" ht="16">
      <c r="A58" s="44">
        <v>46170</v>
      </c>
      <c r="B58" s="45" t="s">
        <v>3404</v>
      </c>
      <c r="C58" s="45" t="s">
        <v>3454</v>
      </c>
      <c r="D58" s="45" t="s">
        <v>3503</v>
      </c>
      <c r="E58" s="45" t="s">
        <v>3549</v>
      </c>
      <c r="F58" s="33"/>
      <c r="G58" s="45" t="s">
        <v>3577</v>
      </c>
      <c r="H58" s="45" t="s">
        <v>3592</v>
      </c>
      <c r="I58" s="2"/>
      <c r="J58" s="35" t="str">
        <f>IF(H58&lt;&gt;"",IFERROR(VLOOKUP(IFERROR(LEFT(H58,FIND("-",H58)-1),H58),'Catalogo MINSAL'!A:E,5,FALSE),""),IF(I58&lt;&gt;"",IFERROR(VLOOKUP(IFERROR(LEFT(I58,FIND("-",I58)-1),I58),'Catalogo MINSAL'!A:E,5,FALSE),""),""))</f>
        <v>Cirugía Menor</v>
      </c>
      <c r="K58" s="2"/>
      <c r="L58" s="49" t="s">
        <v>3600</v>
      </c>
      <c r="M58" s="45" t="s">
        <v>3607</v>
      </c>
      <c r="N58" s="45" t="s">
        <v>3621</v>
      </c>
      <c r="O58" s="45" t="s">
        <v>3632</v>
      </c>
      <c r="P58" s="45" t="s">
        <v>40</v>
      </c>
      <c r="Q58" s="51">
        <v>0.66666666666666663</v>
      </c>
      <c r="R58" s="2" t="str">
        <f t="shared" si="0"/>
        <v>Atraso</v>
      </c>
      <c r="S58" s="51">
        <v>0.67361111111111116</v>
      </c>
      <c r="T58" s="51">
        <v>0.6875</v>
      </c>
      <c r="U58" s="51">
        <v>0.69097222222222221</v>
      </c>
      <c r="V58" s="10">
        <f t="shared" si="1"/>
        <v>10.000000000000124</v>
      </c>
      <c r="W58" s="15">
        <f t="shared" si="2"/>
        <v>19.999999999999929</v>
      </c>
      <c r="X58" s="38">
        <f t="shared" si="3"/>
        <v>-9.9999999999998046</v>
      </c>
      <c r="Y58" s="10">
        <f t="shared" si="4"/>
        <v>29.999999999999734</v>
      </c>
      <c r="Z58" s="2" t="str">
        <f t="shared" si="5"/>
        <v>Subestimacion</v>
      </c>
      <c r="AA58" s="45" t="s">
        <v>3256</v>
      </c>
      <c r="AB58" s="2"/>
    </row>
    <row r="59" spans="1:28" ht="16">
      <c r="A59" s="44">
        <v>46170</v>
      </c>
      <c r="B59" s="45" t="s">
        <v>3405</v>
      </c>
      <c r="C59" s="45" t="s">
        <v>3455</v>
      </c>
      <c r="D59" s="45" t="s">
        <v>3504</v>
      </c>
      <c r="E59" s="45" t="s">
        <v>3550</v>
      </c>
      <c r="F59" s="33"/>
      <c r="G59" s="45" t="s">
        <v>3575</v>
      </c>
      <c r="H59" s="45" t="s">
        <v>3591</v>
      </c>
      <c r="I59" s="2"/>
      <c r="J59" s="35" t="str">
        <f>IF(H59&lt;&gt;"",IFERROR(VLOOKUP(IFERROR(LEFT(H59,FIND("-",H59)-1),H59),'Catalogo MINSAL'!A:E,5,FALSE),""),IF(I59&lt;&gt;"",IFERROR(VLOOKUP(IFERROR(LEFT(I59,FIND("-",I59)-1),I59),'Catalogo MINSAL'!A:E,5,FALSE),""),""))</f>
        <v>Cirugía Mayor</v>
      </c>
      <c r="K59" s="2"/>
      <c r="L59" s="49" t="s">
        <v>3600</v>
      </c>
      <c r="M59" s="45" t="s">
        <v>3607</v>
      </c>
      <c r="N59" s="45" t="s">
        <v>3621</v>
      </c>
      <c r="O59" s="45" t="s">
        <v>3632</v>
      </c>
      <c r="P59" s="45" t="s">
        <v>51</v>
      </c>
      <c r="Q59" s="46"/>
      <c r="R59" s="2" t="str">
        <f t="shared" si="0"/>
        <v/>
      </c>
      <c r="S59" s="46"/>
      <c r="T59" s="46"/>
      <c r="U59" s="46"/>
      <c r="V59" s="10" t="str">
        <f t="shared" si="1"/>
        <v/>
      </c>
      <c r="W59" s="15" t="str">
        <f t="shared" si="2"/>
        <v/>
      </c>
      <c r="X59" s="38" t="str">
        <f t="shared" si="3"/>
        <v/>
      </c>
      <c r="Y59" s="10" t="str">
        <f t="shared" si="4"/>
        <v/>
      </c>
      <c r="Z59" s="2" t="str">
        <f t="shared" si="5"/>
        <v/>
      </c>
      <c r="AA59" s="53" t="s">
        <v>3633</v>
      </c>
      <c r="AB59" s="2"/>
    </row>
    <row r="60" spans="1:28" ht="16">
      <c r="A60" s="44">
        <v>46170</v>
      </c>
      <c r="B60" s="45" t="s">
        <v>3406</v>
      </c>
      <c r="C60" s="45" t="s">
        <v>3456</v>
      </c>
      <c r="D60" s="45" t="s">
        <v>3505</v>
      </c>
      <c r="E60" s="45" t="s">
        <v>3551</v>
      </c>
      <c r="F60" s="33"/>
      <c r="G60" s="45" t="s">
        <v>3572</v>
      </c>
      <c r="H60" s="45" t="s">
        <v>3587</v>
      </c>
      <c r="I60" s="2"/>
      <c r="J60" s="35" t="str">
        <f>IF(H60&lt;&gt;"",IFERROR(VLOOKUP(IFERROR(LEFT(H60,FIND("-",H60)-1),H60),'Catalogo MINSAL'!A:E,5,FALSE),""),IF(I60&lt;&gt;"",IFERROR(VLOOKUP(IFERROR(LEFT(I60,FIND("-",I60)-1),I60),'Catalogo MINSAL'!A:E,5,FALSE),""),""))</f>
        <v>Cirugía Mayor</v>
      </c>
      <c r="K60" s="2"/>
      <c r="L60" s="48" t="s">
        <v>3599</v>
      </c>
      <c r="M60" s="45" t="s">
        <v>3608</v>
      </c>
      <c r="N60" s="45" t="s">
        <v>3622</v>
      </c>
      <c r="O60" s="45" t="s">
        <v>3631</v>
      </c>
      <c r="P60" s="45" t="s">
        <v>40</v>
      </c>
      <c r="Q60" s="51">
        <v>0.38194444444444442</v>
      </c>
      <c r="R60" s="2" t="str">
        <f t="shared" si="0"/>
        <v>Atraso</v>
      </c>
      <c r="S60" s="51">
        <v>0.3888888888888889</v>
      </c>
      <c r="T60" s="51">
        <v>0.41180555555555554</v>
      </c>
      <c r="U60" s="51">
        <v>0.41319444444444442</v>
      </c>
      <c r="V60" s="10">
        <f t="shared" si="1"/>
        <v>10.000000000000044</v>
      </c>
      <c r="W60" s="15">
        <f t="shared" si="2"/>
        <v>32.999999999999964</v>
      </c>
      <c r="X60" s="38">
        <f t="shared" si="3"/>
        <v>-22.999999999999922</v>
      </c>
      <c r="Y60" s="10">
        <f t="shared" si="4"/>
        <v>55.999999999999886</v>
      </c>
      <c r="Z60" s="2" t="str">
        <f t="shared" si="5"/>
        <v>Subestimacion</v>
      </c>
      <c r="AA60" s="45" t="s">
        <v>3256</v>
      </c>
      <c r="AB60" s="2"/>
    </row>
    <row r="61" spans="1:28" ht="16">
      <c r="A61" s="44">
        <v>46170</v>
      </c>
      <c r="B61" s="45" t="s">
        <v>3407</v>
      </c>
      <c r="C61" s="45" t="s">
        <v>3457</v>
      </c>
      <c r="D61" s="45" t="s">
        <v>3506</v>
      </c>
      <c r="E61" s="45" t="s">
        <v>3552</v>
      </c>
      <c r="F61" s="33"/>
      <c r="G61" s="45" t="s">
        <v>3572</v>
      </c>
      <c r="H61" s="45" t="s">
        <v>3587</v>
      </c>
      <c r="I61" s="2"/>
      <c r="J61" s="35" t="str">
        <f>IF(H61&lt;&gt;"",IFERROR(VLOOKUP(IFERROR(LEFT(H61,FIND("-",H61)-1),H61),'Catalogo MINSAL'!A:E,5,FALSE),""),IF(I61&lt;&gt;"",IFERROR(VLOOKUP(IFERROR(LEFT(I61,FIND("-",I61)-1),I61),'Catalogo MINSAL'!A:E,5,FALSE),""),""))</f>
        <v>Cirugía Mayor</v>
      </c>
      <c r="K61" s="2"/>
      <c r="L61" s="48" t="s">
        <v>3599</v>
      </c>
      <c r="M61" s="45" t="s">
        <v>3608</v>
      </c>
      <c r="N61" s="45" t="s">
        <v>3622</v>
      </c>
      <c r="O61" s="45" t="s">
        <v>3631</v>
      </c>
      <c r="P61" s="45" t="s">
        <v>32</v>
      </c>
      <c r="Q61" s="51">
        <v>0.41875000000000001</v>
      </c>
      <c r="R61" s="2" t="str">
        <f t="shared" si="0"/>
        <v>Atraso</v>
      </c>
      <c r="S61" s="51">
        <v>0.42152777777777778</v>
      </c>
      <c r="T61" s="51">
        <v>0.43958333333333333</v>
      </c>
      <c r="U61" s="51">
        <v>0.44097222222222221</v>
      </c>
      <c r="V61" s="10">
        <f t="shared" si="1"/>
        <v>3.9999999999999858</v>
      </c>
      <c r="W61" s="15">
        <f t="shared" si="2"/>
        <v>25.999999999999986</v>
      </c>
      <c r="X61" s="38">
        <f t="shared" si="3"/>
        <v>-22</v>
      </c>
      <c r="Y61" s="10">
        <f t="shared" si="4"/>
        <v>47.999999999999986</v>
      </c>
      <c r="Z61" s="2" t="str">
        <f t="shared" si="5"/>
        <v>Subestimacion</v>
      </c>
      <c r="AA61" s="45" t="s">
        <v>3256</v>
      </c>
      <c r="AB61" s="2"/>
    </row>
    <row r="62" spans="1:28" ht="16">
      <c r="A62" s="44">
        <v>46170</v>
      </c>
      <c r="B62" s="45" t="s">
        <v>3408</v>
      </c>
      <c r="C62" s="45" t="s">
        <v>3458</v>
      </c>
      <c r="D62" s="45" t="s">
        <v>3507</v>
      </c>
      <c r="E62" s="45" t="s">
        <v>3553</v>
      </c>
      <c r="F62" s="33"/>
      <c r="G62" s="45" t="s">
        <v>3572</v>
      </c>
      <c r="H62" s="45" t="s">
        <v>3587</v>
      </c>
      <c r="I62" s="2"/>
      <c r="J62" s="35" t="str">
        <f>IF(H62&lt;&gt;"",IFERROR(VLOOKUP(IFERROR(LEFT(H62,FIND("-",H62)-1),H62),'Catalogo MINSAL'!A:E,5,FALSE),""),IF(I62&lt;&gt;"",IFERROR(VLOOKUP(IFERROR(LEFT(I62,FIND("-",I62)-1),I62),'Catalogo MINSAL'!A:E,5,FALSE),""),""))</f>
        <v>Cirugía Mayor</v>
      </c>
      <c r="K62" s="2"/>
      <c r="L62" s="48" t="s">
        <v>3599</v>
      </c>
      <c r="M62" s="45" t="s">
        <v>3608</v>
      </c>
      <c r="N62" s="45" t="s">
        <v>3622</v>
      </c>
      <c r="O62" s="45" t="s">
        <v>3631</v>
      </c>
      <c r="P62" s="45" t="s">
        <v>40</v>
      </c>
      <c r="Q62" s="51">
        <v>0.44444444444444442</v>
      </c>
      <c r="R62" s="2" t="str">
        <f t="shared" si="0"/>
        <v>Atraso</v>
      </c>
      <c r="S62" s="51">
        <v>0.44722222222222224</v>
      </c>
      <c r="T62" s="51">
        <v>0.46180555555555558</v>
      </c>
      <c r="U62" s="51">
        <v>0.46319444444444446</v>
      </c>
      <c r="V62" s="10">
        <f t="shared" si="1"/>
        <v>4.0000000000000657</v>
      </c>
      <c r="W62" s="15">
        <f t="shared" si="2"/>
        <v>21.000000000000007</v>
      </c>
      <c r="X62" s="38">
        <f t="shared" si="3"/>
        <v>-16.999999999999943</v>
      </c>
      <c r="Y62" s="10">
        <f t="shared" si="4"/>
        <v>37.99999999999995</v>
      </c>
      <c r="Z62" s="2" t="str">
        <f t="shared" si="5"/>
        <v>Subestimacion</v>
      </c>
      <c r="AA62" s="52" t="s">
        <v>3636</v>
      </c>
      <c r="AB62" s="2"/>
    </row>
    <row r="63" spans="1:28" ht="16">
      <c r="A63" s="44">
        <v>46170</v>
      </c>
      <c r="B63" s="45" t="s">
        <v>3409</v>
      </c>
      <c r="C63" s="45" t="s">
        <v>3459</v>
      </c>
      <c r="D63" s="45" t="s">
        <v>3508</v>
      </c>
      <c r="E63" s="45" t="s">
        <v>3554</v>
      </c>
      <c r="F63" s="33"/>
      <c r="G63" s="45" t="s">
        <v>3572</v>
      </c>
      <c r="H63" s="45" t="s">
        <v>3587</v>
      </c>
      <c r="I63" s="2"/>
      <c r="J63" s="35" t="str">
        <f>IF(H63&lt;&gt;"",IFERROR(VLOOKUP(IFERROR(LEFT(H63,FIND("-",H63)-1),H63),'Catalogo MINSAL'!A:E,5,FALSE),""),IF(I63&lt;&gt;"",IFERROR(VLOOKUP(IFERROR(LEFT(I63,FIND("-",I63)-1),I63),'Catalogo MINSAL'!A:E,5,FALSE),""),""))</f>
        <v>Cirugía Mayor</v>
      </c>
      <c r="K63" s="2"/>
      <c r="L63" s="48" t="s">
        <v>3599</v>
      </c>
      <c r="M63" s="45" t="s">
        <v>3608</v>
      </c>
      <c r="N63" s="45" t="s">
        <v>3622</v>
      </c>
      <c r="O63" s="45" t="s">
        <v>3631</v>
      </c>
      <c r="P63" s="45" t="s">
        <v>32</v>
      </c>
      <c r="Q63" s="51">
        <v>0.47222222222222221</v>
      </c>
      <c r="R63" s="2" t="str">
        <f t="shared" si="0"/>
        <v>Atraso</v>
      </c>
      <c r="S63" s="51">
        <v>0.47638888888888886</v>
      </c>
      <c r="T63" s="51">
        <v>0.4909722222222222</v>
      </c>
      <c r="U63" s="51">
        <v>0.49305555555555558</v>
      </c>
      <c r="V63" s="10">
        <f t="shared" si="1"/>
        <v>5.9999999999999787</v>
      </c>
      <c r="W63" s="15">
        <f t="shared" si="2"/>
        <v>21.000000000000007</v>
      </c>
      <c r="X63" s="38">
        <f t="shared" si="3"/>
        <v>-15.000000000000028</v>
      </c>
      <c r="Y63" s="10">
        <f t="shared" si="4"/>
        <v>36.000000000000036</v>
      </c>
      <c r="Z63" s="2" t="str">
        <f t="shared" si="5"/>
        <v>Subestimacion</v>
      </c>
      <c r="AA63" s="45" t="s">
        <v>3256</v>
      </c>
      <c r="AB63" s="2"/>
    </row>
    <row r="64" spans="1:28" ht="16">
      <c r="A64" s="44">
        <v>46170</v>
      </c>
      <c r="B64" s="45" t="s">
        <v>3410</v>
      </c>
      <c r="C64" s="45" t="s">
        <v>3460</v>
      </c>
      <c r="D64" s="45" t="s">
        <v>3509</v>
      </c>
      <c r="E64" s="45" t="s">
        <v>3555</v>
      </c>
      <c r="F64" s="33"/>
      <c r="G64" s="45" t="s">
        <v>3572</v>
      </c>
      <c r="H64" s="45" t="s">
        <v>3587</v>
      </c>
      <c r="I64" s="2"/>
      <c r="J64" s="35" t="str">
        <f>IF(H64&lt;&gt;"",IFERROR(VLOOKUP(IFERROR(LEFT(H64,FIND("-",H64)-1),H64),'Catalogo MINSAL'!A:E,5,FALSE),""),IF(I64&lt;&gt;"",IFERROR(VLOOKUP(IFERROR(LEFT(I64,FIND("-",I64)-1),I64),'Catalogo MINSAL'!A:E,5,FALSE),""),""))</f>
        <v>Cirugía Mayor</v>
      </c>
      <c r="K64" s="2"/>
      <c r="L64" s="48" t="s">
        <v>3599</v>
      </c>
      <c r="M64" s="45" t="s">
        <v>3608</v>
      </c>
      <c r="N64" s="45" t="s">
        <v>3622</v>
      </c>
      <c r="O64" s="45" t="s">
        <v>3631</v>
      </c>
      <c r="P64" s="45" t="s">
        <v>32</v>
      </c>
      <c r="Q64" s="51">
        <v>0.49861111111111112</v>
      </c>
      <c r="R64" s="2" t="str">
        <f t="shared" si="0"/>
        <v>Atraso</v>
      </c>
      <c r="S64" s="51">
        <v>0.50347222222222221</v>
      </c>
      <c r="T64" s="51">
        <v>0.51527777777777772</v>
      </c>
      <c r="U64" s="51">
        <v>0.51875000000000004</v>
      </c>
      <c r="V64" s="10">
        <f t="shared" si="1"/>
        <v>6.9999999999999751</v>
      </c>
      <c r="W64" s="15">
        <f t="shared" si="2"/>
        <v>16.99999999999994</v>
      </c>
      <c r="X64" s="38">
        <f t="shared" si="3"/>
        <v>-9.9999999999999645</v>
      </c>
      <c r="Y64" s="10">
        <f t="shared" si="4"/>
        <v>26.999999999999904</v>
      </c>
      <c r="Z64" s="2" t="str">
        <f t="shared" si="5"/>
        <v>Subestimacion</v>
      </c>
      <c r="AA64" s="45" t="s">
        <v>3256</v>
      </c>
      <c r="AB64" s="2"/>
    </row>
    <row r="65" spans="1:28" ht="16">
      <c r="A65" s="44">
        <v>46170</v>
      </c>
      <c r="B65" s="45" t="s">
        <v>3411</v>
      </c>
      <c r="C65" s="45" t="s">
        <v>3461</v>
      </c>
      <c r="D65" s="45" t="s">
        <v>3510</v>
      </c>
      <c r="E65" s="45" t="s">
        <v>3556</v>
      </c>
      <c r="F65" s="33"/>
      <c r="G65" s="45" t="s">
        <v>3572</v>
      </c>
      <c r="H65" s="45" t="s">
        <v>3587</v>
      </c>
      <c r="I65" s="2"/>
      <c r="J65" s="35" t="str">
        <f>IF(H65&lt;&gt;"",IFERROR(VLOOKUP(IFERROR(LEFT(H65,FIND("-",H65)-1),H65),'Catalogo MINSAL'!A:E,5,FALSE),""),IF(I65&lt;&gt;"",IFERROR(VLOOKUP(IFERROR(LEFT(I65,FIND("-",I65)-1),I65),'Catalogo MINSAL'!A:E,5,FALSE),""),""))</f>
        <v>Cirugía Mayor</v>
      </c>
      <c r="K65" s="2"/>
      <c r="L65" s="48" t="s">
        <v>3599</v>
      </c>
      <c r="M65" s="45" t="s">
        <v>3608</v>
      </c>
      <c r="N65" s="45" t="s">
        <v>3622</v>
      </c>
      <c r="O65" s="45" t="s">
        <v>3631</v>
      </c>
      <c r="P65" s="45" t="s">
        <v>32</v>
      </c>
      <c r="Q65" s="51">
        <v>0.52500000000000002</v>
      </c>
      <c r="R65" s="2" t="str">
        <f t="shared" si="0"/>
        <v>Atraso</v>
      </c>
      <c r="S65" s="51">
        <v>0.52847222222222223</v>
      </c>
      <c r="T65" s="51">
        <v>0.54305555555555551</v>
      </c>
      <c r="U65" s="51">
        <v>0.54513888888888884</v>
      </c>
      <c r="V65" s="10">
        <f t="shared" si="1"/>
        <v>4.9999999999999822</v>
      </c>
      <c r="W65" s="15">
        <f t="shared" si="2"/>
        <v>20.999999999999925</v>
      </c>
      <c r="X65" s="38">
        <f t="shared" si="3"/>
        <v>-15.999999999999943</v>
      </c>
      <c r="Y65" s="10">
        <f t="shared" si="4"/>
        <v>36.999999999999872</v>
      </c>
      <c r="Z65" s="2" t="str">
        <f t="shared" si="5"/>
        <v>Subestimacion</v>
      </c>
      <c r="AA65" s="45" t="s">
        <v>3256</v>
      </c>
      <c r="AB65" s="2"/>
    </row>
    <row r="66" spans="1:28" ht="16">
      <c r="A66" s="44">
        <v>46171</v>
      </c>
      <c r="B66" s="45" t="s">
        <v>3412</v>
      </c>
      <c r="C66" s="45" t="s">
        <v>3462</v>
      </c>
      <c r="D66" s="45" t="s">
        <v>3511</v>
      </c>
      <c r="E66" s="45" t="s">
        <v>3557</v>
      </c>
      <c r="F66" s="33"/>
      <c r="G66" s="45" t="s">
        <v>2353</v>
      </c>
      <c r="H66" s="45" t="s">
        <v>3593</v>
      </c>
      <c r="I66" s="2"/>
      <c r="J66" s="35" t="str">
        <f>IF(H66&lt;&gt;"",IFERROR(VLOOKUP(IFERROR(LEFT(H66,FIND("-",H66)-1),H66),'Catalogo MINSAL'!A:E,5,FALSE),""),IF(I66&lt;&gt;"",IFERROR(VLOOKUP(IFERROR(LEFT(I66,FIND("-",I66)-1),I66),'Catalogo MINSAL'!A:E,5,FALSE),""),""))</f>
        <v>Cirugía Mayor</v>
      </c>
      <c r="K66" s="2"/>
      <c r="L66" s="50" t="s">
        <v>3601</v>
      </c>
      <c r="M66" s="45" t="s">
        <v>3286</v>
      </c>
      <c r="N66" s="45" t="s">
        <v>3623</v>
      </c>
      <c r="O66" s="45" t="s">
        <v>3630</v>
      </c>
      <c r="P66" s="45" t="s">
        <v>32</v>
      </c>
      <c r="Q66" s="51">
        <v>0.33958333333333335</v>
      </c>
      <c r="R66" s="2" t="str">
        <f t="shared" si="0"/>
        <v>Ingreso adecuado</v>
      </c>
      <c r="S66" s="51">
        <v>0.36388888888888887</v>
      </c>
      <c r="T66" s="51">
        <v>0.40625</v>
      </c>
      <c r="U66" s="51">
        <v>0.42708333333333331</v>
      </c>
      <c r="V66" s="10">
        <f t="shared" si="1"/>
        <v>34.999999999999957</v>
      </c>
      <c r="W66" s="15">
        <f t="shared" si="2"/>
        <v>61.000000000000021</v>
      </c>
      <c r="X66" s="38">
        <f t="shared" si="3"/>
        <v>-26.000000000000064</v>
      </c>
      <c r="Y66" s="10">
        <f t="shared" si="4"/>
        <v>87.000000000000085</v>
      </c>
      <c r="Z66" s="2" t="str">
        <f t="shared" si="5"/>
        <v>Subestimacion</v>
      </c>
      <c r="AA66" s="45" t="s">
        <v>3256</v>
      </c>
      <c r="AB66" s="2"/>
    </row>
    <row r="67" spans="1:28" ht="16">
      <c r="A67" s="44">
        <v>46171</v>
      </c>
      <c r="B67" s="45" t="s">
        <v>3413</v>
      </c>
      <c r="C67" s="45" t="s">
        <v>3463</v>
      </c>
      <c r="D67" s="45" t="s">
        <v>3512</v>
      </c>
      <c r="E67" s="45" t="s">
        <v>3558</v>
      </c>
      <c r="F67" s="33"/>
      <c r="G67" s="45" t="s">
        <v>2353</v>
      </c>
      <c r="H67" s="45" t="s">
        <v>3593</v>
      </c>
      <c r="I67" s="2"/>
      <c r="J67" s="35" t="str">
        <f>IF(H67&lt;&gt;"",IFERROR(VLOOKUP(IFERROR(LEFT(H67,FIND("-",H67)-1),H67),'Catalogo MINSAL'!A:E,5,FALSE),""),IF(I67&lt;&gt;"",IFERROR(VLOOKUP(IFERROR(LEFT(I67,FIND("-",I67)-1),I67),'Catalogo MINSAL'!A:E,5,FALSE),""),""))</f>
        <v>Cirugía Mayor</v>
      </c>
      <c r="K67" s="2"/>
      <c r="L67" s="50" t="s">
        <v>3601</v>
      </c>
      <c r="M67" s="45" t="s">
        <v>3286</v>
      </c>
      <c r="N67" s="45" t="s">
        <v>3623</v>
      </c>
      <c r="O67" s="45" t="s">
        <v>3630</v>
      </c>
      <c r="P67" s="45" t="s">
        <v>32</v>
      </c>
      <c r="Q67" s="51">
        <v>0.43611111111111112</v>
      </c>
      <c r="R67" s="2" t="str">
        <f t="shared" si="0"/>
        <v>Atraso</v>
      </c>
      <c r="S67" s="51">
        <v>0.45277777777777778</v>
      </c>
      <c r="T67" s="51">
        <v>0.49305555555555558</v>
      </c>
      <c r="U67" s="51">
        <v>0.50069444444444444</v>
      </c>
      <c r="V67" s="10">
        <f t="shared" si="1"/>
        <v>23.999999999999993</v>
      </c>
      <c r="W67" s="15">
        <f t="shared" si="2"/>
        <v>58.000000000000036</v>
      </c>
      <c r="X67" s="38">
        <f t="shared" si="3"/>
        <v>-34.000000000000043</v>
      </c>
      <c r="Y67" s="10">
        <f t="shared" si="4"/>
        <v>92.000000000000085</v>
      </c>
      <c r="Z67" s="2" t="str">
        <f t="shared" si="5"/>
        <v>Subestimacion</v>
      </c>
      <c r="AA67" s="45" t="s">
        <v>3256</v>
      </c>
      <c r="AB67" s="2"/>
    </row>
    <row r="68" spans="1:28" ht="16">
      <c r="A68" s="44">
        <v>46171</v>
      </c>
      <c r="B68" s="45" t="s">
        <v>3414</v>
      </c>
      <c r="C68" s="45" t="s">
        <v>3464</v>
      </c>
      <c r="D68" s="45" t="s">
        <v>3513</v>
      </c>
      <c r="E68" s="45" t="s">
        <v>3559</v>
      </c>
      <c r="F68" s="33"/>
      <c r="G68" s="45" t="s">
        <v>2353</v>
      </c>
      <c r="H68" s="45" t="s">
        <v>3593</v>
      </c>
      <c r="I68" s="2"/>
      <c r="J68" s="35" t="str">
        <f>IF(H68&lt;&gt;"",IFERROR(VLOOKUP(IFERROR(LEFT(H68,FIND("-",H68)-1),H68),'Catalogo MINSAL'!A:E,5,FALSE),""),IF(I68&lt;&gt;"",IFERROR(VLOOKUP(IFERROR(LEFT(I68,FIND("-",I68)-1),I68),'Catalogo MINSAL'!A:E,5,FALSE),""),""))</f>
        <v>Cirugía Mayor</v>
      </c>
      <c r="K68" s="2"/>
      <c r="L68" s="50" t="s">
        <v>3601</v>
      </c>
      <c r="M68" s="45" t="s">
        <v>3286</v>
      </c>
      <c r="N68" s="45" t="s">
        <v>3623</v>
      </c>
      <c r="O68" s="45" t="s">
        <v>3630</v>
      </c>
      <c r="P68" s="45" t="s">
        <v>32</v>
      </c>
      <c r="Q68" s="51">
        <v>0.51111111111111107</v>
      </c>
      <c r="R68" s="2" t="str">
        <f t="shared" ref="R68:R131" si="7">IF(Q68="","",IF(IF(ISNUMBER(Q68),MOD(Q68,1),TIMEVALUE(Q68))&lt;=TIME(8,15,0),"Ingreso adecuado","Atraso"))</f>
        <v>Atraso</v>
      </c>
      <c r="S68" s="51">
        <v>0.53055555555555556</v>
      </c>
      <c r="T68" s="51">
        <v>0.54374999999999996</v>
      </c>
      <c r="U68" s="51">
        <v>0.5625</v>
      </c>
      <c r="V68" s="10">
        <f t="shared" ref="V68:V131" si="8">IFERROR(IF(OR(Q68="",S68=""),"",IF(IF(ISNUMBER(S68),MOD(S68,1),TIMEVALUE(S68))&gt;=IF(ISNUMBER(Q68),MOD(Q68,1),TIMEVALUE(Q68)),(IF(ISNUMBER(S68),MOD(S68,1),TIMEVALUE(S68))-IF(ISNUMBER(Q68),MOD(Q68,1),TIMEVALUE(Q68)))*1440,(IF(ISNUMBER(S68),MOD(S68,1),TIMEVALUE(S68))+1-IF(ISNUMBER(Q68),MOD(Q68,1),TIMEVALUE(Q68)))*1440)),"")</f>
        <v>28.00000000000006</v>
      </c>
      <c r="W68" s="15">
        <f t="shared" ref="W68:W131" si="9">IFERROR(IF(OR(S68="",T68=""),"",IF(IF(ISNUMBER(T68),MOD(T68,1),TIMEVALUE(T68))&gt;=IF(ISNUMBER(S68),MOD(S68,1),TIMEVALUE(S68)),(IF(ISNUMBER(T68),MOD(T68,1),TIMEVALUE(T68))-IF(ISNUMBER(S68),MOD(S68,1),TIMEVALUE(S68)))*1440,(IF(ISNUMBER(T68),MOD(T68,1),TIMEVALUE(T68))+1-IF(ISNUMBER(S68),MOD(S68,1),TIMEVALUE(S68)))*1440)),"")</f>
        <v>18.999999999999932</v>
      </c>
      <c r="X68" s="38">
        <f t="shared" ref="X68:X131" si="10">IFERROR(IF(OR(V68="",W68=""),"",V68-W68),"")</f>
        <v>9.0000000000001279</v>
      </c>
      <c r="Y68" s="10">
        <f t="shared" ref="Y68:Y131" si="11">IFERROR(IF(OR(W68="",X68=""),"",W68-X68),"")</f>
        <v>9.9999999999998046</v>
      </c>
      <c r="Z68" s="2" t="str">
        <f t="shared" ref="Z68:Z131" si="12">IFERROR(IF(Y68="","",IF(Y68&gt;15,"Subestimacion",IF(Y68&lt;-15,"Sobrestimacion","Asertivo"))),"")</f>
        <v>Asertivo</v>
      </c>
      <c r="AA68" s="45" t="s">
        <v>3256</v>
      </c>
      <c r="AB68" s="2"/>
    </row>
    <row r="69" spans="1:28" ht="16">
      <c r="A69" s="44">
        <v>46171</v>
      </c>
      <c r="B69" s="45" t="s">
        <v>3415</v>
      </c>
      <c r="C69" s="45" t="s">
        <v>3465</v>
      </c>
      <c r="D69" s="45" t="s">
        <v>3514</v>
      </c>
      <c r="E69" s="45" t="s">
        <v>3560</v>
      </c>
      <c r="F69" s="33"/>
      <c r="G69" s="45" t="s">
        <v>3575</v>
      </c>
      <c r="H69" s="45" t="s">
        <v>3591</v>
      </c>
      <c r="I69" s="2"/>
      <c r="J69" s="35" t="str">
        <f>IF(H69&lt;&gt;"",IFERROR(VLOOKUP(IFERROR(LEFT(H69,FIND("-",H69)-1),H69),'Catalogo MINSAL'!A:E,5,FALSE),""),IF(I69&lt;&gt;"",IFERROR(VLOOKUP(IFERROR(LEFT(I69,FIND("-",I69)-1),I69),'Catalogo MINSAL'!A:E,5,FALSE),""),""))</f>
        <v>Cirugía Mayor</v>
      </c>
      <c r="K69" s="2"/>
      <c r="L69" s="50" t="s">
        <v>3601</v>
      </c>
      <c r="M69" s="45" t="s">
        <v>3286</v>
      </c>
      <c r="N69" s="45" t="s">
        <v>3624</v>
      </c>
      <c r="O69" s="45" t="s">
        <v>3630</v>
      </c>
      <c r="P69" s="45" t="s">
        <v>40</v>
      </c>
      <c r="Q69" s="51">
        <v>0.57222222222222219</v>
      </c>
      <c r="R69" s="2" t="str">
        <f t="shared" si="7"/>
        <v>Atraso</v>
      </c>
      <c r="S69" s="51">
        <v>0.61111111111111116</v>
      </c>
      <c r="T69" s="51">
        <v>0.61597222222222225</v>
      </c>
      <c r="U69" s="51">
        <v>0.62777777777777777</v>
      </c>
      <c r="V69" s="10">
        <f t="shared" si="8"/>
        <v>56.000000000000121</v>
      </c>
      <c r="W69" s="15">
        <f t="shared" si="9"/>
        <v>6.9999999999999751</v>
      </c>
      <c r="X69" s="38">
        <f t="shared" si="10"/>
        <v>49.000000000000142</v>
      </c>
      <c r="Y69" s="10">
        <f t="shared" si="11"/>
        <v>-42.000000000000171</v>
      </c>
      <c r="Z69" s="2" t="str">
        <f t="shared" si="12"/>
        <v>Sobrestimacion</v>
      </c>
      <c r="AA69" s="45" t="s">
        <v>3256</v>
      </c>
      <c r="AB69" s="2"/>
    </row>
    <row r="70" spans="1:28" ht="16">
      <c r="A70" s="44">
        <v>46171</v>
      </c>
      <c r="B70" s="45" t="s">
        <v>3416</v>
      </c>
      <c r="C70" s="45" t="s">
        <v>3466</v>
      </c>
      <c r="D70" s="45" t="s">
        <v>3515</v>
      </c>
      <c r="E70" s="45" t="s">
        <v>3561</v>
      </c>
      <c r="F70" s="33"/>
      <c r="G70" s="45" t="s">
        <v>3575</v>
      </c>
      <c r="H70" s="45" t="s">
        <v>3591</v>
      </c>
      <c r="I70" s="2"/>
      <c r="J70" s="35" t="str">
        <f>IF(H70&lt;&gt;"",IFERROR(VLOOKUP(IFERROR(LEFT(H70,FIND("-",H70)-1),H70),'Catalogo MINSAL'!A:E,5,FALSE),""),IF(I70&lt;&gt;"",IFERROR(VLOOKUP(IFERROR(LEFT(I70,FIND("-",I70)-1),I70),'Catalogo MINSAL'!A:E,5,FALSE),""),""))</f>
        <v>Cirugía Mayor</v>
      </c>
      <c r="K70" s="2"/>
      <c r="L70" s="50" t="s">
        <v>3601</v>
      </c>
      <c r="M70" s="45" t="s">
        <v>3286</v>
      </c>
      <c r="N70" s="45" t="s">
        <v>3625</v>
      </c>
      <c r="O70" s="45" t="s">
        <v>3630</v>
      </c>
      <c r="P70" s="45" t="s">
        <v>32</v>
      </c>
      <c r="Q70" s="51">
        <v>0.63263888888888886</v>
      </c>
      <c r="R70" s="2" t="str">
        <f t="shared" si="7"/>
        <v>Atraso</v>
      </c>
      <c r="S70" s="51">
        <v>0.65277777777777779</v>
      </c>
      <c r="T70" s="51">
        <v>0.67361111111111116</v>
      </c>
      <c r="U70" s="51">
        <v>0.6875</v>
      </c>
      <c r="V70" s="10">
        <f t="shared" si="8"/>
        <v>29.000000000000057</v>
      </c>
      <c r="W70" s="15">
        <f t="shared" si="9"/>
        <v>30.000000000000053</v>
      </c>
      <c r="X70" s="38">
        <f t="shared" si="10"/>
        <v>-0.99999999999999645</v>
      </c>
      <c r="Y70" s="10">
        <f t="shared" si="11"/>
        <v>31.00000000000005</v>
      </c>
      <c r="Z70" s="2" t="str">
        <f t="shared" si="12"/>
        <v>Subestimacion</v>
      </c>
      <c r="AA70" s="45" t="s">
        <v>3256</v>
      </c>
      <c r="AB70" s="2"/>
    </row>
    <row r="71" spans="1:28" ht="16">
      <c r="A71" s="44">
        <v>46171</v>
      </c>
      <c r="B71" s="45" t="s">
        <v>3417</v>
      </c>
      <c r="C71" s="45" t="s">
        <v>3467</v>
      </c>
      <c r="D71" s="45" t="s">
        <v>3259</v>
      </c>
      <c r="E71" s="45" t="s">
        <v>3562</v>
      </c>
      <c r="F71" s="33"/>
      <c r="G71" s="45" t="s">
        <v>3575</v>
      </c>
      <c r="H71" s="45" t="s">
        <v>3591</v>
      </c>
      <c r="I71" s="2"/>
      <c r="J71" s="35" t="str">
        <f>IF(H71&lt;&gt;"",IFERROR(VLOOKUP(IFERROR(LEFT(H71,FIND("-",H71)-1),H71),'Catalogo MINSAL'!A:E,5,FALSE),""),IF(I71&lt;&gt;"",IFERROR(VLOOKUP(IFERROR(LEFT(I71,FIND("-",I71)-1),I71),'Catalogo MINSAL'!A:E,5,FALSE),""),""))</f>
        <v>Cirugía Mayor</v>
      </c>
      <c r="K71" s="2"/>
      <c r="L71" s="50" t="s">
        <v>3601</v>
      </c>
      <c r="M71" s="45" t="s">
        <v>3286</v>
      </c>
      <c r="N71" s="45" t="s">
        <v>3626</v>
      </c>
      <c r="O71" s="45" t="s">
        <v>3630</v>
      </c>
      <c r="P71" s="45" t="s">
        <v>40</v>
      </c>
      <c r="Q71" s="51">
        <v>0.6958333333333333</v>
      </c>
      <c r="R71" s="2" t="str">
        <f t="shared" si="7"/>
        <v>Atraso</v>
      </c>
      <c r="S71" s="51">
        <v>0.72222222222222221</v>
      </c>
      <c r="T71" s="51">
        <v>0.77152777777777781</v>
      </c>
      <c r="U71" s="51">
        <v>0.78194444444444444</v>
      </c>
      <c r="V71" s="10">
        <f t="shared" si="8"/>
        <v>38.000000000000028</v>
      </c>
      <c r="W71" s="15">
        <f t="shared" si="9"/>
        <v>71.000000000000071</v>
      </c>
      <c r="X71" s="38">
        <f t="shared" si="10"/>
        <v>-33.000000000000043</v>
      </c>
      <c r="Y71" s="10">
        <f t="shared" si="11"/>
        <v>104.00000000000011</v>
      </c>
      <c r="Z71" s="2" t="str">
        <f t="shared" si="12"/>
        <v>Subestimacion</v>
      </c>
      <c r="AA71" s="45" t="s">
        <v>3256</v>
      </c>
      <c r="AB71" s="2"/>
    </row>
    <row r="72" spans="1:28" ht="16">
      <c r="A72" s="44">
        <v>46171</v>
      </c>
      <c r="B72" s="45" t="s">
        <v>3418</v>
      </c>
      <c r="C72" s="45" t="s">
        <v>3468</v>
      </c>
      <c r="D72" s="45" t="s">
        <v>3516</v>
      </c>
      <c r="E72" s="45" t="s">
        <v>3563</v>
      </c>
      <c r="F72" s="33"/>
      <c r="G72" s="45" t="s">
        <v>3578</v>
      </c>
      <c r="H72" s="45" t="s">
        <v>3594</v>
      </c>
      <c r="I72" s="2"/>
      <c r="J72" s="35" t="str">
        <f>IF(H72&lt;&gt;"",IFERROR(VLOOKUP(IFERROR(LEFT(H72,FIND("-",H72)-1),H72),'Catalogo MINSAL'!A:E,5,FALSE),""),IF(I72&lt;&gt;"",IFERROR(VLOOKUP(IFERROR(LEFT(I72,FIND("-",I72)-1),I72),'Catalogo MINSAL'!A:E,5,FALSE),""),""))</f>
        <v>Cirugía Mayor</v>
      </c>
      <c r="K72" s="2"/>
      <c r="L72" s="45" t="s">
        <v>3252</v>
      </c>
      <c r="M72" s="45" t="s">
        <v>3609</v>
      </c>
      <c r="N72" s="45" t="s">
        <v>3627</v>
      </c>
      <c r="O72" s="45" t="s">
        <v>3288</v>
      </c>
      <c r="P72" s="45" t="s">
        <v>32</v>
      </c>
      <c r="Q72" s="51">
        <v>0.35555555555555557</v>
      </c>
      <c r="R72" s="2" t="str">
        <f t="shared" si="7"/>
        <v>Atraso</v>
      </c>
      <c r="S72" s="51">
        <v>0.375</v>
      </c>
      <c r="T72" s="51">
        <v>0.42708333333333331</v>
      </c>
      <c r="U72" s="51">
        <v>0.44166666666666665</v>
      </c>
      <c r="V72" s="10">
        <f t="shared" si="8"/>
        <v>27.999999999999979</v>
      </c>
      <c r="W72" s="15">
        <f t="shared" si="9"/>
        <v>74.999999999999972</v>
      </c>
      <c r="X72" s="38">
        <f t="shared" si="10"/>
        <v>-46.999999999999993</v>
      </c>
      <c r="Y72" s="10">
        <f t="shared" si="11"/>
        <v>121.99999999999997</v>
      </c>
      <c r="Z72" s="2" t="str">
        <f t="shared" si="12"/>
        <v>Subestimacion</v>
      </c>
      <c r="AA72" s="45" t="s">
        <v>3256</v>
      </c>
      <c r="AB72" s="2"/>
    </row>
    <row r="73" spans="1:28" ht="16">
      <c r="A73" s="44">
        <v>46171</v>
      </c>
      <c r="B73" s="45" t="s">
        <v>3419</v>
      </c>
      <c r="C73" s="45" t="s">
        <v>3469</v>
      </c>
      <c r="D73" s="45" t="s">
        <v>3475</v>
      </c>
      <c r="E73" s="45" t="s">
        <v>3564</v>
      </c>
      <c r="F73" s="33"/>
      <c r="G73" s="45" t="s">
        <v>3578</v>
      </c>
      <c r="H73" s="45" t="s">
        <v>3594</v>
      </c>
      <c r="I73" s="2"/>
      <c r="J73" s="35" t="str">
        <f>IF(H73&lt;&gt;"",IFERROR(VLOOKUP(IFERROR(LEFT(H73,FIND("-",H73)-1),H73),'Catalogo MINSAL'!A:E,5,FALSE),""),IF(I73&lt;&gt;"",IFERROR(VLOOKUP(IFERROR(LEFT(I73,FIND("-",I73)-1),I73),'Catalogo MINSAL'!A:E,5,FALSE),""),""))</f>
        <v>Cirugía Mayor</v>
      </c>
      <c r="K73" s="2"/>
      <c r="L73" s="45" t="s">
        <v>3252</v>
      </c>
      <c r="M73" s="45" t="s">
        <v>3609</v>
      </c>
      <c r="N73" s="45" t="s">
        <v>3628</v>
      </c>
      <c r="O73" s="45" t="s">
        <v>3288</v>
      </c>
      <c r="P73" s="45" t="s">
        <v>32</v>
      </c>
      <c r="Q73" s="51">
        <v>0.45624999999999999</v>
      </c>
      <c r="R73" s="2" t="str">
        <f t="shared" si="7"/>
        <v>Atraso</v>
      </c>
      <c r="S73" s="51">
        <v>0.47708333333333336</v>
      </c>
      <c r="T73" s="51">
        <v>0.58333333333333337</v>
      </c>
      <c r="U73" s="51">
        <v>0.60277777777777775</v>
      </c>
      <c r="V73" s="10">
        <f t="shared" si="8"/>
        <v>30.000000000000053</v>
      </c>
      <c r="W73" s="15">
        <f t="shared" si="9"/>
        <v>153.00000000000003</v>
      </c>
      <c r="X73" s="38">
        <f t="shared" si="10"/>
        <v>-122.99999999999997</v>
      </c>
      <c r="Y73" s="10">
        <f t="shared" si="11"/>
        <v>276</v>
      </c>
      <c r="Z73" s="2" t="str">
        <f t="shared" si="12"/>
        <v>Subestimacion</v>
      </c>
      <c r="AA73" s="45" t="s">
        <v>3256</v>
      </c>
      <c r="AB73" s="2"/>
    </row>
    <row r="74" spans="1:28" ht="16">
      <c r="A74" s="44">
        <v>46171</v>
      </c>
      <c r="B74" s="45" t="s">
        <v>3420</v>
      </c>
      <c r="C74" s="45" t="s">
        <v>3470</v>
      </c>
      <c r="D74" s="45" t="s">
        <v>3517</v>
      </c>
      <c r="E74" s="45" t="s">
        <v>3565</v>
      </c>
      <c r="F74" s="33"/>
      <c r="G74" s="45" t="s">
        <v>3579</v>
      </c>
      <c r="H74" s="45" t="s">
        <v>3595</v>
      </c>
      <c r="I74" s="2"/>
      <c r="J74" s="35" t="str">
        <f>IF(H74&lt;&gt;"",IFERROR(VLOOKUP(IFERROR(LEFT(H74,FIND("-",H74)-1),H74),'Catalogo MINSAL'!A:E,5,FALSE),""),IF(I74&lt;&gt;"",IFERROR(VLOOKUP(IFERROR(LEFT(I74,FIND("-",I74)-1),I74),'Catalogo MINSAL'!A:E,5,FALSE),""),""))</f>
        <v>Cirugía Menor</v>
      </c>
      <c r="K74" s="2"/>
      <c r="L74" s="45" t="s">
        <v>3252</v>
      </c>
      <c r="M74" s="45" t="s">
        <v>3609</v>
      </c>
      <c r="N74" s="45" t="s">
        <v>3627</v>
      </c>
      <c r="O74" s="45" t="s">
        <v>3288</v>
      </c>
      <c r="P74" s="45" t="s">
        <v>32</v>
      </c>
      <c r="Q74" s="51">
        <v>0.64930555555555558</v>
      </c>
      <c r="R74" s="2" t="str">
        <f t="shared" si="7"/>
        <v>Atraso</v>
      </c>
      <c r="S74" s="51">
        <v>0.66666666666666663</v>
      </c>
      <c r="T74" s="51">
        <v>0.69791666666666663</v>
      </c>
      <c r="U74" s="51">
        <v>0.7</v>
      </c>
      <c r="V74" s="10">
        <f t="shared" si="8"/>
        <v>24.999999999999911</v>
      </c>
      <c r="W74" s="15">
        <f t="shared" si="9"/>
        <v>45</v>
      </c>
      <c r="X74" s="38">
        <f t="shared" si="10"/>
        <v>-20.000000000000089</v>
      </c>
      <c r="Y74" s="10">
        <f t="shared" si="11"/>
        <v>65.000000000000085</v>
      </c>
      <c r="Z74" s="2" t="str">
        <f t="shared" si="12"/>
        <v>Subestimacion</v>
      </c>
      <c r="AA74" s="45" t="s">
        <v>3256</v>
      </c>
      <c r="AB74" s="2"/>
    </row>
    <row r="75" spans="1:28" ht="16">
      <c r="A75" s="44">
        <v>46171</v>
      </c>
      <c r="B75" s="45" t="s">
        <v>3421</v>
      </c>
      <c r="C75" s="45" t="s">
        <v>3471</v>
      </c>
      <c r="D75" s="45" t="s">
        <v>3516</v>
      </c>
      <c r="E75" s="45" t="s">
        <v>3566</v>
      </c>
      <c r="F75" s="33"/>
      <c r="G75" s="45" t="s">
        <v>3580</v>
      </c>
      <c r="H75" s="45" t="s">
        <v>3596</v>
      </c>
      <c r="I75" s="2"/>
      <c r="J75" s="35" t="str">
        <f>IF(H75&lt;&gt;"",IFERROR(VLOOKUP(IFERROR(LEFT(H75,FIND("-",H75)-1),H75),'Catalogo MINSAL'!A:E,5,FALSE),""),IF(I75&lt;&gt;"",IFERROR(VLOOKUP(IFERROR(LEFT(I75,FIND("-",I75)-1),I75),'Catalogo MINSAL'!A:E,5,FALSE),""),""))</f>
        <v/>
      </c>
      <c r="K75" s="2"/>
      <c r="L75" s="45" t="s">
        <v>3252</v>
      </c>
      <c r="M75" s="45" t="s">
        <v>3609</v>
      </c>
      <c r="N75" s="45" t="s">
        <v>3627</v>
      </c>
      <c r="O75" s="45" t="s">
        <v>3288</v>
      </c>
      <c r="P75" s="45" t="s">
        <v>32</v>
      </c>
      <c r="Q75" s="51">
        <v>0.71111111111111114</v>
      </c>
      <c r="R75" s="2" t="str">
        <f t="shared" si="7"/>
        <v>Atraso</v>
      </c>
      <c r="S75" s="51">
        <v>0.73611111111111116</v>
      </c>
      <c r="T75" s="51">
        <v>0.75694444444444442</v>
      </c>
      <c r="U75" s="51">
        <v>0.76041666666666663</v>
      </c>
      <c r="V75" s="10">
        <f t="shared" si="8"/>
        <v>36.000000000000028</v>
      </c>
      <c r="W75" s="15">
        <f t="shared" si="9"/>
        <v>29.999999999999893</v>
      </c>
      <c r="X75" s="38">
        <f t="shared" si="10"/>
        <v>6.000000000000135</v>
      </c>
      <c r="Y75" s="10">
        <f t="shared" si="11"/>
        <v>23.999999999999758</v>
      </c>
      <c r="Z75" s="2" t="str">
        <f t="shared" si="12"/>
        <v>Subestimacion</v>
      </c>
      <c r="AA75" s="45" t="s">
        <v>3256</v>
      </c>
      <c r="AB75" s="2"/>
    </row>
    <row r="76" spans="1:28" ht="16">
      <c r="A76" s="44">
        <v>46171</v>
      </c>
      <c r="B76" s="45" t="s">
        <v>3422</v>
      </c>
      <c r="C76" s="45" t="s">
        <v>3472</v>
      </c>
      <c r="D76" s="45" t="s">
        <v>3518</v>
      </c>
      <c r="E76" s="45" t="s">
        <v>3567</v>
      </c>
      <c r="F76" s="33"/>
      <c r="G76" s="45" t="s">
        <v>3579</v>
      </c>
      <c r="H76" s="45" t="s">
        <v>3595</v>
      </c>
      <c r="I76" s="2"/>
      <c r="J76" s="35" t="str">
        <f>IF(H76&lt;&gt;"",IFERROR(VLOOKUP(IFERROR(LEFT(H76,FIND("-",H76)-1),H76),'Catalogo MINSAL'!A:E,5,FALSE),""),IF(I76&lt;&gt;"",IFERROR(VLOOKUP(IFERROR(LEFT(I76,FIND("-",I76)-1),I76),'Catalogo MINSAL'!A:E,5,FALSE),""),""))</f>
        <v>Cirugía Menor</v>
      </c>
      <c r="K76" s="2"/>
      <c r="L76" s="45" t="s">
        <v>3252</v>
      </c>
      <c r="M76" s="45" t="s">
        <v>3609</v>
      </c>
      <c r="N76" s="45" t="s">
        <v>3627</v>
      </c>
      <c r="O76" s="45" t="s">
        <v>3288</v>
      </c>
      <c r="P76" s="45" t="s">
        <v>51</v>
      </c>
      <c r="Q76" s="46"/>
      <c r="R76" s="2" t="str">
        <f t="shared" si="7"/>
        <v/>
      </c>
      <c r="S76" s="46"/>
      <c r="T76" s="46"/>
      <c r="U76" s="46"/>
      <c r="V76" s="10" t="str">
        <f t="shared" si="8"/>
        <v/>
      </c>
      <c r="W76" s="15" t="str">
        <f t="shared" si="9"/>
        <v/>
      </c>
      <c r="X76" s="38" t="str">
        <f t="shared" si="10"/>
        <v/>
      </c>
      <c r="Y76" s="10" t="str">
        <f t="shared" si="11"/>
        <v/>
      </c>
      <c r="Z76" s="2" t="str">
        <f t="shared" si="12"/>
        <v/>
      </c>
      <c r="AA76" s="54" t="s">
        <v>3635</v>
      </c>
      <c r="AB76" s="2"/>
    </row>
    <row r="77" spans="1:28" ht="16">
      <c r="A77" s="44">
        <v>46171</v>
      </c>
      <c r="B77" s="45" t="s">
        <v>3423</v>
      </c>
      <c r="C77" s="45" t="s">
        <v>3473</v>
      </c>
      <c r="D77" s="45" t="s">
        <v>3477</v>
      </c>
      <c r="E77" s="45" t="s">
        <v>3568</v>
      </c>
      <c r="F77" s="33"/>
      <c r="G77" s="45" t="s">
        <v>930</v>
      </c>
      <c r="H77" s="45" t="s">
        <v>3597</v>
      </c>
      <c r="I77" s="2"/>
      <c r="J77" s="35" t="str">
        <f>IF(H77&lt;&gt;"",IFERROR(VLOOKUP(IFERROR(LEFT(H77,FIND("-",H77)-1),H77),'Catalogo MINSAL'!A:E,5,FALSE),""),IF(I77&lt;&gt;"",IFERROR(VLOOKUP(IFERROR(LEFT(I77,FIND("-",I77)-1),I77),'Catalogo MINSAL'!A:E,5,FALSE),""),""))</f>
        <v>Cirugía Mayor</v>
      </c>
      <c r="K77" s="2"/>
      <c r="L77" s="45" t="s">
        <v>3252</v>
      </c>
      <c r="M77" s="45" t="s">
        <v>3609</v>
      </c>
      <c r="N77" s="45" t="s">
        <v>3627</v>
      </c>
      <c r="O77" s="45" t="s">
        <v>3288</v>
      </c>
      <c r="P77" s="45" t="s">
        <v>51</v>
      </c>
      <c r="Q77" s="46"/>
      <c r="R77" s="2" t="str">
        <f t="shared" si="7"/>
        <v/>
      </c>
      <c r="S77" s="46"/>
      <c r="T77" s="46"/>
      <c r="U77" s="46"/>
      <c r="V77" s="10" t="str">
        <f t="shared" si="8"/>
        <v/>
      </c>
      <c r="W77" s="15" t="str">
        <f t="shared" si="9"/>
        <v/>
      </c>
      <c r="X77" s="38" t="str">
        <f t="shared" si="10"/>
        <v/>
      </c>
      <c r="Y77" s="10" t="str">
        <f t="shared" si="11"/>
        <v/>
      </c>
      <c r="Z77" s="2" t="str">
        <f t="shared" si="12"/>
        <v/>
      </c>
      <c r="AA77" s="52" t="s">
        <v>3637</v>
      </c>
      <c r="AB77" s="2"/>
    </row>
    <row r="78" spans="1:28" ht="16">
      <c r="A78" s="31"/>
      <c r="B78" s="32"/>
      <c r="C78" s="32"/>
      <c r="D78" s="32"/>
      <c r="E78" s="32"/>
      <c r="F78" s="33"/>
      <c r="G78" s="2"/>
      <c r="H78" s="2"/>
      <c r="I78" s="2"/>
      <c r="J78" s="35" t="str">
        <f>IF(H78&lt;&gt;"",IFERROR(VLOOKUP(IFERROR(LEFT(H78,FIND("-",H78)-1),H78),'Catalogo MINSAL'!A:E,5,FALSE),""),IF(I78&lt;&gt;"",IFERROR(VLOOKUP(IFERROR(LEFT(I78,FIND("-",I78)-1),I78),'Catalogo MINSAL'!A:E,5,FALSE),""),""))</f>
        <v/>
      </c>
      <c r="K78" s="2"/>
      <c r="L78" s="2"/>
      <c r="M78" s="2"/>
      <c r="N78" s="2"/>
      <c r="O78" s="2"/>
      <c r="P78" s="2"/>
      <c r="Q78" s="24"/>
      <c r="R78" s="2" t="str">
        <f t="shared" si="7"/>
        <v/>
      </c>
      <c r="S78" s="2"/>
      <c r="T78" s="2"/>
      <c r="U78" s="10" t="str">
        <f t="shared" ref="U68:U131" si="13">IFERROR(IF(OR(Q78="",R78=""),"",IF(TIMEVALUE(R78)&gt;=TIMEVALUE(Q78),(TIMEVALUE(R78)-TIMEVALUE(Q78))*1440,(TIMEVALUE(R78)+1-TIMEVALUE(Q78))*1440)),"")</f>
        <v/>
      </c>
      <c r="V78" s="10" t="str">
        <f t="shared" si="8"/>
        <v/>
      </c>
      <c r="W78" s="15" t="str">
        <f t="shared" si="9"/>
        <v/>
      </c>
      <c r="X78" s="38" t="str">
        <f t="shared" si="10"/>
        <v/>
      </c>
      <c r="Y78" s="10" t="str">
        <f t="shared" si="11"/>
        <v/>
      </c>
      <c r="Z78" s="2" t="str">
        <f t="shared" si="12"/>
        <v/>
      </c>
      <c r="AA78" s="2"/>
      <c r="AB78" s="2"/>
    </row>
    <row r="79" spans="1:28" ht="16">
      <c r="A79" s="31"/>
      <c r="B79" s="32"/>
      <c r="C79" s="32"/>
      <c r="D79" s="32"/>
      <c r="E79" s="32"/>
      <c r="F79" s="33"/>
      <c r="G79" s="2"/>
      <c r="H79" s="2"/>
      <c r="I79" s="2"/>
      <c r="J79" s="35" t="str">
        <f>IF(H79&lt;&gt;"",IFERROR(VLOOKUP(IFERROR(LEFT(H79,FIND("-",H79)-1),H79),'Catalogo MINSAL'!A:E,5,FALSE),""),IF(I79&lt;&gt;"",IFERROR(VLOOKUP(IFERROR(LEFT(I79,FIND("-",I79)-1),I79),'Catalogo MINSAL'!A:E,5,FALSE),""),""))</f>
        <v/>
      </c>
      <c r="K79" s="2"/>
      <c r="L79" s="2"/>
      <c r="M79" s="2"/>
      <c r="N79" s="2"/>
      <c r="O79" s="2"/>
      <c r="P79" s="2"/>
      <c r="Q79" s="24"/>
      <c r="R79" s="2" t="str">
        <f t="shared" si="7"/>
        <v/>
      </c>
      <c r="S79" s="2"/>
      <c r="T79" s="2"/>
      <c r="U79" s="10" t="str">
        <f t="shared" si="13"/>
        <v/>
      </c>
      <c r="V79" s="10" t="str">
        <f t="shared" si="8"/>
        <v/>
      </c>
      <c r="W79" s="15" t="str">
        <f t="shared" si="9"/>
        <v/>
      </c>
      <c r="X79" s="38" t="str">
        <f t="shared" si="10"/>
        <v/>
      </c>
      <c r="Y79" s="10" t="str">
        <f t="shared" si="11"/>
        <v/>
      </c>
      <c r="Z79" s="2" t="str">
        <f t="shared" si="12"/>
        <v/>
      </c>
      <c r="AA79" s="2"/>
      <c r="AB79" s="2"/>
    </row>
    <row r="80" spans="1:28" ht="16">
      <c r="A80" s="31"/>
      <c r="B80" s="32"/>
      <c r="C80" s="32"/>
      <c r="D80" s="32"/>
      <c r="E80" s="32"/>
      <c r="F80" s="33"/>
      <c r="G80" s="2"/>
      <c r="H80" s="2"/>
      <c r="I80" s="2"/>
      <c r="J80" s="35" t="str">
        <f>IF(H80&lt;&gt;"",IFERROR(VLOOKUP(IFERROR(LEFT(H80,FIND("-",H80)-1),H80),'Catalogo MINSAL'!A:E,5,FALSE),""),IF(I80&lt;&gt;"",IFERROR(VLOOKUP(IFERROR(LEFT(I80,FIND("-",I80)-1),I80),'Catalogo MINSAL'!A:E,5,FALSE),""),""))</f>
        <v/>
      </c>
      <c r="K80" s="2"/>
      <c r="L80" s="2"/>
      <c r="M80" s="2"/>
      <c r="N80" s="2"/>
      <c r="O80" s="2"/>
      <c r="P80" s="2"/>
      <c r="Q80" s="24"/>
      <c r="R80" s="2" t="str">
        <f t="shared" si="7"/>
        <v/>
      </c>
      <c r="S80" s="2"/>
      <c r="T80" s="2"/>
      <c r="U80" s="10" t="str">
        <f t="shared" si="13"/>
        <v/>
      </c>
      <c r="V80" s="10" t="str">
        <f t="shared" si="8"/>
        <v/>
      </c>
      <c r="W80" s="15" t="str">
        <f t="shared" si="9"/>
        <v/>
      </c>
      <c r="X80" s="38" t="str">
        <f t="shared" si="10"/>
        <v/>
      </c>
      <c r="Y80" s="10" t="str">
        <f t="shared" si="11"/>
        <v/>
      </c>
      <c r="Z80" s="2" t="str">
        <f t="shared" si="12"/>
        <v/>
      </c>
      <c r="AA80" s="2"/>
      <c r="AB80" s="2"/>
    </row>
    <row r="81" spans="1:28" ht="16">
      <c r="A81" s="31"/>
      <c r="B81" s="32"/>
      <c r="C81" s="32"/>
      <c r="D81" s="32"/>
      <c r="E81" s="32"/>
      <c r="F81" s="33"/>
      <c r="G81" s="2"/>
      <c r="H81" s="2"/>
      <c r="I81" s="2"/>
      <c r="J81" s="35" t="str">
        <f>IF(H81&lt;&gt;"",IFERROR(VLOOKUP(IFERROR(LEFT(H81,FIND("-",H81)-1),H81),'Catalogo MINSAL'!A:E,5,FALSE),""),IF(I81&lt;&gt;"",IFERROR(VLOOKUP(IFERROR(LEFT(I81,FIND("-",I81)-1),I81),'Catalogo MINSAL'!A:E,5,FALSE),""),""))</f>
        <v/>
      </c>
      <c r="K81" s="2"/>
      <c r="L81" s="2"/>
      <c r="M81" s="2"/>
      <c r="N81" s="2"/>
      <c r="O81" s="2"/>
      <c r="P81" s="2"/>
      <c r="Q81" s="24"/>
      <c r="R81" s="2" t="str">
        <f t="shared" si="7"/>
        <v/>
      </c>
      <c r="S81" s="2"/>
      <c r="T81" s="2"/>
      <c r="U81" s="10" t="str">
        <f t="shared" si="13"/>
        <v/>
      </c>
      <c r="V81" s="10" t="str">
        <f t="shared" si="8"/>
        <v/>
      </c>
      <c r="W81" s="15" t="str">
        <f t="shared" si="9"/>
        <v/>
      </c>
      <c r="X81" s="38" t="str">
        <f t="shared" si="10"/>
        <v/>
      </c>
      <c r="Y81" s="10" t="str">
        <f t="shared" si="11"/>
        <v/>
      </c>
      <c r="Z81" s="2" t="str">
        <f t="shared" si="12"/>
        <v/>
      </c>
      <c r="AA81" s="2"/>
      <c r="AB81" s="2"/>
    </row>
    <row r="82" spans="1:28" ht="16">
      <c r="A82" s="31"/>
      <c r="B82" s="32"/>
      <c r="C82" s="32"/>
      <c r="D82" s="32"/>
      <c r="E82" s="32"/>
      <c r="F82" s="33"/>
      <c r="G82" s="2"/>
      <c r="H82" s="2"/>
      <c r="I82" s="2"/>
      <c r="J82" s="35" t="str">
        <f>IF(H82&lt;&gt;"",IFERROR(VLOOKUP(IFERROR(LEFT(H82,FIND("-",H82)-1),H82),'Catalogo MINSAL'!A:E,5,FALSE),""),IF(I82&lt;&gt;"",IFERROR(VLOOKUP(IFERROR(LEFT(I82,FIND("-",I82)-1),I82),'Catalogo MINSAL'!A:E,5,FALSE),""),""))</f>
        <v/>
      </c>
      <c r="K82" s="2"/>
      <c r="L82" s="2"/>
      <c r="M82" s="2"/>
      <c r="N82" s="2"/>
      <c r="O82" s="2"/>
      <c r="P82" s="2"/>
      <c r="Q82" s="24"/>
      <c r="R82" s="2" t="str">
        <f t="shared" si="7"/>
        <v/>
      </c>
      <c r="S82" s="2"/>
      <c r="T82" s="2"/>
      <c r="U82" s="10" t="str">
        <f t="shared" si="13"/>
        <v/>
      </c>
      <c r="V82" s="10" t="str">
        <f t="shared" si="8"/>
        <v/>
      </c>
      <c r="W82" s="15" t="str">
        <f t="shared" si="9"/>
        <v/>
      </c>
      <c r="X82" s="38" t="str">
        <f t="shared" si="10"/>
        <v/>
      </c>
      <c r="Y82" s="10" t="str">
        <f t="shared" si="11"/>
        <v/>
      </c>
      <c r="Z82" s="2" t="str">
        <f t="shared" si="12"/>
        <v/>
      </c>
      <c r="AA82" s="2"/>
      <c r="AB82" s="2"/>
    </row>
    <row r="83" spans="1:28" ht="16">
      <c r="A83" s="31"/>
      <c r="B83" s="32"/>
      <c r="C83" s="32"/>
      <c r="D83" s="32"/>
      <c r="E83" s="32"/>
      <c r="F83" s="33"/>
      <c r="G83" s="2"/>
      <c r="H83" s="2"/>
      <c r="I83" s="2"/>
      <c r="J83" s="35" t="str">
        <f>IF(H83&lt;&gt;"",IFERROR(VLOOKUP(IFERROR(LEFT(H83,FIND("-",H83)-1),H83),'Catalogo MINSAL'!A:E,5,FALSE),""),IF(I83&lt;&gt;"",IFERROR(VLOOKUP(IFERROR(LEFT(I83,FIND("-",I83)-1),I83),'Catalogo MINSAL'!A:E,5,FALSE),""),""))</f>
        <v/>
      </c>
      <c r="K83" s="2"/>
      <c r="L83" s="2"/>
      <c r="M83" s="2"/>
      <c r="N83" s="2"/>
      <c r="O83" s="2"/>
      <c r="P83" s="2"/>
      <c r="Q83" s="24"/>
      <c r="R83" s="2" t="str">
        <f t="shared" si="7"/>
        <v/>
      </c>
      <c r="S83" s="2"/>
      <c r="T83" s="2"/>
      <c r="U83" s="10" t="str">
        <f t="shared" si="13"/>
        <v/>
      </c>
      <c r="V83" s="10" t="str">
        <f t="shared" si="8"/>
        <v/>
      </c>
      <c r="W83" s="15" t="str">
        <f t="shared" si="9"/>
        <v/>
      </c>
      <c r="X83" s="38" t="str">
        <f t="shared" si="10"/>
        <v/>
      </c>
      <c r="Y83" s="10" t="str">
        <f t="shared" si="11"/>
        <v/>
      </c>
      <c r="Z83" s="2" t="str">
        <f t="shared" si="12"/>
        <v/>
      </c>
      <c r="AA83" s="2"/>
      <c r="AB83" s="2"/>
    </row>
    <row r="84" spans="1:28" ht="16">
      <c r="A84" s="31"/>
      <c r="B84" s="32"/>
      <c r="C84" s="32"/>
      <c r="D84" s="32"/>
      <c r="E84" s="32"/>
      <c r="F84" s="33"/>
      <c r="G84" s="2"/>
      <c r="H84" s="2"/>
      <c r="I84" s="2"/>
      <c r="J84" s="35" t="str">
        <f>IF(H84&lt;&gt;"",IFERROR(VLOOKUP(IFERROR(LEFT(H84,FIND("-",H84)-1),H84),'Catalogo MINSAL'!A:E,5,FALSE),""),IF(I84&lt;&gt;"",IFERROR(VLOOKUP(IFERROR(LEFT(I84,FIND("-",I84)-1),I84),'Catalogo MINSAL'!A:E,5,FALSE),""),""))</f>
        <v/>
      </c>
      <c r="K84" s="2"/>
      <c r="L84" s="2"/>
      <c r="M84" s="2"/>
      <c r="N84" s="2"/>
      <c r="O84" s="2"/>
      <c r="P84" s="2"/>
      <c r="Q84" s="24"/>
      <c r="R84" s="2" t="str">
        <f t="shared" si="7"/>
        <v/>
      </c>
      <c r="S84" s="2"/>
      <c r="T84" s="2"/>
      <c r="U84" s="10" t="str">
        <f t="shared" si="13"/>
        <v/>
      </c>
      <c r="V84" s="10" t="str">
        <f t="shared" si="8"/>
        <v/>
      </c>
      <c r="W84" s="15" t="str">
        <f t="shared" si="9"/>
        <v/>
      </c>
      <c r="X84" s="38" t="str">
        <f t="shared" si="10"/>
        <v/>
      </c>
      <c r="Y84" s="10" t="str">
        <f t="shared" si="11"/>
        <v/>
      </c>
      <c r="Z84" s="2" t="str">
        <f t="shared" si="12"/>
        <v/>
      </c>
      <c r="AA84" s="2"/>
      <c r="AB84" s="2"/>
    </row>
    <row r="85" spans="1:28" ht="16">
      <c r="A85" s="31"/>
      <c r="B85" s="32"/>
      <c r="C85" s="32"/>
      <c r="D85" s="32"/>
      <c r="E85" s="32"/>
      <c r="F85" s="33"/>
      <c r="G85" s="2"/>
      <c r="H85" s="2"/>
      <c r="I85" s="2"/>
      <c r="J85" s="35" t="str">
        <f>IF(H85&lt;&gt;"",IFERROR(VLOOKUP(IFERROR(LEFT(H85,FIND("-",H85)-1),H85),'Catalogo MINSAL'!A:E,5,FALSE),""),IF(I85&lt;&gt;"",IFERROR(VLOOKUP(IFERROR(LEFT(I85,FIND("-",I85)-1),I85),'Catalogo MINSAL'!A:E,5,FALSE),""),""))</f>
        <v/>
      </c>
      <c r="K85" s="2"/>
      <c r="L85" s="2"/>
      <c r="M85" s="2"/>
      <c r="N85" s="2"/>
      <c r="O85" s="2"/>
      <c r="P85" s="2"/>
      <c r="Q85" s="24"/>
      <c r="R85" s="2" t="str">
        <f t="shared" si="7"/>
        <v/>
      </c>
      <c r="S85" s="2"/>
      <c r="T85" s="2"/>
      <c r="U85" s="10" t="str">
        <f t="shared" si="13"/>
        <v/>
      </c>
      <c r="V85" s="10" t="str">
        <f t="shared" si="8"/>
        <v/>
      </c>
      <c r="W85" s="15" t="str">
        <f t="shared" si="9"/>
        <v/>
      </c>
      <c r="X85" s="38" t="str">
        <f t="shared" si="10"/>
        <v/>
      </c>
      <c r="Y85" s="10" t="str">
        <f t="shared" si="11"/>
        <v/>
      </c>
      <c r="Z85" s="2" t="str">
        <f t="shared" si="12"/>
        <v/>
      </c>
      <c r="AA85" s="2"/>
      <c r="AB85" s="2"/>
    </row>
    <row r="86" spans="1:28" ht="16">
      <c r="A86" s="31"/>
      <c r="B86" s="32"/>
      <c r="C86" s="32"/>
      <c r="D86" s="32"/>
      <c r="E86" s="32"/>
      <c r="F86" s="33"/>
      <c r="G86" s="2"/>
      <c r="H86" s="2"/>
      <c r="I86" s="2"/>
      <c r="J86" s="35" t="str">
        <f>IF(H86&lt;&gt;"",IFERROR(VLOOKUP(IFERROR(LEFT(H86,FIND("-",H86)-1),H86),'Catalogo MINSAL'!A:E,5,FALSE),""),IF(I86&lt;&gt;"",IFERROR(VLOOKUP(IFERROR(LEFT(I86,FIND("-",I86)-1),I86),'Catalogo MINSAL'!A:E,5,FALSE),""),""))</f>
        <v/>
      </c>
      <c r="K86" s="2"/>
      <c r="L86" s="2"/>
      <c r="M86" s="2"/>
      <c r="N86" s="2"/>
      <c r="O86" s="2"/>
      <c r="P86" s="2"/>
      <c r="Q86" s="24"/>
      <c r="R86" s="2" t="str">
        <f t="shared" si="7"/>
        <v/>
      </c>
      <c r="S86" s="2"/>
      <c r="T86" s="2"/>
      <c r="U86" s="10" t="str">
        <f t="shared" si="13"/>
        <v/>
      </c>
      <c r="V86" s="10" t="str">
        <f t="shared" si="8"/>
        <v/>
      </c>
      <c r="W86" s="15" t="str">
        <f t="shared" si="9"/>
        <v/>
      </c>
      <c r="X86" s="38" t="str">
        <f t="shared" si="10"/>
        <v/>
      </c>
      <c r="Y86" s="10" t="str">
        <f t="shared" si="11"/>
        <v/>
      </c>
      <c r="Z86" s="2" t="str">
        <f t="shared" si="12"/>
        <v/>
      </c>
      <c r="AA86" s="2"/>
      <c r="AB86" s="2"/>
    </row>
    <row r="87" spans="1:28" ht="16">
      <c r="A87" s="31"/>
      <c r="B87" s="32"/>
      <c r="C87" s="32"/>
      <c r="D87" s="32"/>
      <c r="E87" s="32"/>
      <c r="F87" s="33"/>
      <c r="G87" s="2"/>
      <c r="H87" s="2"/>
      <c r="I87" s="2"/>
      <c r="J87" s="35" t="str">
        <f>IF(H87&lt;&gt;"",IFERROR(VLOOKUP(IFERROR(LEFT(H87,FIND("-",H87)-1),H87),'Catalogo MINSAL'!A:E,5,FALSE),""),IF(I87&lt;&gt;"",IFERROR(VLOOKUP(IFERROR(LEFT(I87,FIND("-",I87)-1),I87),'Catalogo MINSAL'!A:E,5,FALSE),""),""))</f>
        <v/>
      </c>
      <c r="K87" s="2"/>
      <c r="L87" s="2"/>
      <c r="M87" s="2"/>
      <c r="N87" s="2"/>
      <c r="O87" s="2"/>
      <c r="P87" s="2"/>
      <c r="Q87" s="24"/>
      <c r="R87" s="2" t="str">
        <f t="shared" si="7"/>
        <v/>
      </c>
      <c r="S87" s="2"/>
      <c r="T87" s="2"/>
      <c r="U87" s="10" t="str">
        <f t="shared" si="13"/>
        <v/>
      </c>
      <c r="V87" s="10" t="str">
        <f t="shared" si="8"/>
        <v/>
      </c>
      <c r="W87" s="15" t="str">
        <f t="shared" si="9"/>
        <v/>
      </c>
      <c r="X87" s="38" t="str">
        <f t="shared" si="10"/>
        <v/>
      </c>
      <c r="Y87" s="10" t="str">
        <f t="shared" si="11"/>
        <v/>
      </c>
      <c r="Z87" s="2" t="str">
        <f t="shared" si="12"/>
        <v/>
      </c>
      <c r="AA87" s="2"/>
      <c r="AB87" s="2"/>
    </row>
    <row r="88" spans="1:28" ht="16">
      <c r="A88" s="31"/>
      <c r="B88" s="32"/>
      <c r="C88" s="32"/>
      <c r="D88" s="32"/>
      <c r="E88" s="32"/>
      <c r="F88" s="33"/>
      <c r="G88" s="2"/>
      <c r="H88" s="2"/>
      <c r="I88" s="2"/>
      <c r="J88" s="35" t="str">
        <f>IF(H88&lt;&gt;"",IFERROR(VLOOKUP(IFERROR(LEFT(H88,FIND("-",H88)-1),H88),'Catalogo MINSAL'!A:E,5,FALSE),""),IF(I88&lt;&gt;"",IFERROR(VLOOKUP(IFERROR(LEFT(I88,FIND("-",I88)-1),I88),'Catalogo MINSAL'!A:E,5,FALSE),""),""))</f>
        <v/>
      </c>
      <c r="K88" s="2"/>
      <c r="L88" s="2"/>
      <c r="M88" s="2"/>
      <c r="N88" s="2"/>
      <c r="O88" s="2"/>
      <c r="P88" s="2"/>
      <c r="Q88" s="24"/>
      <c r="R88" s="2" t="str">
        <f t="shared" si="7"/>
        <v/>
      </c>
      <c r="S88" s="2"/>
      <c r="T88" s="2"/>
      <c r="U88" s="10" t="str">
        <f t="shared" si="13"/>
        <v/>
      </c>
      <c r="V88" s="10" t="str">
        <f t="shared" si="8"/>
        <v/>
      </c>
      <c r="W88" s="15" t="str">
        <f t="shared" si="9"/>
        <v/>
      </c>
      <c r="X88" s="38" t="str">
        <f t="shared" si="10"/>
        <v/>
      </c>
      <c r="Y88" s="10" t="str">
        <f t="shared" si="11"/>
        <v/>
      </c>
      <c r="Z88" s="2" t="str">
        <f t="shared" si="12"/>
        <v/>
      </c>
      <c r="AA88" s="2"/>
      <c r="AB88" s="2"/>
    </row>
    <row r="89" spans="1:28" ht="16">
      <c r="A89" s="31"/>
      <c r="B89" s="32"/>
      <c r="C89" s="32"/>
      <c r="D89" s="32"/>
      <c r="E89" s="32"/>
      <c r="F89" s="33"/>
      <c r="G89" s="2"/>
      <c r="H89" s="2"/>
      <c r="I89" s="2"/>
      <c r="J89" s="35" t="str">
        <f>IF(H89&lt;&gt;"",IFERROR(VLOOKUP(IFERROR(LEFT(H89,FIND("-",H89)-1),H89),'Catalogo MINSAL'!A:E,5,FALSE),""),IF(I89&lt;&gt;"",IFERROR(VLOOKUP(IFERROR(LEFT(I89,FIND("-",I89)-1),I89),'Catalogo MINSAL'!A:E,5,FALSE),""),""))</f>
        <v/>
      </c>
      <c r="K89" s="2"/>
      <c r="L89" s="2"/>
      <c r="M89" s="2"/>
      <c r="N89" s="2"/>
      <c r="O89" s="2"/>
      <c r="P89" s="2"/>
      <c r="Q89" s="24"/>
      <c r="R89" s="2" t="str">
        <f t="shared" si="7"/>
        <v/>
      </c>
      <c r="S89" s="2"/>
      <c r="T89" s="2"/>
      <c r="U89" s="10" t="str">
        <f t="shared" si="13"/>
        <v/>
      </c>
      <c r="V89" s="10" t="str">
        <f t="shared" si="8"/>
        <v/>
      </c>
      <c r="W89" s="15" t="str">
        <f t="shared" si="9"/>
        <v/>
      </c>
      <c r="X89" s="38" t="str">
        <f t="shared" si="10"/>
        <v/>
      </c>
      <c r="Y89" s="10" t="str">
        <f t="shared" si="11"/>
        <v/>
      </c>
      <c r="Z89" s="2" t="str">
        <f t="shared" si="12"/>
        <v/>
      </c>
      <c r="AA89" s="2"/>
      <c r="AB89" s="2"/>
    </row>
    <row r="90" spans="1:28" ht="16">
      <c r="A90" s="31"/>
      <c r="B90" s="32"/>
      <c r="C90" s="32"/>
      <c r="D90" s="32"/>
      <c r="E90" s="32"/>
      <c r="F90" s="33"/>
      <c r="G90" s="2"/>
      <c r="H90" s="2"/>
      <c r="I90" s="2"/>
      <c r="J90" s="35" t="str">
        <f>IF(H90&lt;&gt;"",IFERROR(VLOOKUP(IFERROR(LEFT(H90,FIND("-",H90)-1),H90),'Catalogo MINSAL'!A:E,5,FALSE),""),IF(I90&lt;&gt;"",IFERROR(VLOOKUP(IFERROR(LEFT(I90,FIND("-",I90)-1),I90),'Catalogo MINSAL'!A:E,5,FALSE),""),""))</f>
        <v/>
      </c>
      <c r="K90" s="2"/>
      <c r="L90" s="2"/>
      <c r="M90" s="2"/>
      <c r="N90" s="2"/>
      <c r="O90" s="2"/>
      <c r="P90" s="2"/>
      <c r="Q90" s="24"/>
      <c r="R90" s="2" t="str">
        <f t="shared" si="7"/>
        <v/>
      </c>
      <c r="S90" s="2"/>
      <c r="T90" s="2"/>
      <c r="U90" s="10" t="str">
        <f t="shared" si="13"/>
        <v/>
      </c>
      <c r="V90" s="10" t="str">
        <f t="shared" si="8"/>
        <v/>
      </c>
      <c r="W90" s="15" t="str">
        <f t="shared" si="9"/>
        <v/>
      </c>
      <c r="X90" s="38" t="str">
        <f t="shared" si="10"/>
        <v/>
      </c>
      <c r="Y90" s="10" t="str">
        <f t="shared" si="11"/>
        <v/>
      </c>
      <c r="Z90" s="2" t="str">
        <f t="shared" si="12"/>
        <v/>
      </c>
      <c r="AA90" s="2"/>
      <c r="AB90" s="2"/>
    </row>
    <row r="91" spans="1:28" ht="16">
      <c r="A91" s="31"/>
      <c r="B91" s="32"/>
      <c r="C91" s="32"/>
      <c r="D91" s="32"/>
      <c r="E91" s="32"/>
      <c r="F91" s="33"/>
      <c r="G91" s="2"/>
      <c r="H91" s="2"/>
      <c r="I91" s="2"/>
      <c r="J91" s="35" t="str">
        <f>IF(H91&lt;&gt;"",IFERROR(VLOOKUP(IFERROR(LEFT(H91,FIND("-",H91)-1),H91),'Catalogo MINSAL'!A:E,5,FALSE),""),IF(I91&lt;&gt;"",IFERROR(VLOOKUP(IFERROR(LEFT(I91,FIND("-",I91)-1),I91),'Catalogo MINSAL'!A:E,5,FALSE),""),""))</f>
        <v/>
      </c>
      <c r="K91" s="2"/>
      <c r="L91" s="2"/>
      <c r="M91" s="2"/>
      <c r="N91" s="2"/>
      <c r="O91" s="2"/>
      <c r="P91" s="2"/>
      <c r="Q91" s="24"/>
      <c r="R91" s="2" t="str">
        <f t="shared" si="7"/>
        <v/>
      </c>
      <c r="S91" s="2"/>
      <c r="T91" s="2"/>
      <c r="U91" s="10" t="str">
        <f t="shared" si="13"/>
        <v/>
      </c>
      <c r="V91" s="10" t="str">
        <f t="shared" si="8"/>
        <v/>
      </c>
      <c r="W91" s="15" t="str">
        <f t="shared" si="9"/>
        <v/>
      </c>
      <c r="X91" s="38" t="str">
        <f t="shared" si="10"/>
        <v/>
      </c>
      <c r="Y91" s="10" t="str">
        <f t="shared" si="11"/>
        <v/>
      </c>
      <c r="Z91" s="2" t="str">
        <f t="shared" si="12"/>
        <v/>
      </c>
      <c r="AA91" s="2"/>
      <c r="AB91" s="2"/>
    </row>
    <row r="92" spans="1:28" ht="16">
      <c r="A92" s="31"/>
      <c r="B92" s="32"/>
      <c r="C92" s="32"/>
      <c r="D92" s="32"/>
      <c r="E92" s="32"/>
      <c r="F92" s="33"/>
      <c r="G92" s="2"/>
      <c r="H92" s="2"/>
      <c r="I92" s="2"/>
      <c r="J92" s="35" t="str">
        <f>IF(H92&lt;&gt;"",IFERROR(VLOOKUP(IFERROR(LEFT(H92,FIND("-",H92)-1),H92),'Catalogo MINSAL'!A:E,5,FALSE),""),IF(I92&lt;&gt;"",IFERROR(VLOOKUP(IFERROR(LEFT(I92,FIND("-",I92)-1),I92),'Catalogo MINSAL'!A:E,5,FALSE),""),""))</f>
        <v/>
      </c>
      <c r="K92" s="2"/>
      <c r="L92" s="2"/>
      <c r="M92" s="2"/>
      <c r="N92" s="2"/>
      <c r="O92" s="2"/>
      <c r="P92" s="2"/>
      <c r="Q92" s="24"/>
      <c r="R92" s="2" t="str">
        <f t="shared" si="7"/>
        <v/>
      </c>
      <c r="S92" s="2"/>
      <c r="T92" s="2"/>
      <c r="U92" s="10" t="str">
        <f t="shared" si="13"/>
        <v/>
      </c>
      <c r="V92" s="10" t="str">
        <f t="shared" si="8"/>
        <v/>
      </c>
      <c r="W92" s="15" t="str">
        <f t="shared" si="9"/>
        <v/>
      </c>
      <c r="X92" s="38" t="str">
        <f t="shared" si="10"/>
        <v/>
      </c>
      <c r="Y92" s="10" t="str">
        <f t="shared" si="11"/>
        <v/>
      </c>
      <c r="Z92" s="2" t="str">
        <f t="shared" si="12"/>
        <v/>
      </c>
      <c r="AA92" s="2"/>
      <c r="AB92" s="2"/>
    </row>
    <row r="93" spans="1:28" ht="16">
      <c r="A93" s="31"/>
      <c r="B93" s="32"/>
      <c r="C93" s="32"/>
      <c r="D93" s="32"/>
      <c r="E93" s="32"/>
      <c r="F93" s="33"/>
      <c r="G93" s="2"/>
      <c r="H93" s="2"/>
      <c r="I93" s="2"/>
      <c r="J93" s="35" t="str">
        <f>IF(H93&lt;&gt;"",IFERROR(VLOOKUP(IFERROR(LEFT(H93,FIND("-",H93)-1),H93),'Catalogo MINSAL'!A:E,5,FALSE),""),IF(I93&lt;&gt;"",IFERROR(VLOOKUP(IFERROR(LEFT(I93,FIND("-",I93)-1),I93),'Catalogo MINSAL'!A:E,5,FALSE),""),""))</f>
        <v/>
      </c>
      <c r="K93" s="2"/>
      <c r="L93" s="2"/>
      <c r="M93" s="2"/>
      <c r="N93" s="2"/>
      <c r="O93" s="2"/>
      <c r="P93" s="2"/>
      <c r="Q93" s="24"/>
      <c r="R93" s="2" t="str">
        <f t="shared" si="7"/>
        <v/>
      </c>
      <c r="S93" s="2"/>
      <c r="T93" s="2"/>
      <c r="U93" s="10" t="str">
        <f t="shared" si="13"/>
        <v/>
      </c>
      <c r="V93" s="10" t="str">
        <f t="shared" si="8"/>
        <v/>
      </c>
      <c r="W93" s="15" t="str">
        <f t="shared" si="9"/>
        <v/>
      </c>
      <c r="X93" s="38" t="str">
        <f t="shared" si="10"/>
        <v/>
      </c>
      <c r="Y93" s="10" t="str">
        <f t="shared" si="11"/>
        <v/>
      </c>
      <c r="Z93" s="2" t="str">
        <f t="shared" si="12"/>
        <v/>
      </c>
      <c r="AA93" s="2"/>
      <c r="AB93" s="2"/>
    </row>
    <row r="94" spans="1:28" ht="16">
      <c r="A94" s="31"/>
      <c r="B94" s="32"/>
      <c r="C94" s="32"/>
      <c r="D94" s="32"/>
      <c r="E94" s="32"/>
      <c r="F94" s="33"/>
      <c r="G94" s="2"/>
      <c r="H94" s="2"/>
      <c r="I94" s="2"/>
      <c r="J94" s="35" t="str">
        <f>IF(H94&lt;&gt;"",IFERROR(VLOOKUP(IFERROR(LEFT(H94,FIND("-",H94)-1),H94),'Catalogo MINSAL'!A:E,5,FALSE),""),IF(I94&lt;&gt;"",IFERROR(VLOOKUP(IFERROR(LEFT(I94,FIND("-",I94)-1),I94),'Catalogo MINSAL'!A:E,5,FALSE),""),""))</f>
        <v/>
      </c>
      <c r="K94" s="2"/>
      <c r="L94" s="2"/>
      <c r="M94" s="2"/>
      <c r="N94" s="2"/>
      <c r="O94" s="2"/>
      <c r="P94" s="2"/>
      <c r="Q94" s="24"/>
      <c r="R94" s="2" t="str">
        <f t="shared" si="7"/>
        <v/>
      </c>
      <c r="S94" s="2"/>
      <c r="T94" s="2"/>
      <c r="U94" s="10" t="str">
        <f t="shared" si="13"/>
        <v/>
      </c>
      <c r="V94" s="10" t="str">
        <f t="shared" si="8"/>
        <v/>
      </c>
      <c r="W94" s="15" t="str">
        <f t="shared" si="9"/>
        <v/>
      </c>
      <c r="X94" s="38" t="str">
        <f t="shared" si="10"/>
        <v/>
      </c>
      <c r="Y94" s="10" t="str">
        <f t="shared" si="11"/>
        <v/>
      </c>
      <c r="Z94" s="2" t="str">
        <f t="shared" si="12"/>
        <v/>
      </c>
      <c r="AA94" s="2"/>
      <c r="AB94" s="2"/>
    </row>
    <row r="95" spans="1:28" ht="16">
      <c r="A95" s="31"/>
      <c r="B95" s="32"/>
      <c r="C95" s="32"/>
      <c r="D95" s="32"/>
      <c r="E95" s="32"/>
      <c r="F95" s="33"/>
      <c r="G95" s="2"/>
      <c r="H95" s="2"/>
      <c r="I95" s="2"/>
      <c r="J95" s="35" t="str">
        <f>IF(H95&lt;&gt;"",IFERROR(VLOOKUP(IFERROR(LEFT(H95,FIND("-",H95)-1),H95),'Catalogo MINSAL'!A:E,5,FALSE),""),IF(I95&lt;&gt;"",IFERROR(VLOOKUP(IFERROR(LEFT(I95,FIND("-",I95)-1),I95),'Catalogo MINSAL'!A:E,5,FALSE),""),""))</f>
        <v/>
      </c>
      <c r="K95" s="2"/>
      <c r="L95" s="2"/>
      <c r="M95" s="2"/>
      <c r="N95" s="2"/>
      <c r="O95" s="2"/>
      <c r="P95" s="2"/>
      <c r="Q95" s="24"/>
      <c r="R95" s="2" t="str">
        <f t="shared" si="7"/>
        <v/>
      </c>
      <c r="S95" s="2"/>
      <c r="T95" s="2"/>
      <c r="U95" s="10" t="str">
        <f t="shared" si="13"/>
        <v/>
      </c>
      <c r="V95" s="10" t="str">
        <f t="shared" si="8"/>
        <v/>
      </c>
      <c r="W95" s="15" t="str">
        <f t="shared" si="9"/>
        <v/>
      </c>
      <c r="X95" s="38" t="str">
        <f t="shared" si="10"/>
        <v/>
      </c>
      <c r="Y95" s="10" t="str">
        <f t="shared" si="11"/>
        <v/>
      </c>
      <c r="Z95" s="2" t="str">
        <f t="shared" si="12"/>
        <v/>
      </c>
      <c r="AA95" s="2"/>
      <c r="AB95" s="2"/>
    </row>
    <row r="96" spans="1:28" ht="16">
      <c r="A96" s="31"/>
      <c r="B96" s="32"/>
      <c r="C96" s="32"/>
      <c r="D96" s="32"/>
      <c r="E96" s="32"/>
      <c r="F96" s="33"/>
      <c r="G96" s="2"/>
      <c r="H96" s="2"/>
      <c r="I96" s="2"/>
      <c r="J96" s="35" t="str">
        <f>IF(H96&lt;&gt;"",IFERROR(VLOOKUP(IFERROR(LEFT(H96,FIND("-",H96)-1),H96),'Catalogo MINSAL'!A:E,5,FALSE),""),IF(I96&lt;&gt;"",IFERROR(VLOOKUP(IFERROR(LEFT(I96,FIND("-",I96)-1),I96),'Catalogo MINSAL'!A:E,5,FALSE),""),""))</f>
        <v/>
      </c>
      <c r="K96" s="2"/>
      <c r="L96" s="2"/>
      <c r="M96" s="2"/>
      <c r="N96" s="2"/>
      <c r="O96" s="2"/>
      <c r="P96" s="2"/>
      <c r="Q96" s="24"/>
      <c r="R96" s="2" t="str">
        <f t="shared" si="7"/>
        <v/>
      </c>
      <c r="S96" s="2"/>
      <c r="T96" s="2"/>
      <c r="U96" s="10" t="str">
        <f t="shared" si="13"/>
        <v/>
      </c>
      <c r="V96" s="10" t="str">
        <f t="shared" si="8"/>
        <v/>
      </c>
      <c r="W96" s="15" t="str">
        <f t="shared" si="9"/>
        <v/>
      </c>
      <c r="X96" s="38" t="str">
        <f t="shared" si="10"/>
        <v/>
      </c>
      <c r="Y96" s="10" t="str">
        <f t="shared" si="11"/>
        <v/>
      </c>
      <c r="Z96" s="2" t="str">
        <f t="shared" si="12"/>
        <v/>
      </c>
      <c r="AA96" s="2"/>
      <c r="AB96" s="2"/>
    </row>
    <row r="97" spans="1:28" ht="16">
      <c r="A97" s="31"/>
      <c r="B97" s="32"/>
      <c r="C97" s="32"/>
      <c r="D97" s="32"/>
      <c r="E97" s="32"/>
      <c r="F97" s="33"/>
      <c r="G97" s="2"/>
      <c r="H97" s="2"/>
      <c r="I97" s="2"/>
      <c r="J97" s="35" t="str">
        <f>IF(H97&lt;&gt;"",IFERROR(VLOOKUP(IFERROR(LEFT(H97,FIND("-",H97)-1),H97),'Catalogo MINSAL'!A:E,5,FALSE),""),IF(I97&lt;&gt;"",IFERROR(VLOOKUP(IFERROR(LEFT(I97,FIND("-",I97)-1),I97),'Catalogo MINSAL'!A:E,5,FALSE),""),""))</f>
        <v/>
      </c>
      <c r="K97" s="2"/>
      <c r="L97" s="2"/>
      <c r="M97" s="2"/>
      <c r="N97" s="2"/>
      <c r="O97" s="2"/>
      <c r="P97" s="2"/>
      <c r="Q97" s="24"/>
      <c r="R97" s="2" t="str">
        <f t="shared" si="7"/>
        <v/>
      </c>
      <c r="S97" s="2"/>
      <c r="T97" s="2"/>
      <c r="U97" s="10" t="str">
        <f t="shared" si="13"/>
        <v/>
      </c>
      <c r="V97" s="10" t="str">
        <f t="shared" si="8"/>
        <v/>
      </c>
      <c r="W97" s="15" t="str">
        <f t="shared" si="9"/>
        <v/>
      </c>
      <c r="X97" s="38" t="str">
        <f t="shared" si="10"/>
        <v/>
      </c>
      <c r="Y97" s="10" t="str">
        <f t="shared" si="11"/>
        <v/>
      </c>
      <c r="Z97" s="2" t="str">
        <f t="shared" si="12"/>
        <v/>
      </c>
      <c r="AA97" s="2"/>
      <c r="AB97" s="2"/>
    </row>
    <row r="98" spans="1:28" ht="16">
      <c r="A98" s="31"/>
      <c r="B98" s="32"/>
      <c r="C98" s="32"/>
      <c r="D98" s="32"/>
      <c r="E98" s="32"/>
      <c r="F98" s="33"/>
      <c r="G98" s="2"/>
      <c r="H98" s="2"/>
      <c r="I98" s="2"/>
      <c r="J98" s="35" t="str">
        <f>IF(H98&lt;&gt;"",IFERROR(VLOOKUP(IFERROR(LEFT(H98,FIND("-",H98)-1),H98),'Catalogo MINSAL'!A:E,5,FALSE),""),IF(I98&lt;&gt;"",IFERROR(VLOOKUP(IFERROR(LEFT(I98,FIND("-",I98)-1),I98),'Catalogo MINSAL'!A:E,5,FALSE),""),""))</f>
        <v/>
      </c>
      <c r="K98" s="2"/>
      <c r="L98" s="2"/>
      <c r="M98" s="2"/>
      <c r="N98" s="2"/>
      <c r="O98" s="2"/>
      <c r="P98" s="2"/>
      <c r="Q98" s="24"/>
      <c r="R98" s="2" t="str">
        <f t="shared" si="7"/>
        <v/>
      </c>
      <c r="S98" s="2"/>
      <c r="T98" s="2"/>
      <c r="U98" s="10" t="str">
        <f t="shared" si="13"/>
        <v/>
      </c>
      <c r="V98" s="10" t="str">
        <f t="shared" si="8"/>
        <v/>
      </c>
      <c r="W98" s="15" t="str">
        <f t="shared" si="9"/>
        <v/>
      </c>
      <c r="X98" s="38" t="str">
        <f t="shared" si="10"/>
        <v/>
      </c>
      <c r="Y98" s="10" t="str">
        <f t="shared" si="11"/>
        <v/>
      </c>
      <c r="Z98" s="2" t="str">
        <f t="shared" si="12"/>
        <v/>
      </c>
      <c r="AA98" s="2"/>
      <c r="AB98" s="2"/>
    </row>
    <row r="99" spans="1:28" ht="16">
      <c r="A99" s="31"/>
      <c r="B99" s="32"/>
      <c r="C99" s="32"/>
      <c r="D99" s="32"/>
      <c r="E99" s="32"/>
      <c r="F99" s="33"/>
      <c r="G99" s="2"/>
      <c r="H99" s="2"/>
      <c r="I99" s="2"/>
      <c r="J99" s="35" t="str">
        <f>IF(H99&lt;&gt;"",IFERROR(VLOOKUP(IFERROR(LEFT(H99,FIND("-",H99)-1),H99),'Catalogo MINSAL'!A:E,5,FALSE),""),IF(I99&lt;&gt;"",IFERROR(VLOOKUP(IFERROR(LEFT(I99,FIND("-",I99)-1),I99),'Catalogo MINSAL'!A:E,5,FALSE),""),""))</f>
        <v/>
      </c>
      <c r="K99" s="2"/>
      <c r="L99" s="2"/>
      <c r="M99" s="2"/>
      <c r="N99" s="2"/>
      <c r="O99" s="2"/>
      <c r="P99" s="2"/>
      <c r="Q99" s="24"/>
      <c r="R99" s="2" t="str">
        <f t="shared" si="7"/>
        <v/>
      </c>
      <c r="S99" s="2"/>
      <c r="T99" s="2"/>
      <c r="U99" s="10" t="str">
        <f t="shared" si="13"/>
        <v/>
      </c>
      <c r="V99" s="10" t="str">
        <f t="shared" si="8"/>
        <v/>
      </c>
      <c r="W99" s="15" t="str">
        <f t="shared" si="9"/>
        <v/>
      </c>
      <c r="X99" s="38" t="str">
        <f t="shared" si="10"/>
        <v/>
      </c>
      <c r="Y99" s="10" t="str">
        <f t="shared" si="11"/>
        <v/>
      </c>
      <c r="Z99" s="2" t="str">
        <f t="shared" si="12"/>
        <v/>
      </c>
      <c r="AA99" s="2"/>
      <c r="AB99" s="2"/>
    </row>
    <row r="100" spans="1:28" ht="16">
      <c r="A100" s="31"/>
      <c r="B100" s="32"/>
      <c r="C100" s="32"/>
      <c r="D100" s="32"/>
      <c r="E100" s="32"/>
      <c r="F100" s="33"/>
      <c r="G100" s="2"/>
      <c r="H100" s="2"/>
      <c r="I100" s="2"/>
      <c r="J100" s="35" t="str">
        <f>IF(H100&lt;&gt;"",IFERROR(VLOOKUP(IFERROR(LEFT(H100,FIND("-",H100)-1),H100),'Catalogo MINSAL'!A:E,5,FALSE),""),IF(I100&lt;&gt;"",IFERROR(VLOOKUP(IFERROR(LEFT(I100,FIND("-",I100)-1),I100),'Catalogo MINSAL'!A:E,5,FALSE),""),""))</f>
        <v/>
      </c>
      <c r="K100" s="2"/>
      <c r="L100" s="2"/>
      <c r="M100" s="2"/>
      <c r="N100" s="2"/>
      <c r="O100" s="2"/>
      <c r="P100" s="2"/>
      <c r="Q100" s="24"/>
      <c r="R100" s="2" t="str">
        <f t="shared" si="7"/>
        <v/>
      </c>
      <c r="S100" s="2"/>
      <c r="T100" s="2"/>
      <c r="U100" s="10" t="str">
        <f t="shared" si="13"/>
        <v/>
      </c>
      <c r="V100" s="10" t="str">
        <f t="shared" si="8"/>
        <v/>
      </c>
      <c r="W100" s="15" t="str">
        <f t="shared" si="9"/>
        <v/>
      </c>
      <c r="X100" s="38" t="str">
        <f t="shared" si="10"/>
        <v/>
      </c>
      <c r="Y100" s="10" t="str">
        <f t="shared" si="11"/>
        <v/>
      </c>
      <c r="Z100" s="2" t="str">
        <f t="shared" si="12"/>
        <v/>
      </c>
      <c r="AA100" s="2"/>
      <c r="AB100" s="2"/>
    </row>
    <row r="101" spans="1:28" ht="16">
      <c r="A101" s="31"/>
      <c r="B101" s="32"/>
      <c r="C101" s="32"/>
      <c r="D101" s="32"/>
      <c r="E101" s="32"/>
      <c r="F101" s="33"/>
      <c r="G101" s="2"/>
      <c r="H101" s="2"/>
      <c r="I101" s="2"/>
      <c r="J101" s="35" t="str">
        <f>IF(H101&lt;&gt;"",IFERROR(VLOOKUP(IFERROR(LEFT(H101,FIND("-",H101)-1),H101),'Catalogo MINSAL'!A:E,5,FALSE),""),IF(I101&lt;&gt;"",IFERROR(VLOOKUP(IFERROR(LEFT(I101,FIND("-",I101)-1),I101),'Catalogo MINSAL'!A:E,5,FALSE),""),""))</f>
        <v/>
      </c>
      <c r="K101" s="2"/>
      <c r="L101" s="2"/>
      <c r="M101" s="2"/>
      <c r="N101" s="2"/>
      <c r="O101" s="2"/>
      <c r="P101" s="2"/>
      <c r="Q101" s="24"/>
      <c r="R101" s="2" t="str">
        <f t="shared" si="7"/>
        <v/>
      </c>
      <c r="S101" s="2"/>
      <c r="T101" s="2"/>
      <c r="U101" s="10" t="str">
        <f t="shared" si="13"/>
        <v/>
      </c>
      <c r="V101" s="10" t="str">
        <f t="shared" si="8"/>
        <v/>
      </c>
      <c r="W101" s="15" t="str">
        <f t="shared" si="9"/>
        <v/>
      </c>
      <c r="X101" s="38" t="str">
        <f t="shared" si="10"/>
        <v/>
      </c>
      <c r="Y101" s="10" t="str">
        <f t="shared" si="11"/>
        <v/>
      </c>
      <c r="Z101" s="2" t="str">
        <f t="shared" si="12"/>
        <v/>
      </c>
      <c r="AA101" s="2"/>
      <c r="AB101" s="2"/>
    </row>
    <row r="102" spans="1:28" ht="16">
      <c r="A102" s="31"/>
      <c r="B102" s="32"/>
      <c r="C102" s="32"/>
      <c r="D102" s="32"/>
      <c r="E102" s="32"/>
      <c r="F102" s="33"/>
      <c r="G102" s="2"/>
      <c r="H102" s="2"/>
      <c r="I102" s="2"/>
      <c r="J102" s="35" t="str">
        <f>IF(H102&lt;&gt;"",IFERROR(VLOOKUP(IFERROR(LEFT(H102,FIND("-",H102)-1),H102),'Catalogo MINSAL'!A:E,5,FALSE),""),IF(I102&lt;&gt;"",IFERROR(VLOOKUP(IFERROR(LEFT(I102,FIND("-",I102)-1),I102),'Catalogo MINSAL'!A:E,5,FALSE),""),""))</f>
        <v/>
      </c>
      <c r="K102" s="2"/>
      <c r="L102" s="2"/>
      <c r="M102" s="2"/>
      <c r="N102" s="2"/>
      <c r="O102" s="2"/>
      <c r="P102" s="2"/>
      <c r="Q102" s="24"/>
      <c r="R102" s="2" t="str">
        <f t="shared" si="7"/>
        <v/>
      </c>
      <c r="S102" s="2"/>
      <c r="T102" s="2"/>
      <c r="U102" s="10" t="str">
        <f t="shared" si="13"/>
        <v/>
      </c>
      <c r="V102" s="10" t="str">
        <f t="shared" si="8"/>
        <v/>
      </c>
      <c r="W102" s="15" t="str">
        <f t="shared" si="9"/>
        <v/>
      </c>
      <c r="X102" s="38" t="str">
        <f t="shared" si="10"/>
        <v/>
      </c>
      <c r="Y102" s="10" t="str">
        <f t="shared" si="11"/>
        <v/>
      </c>
      <c r="Z102" s="2" t="str">
        <f t="shared" si="12"/>
        <v/>
      </c>
      <c r="AA102" s="2"/>
      <c r="AB102" s="2"/>
    </row>
    <row r="103" spans="1:28" ht="16">
      <c r="A103" s="31"/>
      <c r="B103" s="32"/>
      <c r="C103" s="32"/>
      <c r="D103" s="32"/>
      <c r="E103" s="32"/>
      <c r="F103" s="33"/>
      <c r="G103" s="2"/>
      <c r="H103" s="2"/>
      <c r="I103" s="2"/>
      <c r="J103" s="35" t="str">
        <f>IF(H103&lt;&gt;"",IFERROR(VLOOKUP(IFERROR(LEFT(H103,FIND("-",H103)-1),H103),'Catalogo MINSAL'!A:E,5,FALSE),""),IF(I103&lt;&gt;"",IFERROR(VLOOKUP(IFERROR(LEFT(I103,FIND("-",I103)-1),I103),'Catalogo MINSAL'!A:E,5,FALSE),""),""))</f>
        <v/>
      </c>
      <c r="K103" s="2"/>
      <c r="L103" s="2"/>
      <c r="M103" s="2"/>
      <c r="N103" s="2"/>
      <c r="O103" s="2"/>
      <c r="P103" s="2"/>
      <c r="Q103" s="24"/>
      <c r="R103" s="2" t="str">
        <f t="shared" si="7"/>
        <v/>
      </c>
      <c r="S103" s="2"/>
      <c r="T103" s="2"/>
      <c r="U103" s="10" t="str">
        <f t="shared" si="13"/>
        <v/>
      </c>
      <c r="V103" s="10" t="str">
        <f t="shared" si="8"/>
        <v/>
      </c>
      <c r="W103" s="15" t="str">
        <f t="shared" si="9"/>
        <v/>
      </c>
      <c r="X103" s="38" t="str">
        <f t="shared" si="10"/>
        <v/>
      </c>
      <c r="Y103" s="10" t="str">
        <f t="shared" si="11"/>
        <v/>
      </c>
      <c r="Z103" s="2" t="str">
        <f t="shared" si="12"/>
        <v/>
      </c>
      <c r="AA103" s="2"/>
      <c r="AB103" s="2"/>
    </row>
    <row r="104" spans="1:28" ht="16">
      <c r="A104" s="31"/>
      <c r="B104" s="32"/>
      <c r="C104" s="32"/>
      <c r="D104" s="32"/>
      <c r="E104" s="32"/>
      <c r="F104" s="33"/>
      <c r="G104" s="2"/>
      <c r="H104" s="2"/>
      <c r="I104" s="2"/>
      <c r="J104" s="35" t="str">
        <f>IF(H104&lt;&gt;"",IFERROR(VLOOKUP(IFERROR(LEFT(H104,FIND("-",H104)-1),H104),'Catalogo MINSAL'!A:E,5,FALSE),""),IF(I104&lt;&gt;"",IFERROR(VLOOKUP(IFERROR(LEFT(I104,FIND("-",I104)-1),I104),'Catalogo MINSAL'!A:E,5,FALSE),""),""))</f>
        <v/>
      </c>
      <c r="K104" s="2"/>
      <c r="L104" s="2"/>
      <c r="M104" s="2"/>
      <c r="N104" s="2"/>
      <c r="O104" s="2"/>
      <c r="P104" s="2"/>
      <c r="Q104" s="24"/>
      <c r="R104" s="2" t="str">
        <f t="shared" si="7"/>
        <v/>
      </c>
      <c r="S104" s="2"/>
      <c r="T104" s="2"/>
      <c r="U104" s="10" t="str">
        <f t="shared" si="13"/>
        <v/>
      </c>
      <c r="V104" s="10" t="str">
        <f t="shared" si="8"/>
        <v/>
      </c>
      <c r="W104" s="15" t="str">
        <f t="shared" si="9"/>
        <v/>
      </c>
      <c r="X104" s="38" t="str">
        <f t="shared" si="10"/>
        <v/>
      </c>
      <c r="Y104" s="10" t="str">
        <f t="shared" si="11"/>
        <v/>
      </c>
      <c r="Z104" s="2" t="str">
        <f t="shared" si="12"/>
        <v/>
      </c>
      <c r="AA104" s="2"/>
      <c r="AB104" s="2"/>
    </row>
    <row r="105" spans="1:28" ht="16">
      <c r="A105" s="31"/>
      <c r="B105" s="32"/>
      <c r="C105" s="32"/>
      <c r="D105" s="32"/>
      <c r="E105" s="32"/>
      <c r="F105" s="33"/>
      <c r="G105" s="2"/>
      <c r="H105" s="2"/>
      <c r="I105" s="2"/>
      <c r="J105" s="35" t="str">
        <f>IF(H105&lt;&gt;"",IFERROR(VLOOKUP(IFERROR(LEFT(H105,FIND("-",H105)-1),H105),'Catalogo MINSAL'!A:E,5,FALSE),""),IF(I105&lt;&gt;"",IFERROR(VLOOKUP(IFERROR(LEFT(I105,FIND("-",I105)-1),I105),'Catalogo MINSAL'!A:E,5,FALSE),""),""))</f>
        <v/>
      </c>
      <c r="K105" s="2"/>
      <c r="L105" s="2"/>
      <c r="M105" s="2"/>
      <c r="N105" s="2"/>
      <c r="O105" s="2"/>
      <c r="P105" s="2"/>
      <c r="Q105" s="24"/>
      <c r="R105" s="2" t="str">
        <f t="shared" si="7"/>
        <v/>
      </c>
      <c r="S105" s="2"/>
      <c r="T105" s="2"/>
      <c r="U105" s="10" t="str">
        <f t="shared" si="13"/>
        <v/>
      </c>
      <c r="V105" s="10" t="str">
        <f t="shared" si="8"/>
        <v/>
      </c>
      <c r="W105" s="15" t="str">
        <f t="shared" si="9"/>
        <v/>
      </c>
      <c r="X105" s="38" t="str">
        <f t="shared" si="10"/>
        <v/>
      </c>
      <c r="Y105" s="10" t="str">
        <f t="shared" si="11"/>
        <v/>
      </c>
      <c r="Z105" s="2" t="str">
        <f t="shared" si="12"/>
        <v/>
      </c>
      <c r="AA105" s="2"/>
      <c r="AB105" s="2"/>
    </row>
    <row r="106" spans="1:28" ht="16">
      <c r="A106" s="31"/>
      <c r="B106" s="32"/>
      <c r="C106" s="32"/>
      <c r="D106" s="32"/>
      <c r="E106" s="32"/>
      <c r="F106" s="33"/>
      <c r="G106" s="2"/>
      <c r="H106" s="2"/>
      <c r="I106" s="2"/>
      <c r="J106" s="35" t="str">
        <f>IF(H106&lt;&gt;"",IFERROR(VLOOKUP(IFERROR(LEFT(H106,FIND("-",H106)-1),H106),'Catalogo MINSAL'!A:E,5,FALSE),""),IF(I106&lt;&gt;"",IFERROR(VLOOKUP(IFERROR(LEFT(I106,FIND("-",I106)-1),I106),'Catalogo MINSAL'!A:E,5,FALSE),""),""))</f>
        <v/>
      </c>
      <c r="K106" s="2"/>
      <c r="L106" s="2"/>
      <c r="M106" s="2"/>
      <c r="N106" s="2"/>
      <c r="O106" s="2"/>
      <c r="P106" s="2"/>
      <c r="Q106" s="24"/>
      <c r="R106" s="2" t="str">
        <f t="shared" si="7"/>
        <v/>
      </c>
      <c r="S106" s="2"/>
      <c r="T106" s="2"/>
      <c r="U106" s="10" t="str">
        <f t="shared" si="13"/>
        <v/>
      </c>
      <c r="V106" s="10" t="str">
        <f t="shared" si="8"/>
        <v/>
      </c>
      <c r="W106" s="15" t="str">
        <f t="shared" si="9"/>
        <v/>
      </c>
      <c r="X106" s="38" t="str">
        <f t="shared" si="10"/>
        <v/>
      </c>
      <c r="Y106" s="10" t="str">
        <f t="shared" si="11"/>
        <v/>
      </c>
      <c r="Z106" s="2" t="str">
        <f t="shared" si="12"/>
        <v/>
      </c>
      <c r="AA106" s="2"/>
      <c r="AB106" s="2"/>
    </row>
    <row r="107" spans="1:28" ht="16">
      <c r="A107" s="31"/>
      <c r="B107" s="32"/>
      <c r="C107" s="32"/>
      <c r="D107" s="32"/>
      <c r="E107" s="32"/>
      <c r="F107" s="33"/>
      <c r="G107" s="2"/>
      <c r="H107" s="2"/>
      <c r="I107" s="2"/>
      <c r="J107" s="35" t="str">
        <f>IF(H107&lt;&gt;"",IFERROR(VLOOKUP(IFERROR(LEFT(H107,FIND("-",H107)-1),H107),'Catalogo MINSAL'!A:E,5,FALSE),""),IF(I107&lt;&gt;"",IFERROR(VLOOKUP(IFERROR(LEFT(I107,FIND("-",I107)-1),I107),'Catalogo MINSAL'!A:E,5,FALSE),""),""))</f>
        <v/>
      </c>
      <c r="K107" s="2"/>
      <c r="L107" s="2"/>
      <c r="M107" s="2"/>
      <c r="N107" s="2"/>
      <c r="O107" s="2"/>
      <c r="P107" s="2"/>
      <c r="Q107" s="24"/>
      <c r="R107" s="2" t="str">
        <f t="shared" si="7"/>
        <v/>
      </c>
      <c r="S107" s="2"/>
      <c r="T107" s="2"/>
      <c r="U107" s="10" t="str">
        <f t="shared" si="13"/>
        <v/>
      </c>
      <c r="V107" s="10" t="str">
        <f t="shared" si="8"/>
        <v/>
      </c>
      <c r="W107" s="15" t="str">
        <f t="shared" si="9"/>
        <v/>
      </c>
      <c r="X107" s="38" t="str">
        <f t="shared" si="10"/>
        <v/>
      </c>
      <c r="Y107" s="10" t="str">
        <f t="shared" si="11"/>
        <v/>
      </c>
      <c r="Z107" s="2" t="str">
        <f t="shared" si="12"/>
        <v/>
      </c>
      <c r="AA107" s="2"/>
      <c r="AB107" s="2"/>
    </row>
    <row r="108" spans="1:28" ht="16">
      <c r="A108" s="31"/>
      <c r="B108" s="32"/>
      <c r="C108" s="32"/>
      <c r="D108" s="32"/>
      <c r="E108" s="32"/>
      <c r="F108" s="33"/>
      <c r="G108" s="2"/>
      <c r="H108" s="2"/>
      <c r="I108" s="2"/>
      <c r="J108" s="35" t="str">
        <f>IF(H108&lt;&gt;"",IFERROR(VLOOKUP(IFERROR(LEFT(H108,FIND("-",H108)-1),H108),'Catalogo MINSAL'!A:E,5,FALSE),""),IF(I108&lt;&gt;"",IFERROR(VLOOKUP(IFERROR(LEFT(I108,FIND("-",I108)-1),I108),'Catalogo MINSAL'!A:E,5,FALSE),""),""))</f>
        <v/>
      </c>
      <c r="K108" s="2"/>
      <c r="L108" s="2"/>
      <c r="M108" s="2"/>
      <c r="N108" s="2"/>
      <c r="O108" s="2"/>
      <c r="P108" s="2"/>
      <c r="Q108" s="24"/>
      <c r="R108" s="2" t="str">
        <f t="shared" si="7"/>
        <v/>
      </c>
      <c r="S108" s="2"/>
      <c r="T108" s="2"/>
      <c r="U108" s="10" t="str">
        <f t="shared" si="13"/>
        <v/>
      </c>
      <c r="V108" s="10" t="str">
        <f t="shared" si="8"/>
        <v/>
      </c>
      <c r="W108" s="15" t="str">
        <f t="shared" si="9"/>
        <v/>
      </c>
      <c r="X108" s="38" t="str">
        <f t="shared" si="10"/>
        <v/>
      </c>
      <c r="Y108" s="10" t="str">
        <f t="shared" si="11"/>
        <v/>
      </c>
      <c r="Z108" s="2" t="str">
        <f t="shared" si="12"/>
        <v/>
      </c>
      <c r="AA108" s="2"/>
      <c r="AB108" s="2"/>
    </row>
    <row r="109" spans="1:28" ht="16">
      <c r="A109" s="31"/>
      <c r="B109" s="32"/>
      <c r="C109" s="32"/>
      <c r="D109" s="32"/>
      <c r="E109" s="32"/>
      <c r="F109" s="33"/>
      <c r="G109" s="2"/>
      <c r="H109" s="2"/>
      <c r="I109" s="2"/>
      <c r="J109" s="35" t="str">
        <f>IF(H109&lt;&gt;"",IFERROR(VLOOKUP(IFERROR(LEFT(H109,FIND("-",H109)-1),H109),'Catalogo MINSAL'!A:E,5,FALSE),""),IF(I109&lt;&gt;"",IFERROR(VLOOKUP(IFERROR(LEFT(I109,FIND("-",I109)-1),I109),'Catalogo MINSAL'!A:E,5,FALSE),""),""))</f>
        <v/>
      </c>
      <c r="K109" s="2"/>
      <c r="L109" s="2"/>
      <c r="M109" s="2"/>
      <c r="N109" s="2"/>
      <c r="O109" s="2"/>
      <c r="P109" s="2"/>
      <c r="Q109" s="24"/>
      <c r="R109" s="2" t="str">
        <f t="shared" si="7"/>
        <v/>
      </c>
      <c r="S109" s="2"/>
      <c r="T109" s="2"/>
      <c r="U109" s="10" t="str">
        <f t="shared" si="13"/>
        <v/>
      </c>
      <c r="V109" s="10" t="str">
        <f t="shared" si="8"/>
        <v/>
      </c>
      <c r="W109" s="15" t="str">
        <f t="shared" si="9"/>
        <v/>
      </c>
      <c r="X109" s="38" t="str">
        <f t="shared" si="10"/>
        <v/>
      </c>
      <c r="Y109" s="10" t="str">
        <f t="shared" si="11"/>
        <v/>
      </c>
      <c r="Z109" s="2" t="str">
        <f t="shared" si="12"/>
        <v/>
      </c>
      <c r="AA109" s="2"/>
      <c r="AB109" s="2"/>
    </row>
    <row r="110" spans="1:28" ht="16">
      <c r="A110" s="31"/>
      <c r="B110" s="32"/>
      <c r="C110" s="32"/>
      <c r="D110" s="32"/>
      <c r="E110" s="32"/>
      <c r="F110" s="33"/>
      <c r="G110" s="2"/>
      <c r="H110" s="2"/>
      <c r="I110" s="2"/>
      <c r="J110" s="35" t="str">
        <f>IF(H110&lt;&gt;"",IFERROR(VLOOKUP(IFERROR(LEFT(H110,FIND("-",H110)-1),H110),'Catalogo MINSAL'!A:E,5,FALSE),""),IF(I110&lt;&gt;"",IFERROR(VLOOKUP(IFERROR(LEFT(I110,FIND("-",I110)-1),I110),'Catalogo MINSAL'!A:E,5,FALSE),""),""))</f>
        <v/>
      </c>
      <c r="K110" s="2"/>
      <c r="L110" s="2"/>
      <c r="M110" s="2"/>
      <c r="N110" s="2"/>
      <c r="O110" s="2"/>
      <c r="P110" s="2"/>
      <c r="Q110" s="24"/>
      <c r="R110" s="2" t="str">
        <f t="shared" si="7"/>
        <v/>
      </c>
      <c r="S110" s="2"/>
      <c r="T110" s="2"/>
      <c r="U110" s="10" t="str">
        <f t="shared" si="13"/>
        <v/>
      </c>
      <c r="V110" s="10" t="str">
        <f t="shared" si="8"/>
        <v/>
      </c>
      <c r="W110" s="15" t="str">
        <f t="shared" si="9"/>
        <v/>
      </c>
      <c r="X110" s="38" t="str">
        <f t="shared" si="10"/>
        <v/>
      </c>
      <c r="Y110" s="10" t="str">
        <f t="shared" si="11"/>
        <v/>
      </c>
      <c r="Z110" s="2" t="str">
        <f t="shared" si="12"/>
        <v/>
      </c>
      <c r="AA110" s="2"/>
      <c r="AB110" s="2"/>
    </row>
    <row r="111" spans="1:28" ht="16">
      <c r="A111" s="31"/>
      <c r="B111" s="32"/>
      <c r="C111" s="32"/>
      <c r="D111" s="32"/>
      <c r="E111" s="32"/>
      <c r="F111" s="33"/>
      <c r="G111" s="2"/>
      <c r="H111" s="2"/>
      <c r="I111" s="2"/>
      <c r="J111" s="35" t="str">
        <f>IF(H111&lt;&gt;"",IFERROR(VLOOKUP(IFERROR(LEFT(H111,FIND("-",H111)-1),H111),'Catalogo MINSAL'!A:E,5,FALSE),""),IF(I111&lt;&gt;"",IFERROR(VLOOKUP(IFERROR(LEFT(I111,FIND("-",I111)-1),I111),'Catalogo MINSAL'!A:E,5,FALSE),""),""))</f>
        <v/>
      </c>
      <c r="K111" s="2"/>
      <c r="L111" s="2"/>
      <c r="M111" s="2"/>
      <c r="N111" s="2"/>
      <c r="O111" s="2"/>
      <c r="P111" s="2"/>
      <c r="Q111" s="24"/>
      <c r="R111" s="2" t="str">
        <f t="shared" si="7"/>
        <v/>
      </c>
      <c r="S111" s="2"/>
      <c r="T111" s="2"/>
      <c r="U111" s="10" t="str">
        <f t="shared" si="13"/>
        <v/>
      </c>
      <c r="V111" s="10" t="str">
        <f t="shared" si="8"/>
        <v/>
      </c>
      <c r="W111" s="15" t="str">
        <f t="shared" si="9"/>
        <v/>
      </c>
      <c r="X111" s="38" t="str">
        <f t="shared" si="10"/>
        <v/>
      </c>
      <c r="Y111" s="10" t="str">
        <f t="shared" si="11"/>
        <v/>
      </c>
      <c r="Z111" s="2" t="str">
        <f t="shared" si="12"/>
        <v/>
      </c>
      <c r="AA111" s="2"/>
      <c r="AB111" s="2"/>
    </row>
    <row r="112" spans="1:28" ht="16">
      <c r="A112" s="31"/>
      <c r="B112" s="32"/>
      <c r="C112" s="32"/>
      <c r="D112" s="32"/>
      <c r="E112" s="32"/>
      <c r="F112" s="33"/>
      <c r="G112" s="2"/>
      <c r="H112" s="2"/>
      <c r="I112" s="2"/>
      <c r="J112" s="35" t="str">
        <f>IF(H112&lt;&gt;"",IFERROR(VLOOKUP(IFERROR(LEFT(H112,FIND("-",H112)-1),H112),'Catalogo MINSAL'!A:E,5,FALSE),""),IF(I112&lt;&gt;"",IFERROR(VLOOKUP(IFERROR(LEFT(I112,FIND("-",I112)-1),I112),'Catalogo MINSAL'!A:E,5,FALSE),""),""))</f>
        <v/>
      </c>
      <c r="K112" s="2"/>
      <c r="L112" s="2"/>
      <c r="M112" s="2"/>
      <c r="N112" s="2"/>
      <c r="O112" s="2"/>
      <c r="P112" s="2"/>
      <c r="Q112" s="24"/>
      <c r="R112" s="2" t="str">
        <f t="shared" si="7"/>
        <v/>
      </c>
      <c r="S112" s="2"/>
      <c r="T112" s="2"/>
      <c r="U112" s="10" t="str">
        <f t="shared" si="13"/>
        <v/>
      </c>
      <c r="V112" s="10" t="str">
        <f t="shared" si="8"/>
        <v/>
      </c>
      <c r="W112" s="15" t="str">
        <f t="shared" si="9"/>
        <v/>
      </c>
      <c r="X112" s="38" t="str">
        <f t="shared" si="10"/>
        <v/>
      </c>
      <c r="Y112" s="10" t="str">
        <f t="shared" si="11"/>
        <v/>
      </c>
      <c r="Z112" s="2" t="str">
        <f t="shared" si="12"/>
        <v/>
      </c>
      <c r="AA112" s="2"/>
      <c r="AB112" s="2"/>
    </row>
    <row r="113" spans="1:28" ht="16">
      <c r="A113" s="31"/>
      <c r="B113" s="32"/>
      <c r="C113" s="32"/>
      <c r="D113" s="32"/>
      <c r="E113" s="32"/>
      <c r="F113" s="33"/>
      <c r="G113" s="2"/>
      <c r="H113" s="2"/>
      <c r="I113" s="2"/>
      <c r="J113" s="35" t="str">
        <f>IF(H113&lt;&gt;"",IFERROR(VLOOKUP(IFERROR(LEFT(H113,FIND("-",H113)-1),H113),'Catalogo MINSAL'!A:E,5,FALSE),""),IF(I113&lt;&gt;"",IFERROR(VLOOKUP(IFERROR(LEFT(I113,FIND("-",I113)-1),I113),'Catalogo MINSAL'!A:E,5,FALSE),""),""))</f>
        <v/>
      </c>
      <c r="K113" s="2"/>
      <c r="L113" s="2"/>
      <c r="M113" s="2"/>
      <c r="N113" s="2"/>
      <c r="O113" s="2"/>
      <c r="P113" s="2"/>
      <c r="Q113" s="24"/>
      <c r="R113" s="2" t="str">
        <f t="shared" si="7"/>
        <v/>
      </c>
      <c r="S113" s="2"/>
      <c r="T113" s="2"/>
      <c r="U113" s="10" t="str">
        <f t="shared" si="13"/>
        <v/>
      </c>
      <c r="V113" s="10" t="str">
        <f t="shared" si="8"/>
        <v/>
      </c>
      <c r="W113" s="15" t="str">
        <f t="shared" si="9"/>
        <v/>
      </c>
      <c r="X113" s="38" t="str">
        <f t="shared" si="10"/>
        <v/>
      </c>
      <c r="Y113" s="10" t="str">
        <f t="shared" si="11"/>
        <v/>
      </c>
      <c r="Z113" s="2" t="str">
        <f t="shared" si="12"/>
        <v/>
      </c>
      <c r="AA113" s="2"/>
      <c r="AB113" s="2"/>
    </row>
    <row r="114" spans="1:28" ht="16">
      <c r="A114" s="31"/>
      <c r="B114" s="32"/>
      <c r="C114" s="32"/>
      <c r="D114" s="32"/>
      <c r="E114" s="32"/>
      <c r="F114" s="33"/>
      <c r="G114" s="2"/>
      <c r="H114" s="2"/>
      <c r="I114" s="2"/>
      <c r="J114" s="35" t="str">
        <f>IF(H114&lt;&gt;"",IFERROR(VLOOKUP(IFERROR(LEFT(H114,FIND("-",H114)-1),H114),'Catalogo MINSAL'!A:E,5,FALSE),""),IF(I114&lt;&gt;"",IFERROR(VLOOKUP(IFERROR(LEFT(I114,FIND("-",I114)-1),I114),'Catalogo MINSAL'!A:E,5,FALSE),""),""))</f>
        <v/>
      </c>
      <c r="K114" s="2"/>
      <c r="L114" s="2"/>
      <c r="M114" s="2"/>
      <c r="N114" s="2"/>
      <c r="O114" s="2"/>
      <c r="P114" s="2"/>
      <c r="Q114" s="24"/>
      <c r="R114" s="2" t="str">
        <f t="shared" si="7"/>
        <v/>
      </c>
      <c r="S114" s="2"/>
      <c r="T114" s="2"/>
      <c r="U114" s="10" t="str">
        <f t="shared" si="13"/>
        <v/>
      </c>
      <c r="V114" s="10" t="str">
        <f t="shared" si="8"/>
        <v/>
      </c>
      <c r="W114" s="15" t="str">
        <f t="shared" si="9"/>
        <v/>
      </c>
      <c r="X114" s="38" t="str">
        <f t="shared" si="10"/>
        <v/>
      </c>
      <c r="Y114" s="10" t="str">
        <f t="shared" si="11"/>
        <v/>
      </c>
      <c r="Z114" s="2" t="str">
        <f t="shared" si="12"/>
        <v/>
      </c>
      <c r="AA114" s="2"/>
      <c r="AB114" s="2"/>
    </row>
    <row r="115" spans="1:28" ht="16">
      <c r="A115" s="31"/>
      <c r="B115" s="32"/>
      <c r="C115" s="32"/>
      <c r="D115" s="32"/>
      <c r="E115" s="32"/>
      <c r="F115" s="33"/>
      <c r="G115" s="2"/>
      <c r="H115" s="2"/>
      <c r="I115" s="2"/>
      <c r="J115" s="35" t="str">
        <f>IF(H115&lt;&gt;"",IFERROR(VLOOKUP(IFERROR(LEFT(H115,FIND("-",H115)-1),H115),'Catalogo MINSAL'!A:E,5,FALSE),""),IF(I115&lt;&gt;"",IFERROR(VLOOKUP(IFERROR(LEFT(I115,FIND("-",I115)-1),I115),'Catalogo MINSAL'!A:E,5,FALSE),""),""))</f>
        <v/>
      </c>
      <c r="K115" s="2"/>
      <c r="L115" s="2"/>
      <c r="M115" s="2"/>
      <c r="N115" s="2"/>
      <c r="O115" s="2"/>
      <c r="P115" s="2"/>
      <c r="Q115" s="24"/>
      <c r="R115" s="2" t="str">
        <f t="shared" si="7"/>
        <v/>
      </c>
      <c r="S115" s="2"/>
      <c r="T115" s="2"/>
      <c r="U115" s="10" t="str">
        <f t="shared" si="13"/>
        <v/>
      </c>
      <c r="V115" s="10" t="str">
        <f t="shared" si="8"/>
        <v/>
      </c>
      <c r="W115" s="15" t="str">
        <f t="shared" si="9"/>
        <v/>
      </c>
      <c r="X115" s="38" t="str">
        <f t="shared" si="10"/>
        <v/>
      </c>
      <c r="Y115" s="10" t="str">
        <f t="shared" si="11"/>
        <v/>
      </c>
      <c r="Z115" s="2" t="str">
        <f t="shared" si="12"/>
        <v/>
      </c>
      <c r="AA115" s="2"/>
      <c r="AB115" s="2"/>
    </row>
    <row r="116" spans="1:28" ht="16">
      <c r="A116" s="31"/>
      <c r="B116" s="32"/>
      <c r="C116" s="32"/>
      <c r="D116" s="32"/>
      <c r="E116" s="32"/>
      <c r="F116" s="33"/>
      <c r="G116" s="2"/>
      <c r="H116" s="2"/>
      <c r="I116" s="2"/>
      <c r="J116" s="35" t="str">
        <f>IF(H116&lt;&gt;"",IFERROR(VLOOKUP(IFERROR(LEFT(H116,FIND("-",H116)-1),H116),'Catalogo MINSAL'!A:E,5,FALSE),""),IF(I116&lt;&gt;"",IFERROR(VLOOKUP(IFERROR(LEFT(I116,FIND("-",I116)-1),I116),'Catalogo MINSAL'!A:E,5,FALSE),""),""))</f>
        <v/>
      </c>
      <c r="K116" s="2"/>
      <c r="L116" s="2"/>
      <c r="M116" s="2"/>
      <c r="N116" s="2"/>
      <c r="O116" s="2"/>
      <c r="P116" s="2"/>
      <c r="Q116" s="24"/>
      <c r="R116" s="2" t="str">
        <f t="shared" si="7"/>
        <v/>
      </c>
      <c r="S116" s="2"/>
      <c r="T116" s="2"/>
      <c r="U116" s="10" t="str">
        <f t="shared" si="13"/>
        <v/>
      </c>
      <c r="V116" s="10" t="str">
        <f t="shared" si="8"/>
        <v/>
      </c>
      <c r="W116" s="15" t="str">
        <f t="shared" si="9"/>
        <v/>
      </c>
      <c r="X116" s="38" t="str">
        <f t="shared" si="10"/>
        <v/>
      </c>
      <c r="Y116" s="10" t="str">
        <f t="shared" si="11"/>
        <v/>
      </c>
      <c r="Z116" s="2" t="str">
        <f t="shared" si="12"/>
        <v/>
      </c>
      <c r="AA116" s="2"/>
      <c r="AB116" s="2"/>
    </row>
    <row r="117" spans="1:28" ht="16">
      <c r="A117" s="31"/>
      <c r="B117" s="32"/>
      <c r="C117" s="32"/>
      <c r="D117" s="32"/>
      <c r="E117" s="32"/>
      <c r="F117" s="33"/>
      <c r="G117" s="2"/>
      <c r="H117" s="2"/>
      <c r="I117" s="2"/>
      <c r="J117" s="35" t="str">
        <f>IF(H117&lt;&gt;"",IFERROR(VLOOKUP(IFERROR(LEFT(H117,FIND("-",H117)-1),H117),'Catalogo MINSAL'!A:E,5,FALSE),""),IF(I117&lt;&gt;"",IFERROR(VLOOKUP(IFERROR(LEFT(I117,FIND("-",I117)-1),I117),'Catalogo MINSAL'!A:E,5,FALSE),""),""))</f>
        <v/>
      </c>
      <c r="K117" s="2"/>
      <c r="L117" s="2"/>
      <c r="M117" s="2"/>
      <c r="N117" s="2"/>
      <c r="O117" s="2"/>
      <c r="P117" s="2"/>
      <c r="Q117" s="24"/>
      <c r="R117" s="2" t="str">
        <f t="shared" si="7"/>
        <v/>
      </c>
      <c r="S117" s="2"/>
      <c r="T117" s="2"/>
      <c r="U117" s="10" t="str">
        <f t="shared" si="13"/>
        <v/>
      </c>
      <c r="V117" s="10" t="str">
        <f t="shared" si="8"/>
        <v/>
      </c>
      <c r="W117" s="15" t="str">
        <f t="shared" si="9"/>
        <v/>
      </c>
      <c r="X117" s="38" t="str">
        <f t="shared" si="10"/>
        <v/>
      </c>
      <c r="Y117" s="10" t="str">
        <f t="shared" si="11"/>
        <v/>
      </c>
      <c r="Z117" s="2" t="str">
        <f t="shared" si="12"/>
        <v/>
      </c>
      <c r="AA117" s="2"/>
      <c r="AB117" s="2"/>
    </row>
    <row r="118" spans="1:28" ht="16">
      <c r="A118" s="31"/>
      <c r="B118" s="32"/>
      <c r="C118" s="32"/>
      <c r="D118" s="32"/>
      <c r="E118" s="32"/>
      <c r="F118" s="33"/>
      <c r="G118" s="2"/>
      <c r="H118" s="2"/>
      <c r="I118" s="2"/>
      <c r="J118" s="35" t="str">
        <f>IF(H118&lt;&gt;"",IFERROR(VLOOKUP(IFERROR(LEFT(H118,FIND("-",H118)-1),H118),'Catalogo MINSAL'!A:E,5,FALSE),""),IF(I118&lt;&gt;"",IFERROR(VLOOKUP(IFERROR(LEFT(I118,FIND("-",I118)-1),I118),'Catalogo MINSAL'!A:E,5,FALSE),""),""))</f>
        <v/>
      </c>
      <c r="K118" s="2"/>
      <c r="L118" s="2"/>
      <c r="M118" s="2"/>
      <c r="N118" s="2"/>
      <c r="O118" s="2"/>
      <c r="P118" s="2"/>
      <c r="Q118" s="24"/>
      <c r="R118" s="2" t="str">
        <f t="shared" si="7"/>
        <v/>
      </c>
      <c r="S118" s="2"/>
      <c r="T118" s="2"/>
      <c r="U118" s="10" t="str">
        <f t="shared" si="13"/>
        <v/>
      </c>
      <c r="V118" s="10" t="str">
        <f t="shared" si="8"/>
        <v/>
      </c>
      <c r="W118" s="15" t="str">
        <f t="shared" si="9"/>
        <v/>
      </c>
      <c r="X118" s="38" t="str">
        <f t="shared" si="10"/>
        <v/>
      </c>
      <c r="Y118" s="10" t="str">
        <f t="shared" si="11"/>
        <v/>
      </c>
      <c r="Z118" s="2" t="str">
        <f t="shared" si="12"/>
        <v/>
      </c>
      <c r="AA118" s="2"/>
      <c r="AB118" s="2"/>
    </row>
    <row r="119" spans="1:28" ht="16">
      <c r="A119" s="31"/>
      <c r="B119" s="32"/>
      <c r="C119" s="32"/>
      <c r="D119" s="32"/>
      <c r="E119" s="32"/>
      <c r="F119" s="33"/>
      <c r="G119" s="2"/>
      <c r="H119" s="2"/>
      <c r="I119" s="2"/>
      <c r="J119" s="35" t="str">
        <f>IF(H119&lt;&gt;"",IFERROR(VLOOKUP(IFERROR(LEFT(H119,FIND("-",H119)-1),H119),'Catalogo MINSAL'!A:E,5,FALSE),""),IF(I119&lt;&gt;"",IFERROR(VLOOKUP(IFERROR(LEFT(I119,FIND("-",I119)-1),I119),'Catalogo MINSAL'!A:E,5,FALSE),""),""))</f>
        <v/>
      </c>
      <c r="K119" s="2"/>
      <c r="L119" s="2"/>
      <c r="M119" s="2"/>
      <c r="N119" s="2"/>
      <c r="O119" s="2"/>
      <c r="P119" s="2"/>
      <c r="Q119" s="24"/>
      <c r="R119" s="2" t="str">
        <f t="shared" si="7"/>
        <v/>
      </c>
      <c r="S119" s="2"/>
      <c r="T119" s="2"/>
      <c r="U119" s="10" t="str">
        <f t="shared" si="13"/>
        <v/>
      </c>
      <c r="V119" s="10" t="str">
        <f t="shared" si="8"/>
        <v/>
      </c>
      <c r="W119" s="15" t="str">
        <f t="shared" si="9"/>
        <v/>
      </c>
      <c r="X119" s="38" t="str">
        <f t="shared" si="10"/>
        <v/>
      </c>
      <c r="Y119" s="10" t="str">
        <f t="shared" si="11"/>
        <v/>
      </c>
      <c r="Z119" s="2" t="str">
        <f t="shared" si="12"/>
        <v/>
      </c>
      <c r="AA119" s="2"/>
      <c r="AB119" s="2"/>
    </row>
    <row r="120" spans="1:28" ht="16">
      <c r="A120" s="31"/>
      <c r="B120" s="32"/>
      <c r="C120" s="32"/>
      <c r="D120" s="32"/>
      <c r="E120" s="32"/>
      <c r="F120" s="33"/>
      <c r="G120" s="2"/>
      <c r="H120" s="2"/>
      <c r="I120" s="2"/>
      <c r="J120" s="35" t="str">
        <f>IF(H120&lt;&gt;"",IFERROR(VLOOKUP(IFERROR(LEFT(H120,FIND("-",H120)-1),H120),'Catalogo MINSAL'!A:E,5,FALSE),""),IF(I120&lt;&gt;"",IFERROR(VLOOKUP(IFERROR(LEFT(I120,FIND("-",I120)-1),I120),'Catalogo MINSAL'!A:E,5,FALSE),""),""))</f>
        <v/>
      </c>
      <c r="K120" s="2"/>
      <c r="L120" s="2"/>
      <c r="M120" s="2"/>
      <c r="N120" s="2"/>
      <c r="O120" s="2"/>
      <c r="P120" s="2"/>
      <c r="Q120" s="24"/>
      <c r="R120" s="2" t="str">
        <f t="shared" si="7"/>
        <v/>
      </c>
      <c r="S120" s="2"/>
      <c r="T120" s="2"/>
      <c r="U120" s="10" t="str">
        <f t="shared" si="13"/>
        <v/>
      </c>
      <c r="V120" s="10" t="str">
        <f t="shared" si="8"/>
        <v/>
      </c>
      <c r="W120" s="15" t="str">
        <f t="shared" si="9"/>
        <v/>
      </c>
      <c r="X120" s="38" t="str">
        <f t="shared" si="10"/>
        <v/>
      </c>
      <c r="Y120" s="10" t="str">
        <f t="shared" si="11"/>
        <v/>
      </c>
      <c r="Z120" s="2" t="str">
        <f t="shared" si="12"/>
        <v/>
      </c>
      <c r="AA120" s="2"/>
      <c r="AB120" s="2"/>
    </row>
    <row r="121" spans="1:28" ht="16">
      <c r="A121" s="31"/>
      <c r="B121" s="32"/>
      <c r="C121" s="32"/>
      <c r="D121" s="32"/>
      <c r="E121" s="32"/>
      <c r="F121" s="33"/>
      <c r="G121" s="2"/>
      <c r="H121" s="2"/>
      <c r="I121" s="2"/>
      <c r="J121" s="35" t="str">
        <f>IF(H121&lt;&gt;"",IFERROR(VLOOKUP(IFERROR(LEFT(H121,FIND("-",H121)-1),H121),'Catalogo MINSAL'!A:E,5,FALSE),""),IF(I121&lt;&gt;"",IFERROR(VLOOKUP(IFERROR(LEFT(I121,FIND("-",I121)-1),I121),'Catalogo MINSAL'!A:E,5,FALSE),""),""))</f>
        <v/>
      </c>
      <c r="K121" s="2"/>
      <c r="L121" s="2"/>
      <c r="M121" s="2"/>
      <c r="N121" s="2"/>
      <c r="O121" s="2"/>
      <c r="P121" s="2"/>
      <c r="Q121" s="24"/>
      <c r="R121" s="2" t="str">
        <f t="shared" si="7"/>
        <v/>
      </c>
      <c r="S121" s="2"/>
      <c r="T121" s="2"/>
      <c r="U121" s="10" t="str">
        <f t="shared" si="13"/>
        <v/>
      </c>
      <c r="V121" s="10" t="str">
        <f t="shared" si="8"/>
        <v/>
      </c>
      <c r="W121" s="15" t="str">
        <f t="shared" si="9"/>
        <v/>
      </c>
      <c r="X121" s="38" t="str">
        <f t="shared" si="10"/>
        <v/>
      </c>
      <c r="Y121" s="10" t="str">
        <f t="shared" si="11"/>
        <v/>
      </c>
      <c r="Z121" s="2" t="str">
        <f t="shared" si="12"/>
        <v/>
      </c>
      <c r="AA121" s="2"/>
      <c r="AB121" s="2"/>
    </row>
    <row r="122" spans="1:28" ht="16">
      <c r="A122" s="31"/>
      <c r="B122" s="32"/>
      <c r="C122" s="32"/>
      <c r="D122" s="32"/>
      <c r="E122" s="32"/>
      <c r="F122" s="33"/>
      <c r="G122" s="2"/>
      <c r="H122" s="2"/>
      <c r="I122" s="2"/>
      <c r="J122" s="35" t="str">
        <f>IF(H122&lt;&gt;"",IFERROR(VLOOKUP(IFERROR(LEFT(H122,FIND("-",H122)-1),H122),'Catalogo MINSAL'!A:E,5,FALSE),""),IF(I122&lt;&gt;"",IFERROR(VLOOKUP(IFERROR(LEFT(I122,FIND("-",I122)-1),I122),'Catalogo MINSAL'!A:E,5,FALSE),""),""))</f>
        <v/>
      </c>
      <c r="K122" s="2"/>
      <c r="L122" s="2"/>
      <c r="M122" s="2"/>
      <c r="N122" s="2"/>
      <c r="O122" s="2"/>
      <c r="P122" s="2"/>
      <c r="Q122" s="24"/>
      <c r="R122" s="2" t="str">
        <f t="shared" si="7"/>
        <v/>
      </c>
      <c r="S122" s="2"/>
      <c r="T122" s="2"/>
      <c r="U122" s="10" t="str">
        <f t="shared" si="13"/>
        <v/>
      </c>
      <c r="V122" s="10" t="str">
        <f t="shared" si="8"/>
        <v/>
      </c>
      <c r="W122" s="15" t="str">
        <f t="shared" si="9"/>
        <v/>
      </c>
      <c r="X122" s="38" t="str">
        <f t="shared" si="10"/>
        <v/>
      </c>
      <c r="Y122" s="10" t="str">
        <f t="shared" si="11"/>
        <v/>
      </c>
      <c r="Z122" s="2" t="str">
        <f t="shared" si="12"/>
        <v/>
      </c>
      <c r="AA122" s="2"/>
      <c r="AB122" s="2"/>
    </row>
    <row r="123" spans="1:28" ht="16">
      <c r="A123" s="31"/>
      <c r="B123" s="32"/>
      <c r="C123" s="32"/>
      <c r="D123" s="32"/>
      <c r="E123" s="32"/>
      <c r="F123" s="33"/>
      <c r="G123" s="2"/>
      <c r="H123" s="2"/>
      <c r="I123" s="2"/>
      <c r="J123" s="35" t="str">
        <f>IF(H123&lt;&gt;"",IFERROR(VLOOKUP(IFERROR(LEFT(H123,FIND("-",H123)-1),H123),'Catalogo MINSAL'!A:E,5,FALSE),""),IF(I123&lt;&gt;"",IFERROR(VLOOKUP(IFERROR(LEFT(I123,FIND("-",I123)-1),I123),'Catalogo MINSAL'!A:E,5,FALSE),""),""))</f>
        <v/>
      </c>
      <c r="K123" s="2"/>
      <c r="L123" s="2"/>
      <c r="M123" s="2"/>
      <c r="N123" s="2"/>
      <c r="O123" s="2"/>
      <c r="P123" s="2"/>
      <c r="Q123" s="24"/>
      <c r="R123" s="2" t="str">
        <f t="shared" si="7"/>
        <v/>
      </c>
      <c r="S123" s="2"/>
      <c r="T123" s="2"/>
      <c r="U123" s="10" t="str">
        <f t="shared" si="13"/>
        <v/>
      </c>
      <c r="V123" s="10" t="str">
        <f t="shared" si="8"/>
        <v/>
      </c>
      <c r="W123" s="15" t="str">
        <f t="shared" si="9"/>
        <v/>
      </c>
      <c r="X123" s="38" t="str">
        <f t="shared" si="10"/>
        <v/>
      </c>
      <c r="Y123" s="10" t="str">
        <f t="shared" si="11"/>
        <v/>
      </c>
      <c r="Z123" s="2" t="str">
        <f t="shared" si="12"/>
        <v/>
      </c>
      <c r="AA123" s="2"/>
      <c r="AB123" s="2"/>
    </row>
    <row r="124" spans="1:28" ht="16">
      <c r="A124" s="31"/>
      <c r="B124" s="32"/>
      <c r="C124" s="32"/>
      <c r="D124" s="32"/>
      <c r="E124" s="32"/>
      <c r="F124" s="33"/>
      <c r="G124" s="2"/>
      <c r="H124" s="2"/>
      <c r="I124" s="2"/>
      <c r="J124" s="35" t="str">
        <f>IF(H124&lt;&gt;"",IFERROR(VLOOKUP(IFERROR(LEFT(H124,FIND("-",H124)-1),H124),'Catalogo MINSAL'!A:E,5,FALSE),""),IF(I124&lt;&gt;"",IFERROR(VLOOKUP(IFERROR(LEFT(I124,FIND("-",I124)-1),I124),'Catalogo MINSAL'!A:E,5,FALSE),""),""))</f>
        <v/>
      </c>
      <c r="K124" s="2"/>
      <c r="L124" s="2"/>
      <c r="M124" s="2"/>
      <c r="N124" s="2"/>
      <c r="O124" s="2"/>
      <c r="P124" s="2"/>
      <c r="Q124" s="24"/>
      <c r="R124" s="2" t="str">
        <f t="shared" si="7"/>
        <v/>
      </c>
      <c r="S124" s="2"/>
      <c r="T124" s="2"/>
      <c r="U124" s="10" t="str">
        <f t="shared" si="13"/>
        <v/>
      </c>
      <c r="V124" s="10" t="str">
        <f t="shared" si="8"/>
        <v/>
      </c>
      <c r="W124" s="15" t="str">
        <f t="shared" si="9"/>
        <v/>
      </c>
      <c r="X124" s="38" t="str">
        <f t="shared" si="10"/>
        <v/>
      </c>
      <c r="Y124" s="10" t="str">
        <f t="shared" si="11"/>
        <v/>
      </c>
      <c r="Z124" s="2" t="str">
        <f t="shared" si="12"/>
        <v/>
      </c>
      <c r="AA124" s="2"/>
      <c r="AB124" s="2"/>
    </row>
    <row r="125" spans="1:28" ht="16">
      <c r="A125" s="31"/>
      <c r="B125" s="32"/>
      <c r="C125" s="32"/>
      <c r="D125" s="32"/>
      <c r="E125" s="32"/>
      <c r="F125" s="33"/>
      <c r="G125" s="2"/>
      <c r="H125" s="2"/>
      <c r="I125" s="2"/>
      <c r="J125" s="35" t="str">
        <f>IF(H125&lt;&gt;"",IFERROR(VLOOKUP(IFERROR(LEFT(H125,FIND("-",H125)-1),H125),'Catalogo MINSAL'!A:E,5,FALSE),""),IF(I125&lt;&gt;"",IFERROR(VLOOKUP(IFERROR(LEFT(I125,FIND("-",I125)-1),I125),'Catalogo MINSAL'!A:E,5,FALSE),""),""))</f>
        <v/>
      </c>
      <c r="K125" s="2"/>
      <c r="L125" s="2"/>
      <c r="M125" s="2"/>
      <c r="N125" s="2"/>
      <c r="O125" s="2"/>
      <c r="P125" s="2"/>
      <c r="Q125" s="24"/>
      <c r="R125" s="2" t="str">
        <f t="shared" si="7"/>
        <v/>
      </c>
      <c r="S125" s="2"/>
      <c r="T125" s="2"/>
      <c r="U125" s="10" t="str">
        <f t="shared" si="13"/>
        <v/>
      </c>
      <c r="V125" s="10" t="str">
        <f t="shared" si="8"/>
        <v/>
      </c>
      <c r="W125" s="15" t="str">
        <f t="shared" si="9"/>
        <v/>
      </c>
      <c r="X125" s="38" t="str">
        <f t="shared" si="10"/>
        <v/>
      </c>
      <c r="Y125" s="10" t="str">
        <f t="shared" si="11"/>
        <v/>
      </c>
      <c r="Z125" s="2" t="str">
        <f t="shared" si="12"/>
        <v/>
      </c>
      <c r="AA125" s="2"/>
      <c r="AB125" s="2"/>
    </row>
    <row r="126" spans="1:28" ht="16">
      <c r="A126" s="31"/>
      <c r="B126" s="32"/>
      <c r="C126" s="32"/>
      <c r="D126" s="32"/>
      <c r="E126" s="32"/>
      <c r="F126" s="33"/>
      <c r="G126" s="2"/>
      <c r="H126" s="2"/>
      <c r="I126" s="2"/>
      <c r="J126" s="35" t="str">
        <f>IF(H126&lt;&gt;"",IFERROR(VLOOKUP(IFERROR(LEFT(H126,FIND("-",H126)-1),H126),'Catalogo MINSAL'!A:E,5,FALSE),""),IF(I126&lt;&gt;"",IFERROR(VLOOKUP(IFERROR(LEFT(I126,FIND("-",I126)-1),I126),'Catalogo MINSAL'!A:E,5,FALSE),""),""))</f>
        <v/>
      </c>
      <c r="K126" s="2"/>
      <c r="L126" s="2"/>
      <c r="M126" s="2"/>
      <c r="N126" s="2"/>
      <c r="O126" s="2"/>
      <c r="P126" s="2"/>
      <c r="Q126" s="24"/>
      <c r="R126" s="2" t="str">
        <f t="shared" si="7"/>
        <v/>
      </c>
      <c r="S126" s="2"/>
      <c r="T126" s="2"/>
      <c r="U126" s="10" t="str">
        <f t="shared" si="13"/>
        <v/>
      </c>
      <c r="V126" s="10" t="str">
        <f t="shared" si="8"/>
        <v/>
      </c>
      <c r="W126" s="15" t="str">
        <f t="shared" si="9"/>
        <v/>
      </c>
      <c r="X126" s="38" t="str">
        <f t="shared" si="10"/>
        <v/>
      </c>
      <c r="Y126" s="10" t="str">
        <f t="shared" si="11"/>
        <v/>
      </c>
      <c r="Z126" s="2" t="str">
        <f t="shared" si="12"/>
        <v/>
      </c>
      <c r="AA126" s="2"/>
      <c r="AB126" s="2"/>
    </row>
    <row r="127" spans="1:28" ht="16">
      <c r="A127" s="31"/>
      <c r="B127" s="32"/>
      <c r="C127" s="32"/>
      <c r="D127" s="32"/>
      <c r="E127" s="32"/>
      <c r="F127" s="33"/>
      <c r="G127" s="2"/>
      <c r="H127" s="2"/>
      <c r="I127" s="2"/>
      <c r="J127" s="35" t="str">
        <f>IF(H127&lt;&gt;"",IFERROR(VLOOKUP(IFERROR(LEFT(H127,FIND("-",H127)-1),H127),'Catalogo MINSAL'!A:E,5,FALSE),""),IF(I127&lt;&gt;"",IFERROR(VLOOKUP(IFERROR(LEFT(I127,FIND("-",I127)-1),I127),'Catalogo MINSAL'!A:E,5,FALSE),""),""))</f>
        <v/>
      </c>
      <c r="K127" s="2"/>
      <c r="L127" s="2"/>
      <c r="M127" s="2"/>
      <c r="N127" s="2"/>
      <c r="O127" s="2"/>
      <c r="P127" s="2"/>
      <c r="Q127" s="24"/>
      <c r="R127" s="2" t="str">
        <f t="shared" si="7"/>
        <v/>
      </c>
      <c r="S127" s="2"/>
      <c r="T127" s="2"/>
      <c r="U127" s="10" t="str">
        <f t="shared" si="13"/>
        <v/>
      </c>
      <c r="V127" s="10" t="str">
        <f t="shared" si="8"/>
        <v/>
      </c>
      <c r="W127" s="15" t="str">
        <f t="shared" si="9"/>
        <v/>
      </c>
      <c r="X127" s="38" t="str">
        <f t="shared" si="10"/>
        <v/>
      </c>
      <c r="Y127" s="10" t="str">
        <f t="shared" si="11"/>
        <v/>
      </c>
      <c r="Z127" s="2" t="str">
        <f t="shared" si="12"/>
        <v/>
      </c>
      <c r="AA127" s="2"/>
      <c r="AB127" s="2"/>
    </row>
    <row r="128" spans="1:28" ht="16">
      <c r="A128" s="31"/>
      <c r="B128" s="32"/>
      <c r="C128" s="32"/>
      <c r="D128" s="32"/>
      <c r="E128" s="32"/>
      <c r="F128" s="33"/>
      <c r="G128" s="2"/>
      <c r="H128" s="2"/>
      <c r="I128" s="2"/>
      <c r="J128" s="35" t="str">
        <f>IF(H128&lt;&gt;"",IFERROR(VLOOKUP(IFERROR(LEFT(H128,FIND("-",H128)-1),H128),'Catalogo MINSAL'!A:E,5,FALSE),""),IF(I128&lt;&gt;"",IFERROR(VLOOKUP(IFERROR(LEFT(I128,FIND("-",I128)-1),I128),'Catalogo MINSAL'!A:E,5,FALSE),""),""))</f>
        <v/>
      </c>
      <c r="K128" s="2"/>
      <c r="L128" s="2"/>
      <c r="M128" s="2"/>
      <c r="N128" s="2"/>
      <c r="O128" s="2"/>
      <c r="P128" s="2"/>
      <c r="Q128" s="24"/>
      <c r="R128" s="2" t="str">
        <f t="shared" si="7"/>
        <v/>
      </c>
      <c r="S128" s="2"/>
      <c r="T128" s="2"/>
      <c r="U128" s="10" t="str">
        <f t="shared" si="13"/>
        <v/>
      </c>
      <c r="V128" s="10" t="str">
        <f t="shared" si="8"/>
        <v/>
      </c>
      <c r="W128" s="15" t="str">
        <f t="shared" si="9"/>
        <v/>
      </c>
      <c r="X128" s="38" t="str">
        <f t="shared" si="10"/>
        <v/>
      </c>
      <c r="Y128" s="10" t="str">
        <f t="shared" si="11"/>
        <v/>
      </c>
      <c r="Z128" s="2" t="str">
        <f t="shared" si="12"/>
        <v/>
      </c>
      <c r="AA128" s="2"/>
      <c r="AB128" s="2"/>
    </row>
    <row r="129" spans="1:28" ht="16">
      <c r="A129" s="31"/>
      <c r="B129" s="32"/>
      <c r="C129" s="32"/>
      <c r="D129" s="32"/>
      <c r="E129" s="32"/>
      <c r="F129" s="33"/>
      <c r="G129" s="2"/>
      <c r="H129" s="2"/>
      <c r="I129" s="2"/>
      <c r="J129" s="35" t="str">
        <f>IF(H129&lt;&gt;"",IFERROR(VLOOKUP(IFERROR(LEFT(H129,FIND("-",H129)-1),H129),'Catalogo MINSAL'!A:E,5,FALSE),""),IF(I129&lt;&gt;"",IFERROR(VLOOKUP(IFERROR(LEFT(I129,FIND("-",I129)-1),I129),'Catalogo MINSAL'!A:E,5,FALSE),""),""))</f>
        <v/>
      </c>
      <c r="K129" s="2"/>
      <c r="L129" s="2"/>
      <c r="M129" s="2"/>
      <c r="N129" s="2"/>
      <c r="O129" s="2"/>
      <c r="P129" s="2"/>
      <c r="Q129" s="24"/>
      <c r="R129" s="2" t="str">
        <f t="shared" si="7"/>
        <v/>
      </c>
      <c r="S129" s="2"/>
      <c r="T129" s="2"/>
      <c r="U129" s="10" t="str">
        <f t="shared" si="13"/>
        <v/>
      </c>
      <c r="V129" s="10" t="str">
        <f t="shared" si="8"/>
        <v/>
      </c>
      <c r="W129" s="15" t="str">
        <f t="shared" si="9"/>
        <v/>
      </c>
      <c r="X129" s="38" t="str">
        <f t="shared" si="10"/>
        <v/>
      </c>
      <c r="Y129" s="10" t="str">
        <f t="shared" si="11"/>
        <v/>
      </c>
      <c r="Z129" s="2" t="str">
        <f t="shared" si="12"/>
        <v/>
      </c>
      <c r="AA129" s="2"/>
      <c r="AB129" s="2"/>
    </row>
    <row r="130" spans="1:28" ht="16">
      <c r="A130" s="31"/>
      <c r="B130" s="32"/>
      <c r="C130" s="32"/>
      <c r="D130" s="32"/>
      <c r="E130" s="32"/>
      <c r="F130" s="33"/>
      <c r="G130" s="2"/>
      <c r="H130" s="2"/>
      <c r="I130" s="2"/>
      <c r="J130" s="35" t="str">
        <f>IF(H130&lt;&gt;"",IFERROR(VLOOKUP(IFERROR(LEFT(H130,FIND("-",H130)-1),H130),'Catalogo MINSAL'!A:E,5,FALSE),""),IF(I130&lt;&gt;"",IFERROR(VLOOKUP(IFERROR(LEFT(I130,FIND("-",I130)-1),I130),'Catalogo MINSAL'!A:E,5,FALSE),""),""))</f>
        <v/>
      </c>
      <c r="K130" s="2"/>
      <c r="L130" s="2"/>
      <c r="M130" s="2"/>
      <c r="N130" s="2"/>
      <c r="O130" s="2"/>
      <c r="P130" s="2"/>
      <c r="Q130" s="24"/>
      <c r="R130" s="2" t="str">
        <f t="shared" si="7"/>
        <v/>
      </c>
      <c r="S130" s="2"/>
      <c r="T130" s="2"/>
      <c r="U130" s="10" t="str">
        <f t="shared" si="13"/>
        <v/>
      </c>
      <c r="V130" s="10" t="str">
        <f t="shared" si="8"/>
        <v/>
      </c>
      <c r="W130" s="15" t="str">
        <f t="shared" si="9"/>
        <v/>
      </c>
      <c r="X130" s="38" t="str">
        <f t="shared" si="10"/>
        <v/>
      </c>
      <c r="Y130" s="10" t="str">
        <f t="shared" si="11"/>
        <v/>
      </c>
      <c r="Z130" s="2" t="str">
        <f t="shared" si="12"/>
        <v/>
      </c>
      <c r="AA130" s="2"/>
      <c r="AB130" s="2"/>
    </row>
    <row r="131" spans="1:28" ht="16">
      <c r="A131" s="31"/>
      <c r="B131" s="32"/>
      <c r="C131" s="32"/>
      <c r="D131" s="32"/>
      <c r="E131" s="32"/>
      <c r="F131" s="33"/>
      <c r="G131" s="2"/>
      <c r="H131" s="2"/>
      <c r="I131" s="2"/>
      <c r="J131" s="35" t="str">
        <f>IF(H131&lt;&gt;"",IFERROR(VLOOKUP(IFERROR(LEFT(H131,FIND("-",H131)-1),H131),'Catalogo MINSAL'!A:E,5,FALSE),""),IF(I131&lt;&gt;"",IFERROR(VLOOKUP(IFERROR(LEFT(I131,FIND("-",I131)-1),I131),'Catalogo MINSAL'!A:E,5,FALSE),""),""))</f>
        <v/>
      </c>
      <c r="K131" s="2"/>
      <c r="L131" s="2"/>
      <c r="M131" s="2"/>
      <c r="N131" s="2"/>
      <c r="O131" s="2"/>
      <c r="P131" s="2"/>
      <c r="Q131" s="24"/>
      <c r="R131" s="2" t="str">
        <f t="shared" si="7"/>
        <v/>
      </c>
      <c r="S131" s="2"/>
      <c r="T131" s="2"/>
      <c r="U131" s="10" t="str">
        <f t="shared" si="13"/>
        <v/>
      </c>
      <c r="V131" s="10" t="str">
        <f t="shared" si="8"/>
        <v/>
      </c>
      <c r="W131" s="15" t="str">
        <f t="shared" si="9"/>
        <v/>
      </c>
      <c r="X131" s="38" t="str">
        <f t="shared" si="10"/>
        <v/>
      </c>
      <c r="Y131" s="10" t="str">
        <f t="shared" si="11"/>
        <v/>
      </c>
      <c r="Z131" s="2" t="str">
        <f t="shared" si="12"/>
        <v/>
      </c>
      <c r="AA131" s="2"/>
      <c r="AB131" s="2"/>
    </row>
    <row r="132" spans="1:28" ht="16">
      <c r="A132" s="31"/>
      <c r="B132" s="32"/>
      <c r="C132" s="32"/>
      <c r="D132" s="32"/>
      <c r="E132" s="32"/>
      <c r="F132" s="33"/>
      <c r="G132" s="2"/>
      <c r="H132" s="2"/>
      <c r="I132" s="2"/>
      <c r="J132" s="35" t="str">
        <f>IF(H132&lt;&gt;"",IFERROR(VLOOKUP(IFERROR(LEFT(H132,FIND("-",H132)-1),H132),'Catalogo MINSAL'!A:E,5,FALSE),""),IF(I132&lt;&gt;"",IFERROR(VLOOKUP(IFERROR(LEFT(I132,FIND("-",I132)-1),I132),'Catalogo MINSAL'!A:E,5,FALSE),""),""))</f>
        <v/>
      </c>
      <c r="K132" s="2"/>
      <c r="L132" s="2"/>
      <c r="M132" s="2"/>
      <c r="N132" s="2"/>
      <c r="O132" s="2"/>
      <c r="P132" s="2"/>
      <c r="Q132" s="24"/>
      <c r="R132" s="2" t="str">
        <f t="shared" ref="R132:R195" si="14">IF(Q132="","",IF(IF(ISNUMBER(Q132),MOD(Q132,1),TIMEVALUE(Q132))&lt;=TIME(8,15,0),"Ingreso adecuado","Atraso"))</f>
        <v/>
      </c>
      <c r="S132" s="2"/>
      <c r="T132" s="2"/>
      <c r="U132" s="10" t="str">
        <f t="shared" ref="U132:U195" si="15">IFERROR(IF(OR(Q132="",R132=""),"",IF(TIMEVALUE(R132)&gt;=TIMEVALUE(Q132),(TIMEVALUE(R132)-TIMEVALUE(Q132))*1440,(TIMEVALUE(R132)+1-TIMEVALUE(Q132))*1440)),"")</f>
        <v/>
      </c>
      <c r="V132" s="10" t="str">
        <f t="shared" ref="V132:V195" si="16">IFERROR(IF(OR(Q132="",S132=""),"",IF(IF(ISNUMBER(S132),MOD(S132,1),TIMEVALUE(S132))&gt;=IF(ISNUMBER(Q132),MOD(Q132,1),TIMEVALUE(Q132)),(IF(ISNUMBER(S132),MOD(S132,1),TIMEVALUE(S132))-IF(ISNUMBER(Q132),MOD(Q132,1),TIMEVALUE(Q132)))*1440,(IF(ISNUMBER(S132),MOD(S132,1),TIMEVALUE(S132))+1-IF(ISNUMBER(Q132),MOD(Q132,1),TIMEVALUE(Q132)))*1440)),"")</f>
        <v/>
      </c>
      <c r="W132" s="15" t="str">
        <f t="shared" ref="W132:W195" si="17">IFERROR(IF(OR(S132="",T132=""),"",IF(IF(ISNUMBER(T132),MOD(T132,1),TIMEVALUE(T132))&gt;=IF(ISNUMBER(S132),MOD(S132,1),TIMEVALUE(S132)),(IF(ISNUMBER(T132),MOD(T132,1),TIMEVALUE(T132))-IF(ISNUMBER(S132),MOD(S132,1),TIMEVALUE(S132)))*1440,(IF(ISNUMBER(T132),MOD(T132,1),TIMEVALUE(T132))+1-IF(ISNUMBER(S132),MOD(S132,1),TIMEVALUE(S132)))*1440)),"")</f>
        <v/>
      </c>
      <c r="X132" s="38" t="str">
        <f t="shared" ref="X132:X195" si="18">IFERROR(IF(OR(V132="",W132=""),"",V132-W132),"")</f>
        <v/>
      </c>
      <c r="Y132" s="10" t="str">
        <f t="shared" ref="Y132:Y195" si="19">IFERROR(IF(OR(W132="",X132=""),"",W132-X132),"")</f>
        <v/>
      </c>
      <c r="Z132" s="2" t="str">
        <f t="shared" ref="Z132:Z195" si="20">IFERROR(IF(Y132="","",IF(Y132&gt;15,"Subestimacion",IF(Y132&lt;-15,"Sobrestimacion","Asertivo"))),"")</f>
        <v/>
      </c>
      <c r="AA132" s="2"/>
      <c r="AB132" s="2"/>
    </row>
    <row r="133" spans="1:28" ht="16">
      <c r="A133" s="31"/>
      <c r="B133" s="32"/>
      <c r="C133" s="32"/>
      <c r="D133" s="32"/>
      <c r="E133" s="32"/>
      <c r="F133" s="33"/>
      <c r="G133" s="2"/>
      <c r="H133" s="2"/>
      <c r="I133" s="2"/>
      <c r="J133" s="35" t="str">
        <f>IF(H133&lt;&gt;"",IFERROR(VLOOKUP(IFERROR(LEFT(H133,FIND("-",H133)-1),H133),'Catalogo MINSAL'!A:E,5,FALSE),""),IF(I133&lt;&gt;"",IFERROR(VLOOKUP(IFERROR(LEFT(I133,FIND("-",I133)-1),I133),'Catalogo MINSAL'!A:E,5,FALSE),""),""))</f>
        <v/>
      </c>
      <c r="K133" s="2"/>
      <c r="L133" s="2"/>
      <c r="M133" s="2"/>
      <c r="N133" s="2"/>
      <c r="O133" s="2"/>
      <c r="P133" s="2"/>
      <c r="Q133" s="24"/>
      <c r="R133" s="2" t="str">
        <f t="shared" si="14"/>
        <v/>
      </c>
      <c r="S133" s="2"/>
      <c r="T133" s="2"/>
      <c r="U133" s="10" t="str">
        <f t="shared" si="15"/>
        <v/>
      </c>
      <c r="V133" s="10" t="str">
        <f t="shared" si="16"/>
        <v/>
      </c>
      <c r="W133" s="15" t="str">
        <f t="shared" si="17"/>
        <v/>
      </c>
      <c r="X133" s="38" t="str">
        <f t="shared" si="18"/>
        <v/>
      </c>
      <c r="Y133" s="10" t="str">
        <f t="shared" si="19"/>
        <v/>
      </c>
      <c r="Z133" s="2" t="str">
        <f t="shared" si="20"/>
        <v/>
      </c>
      <c r="AA133" s="2"/>
      <c r="AB133" s="2"/>
    </row>
    <row r="134" spans="1:28" ht="16">
      <c r="A134" s="31"/>
      <c r="B134" s="32"/>
      <c r="C134" s="32"/>
      <c r="D134" s="32"/>
      <c r="E134" s="32"/>
      <c r="F134" s="33"/>
      <c r="G134" s="2"/>
      <c r="H134" s="2"/>
      <c r="I134" s="2"/>
      <c r="J134" s="35" t="str">
        <f>IF(H134&lt;&gt;"",IFERROR(VLOOKUP(IFERROR(LEFT(H134,FIND("-",H134)-1),H134),'Catalogo MINSAL'!A:E,5,FALSE),""),IF(I134&lt;&gt;"",IFERROR(VLOOKUP(IFERROR(LEFT(I134,FIND("-",I134)-1),I134),'Catalogo MINSAL'!A:E,5,FALSE),""),""))</f>
        <v/>
      </c>
      <c r="K134" s="2"/>
      <c r="L134" s="2"/>
      <c r="M134" s="2"/>
      <c r="N134" s="2"/>
      <c r="O134" s="2"/>
      <c r="P134" s="2"/>
      <c r="Q134" s="24"/>
      <c r="R134" s="2" t="str">
        <f t="shared" si="14"/>
        <v/>
      </c>
      <c r="S134" s="2"/>
      <c r="T134" s="2"/>
      <c r="U134" s="10" t="str">
        <f t="shared" si="15"/>
        <v/>
      </c>
      <c r="V134" s="10" t="str">
        <f t="shared" si="16"/>
        <v/>
      </c>
      <c r="W134" s="15" t="str">
        <f t="shared" si="17"/>
        <v/>
      </c>
      <c r="X134" s="38" t="str">
        <f t="shared" si="18"/>
        <v/>
      </c>
      <c r="Y134" s="10" t="str">
        <f t="shared" si="19"/>
        <v/>
      </c>
      <c r="Z134" s="2" t="str">
        <f t="shared" si="20"/>
        <v/>
      </c>
      <c r="AA134" s="2"/>
      <c r="AB134" s="2"/>
    </row>
    <row r="135" spans="1:28" ht="16">
      <c r="A135" s="31"/>
      <c r="B135" s="32"/>
      <c r="C135" s="32"/>
      <c r="D135" s="32"/>
      <c r="E135" s="32"/>
      <c r="F135" s="33"/>
      <c r="G135" s="2"/>
      <c r="H135" s="2"/>
      <c r="I135" s="2"/>
      <c r="J135" s="35" t="str">
        <f>IF(H135&lt;&gt;"",IFERROR(VLOOKUP(IFERROR(LEFT(H135,FIND("-",H135)-1),H135),'Catalogo MINSAL'!A:E,5,FALSE),""),IF(I135&lt;&gt;"",IFERROR(VLOOKUP(IFERROR(LEFT(I135,FIND("-",I135)-1),I135),'Catalogo MINSAL'!A:E,5,FALSE),""),""))</f>
        <v/>
      </c>
      <c r="K135" s="2"/>
      <c r="L135" s="2"/>
      <c r="M135" s="2"/>
      <c r="N135" s="2"/>
      <c r="O135" s="2"/>
      <c r="P135" s="2"/>
      <c r="Q135" s="24"/>
      <c r="R135" s="2" t="str">
        <f t="shared" si="14"/>
        <v/>
      </c>
      <c r="S135" s="2"/>
      <c r="T135" s="2"/>
      <c r="U135" s="10" t="str">
        <f t="shared" si="15"/>
        <v/>
      </c>
      <c r="V135" s="10" t="str">
        <f t="shared" si="16"/>
        <v/>
      </c>
      <c r="W135" s="15" t="str">
        <f t="shared" si="17"/>
        <v/>
      </c>
      <c r="X135" s="38" t="str">
        <f t="shared" si="18"/>
        <v/>
      </c>
      <c r="Y135" s="10" t="str">
        <f t="shared" si="19"/>
        <v/>
      </c>
      <c r="Z135" s="2" t="str">
        <f t="shared" si="20"/>
        <v/>
      </c>
      <c r="AA135" s="2"/>
      <c r="AB135" s="2"/>
    </row>
    <row r="136" spans="1:28" ht="16">
      <c r="A136" s="31"/>
      <c r="B136" s="32"/>
      <c r="C136" s="32"/>
      <c r="D136" s="32"/>
      <c r="E136" s="32"/>
      <c r="F136" s="33"/>
      <c r="G136" s="2"/>
      <c r="H136" s="2"/>
      <c r="I136" s="2"/>
      <c r="J136" s="35" t="str">
        <f>IF(H136&lt;&gt;"",IFERROR(VLOOKUP(IFERROR(LEFT(H136,FIND("-",H136)-1),H136),'Catalogo MINSAL'!A:E,5,FALSE),""),IF(I136&lt;&gt;"",IFERROR(VLOOKUP(IFERROR(LEFT(I136,FIND("-",I136)-1),I136),'Catalogo MINSAL'!A:E,5,FALSE),""),""))</f>
        <v/>
      </c>
      <c r="K136" s="2"/>
      <c r="L136" s="2"/>
      <c r="M136" s="2"/>
      <c r="N136" s="2"/>
      <c r="O136" s="2"/>
      <c r="P136" s="2"/>
      <c r="Q136" s="24"/>
      <c r="R136" s="2" t="str">
        <f t="shared" si="14"/>
        <v/>
      </c>
      <c r="S136" s="2"/>
      <c r="T136" s="2"/>
      <c r="U136" s="10" t="str">
        <f t="shared" si="15"/>
        <v/>
      </c>
      <c r="V136" s="10" t="str">
        <f t="shared" si="16"/>
        <v/>
      </c>
      <c r="W136" s="15" t="str">
        <f t="shared" si="17"/>
        <v/>
      </c>
      <c r="X136" s="38" t="str">
        <f t="shared" si="18"/>
        <v/>
      </c>
      <c r="Y136" s="10" t="str">
        <f t="shared" si="19"/>
        <v/>
      </c>
      <c r="Z136" s="2" t="str">
        <f t="shared" si="20"/>
        <v/>
      </c>
      <c r="AA136" s="2"/>
      <c r="AB136" s="2"/>
    </row>
    <row r="137" spans="1:28" ht="16">
      <c r="A137" s="31"/>
      <c r="B137" s="32"/>
      <c r="C137" s="32"/>
      <c r="D137" s="32"/>
      <c r="E137" s="32"/>
      <c r="F137" s="33"/>
      <c r="G137" s="2"/>
      <c r="H137" s="2"/>
      <c r="I137" s="2"/>
      <c r="J137" s="35" t="str">
        <f>IF(H137&lt;&gt;"",IFERROR(VLOOKUP(IFERROR(LEFT(H137,FIND("-",H137)-1),H137),'Catalogo MINSAL'!A:E,5,FALSE),""),IF(I137&lt;&gt;"",IFERROR(VLOOKUP(IFERROR(LEFT(I137,FIND("-",I137)-1),I137),'Catalogo MINSAL'!A:E,5,FALSE),""),""))</f>
        <v/>
      </c>
      <c r="K137" s="2"/>
      <c r="L137" s="2"/>
      <c r="M137" s="2"/>
      <c r="N137" s="2"/>
      <c r="O137" s="2"/>
      <c r="P137" s="2"/>
      <c r="Q137" s="24"/>
      <c r="R137" s="2" t="str">
        <f t="shared" si="14"/>
        <v/>
      </c>
      <c r="S137" s="2"/>
      <c r="T137" s="2"/>
      <c r="U137" s="10" t="str">
        <f t="shared" si="15"/>
        <v/>
      </c>
      <c r="V137" s="10" t="str">
        <f t="shared" si="16"/>
        <v/>
      </c>
      <c r="W137" s="15" t="str">
        <f t="shared" si="17"/>
        <v/>
      </c>
      <c r="X137" s="38" t="str">
        <f t="shared" si="18"/>
        <v/>
      </c>
      <c r="Y137" s="10" t="str">
        <f t="shared" si="19"/>
        <v/>
      </c>
      <c r="Z137" s="2" t="str">
        <f t="shared" si="20"/>
        <v/>
      </c>
      <c r="AA137" s="2"/>
      <c r="AB137" s="2"/>
    </row>
    <row r="138" spans="1:28" ht="16">
      <c r="A138" s="31"/>
      <c r="B138" s="32"/>
      <c r="C138" s="32"/>
      <c r="D138" s="32"/>
      <c r="E138" s="32"/>
      <c r="F138" s="33"/>
      <c r="G138" s="2"/>
      <c r="H138" s="2"/>
      <c r="I138" s="2"/>
      <c r="J138" s="35" t="str">
        <f>IF(H138&lt;&gt;"",IFERROR(VLOOKUP(IFERROR(LEFT(H138,FIND("-",H138)-1),H138),'Catalogo MINSAL'!A:E,5,FALSE),""),IF(I138&lt;&gt;"",IFERROR(VLOOKUP(IFERROR(LEFT(I138,FIND("-",I138)-1),I138),'Catalogo MINSAL'!A:E,5,FALSE),""),""))</f>
        <v/>
      </c>
      <c r="K138" s="2"/>
      <c r="L138" s="2"/>
      <c r="M138" s="2"/>
      <c r="N138" s="2"/>
      <c r="O138" s="2"/>
      <c r="P138" s="2"/>
      <c r="Q138" s="24"/>
      <c r="R138" s="2" t="str">
        <f t="shared" si="14"/>
        <v/>
      </c>
      <c r="S138" s="2"/>
      <c r="T138" s="2"/>
      <c r="U138" s="10" t="str">
        <f t="shared" si="15"/>
        <v/>
      </c>
      <c r="V138" s="10" t="str">
        <f t="shared" si="16"/>
        <v/>
      </c>
      <c r="W138" s="15" t="str">
        <f t="shared" si="17"/>
        <v/>
      </c>
      <c r="X138" s="38" t="str">
        <f t="shared" si="18"/>
        <v/>
      </c>
      <c r="Y138" s="10" t="str">
        <f t="shared" si="19"/>
        <v/>
      </c>
      <c r="Z138" s="2" t="str">
        <f t="shared" si="20"/>
        <v/>
      </c>
      <c r="AA138" s="2"/>
      <c r="AB138" s="2"/>
    </row>
    <row r="139" spans="1:28" ht="16">
      <c r="A139" s="31"/>
      <c r="B139" s="32"/>
      <c r="C139" s="32"/>
      <c r="D139" s="32"/>
      <c r="E139" s="32"/>
      <c r="F139" s="33"/>
      <c r="G139" s="2"/>
      <c r="H139" s="2"/>
      <c r="I139" s="2"/>
      <c r="J139" s="35" t="str">
        <f>IF(H139&lt;&gt;"",IFERROR(VLOOKUP(IFERROR(LEFT(H139,FIND("-",H139)-1),H139),'Catalogo MINSAL'!A:E,5,FALSE),""),IF(I139&lt;&gt;"",IFERROR(VLOOKUP(IFERROR(LEFT(I139,FIND("-",I139)-1),I139),'Catalogo MINSAL'!A:E,5,FALSE),""),""))</f>
        <v/>
      </c>
      <c r="K139" s="2"/>
      <c r="L139" s="2"/>
      <c r="M139" s="2"/>
      <c r="N139" s="2"/>
      <c r="O139" s="2"/>
      <c r="P139" s="2"/>
      <c r="Q139" s="24"/>
      <c r="R139" s="2" t="str">
        <f t="shared" si="14"/>
        <v/>
      </c>
      <c r="S139" s="2"/>
      <c r="T139" s="2"/>
      <c r="U139" s="10" t="str">
        <f t="shared" si="15"/>
        <v/>
      </c>
      <c r="V139" s="10" t="str">
        <f t="shared" si="16"/>
        <v/>
      </c>
      <c r="W139" s="15" t="str">
        <f t="shared" si="17"/>
        <v/>
      </c>
      <c r="X139" s="38" t="str">
        <f t="shared" si="18"/>
        <v/>
      </c>
      <c r="Y139" s="10" t="str">
        <f t="shared" si="19"/>
        <v/>
      </c>
      <c r="Z139" s="2" t="str">
        <f t="shared" si="20"/>
        <v/>
      </c>
      <c r="AA139" s="2"/>
      <c r="AB139" s="2"/>
    </row>
    <row r="140" spans="1:28" ht="16">
      <c r="A140" s="31"/>
      <c r="B140" s="32"/>
      <c r="C140" s="32"/>
      <c r="D140" s="32"/>
      <c r="E140" s="32"/>
      <c r="F140" s="33"/>
      <c r="G140" s="2"/>
      <c r="H140" s="2"/>
      <c r="I140" s="2"/>
      <c r="J140" s="35" t="str">
        <f>IF(H140&lt;&gt;"",IFERROR(VLOOKUP(IFERROR(LEFT(H140,FIND("-",H140)-1),H140),'Catalogo MINSAL'!A:E,5,FALSE),""),IF(I140&lt;&gt;"",IFERROR(VLOOKUP(IFERROR(LEFT(I140,FIND("-",I140)-1),I140),'Catalogo MINSAL'!A:E,5,FALSE),""),""))</f>
        <v/>
      </c>
      <c r="K140" s="2"/>
      <c r="L140" s="2"/>
      <c r="M140" s="2"/>
      <c r="N140" s="2"/>
      <c r="O140" s="2"/>
      <c r="P140" s="2"/>
      <c r="Q140" s="24"/>
      <c r="R140" s="2" t="str">
        <f t="shared" si="14"/>
        <v/>
      </c>
      <c r="S140" s="2"/>
      <c r="T140" s="2"/>
      <c r="U140" s="10" t="str">
        <f t="shared" si="15"/>
        <v/>
      </c>
      <c r="V140" s="10" t="str">
        <f t="shared" si="16"/>
        <v/>
      </c>
      <c r="W140" s="15" t="str">
        <f t="shared" si="17"/>
        <v/>
      </c>
      <c r="X140" s="38" t="str">
        <f t="shared" si="18"/>
        <v/>
      </c>
      <c r="Y140" s="10" t="str">
        <f t="shared" si="19"/>
        <v/>
      </c>
      <c r="Z140" s="2" t="str">
        <f t="shared" si="20"/>
        <v/>
      </c>
      <c r="AA140" s="2"/>
      <c r="AB140" s="2"/>
    </row>
    <row r="141" spans="1:28" ht="16">
      <c r="A141" s="31"/>
      <c r="B141" s="32"/>
      <c r="C141" s="32"/>
      <c r="D141" s="32"/>
      <c r="E141" s="32"/>
      <c r="F141" s="33"/>
      <c r="G141" s="2"/>
      <c r="H141" s="2"/>
      <c r="I141" s="2"/>
      <c r="J141" s="35" t="str">
        <f>IF(H141&lt;&gt;"",IFERROR(VLOOKUP(IFERROR(LEFT(H141,FIND("-",H141)-1),H141),'Catalogo MINSAL'!A:E,5,FALSE),""),IF(I141&lt;&gt;"",IFERROR(VLOOKUP(IFERROR(LEFT(I141,FIND("-",I141)-1),I141),'Catalogo MINSAL'!A:E,5,FALSE),""),""))</f>
        <v/>
      </c>
      <c r="K141" s="2"/>
      <c r="L141" s="2"/>
      <c r="M141" s="2"/>
      <c r="N141" s="2"/>
      <c r="O141" s="2"/>
      <c r="P141" s="2"/>
      <c r="Q141" s="24"/>
      <c r="R141" s="2" t="str">
        <f t="shared" si="14"/>
        <v/>
      </c>
      <c r="S141" s="2"/>
      <c r="T141" s="2"/>
      <c r="U141" s="10" t="str">
        <f t="shared" si="15"/>
        <v/>
      </c>
      <c r="V141" s="10" t="str">
        <f t="shared" si="16"/>
        <v/>
      </c>
      <c r="W141" s="15" t="str">
        <f t="shared" si="17"/>
        <v/>
      </c>
      <c r="X141" s="38" t="str">
        <f t="shared" si="18"/>
        <v/>
      </c>
      <c r="Y141" s="10" t="str">
        <f t="shared" si="19"/>
        <v/>
      </c>
      <c r="Z141" s="2" t="str">
        <f t="shared" si="20"/>
        <v/>
      </c>
      <c r="AA141" s="2"/>
      <c r="AB141" s="2"/>
    </row>
    <row r="142" spans="1:28" ht="16">
      <c r="A142" s="31"/>
      <c r="B142" s="32"/>
      <c r="C142" s="32"/>
      <c r="D142" s="32"/>
      <c r="E142" s="32"/>
      <c r="F142" s="33"/>
      <c r="G142" s="2"/>
      <c r="H142" s="2"/>
      <c r="I142" s="2"/>
      <c r="J142" s="35" t="str">
        <f>IF(H142&lt;&gt;"",IFERROR(VLOOKUP(IFERROR(LEFT(H142,FIND("-",H142)-1),H142),'Catalogo MINSAL'!A:E,5,FALSE),""),IF(I142&lt;&gt;"",IFERROR(VLOOKUP(IFERROR(LEFT(I142,FIND("-",I142)-1),I142),'Catalogo MINSAL'!A:E,5,FALSE),""),""))</f>
        <v/>
      </c>
      <c r="K142" s="2"/>
      <c r="L142" s="2"/>
      <c r="M142" s="2"/>
      <c r="N142" s="2"/>
      <c r="O142" s="2"/>
      <c r="P142" s="2"/>
      <c r="Q142" s="24"/>
      <c r="R142" s="2" t="str">
        <f t="shared" si="14"/>
        <v/>
      </c>
      <c r="S142" s="2"/>
      <c r="T142" s="2"/>
      <c r="U142" s="10" t="str">
        <f t="shared" si="15"/>
        <v/>
      </c>
      <c r="V142" s="10" t="str">
        <f t="shared" si="16"/>
        <v/>
      </c>
      <c r="W142" s="15" t="str">
        <f t="shared" si="17"/>
        <v/>
      </c>
      <c r="X142" s="38" t="str">
        <f t="shared" si="18"/>
        <v/>
      </c>
      <c r="Y142" s="10" t="str">
        <f t="shared" si="19"/>
        <v/>
      </c>
      <c r="Z142" s="2" t="str">
        <f t="shared" si="20"/>
        <v/>
      </c>
      <c r="AA142" s="2"/>
      <c r="AB142" s="2"/>
    </row>
    <row r="143" spans="1:28" ht="16">
      <c r="A143" s="31"/>
      <c r="B143" s="32"/>
      <c r="C143" s="32"/>
      <c r="D143" s="32"/>
      <c r="E143" s="32"/>
      <c r="F143" s="33"/>
      <c r="G143" s="2"/>
      <c r="H143" s="2"/>
      <c r="I143" s="2"/>
      <c r="J143" s="35" t="str">
        <f>IF(H143&lt;&gt;"",IFERROR(VLOOKUP(IFERROR(LEFT(H143,FIND("-",H143)-1),H143),'Catalogo MINSAL'!A:E,5,FALSE),""),IF(I143&lt;&gt;"",IFERROR(VLOOKUP(IFERROR(LEFT(I143,FIND("-",I143)-1),I143),'Catalogo MINSAL'!A:E,5,FALSE),""),""))</f>
        <v/>
      </c>
      <c r="K143" s="2"/>
      <c r="L143" s="2"/>
      <c r="M143" s="2"/>
      <c r="N143" s="2"/>
      <c r="O143" s="2"/>
      <c r="P143" s="2"/>
      <c r="Q143" s="24"/>
      <c r="R143" s="2" t="str">
        <f t="shared" si="14"/>
        <v/>
      </c>
      <c r="S143" s="2"/>
      <c r="T143" s="2"/>
      <c r="U143" s="10" t="str">
        <f t="shared" si="15"/>
        <v/>
      </c>
      <c r="V143" s="10" t="str">
        <f t="shared" si="16"/>
        <v/>
      </c>
      <c r="W143" s="15" t="str">
        <f t="shared" si="17"/>
        <v/>
      </c>
      <c r="X143" s="38" t="str">
        <f t="shared" si="18"/>
        <v/>
      </c>
      <c r="Y143" s="10" t="str">
        <f t="shared" si="19"/>
        <v/>
      </c>
      <c r="Z143" s="2" t="str">
        <f t="shared" si="20"/>
        <v/>
      </c>
      <c r="AA143" s="2"/>
      <c r="AB143" s="2"/>
    </row>
    <row r="144" spans="1:28" ht="16">
      <c r="A144" s="31"/>
      <c r="B144" s="32"/>
      <c r="C144" s="32"/>
      <c r="D144" s="32"/>
      <c r="E144" s="32"/>
      <c r="F144" s="33"/>
      <c r="G144" s="2"/>
      <c r="H144" s="2"/>
      <c r="I144" s="2"/>
      <c r="J144" s="35" t="str">
        <f>IF(H144&lt;&gt;"",IFERROR(VLOOKUP(IFERROR(LEFT(H144,FIND("-",H144)-1),H144),'Catalogo MINSAL'!A:E,5,FALSE),""),IF(I144&lt;&gt;"",IFERROR(VLOOKUP(IFERROR(LEFT(I144,FIND("-",I144)-1),I144),'Catalogo MINSAL'!A:E,5,FALSE),""),""))</f>
        <v/>
      </c>
      <c r="K144" s="2"/>
      <c r="L144" s="2"/>
      <c r="M144" s="2"/>
      <c r="N144" s="2"/>
      <c r="O144" s="2"/>
      <c r="P144" s="2"/>
      <c r="Q144" s="24"/>
      <c r="R144" s="2" t="str">
        <f t="shared" si="14"/>
        <v/>
      </c>
      <c r="S144" s="2"/>
      <c r="T144" s="2"/>
      <c r="U144" s="10" t="str">
        <f t="shared" si="15"/>
        <v/>
      </c>
      <c r="V144" s="10" t="str">
        <f t="shared" si="16"/>
        <v/>
      </c>
      <c r="W144" s="15" t="str">
        <f t="shared" si="17"/>
        <v/>
      </c>
      <c r="X144" s="38" t="str">
        <f t="shared" si="18"/>
        <v/>
      </c>
      <c r="Y144" s="10" t="str">
        <f t="shared" si="19"/>
        <v/>
      </c>
      <c r="Z144" s="2" t="str">
        <f t="shared" si="20"/>
        <v/>
      </c>
      <c r="AA144" s="2"/>
      <c r="AB144" s="2"/>
    </row>
    <row r="145" spans="1:28" ht="16">
      <c r="A145" s="31"/>
      <c r="B145" s="32"/>
      <c r="C145" s="32"/>
      <c r="D145" s="32"/>
      <c r="E145" s="32"/>
      <c r="F145" s="33"/>
      <c r="G145" s="2"/>
      <c r="H145" s="2"/>
      <c r="I145" s="2"/>
      <c r="J145" s="35" t="str">
        <f>IF(H145&lt;&gt;"",IFERROR(VLOOKUP(IFERROR(LEFT(H145,FIND("-",H145)-1),H145),'Catalogo MINSAL'!A:E,5,FALSE),""),IF(I145&lt;&gt;"",IFERROR(VLOOKUP(IFERROR(LEFT(I145,FIND("-",I145)-1),I145),'Catalogo MINSAL'!A:E,5,FALSE),""),""))</f>
        <v/>
      </c>
      <c r="K145" s="2"/>
      <c r="L145" s="2"/>
      <c r="M145" s="2"/>
      <c r="N145" s="2"/>
      <c r="O145" s="2"/>
      <c r="P145" s="2"/>
      <c r="Q145" s="24"/>
      <c r="R145" s="2" t="str">
        <f t="shared" si="14"/>
        <v/>
      </c>
      <c r="S145" s="2"/>
      <c r="T145" s="2"/>
      <c r="U145" s="10" t="str">
        <f t="shared" si="15"/>
        <v/>
      </c>
      <c r="V145" s="10" t="str">
        <f t="shared" si="16"/>
        <v/>
      </c>
      <c r="W145" s="15" t="str">
        <f t="shared" si="17"/>
        <v/>
      </c>
      <c r="X145" s="38" t="str">
        <f t="shared" si="18"/>
        <v/>
      </c>
      <c r="Y145" s="10" t="str">
        <f t="shared" si="19"/>
        <v/>
      </c>
      <c r="Z145" s="2" t="str">
        <f t="shared" si="20"/>
        <v/>
      </c>
      <c r="AA145" s="2"/>
      <c r="AB145" s="2"/>
    </row>
    <row r="146" spans="1:28" ht="16">
      <c r="A146" s="31"/>
      <c r="B146" s="32"/>
      <c r="C146" s="32"/>
      <c r="D146" s="32"/>
      <c r="E146" s="32"/>
      <c r="F146" s="33"/>
      <c r="G146" s="2"/>
      <c r="H146" s="2"/>
      <c r="I146" s="2"/>
      <c r="J146" s="35" t="str">
        <f>IF(H146&lt;&gt;"",IFERROR(VLOOKUP(IFERROR(LEFT(H146,FIND("-",H146)-1),H146),'Catalogo MINSAL'!A:E,5,FALSE),""),IF(I146&lt;&gt;"",IFERROR(VLOOKUP(IFERROR(LEFT(I146,FIND("-",I146)-1),I146),'Catalogo MINSAL'!A:E,5,FALSE),""),""))</f>
        <v/>
      </c>
      <c r="K146" s="2"/>
      <c r="L146" s="2"/>
      <c r="M146" s="2"/>
      <c r="N146" s="2"/>
      <c r="O146" s="2"/>
      <c r="P146" s="2"/>
      <c r="Q146" s="24"/>
      <c r="R146" s="2" t="str">
        <f t="shared" si="14"/>
        <v/>
      </c>
      <c r="S146" s="2"/>
      <c r="T146" s="2"/>
      <c r="U146" s="10" t="str">
        <f t="shared" si="15"/>
        <v/>
      </c>
      <c r="V146" s="10" t="str">
        <f t="shared" si="16"/>
        <v/>
      </c>
      <c r="W146" s="15" t="str">
        <f t="shared" si="17"/>
        <v/>
      </c>
      <c r="X146" s="38" t="str">
        <f t="shared" si="18"/>
        <v/>
      </c>
      <c r="Y146" s="10" t="str">
        <f t="shared" si="19"/>
        <v/>
      </c>
      <c r="Z146" s="2" t="str">
        <f t="shared" si="20"/>
        <v/>
      </c>
      <c r="AA146" s="2"/>
      <c r="AB146" s="2"/>
    </row>
    <row r="147" spans="1:28" ht="16">
      <c r="A147" s="31"/>
      <c r="B147" s="32"/>
      <c r="C147" s="32"/>
      <c r="D147" s="32"/>
      <c r="E147" s="32"/>
      <c r="F147" s="33"/>
      <c r="G147" s="2"/>
      <c r="H147" s="2"/>
      <c r="I147" s="2"/>
      <c r="J147" s="35" t="str">
        <f>IF(H147&lt;&gt;"",IFERROR(VLOOKUP(IFERROR(LEFT(H147,FIND("-",H147)-1),H147),'Catalogo MINSAL'!A:E,5,FALSE),""),IF(I147&lt;&gt;"",IFERROR(VLOOKUP(IFERROR(LEFT(I147,FIND("-",I147)-1),I147),'Catalogo MINSAL'!A:E,5,FALSE),""),""))</f>
        <v/>
      </c>
      <c r="K147" s="2"/>
      <c r="L147" s="2"/>
      <c r="M147" s="2"/>
      <c r="N147" s="2"/>
      <c r="O147" s="2"/>
      <c r="P147" s="2"/>
      <c r="Q147" s="24"/>
      <c r="R147" s="2" t="str">
        <f t="shared" si="14"/>
        <v/>
      </c>
      <c r="S147" s="2"/>
      <c r="T147" s="2"/>
      <c r="U147" s="10" t="str">
        <f t="shared" si="15"/>
        <v/>
      </c>
      <c r="V147" s="10" t="str">
        <f t="shared" si="16"/>
        <v/>
      </c>
      <c r="W147" s="15" t="str">
        <f t="shared" si="17"/>
        <v/>
      </c>
      <c r="X147" s="38" t="str">
        <f t="shared" si="18"/>
        <v/>
      </c>
      <c r="Y147" s="10" t="str">
        <f t="shared" si="19"/>
        <v/>
      </c>
      <c r="Z147" s="2" t="str">
        <f t="shared" si="20"/>
        <v/>
      </c>
      <c r="AA147" s="2"/>
      <c r="AB147" s="2"/>
    </row>
    <row r="148" spans="1:28" ht="16">
      <c r="A148" s="31"/>
      <c r="B148" s="32"/>
      <c r="C148" s="32"/>
      <c r="D148" s="32"/>
      <c r="E148" s="32"/>
      <c r="F148" s="33"/>
      <c r="G148" s="2"/>
      <c r="H148" s="2"/>
      <c r="I148" s="2"/>
      <c r="J148" s="35" t="str">
        <f>IF(H148&lt;&gt;"",IFERROR(VLOOKUP(IFERROR(LEFT(H148,FIND("-",H148)-1),H148),'Catalogo MINSAL'!A:E,5,FALSE),""),IF(I148&lt;&gt;"",IFERROR(VLOOKUP(IFERROR(LEFT(I148,FIND("-",I148)-1),I148),'Catalogo MINSAL'!A:E,5,FALSE),""),""))</f>
        <v/>
      </c>
      <c r="K148" s="2"/>
      <c r="L148" s="2"/>
      <c r="M148" s="2"/>
      <c r="N148" s="2"/>
      <c r="O148" s="2"/>
      <c r="P148" s="2"/>
      <c r="Q148" s="24"/>
      <c r="R148" s="2" t="str">
        <f t="shared" si="14"/>
        <v/>
      </c>
      <c r="S148" s="2"/>
      <c r="T148" s="2"/>
      <c r="U148" s="10" t="str">
        <f t="shared" si="15"/>
        <v/>
      </c>
      <c r="V148" s="10" t="str">
        <f t="shared" si="16"/>
        <v/>
      </c>
      <c r="W148" s="15" t="str">
        <f t="shared" si="17"/>
        <v/>
      </c>
      <c r="X148" s="38" t="str">
        <f t="shared" si="18"/>
        <v/>
      </c>
      <c r="Y148" s="10" t="str">
        <f t="shared" si="19"/>
        <v/>
      </c>
      <c r="Z148" s="2" t="str">
        <f t="shared" si="20"/>
        <v/>
      </c>
      <c r="AA148" s="2"/>
      <c r="AB148" s="2"/>
    </row>
    <row r="149" spans="1:28" ht="16">
      <c r="A149" s="31"/>
      <c r="B149" s="32"/>
      <c r="C149" s="32"/>
      <c r="D149" s="32"/>
      <c r="E149" s="32"/>
      <c r="F149" s="33"/>
      <c r="G149" s="2"/>
      <c r="H149" s="2"/>
      <c r="I149" s="2"/>
      <c r="J149" s="35" t="str">
        <f>IF(H149&lt;&gt;"",IFERROR(VLOOKUP(IFERROR(LEFT(H149,FIND("-",H149)-1),H149),'Catalogo MINSAL'!A:E,5,FALSE),""),IF(I149&lt;&gt;"",IFERROR(VLOOKUP(IFERROR(LEFT(I149,FIND("-",I149)-1),I149),'Catalogo MINSAL'!A:E,5,FALSE),""),""))</f>
        <v/>
      </c>
      <c r="K149" s="2"/>
      <c r="L149" s="2"/>
      <c r="M149" s="2"/>
      <c r="N149" s="2"/>
      <c r="O149" s="2"/>
      <c r="P149" s="2"/>
      <c r="Q149" s="24"/>
      <c r="R149" s="2" t="str">
        <f t="shared" si="14"/>
        <v/>
      </c>
      <c r="S149" s="2"/>
      <c r="T149" s="2"/>
      <c r="U149" s="10" t="str">
        <f t="shared" si="15"/>
        <v/>
      </c>
      <c r="V149" s="10" t="str">
        <f t="shared" si="16"/>
        <v/>
      </c>
      <c r="W149" s="15" t="str">
        <f t="shared" si="17"/>
        <v/>
      </c>
      <c r="X149" s="38" t="str">
        <f t="shared" si="18"/>
        <v/>
      </c>
      <c r="Y149" s="10" t="str">
        <f t="shared" si="19"/>
        <v/>
      </c>
      <c r="Z149" s="2" t="str">
        <f t="shared" si="20"/>
        <v/>
      </c>
      <c r="AA149" s="2"/>
      <c r="AB149" s="2"/>
    </row>
    <row r="150" spans="1:28" ht="16">
      <c r="A150" s="31"/>
      <c r="B150" s="32"/>
      <c r="C150" s="32"/>
      <c r="D150" s="32"/>
      <c r="E150" s="32"/>
      <c r="F150" s="33"/>
      <c r="G150" s="2"/>
      <c r="H150" s="2"/>
      <c r="I150" s="2"/>
      <c r="J150" s="35" t="str">
        <f>IF(H150&lt;&gt;"",IFERROR(VLOOKUP(IFERROR(LEFT(H150,FIND("-",H150)-1),H150),'Catalogo MINSAL'!A:E,5,FALSE),""),IF(I150&lt;&gt;"",IFERROR(VLOOKUP(IFERROR(LEFT(I150,FIND("-",I150)-1),I150),'Catalogo MINSAL'!A:E,5,FALSE),""),""))</f>
        <v/>
      </c>
      <c r="K150" s="2"/>
      <c r="L150" s="2"/>
      <c r="M150" s="2"/>
      <c r="N150" s="2"/>
      <c r="O150" s="2"/>
      <c r="P150" s="2"/>
      <c r="Q150" s="24"/>
      <c r="R150" s="2" t="str">
        <f t="shared" si="14"/>
        <v/>
      </c>
      <c r="S150" s="2"/>
      <c r="T150" s="2"/>
      <c r="U150" s="10" t="str">
        <f t="shared" si="15"/>
        <v/>
      </c>
      <c r="V150" s="10" t="str">
        <f t="shared" si="16"/>
        <v/>
      </c>
      <c r="W150" s="15" t="str">
        <f t="shared" si="17"/>
        <v/>
      </c>
      <c r="X150" s="38" t="str">
        <f t="shared" si="18"/>
        <v/>
      </c>
      <c r="Y150" s="10" t="str">
        <f t="shared" si="19"/>
        <v/>
      </c>
      <c r="Z150" s="2" t="str">
        <f t="shared" si="20"/>
        <v/>
      </c>
      <c r="AA150" s="2"/>
      <c r="AB150" s="2"/>
    </row>
    <row r="151" spans="1:28" ht="16">
      <c r="A151" s="31"/>
      <c r="B151" s="32"/>
      <c r="C151" s="32"/>
      <c r="D151" s="32"/>
      <c r="E151" s="32"/>
      <c r="F151" s="33"/>
      <c r="G151" s="2"/>
      <c r="H151" s="2"/>
      <c r="I151" s="2"/>
      <c r="J151" s="35" t="str">
        <f>IF(H151&lt;&gt;"",IFERROR(VLOOKUP(IFERROR(LEFT(H151,FIND("-",H151)-1),H151),'Catalogo MINSAL'!A:E,5,FALSE),""),IF(I151&lt;&gt;"",IFERROR(VLOOKUP(IFERROR(LEFT(I151,FIND("-",I151)-1),I151),'Catalogo MINSAL'!A:E,5,FALSE),""),""))</f>
        <v/>
      </c>
      <c r="K151" s="2"/>
      <c r="L151" s="2"/>
      <c r="M151" s="2"/>
      <c r="N151" s="2"/>
      <c r="O151" s="2"/>
      <c r="P151" s="2"/>
      <c r="Q151" s="24"/>
      <c r="R151" s="2" t="str">
        <f t="shared" si="14"/>
        <v/>
      </c>
      <c r="S151" s="2"/>
      <c r="T151" s="2"/>
      <c r="U151" s="10" t="str">
        <f t="shared" si="15"/>
        <v/>
      </c>
      <c r="V151" s="10" t="str">
        <f t="shared" si="16"/>
        <v/>
      </c>
      <c r="W151" s="15" t="str">
        <f t="shared" si="17"/>
        <v/>
      </c>
      <c r="X151" s="38" t="str">
        <f t="shared" si="18"/>
        <v/>
      </c>
      <c r="Y151" s="10" t="str">
        <f t="shared" si="19"/>
        <v/>
      </c>
      <c r="Z151" s="2" t="str">
        <f t="shared" si="20"/>
        <v/>
      </c>
      <c r="AA151" s="2"/>
      <c r="AB151" s="2"/>
    </row>
    <row r="152" spans="1:28" ht="16">
      <c r="A152" s="31"/>
      <c r="B152" s="32"/>
      <c r="C152" s="32"/>
      <c r="D152" s="32"/>
      <c r="E152" s="32"/>
      <c r="F152" s="33"/>
      <c r="G152" s="2"/>
      <c r="H152" s="2"/>
      <c r="I152" s="2"/>
      <c r="J152" s="35" t="str">
        <f>IF(H152&lt;&gt;"",IFERROR(VLOOKUP(IFERROR(LEFT(H152,FIND("-",H152)-1),H152),'Catalogo MINSAL'!A:E,5,FALSE),""),IF(I152&lt;&gt;"",IFERROR(VLOOKUP(IFERROR(LEFT(I152,FIND("-",I152)-1),I152),'Catalogo MINSAL'!A:E,5,FALSE),""),""))</f>
        <v/>
      </c>
      <c r="K152" s="2"/>
      <c r="L152" s="2"/>
      <c r="M152" s="2"/>
      <c r="N152" s="2"/>
      <c r="O152" s="2"/>
      <c r="P152" s="2"/>
      <c r="Q152" s="24"/>
      <c r="R152" s="2" t="str">
        <f t="shared" si="14"/>
        <v/>
      </c>
      <c r="S152" s="2"/>
      <c r="T152" s="2"/>
      <c r="U152" s="10" t="str">
        <f t="shared" si="15"/>
        <v/>
      </c>
      <c r="V152" s="10" t="str">
        <f t="shared" si="16"/>
        <v/>
      </c>
      <c r="W152" s="15" t="str">
        <f t="shared" si="17"/>
        <v/>
      </c>
      <c r="X152" s="38" t="str">
        <f t="shared" si="18"/>
        <v/>
      </c>
      <c r="Y152" s="10" t="str">
        <f t="shared" si="19"/>
        <v/>
      </c>
      <c r="Z152" s="2" t="str">
        <f t="shared" si="20"/>
        <v/>
      </c>
      <c r="AA152" s="2"/>
      <c r="AB152" s="2"/>
    </row>
    <row r="153" spans="1:28" ht="16">
      <c r="A153" s="31"/>
      <c r="B153" s="32"/>
      <c r="C153" s="32"/>
      <c r="D153" s="32"/>
      <c r="E153" s="32"/>
      <c r="F153" s="33"/>
      <c r="G153" s="2"/>
      <c r="H153" s="2"/>
      <c r="I153" s="2"/>
      <c r="J153" s="35" t="str">
        <f>IF(H153&lt;&gt;"",IFERROR(VLOOKUP(IFERROR(LEFT(H153,FIND("-",H153)-1),H153),'Catalogo MINSAL'!A:E,5,FALSE),""),IF(I153&lt;&gt;"",IFERROR(VLOOKUP(IFERROR(LEFT(I153,FIND("-",I153)-1),I153),'Catalogo MINSAL'!A:E,5,FALSE),""),""))</f>
        <v/>
      </c>
      <c r="K153" s="2"/>
      <c r="L153" s="2"/>
      <c r="M153" s="2"/>
      <c r="N153" s="2"/>
      <c r="O153" s="2"/>
      <c r="P153" s="2"/>
      <c r="Q153" s="24"/>
      <c r="R153" s="2" t="str">
        <f t="shared" si="14"/>
        <v/>
      </c>
      <c r="S153" s="2"/>
      <c r="T153" s="2"/>
      <c r="U153" s="10" t="str">
        <f t="shared" si="15"/>
        <v/>
      </c>
      <c r="V153" s="10" t="str">
        <f t="shared" si="16"/>
        <v/>
      </c>
      <c r="W153" s="15" t="str">
        <f t="shared" si="17"/>
        <v/>
      </c>
      <c r="X153" s="38" t="str">
        <f t="shared" si="18"/>
        <v/>
      </c>
      <c r="Y153" s="10" t="str">
        <f t="shared" si="19"/>
        <v/>
      </c>
      <c r="Z153" s="2" t="str">
        <f t="shared" si="20"/>
        <v/>
      </c>
      <c r="AA153" s="2"/>
      <c r="AB153" s="2"/>
    </row>
    <row r="154" spans="1:28" ht="16">
      <c r="A154" s="31"/>
      <c r="B154" s="32"/>
      <c r="C154" s="32"/>
      <c r="D154" s="32"/>
      <c r="E154" s="32"/>
      <c r="F154" s="33"/>
      <c r="G154" s="2"/>
      <c r="H154" s="2"/>
      <c r="I154" s="2"/>
      <c r="J154" s="35" t="str">
        <f>IF(H154&lt;&gt;"",IFERROR(VLOOKUP(IFERROR(LEFT(H154,FIND("-",H154)-1),H154),'Catalogo MINSAL'!A:E,5,FALSE),""),IF(I154&lt;&gt;"",IFERROR(VLOOKUP(IFERROR(LEFT(I154,FIND("-",I154)-1),I154),'Catalogo MINSAL'!A:E,5,FALSE),""),""))</f>
        <v/>
      </c>
      <c r="K154" s="2"/>
      <c r="L154" s="2"/>
      <c r="M154" s="2"/>
      <c r="N154" s="2"/>
      <c r="O154" s="2"/>
      <c r="P154" s="2"/>
      <c r="Q154" s="24"/>
      <c r="R154" s="2" t="str">
        <f t="shared" si="14"/>
        <v/>
      </c>
      <c r="S154" s="2"/>
      <c r="T154" s="2"/>
      <c r="U154" s="10" t="str">
        <f t="shared" si="15"/>
        <v/>
      </c>
      <c r="V154" s="10" t="str">
        <f t="shared" si="16"/>
        <v/>
      </c>
      <c r="W154" s="15" t="str">
        <f t="shared" si="17"/>
        <v/>
      </c>
      <c r="X154" s="38" t="str">
        <f t="shared" si="18"/>
        <v/>
      </c>
      <c r="Y154" s="10" t="str">
        <f t="shared" si="19"/>
        <v/>
      </c>
      <c r="Z154" s="2" t="str">
        <f t="shared" si="20"/>
        <v/>
      </c>
      <c r="AA154" s="2"/>
      <c r="AB154" s="2"/>
    </row>
    <row r="155" spans="1:28" ht="16">
      <c r="A155" s="31"/>
      <c r="B155" s="32"/>
      <c r="C155" s="32"/>
      <c r="D155" s="32"/>
      <c r="E155" s="32"/>
      <c r="F155" s="33"/>
      <c r="G155" s="2"/>
      <c r="H155" s="2"/>
      <c r="I155" s="2"/>
      <c r="J155" s="35" t="str">
        <f>IF(H155&lt;&gt;"",IFERROR(VLOOKUP(IFERROR(LEFT(H155,FIND("-",H155)-1),H155),'Catalogo MINSAL'!A:E,5,FALSE),""),IF(I155&lt;&gt;"",IFERROR(VLOOKUP(IFERROR(LEFT(I155,FIND("-",I155)-1),I155),'Catalogo MINSAL'!A:E,5,FALSE),""),""))</f>
        <v/>
      </c>
      <c r="K155" s="2"/>
      <c r="L155" s="2"/>
      <c r="M155" s="2"/>
      <c r="N155" s="2"/>
      <c r="O155" s="2"/>
      <c r="P155" s="2"/>
      <c r="Q155" s="24"/>
      <c r="R155" s="2" t="str">
        <f t="shared" si="14"/>
        <v/>
      </c>
      <c r="S155" s="2"/>
      <c r="T155" s="2"/>
      <c r="U155" s="10" t="str">
        <f t="shared" si="15"/>
        <v/>
      </c>
      <c r="V155" s="10" t="str">
        <f t="shared" si="16"/>
        <v/>
      </c>
      <c r="W155" s="15" t="str">
        <f t="shared" si="17"/>
        <v/>
      </c>
      <c r="X155" s="38" t="str">
        <f t="shared" si="18"/>
        <v/>
      </c>
      <c r="Y155" s="10" t="str">
        <f t="shared" si="19"/>
        <v/>
      </c>
      <c r="Z155" s="2" t="str">
        <f t="shared" si="20"/>
        <v/>
      </c>
      <c r="AA155" s="2"/>
      <c r="AB155" s="2"/>
    </row>
    <row r="156" spans="1:28" ht="16">
      <c r="A156" s="31"/>
      <c r="B156" s="32"/>
      <c r="C156" s="32"/>
      <c r="D156" s="32"/>
      <c r="E156" s="32"/>
      <c r="F156" s="33"/>
      <c r="G156" s="2"/>
      <c r="H156" s="2"/>
      <c r="I156" s="2"/>
      <c r="J156" s="35" t="str">
        <f>IF(H156&lt;&gt;"",IFERROR(VLOOKUP(IFERROR(LEFT(H156,FIND("-",H156)-1),H156),'Catalogo MINSAL'!A:E,5,FALSE),""),IF(I156&lt;&gt;"",IFERROR(VLOOKUP(IFERROR(LEFT(I156,FIND("-",I156)-1),I156),'Catalogo MINSAL'!A:E,5,FALSE),""),""))</f>
        <v/>
      </c>
      <c r="K156" s="2"/>
      <c r="L156" s="2"/>
      <c r="M156" s="2"/>
      <c r="N156" s="2"/>
      <c r="O156" s="2"/>
      <c r="P156" s="2"/>
      <c r="Q156" s="24"/>
      <c r="R156" s="2" t="str">
        <f t="shared" si="14"/>
        <v/>
      </c>
      <c r="S156" s="2"/>
      <c r="T156" s="2"/>
      <c r="U156" s="10" t="str">
        <f t="shared" si="15"/>
        <v/>
      </c>
      <c r="V156" s="10" t="str">
        <f t="shared" si="16"/>
        <v/>
      </c>
      <c r="W156" s="15" t="str">
        <f t="shared" si="17"/>
        <v/>
      </c>
      <c r="X156" s="38" t="str">
        <f t="shared" si="18"/>
        <v/>
      </c>
      <c r="Y156" s="10" t="str">
        <f t="shared" si="19"/>
        <v/>
      </c>
      <c r="Z156" s="2" t="str">
        <f t="shared" si="20"/>
        <v/>
      </c>
      <c r="AA156" s="2"/>
      <c r="AB156" s="2"/>
    </row>
    <row r="157" spans="1:28" ht="16">
      <c r="A157" s="31"/>
      <c r="B157" s="32"/>
      <c r="C157" s="32"/>
      <c r="D157" s="32"/>
      <c r="E157" s="32"/>
      <c r="F157" s="33"/>
      <c r="G157" s="2"/>
      <c r="H157" s="2"/>
      <c r="I157" s="2"/>
      <c r="J157" s="35" t="str">
        <f>IF(H157&lt;&gt;"",IFERROR(VLOOKUP(IFERROR(LEFT(H157,FIND("-",H157)-1),H157),'Catalogo MINSAL'!A:E,5,FALSE),""),IF(I157&lt;&gt;"",IFERROR(VLOOKUP(IFERROR(LEFT(I157,FIND("-",I157)-1),I157),'Catalogo MINSAL'!A:E,5,FALSE),""),""))</f>
        <v/>
      </c>
      <c r="K157" s="2"/>
      <c r="L157" s="2"/>
      <c r="M157" s="2"/>
      <c r="N157" s="2"/>
      <c r="O157" s="2"/>
      <c r="P157" s="2"/>
      <c r="Q157" s="24"/>
      <c r="R157" s="2" t="str">
        <f t="shared" si="14"/>
        <v/>
      </c>
      <c r="S157" s="2"/>
      <c r="T157" s="2"/>
      <c r="U157" s="10" t="str">
        <f t="shared" si="15"/>
        <v/>
      </c>
      <c r="V157" s="10" t="str">
        <f t="shared" si="16"/>
        <v/>
      </c>
      <c r="W157" s="15" t="str">
        <f t="shared" si="17"/>
        <v/>
      </c>
      <c r="X157" s="38" t="str">
        <f t="shared" si="18"/>
        <v/>
      </c>
      <c r="Y157" s="10" t="str">
        <f t="shared" si="19"/>
        <v/>
      </c>
      <c r="Z157" s="2" t="str">
        <f t="shared" si="20"/>
        <v/>
      </c>
      <c r="AA157" s="2"/>
      <c r="AB157" s="2"/>
    </row>
    <row r="158" spans="1:28" ht="16">
      <c r="A158" s="31"/>
      <c r="B158" s="32"/>
      <c r="C158" s="32"/>
      <c r="D158" s="32"/>
      <c r="E158" s="32"/>
      <c r="F158" s="33"/>
      <c r="G158" s="2"/>
      <c r="H158" s="2"/>
      <c r="I158" s="2"/>
      <c r="J158" s="35" t="str">
        <f>IF(H158&lt;&gt;"",IFERROR(VLOOKUP(IFERROR(LEFT(H158,FIND("-",H158)-1),H158),'Catalogo MINSAL'!A:E,5,FALSE),""),IF(I158&lt;&gt;"",IFERROR(VLOOKUP(IFERROR(LEFT(I158,FIND("-",I158)-1),I158),'Catalogo MINSAL'!A:E,5,FALSE),""),""))</f>
        <v/>
      </c>
      <c r="K158" s="2"/>
      <c r="L158" s="2"/>
      <c r="M158" s="2"/>
      <c r="N158" s="2"/>
      <c r="O158" s="2"/>
      <c r="P158" s="2"/>
      <c r="Q158" s="24"/>
      <c r="R158" s="2" t="str">
        <f t="shared" si="14"/>
        <v/>
      </c>
      <c r="S158" s="2"/>
      <c r="T158" s="2"/>
      <c r="U158" s="10" t="str">
        <f t="shared" si="15"/>
        <v/>
      </c>
      <c r="V158" s="10" t="str">
        <f t="shared" si="16"/>
        <v/>
      </c>
      <c r="W158" s="15" t="str">
        <f t="shared" si="17"/>
        <v/>
      </c>
      <c r="X158" s="38" t="str">
        <f t="shared" si="18"/>
        <v/>
      </c>
      <c r="Y158" s="10" t="str">
        <f t="shared" si="19"/>
        <v/>
      </c>
      <c r="Z158" s="2" t="str">
        <f t="shared" si="20"/>
        <v/>
      </c>
      <c r="AA158" s="2"/>
      <c r="AB158" s="2"/>
    </row>
    <row r="159" spans="1:28" ht="16">
      <c r="A159" s="31"/>
      <c r="B159" s="32"/>
      <c r="C159" s="32"/>
      <c r="D159" s="32"/>
      <c r="E159" s="32"/>
      <c r="F159" s="33"/>
      <c r="G159" s="2"/>
      <c r="H159" s="2"/>
      <c r="I159" s="2"/>
      <c r="J159" s="35" t="str">
        <f>IF(H159&lt;&gt;"",IFERROR(VLOOKUP(IFERROR(LEFT(H159,FIND("-",H159)-1),H159),'Catalogo MINSAL'!A:E,5,FALSE),""),IF(I159&lt;&gt;"",IFERROR(VLOOKUP(IFERROR(LEFT(I159,FIND("-",I159)-1),I159),'Catalogo MINSAL'!A:E,5,FALSE),""),""))</f>
        <v/>
      </c>
      <c r="K159" s="2"/>
      <c r="L159" s="2"/>
      <c r="M159" s="2"/>
      <c r="N159" s="2"/>
      <c r="O159" s="2"/>
      <c r="P159" s="2"/>
      <c r="Q159" s="24"/>
      <c r="R159" s="2" t="str">
        <f t="shared" si="14"/>
        <v/>
      </c>
      <c r="S159" s="2"/>
      <c r="T159" s="2"/>
      <c r="U159" s="10" t="str">
        <f t="shared" si="15"/>
        <v/>
      </c>
      <c r="V159" s="10" t="str">
        <f t="shared" si="16"/>
        <v/>
      </c>
      <c r="W159" s="15" t="str">
        <f t="shared" si="17"/>
        <v/>
      </c>
      <c r="X159" s="38" t="str">
        <f t="shared" si="18"/>
        <v/>
      </c>
      <c r="Y159" s="10" t="str">
        <f t="shared" si="19"/>
        <v/>
      </c>
      <c r="Z159" s="2" t="str">
        <f t="shared" si="20"/>
        <v/>
      </c>
      <c r="AA159" s="2"/>
      <c r="AB159" s="2"/>
    </row>
    <row r="160" spans="1:28" ht="16">
      <c r="A160" s="31"/>
      <c r="B160" s="32"/>
      <c r="C160" s="32"/>
      <c r="D160" s="32"/>
      <c r="E160" s="32"/>
      <c r="F160" s="33"/>
      <c r="G160" s="2"/>
      <c r="H160" s="2"/>
      <c r="I160" s="2"/>
      <c r="J160" s="35" t="str">
        <f>IF(H160&lt;&gt;"",IFERROR(VLOOKUP(IFERROR(LEFT(H160,FIND("-",H160)-1),H160),'Catalogo MINSAL'!A:E,5,FALSE),""),IF(I160&lt;&gt;"",IFERROR(VLOOKUP(IFERROR(LEFT(I160,FIND("-",I160)-1),I160),'Catalogo MINSAL'!A:E,5,FALSE),""),""))</f>
        <v/>
      </c>
      <c r="K160" s="2"/>
      <c r="L160" s="2"/>
      <c r="M160" s="2"/>
      <c r="N160" s="2"/>
      <c r="O160" s="2"/>
      <c r="P160" s="2"/>
      <c r="Q160" s="24"/>
      <c r="R160" s="2" t="str">
        <f t="shared" si="14"/>
        <v/>
      </c>
      <c r="S160" s="2"/>
      <c r="T160" s="2"/>
      <c r="U160" s="10" t="str">
        <f t="shared" si="15"/>
        <v/>
      </c>
      <c r="V160" s="10" t="str">
        <f t="shared" si="16"/>
        <v/>
      </c>
      <c r="W160" s="15" t="str">
        <f t="shared" si="17"/>
        <v/>
      </c>
      <c r="X160" s="38" t="str">
        <f t="shared" si="18"/>
        <v/>
      </c>
      <c r="Y160" s="10" t="str">
        <f t="shared" si="19"/>
        <v/>
      </c>
      <c r="Z160" s="2" t="str">
        <f t="shared" si="20"/>
        <v/>
      </c>
      <c r="AA160" s="2"/>
      <c r="AB160" s="2"/>
    </row>
    <row r="161" spans="1:28" ht="16">
      <c r="A161" s="31"/>
      <c r="B161" s="32"/>
      <c r="C161" s="32"/>
      <c r="D161" s="32"/>
      <c r="E161" s="32"/>
      <c r="F161" s="33"/>
      <c r="G161" s="2"/>
      <c r="H161" s="2"/>
      <c r="I161" s="2"/>
      <c r="J161" s="35" t="str">
        <f>IF(H161&lt;&gt;"",IFERROR(VLOOKUP(IFERROR(LEFT(H161,FIND("-",H161)-1),H161),'Catalogo MINSAL'!A:E,5,FALSE),""),IF(I161&lt;&gt;"",IFERROR(VLOOKUP(IFERROR(LEFT(I161,FIND("-",I161)-1),I161),'Catalogo MINSAL'!A:E,5,FALSE),""),""))</f>
        <v/>
      </c>
      <c r="K161" s="2"/>
      <c r="L161" s="2"/>
      <c r="M161" s="2"/>
      <c r="N161" s="2"/>
      <c r="O161" s="2"/>
      <c r="P161" s="2"/>
      <c r="Q161" s="24"/>
      <c r="R161" s="2" t="str">
        <f t="shared" si="14"/>
        <v/>
      </c>
      <c r="S161" s="2"/>
      <c r="T161" s="2"/>
      <c r="U161" s="10" t="str">
        <f t="shared" si="15"/>
        <v/>
      </c>
      <c r="V161" s="10" t="str">
        <f t="shared" si="16"/>
        <v/>
      </c>
      <c r="W161" s="15" t="str">
        <f t="shared" si="17"/>
        <v/>
      </c>
      <c r="X161" s="38" t="str">
        <f t="shared" si="18"/>
        <v/>
      </c>
      <c r="Y161" s="10" t="str">
        <f t="shared" si="19"/>
        <v/>
      </c>
      <c r="Z161" s="2" t="str">
        <f t="shared" si="20"/>
        <v/>
      </c>
      <c r="AA161" s="2"/>
      <c r="AB161" s="2"/>
    </row>
    <row r="162" spans="1:28" ht="16">
      <c r="A162" s="31"/>
      <c r="B162" s="32"/>
      <c r="C162" s="32"/>
      <c r="D162" s="32"/>
      <c r="E162" s="32"/>
      <c r="F162" s="33"/>
      <c r="G162" s="2"/>
      <c r="H162" s="2"/>
      <c r="I162" s="2"/>
      <c r="J162" s="35" t="str">
        <f>IF(H162&lt;&gt;"",IFERROR(VLOOKUP(IFERROR(LEFT(H162,FIND("-",H162)-1),H162),'Catalogo MINSAL'!A:E,5,FALSE),""),IF(I162&lt;&gt;"",IFERROR(VLOOKUP(IFERROR(LEFT(I162,FIND("-",I162)-1),I162),'Catalogo MINSAL'!A:E,5,FALSE),""),""))</f>
        <v/>
      </c>
      <c r="K162" s="2"/>
      <c r="L162" s="2"/>
      <c r="M162" s="2"/>
      <c r="N162" s="2"/>
      <c r="O162" s="2"/>
      <c r="P162" s="2"/>
      <c r="Q162" s="24"/>
      <c r="R162" s="2" t="str">
        <f t="shared" si="14"/>
        <v/>
      </c>
      <c r="S162" s="2"/>
      <c r="T162" s="2"/>
      <c r="U162" s="10" t="str">
        <f t="shared" si="15"/>
        <v/>
      </c>
      <c r="V162" s="10" t="str">
        <f t="shared" si="16"/>
        <v/>
      </c>
      <c r="W162" s="15" t="str">
        <f t="shared" si="17"/>
        <v/>
      </c>
      <c r="X162" s="38" t="str">
        <f t="shared" si="18"/>
        <v/>
      </c>
      <c r="Y162" s="10" t="str">
        <f t="shared" si="19"/>
        <v/>
      </c>
      <c r="Z162" s="2" t="str">
        <f t="shared" si="20"/>
        <v/>
      </c>
      <c r="AA162" s="2"/>
      <c r="AB162" s="2"/>
    </row>
    <row r="163" spans="1:28" ht="16">
      <c r="A163" s="31"/>
      <c r="B163" s="32"/>
      <c r="C163" s="32"/>
      <c r="D163" s="32"/>
      <c r="E163" s="32"/>
      <c r="F163" s="33"/>
      <c r="G163" s="2"/>
      <c r="H163" s="2"/>
      <c r="I163" s="2"/>
      <c r="J163" s="35" t="str">
        <f>IF(H163&lt;&gt;"",IFERROR(VLOOKUP(IFERROR(LEFT(H163,FIND("-",H163)-1),H163),'Catalogo MINSAL'!A:E,5,FALSE),""),IF(I163&lt;&gt;"",IFERROR(VLOOKUP(IFERROR(LEFT(I163,FIND("-",I163)-1),I163),'Catalogo MINSAL'!A:E,5,FALSE),""),""))</f>
        <v/>
      </c>
      <c r="K163" s="2"/>
      <c r="L163" s="2"/>
      <c r="M163" s="2"/>
      <c r="N163" s="2"/>
      <c r="O163" s="2"/>
      <c r="P163" s="2"/>
      <c r="Q163" s="24"/>
      <c r="R163" s="2" t="str">
        <f t="shared" si="14"/>
        <v/>
      </c>
      <c r="S163" s="2"/>
      <c r="T163" s="2"/>
      <c r="U163" s="10" t="str">
        <f t="shared" si="15"/>
        <v/>
      </c>
      <c r="V163" s="10" t="str">
        <f t="shared" si="16"/>
        <v/>
      </c>
      <c r="W163" s="15" t="str">
        <f t="shared" si="17"/>
        <v/>
      </c>
      <c r="X163" s="38" t="str">
        <f t="shared" si="18"/>
        <v/>
      </c>
      <c r="Y163" s="10" t="str">
        <f t="shared" si="19"/>
        <v/>
      </c>
      <c r="Z163" s="2" t="str">
        <f t="shared" si="20"/>
        <v/>
      </c>
      <c r="AA163" s="2"/>
      <c r="AB163" s="2"/>
    </row>
    <row r="164" spans="1:28" ht="16">
      <c r="A164" s="31"/>
      <c r="B164" s="32"/>
      <c r="C164" s="32"/>
      <c r="D164" s="32"/>
      <c r="E164" s="32"/>
      <c r="F164" s="33"/>
      <c r="G164" s="2"/>
      <c r="H164" s="2"/>
      <c r="I164" s="2"/>
      <c r="J164" s="35" t="str">
        <f>IF(H164&lt;&gt;"",IFERROR(VLOOKUP(IFERROR(LEFT(H164,FIND("-",H164)-1),H164),'Catalogo MINSAL'!A:E,5,FALSE),""),IF(I164&lt;&gt;"",IFERROR(VLOOKUP(IFERROR(LEFT(I164,FIND("-",I164)-1),I164),'Catalogo MINSAL'!A:E,5,FALSE),""),""))</f>
        <v/>
      </c>
      <c r="K164" s="2"/>
      <c r="L164" s="2"/>
      <c r="M164" s="2"/>
      <c r="N164" s="2"/>
      <c r="O164" s="2"/>
      <c r="P164" s="2"/>
      <c r="Q164" s="24"/>
      <c r="R164" s="2" t="str">
        <f t="shared" si="14"/>
        <v/>
      </c>
      <c r="S164" s="2"/>
      <c r="T164" s="2"/>
      <c r="U164" s="10" t="str">
        <f t="shared" si="15"/>
        <v/>
      </c>
      <c r="V164" s="10" t="str">
        <f t="shared" si="16"/>
        <v/>
      </c>
      <c r="W164" s="15" t="str">
        <f t="shared" si="17"/>
        <v/>
      </c>
      <c r="X164" s="38" t="str">
        <f t="shared" si="18"/>
        <v/>
      </c>
      <c r="Y164" s="10" t="str">
        <f t="shared" si="19"/>
        <v/>
      </c>
      <c r="Z164" s="2" t="str">
        <f t="shared" si="20"/>
        <v/>
      </c>
      <c r="AA164" s="2"/>
      <c r="AB164" s="2"/>
    </row>
    <row r="165" spans="1:28" ht="16">
      <c r="A165" s="31"/>
      <c r="B165" s="32"/>
      <c r="C165" s="32"/>
      <c r="D165" s="32"/>
      <c r="E165" s="32"/>
      <c r="F165" s="33"/>
      <c r="G165" s="2"/>
      <c r="H165" s="2"/>
      <c r="I165" s="2"/>
      <c r="J165" s="35" t="str">
        <f>IF(H165&lt;&gt;"",IFERROR(VLOOKUP(IFERROR(LEFT(H165,FIND("-",H165)-1),H165),'Catalogo MINSAL'!A:E,5,FALSE),""),IF(I165&lt;&gt;"",IFERROR(VLOOKUP(IFERROR(LEFT(I165,FIND("-",I165)-1),I165),'Catalogo MINSAL'!A:E,5,FALSE),""),""))</f>
        <v/>
      </c>
      <c r="K165" s="2"/>
      <c r="L165" s="2"/>
      <c r="M165" s="2"/>
      <c r="N165" s="2"/>
      <c r="O165" s="2"/>
      <c r="P165" s="2"/>
      <c r="Q165" s="24"/>
      <c r="R165" s="2" t="str">
        <f t="shared" si="14"/>
        <v/>
      </c>
      <c r="S165" s="2"/>
      <c r="T165" s="2"/>
      <c r="U165" s="10" t="str">
        <f t="shared" si="15"/>
        <v/>
      </c>
      <c r="V165" s="10" t="str">
        <f t="shared" si="16"/>
        <v/>
      </c>
      <c r="W165" s="15" t="str">
        <f t="shared" si="17"/>
        <v/>
      </c>
      <c r="X165" s="38" t="str">
        <f t="shared" si="18"/>
        <v/>
      </c>
      <c r="Y165" s="10" t="str">
        <f t="shared" si="19"/>
        <v/>
      </c>
      <c r="Z165" s="2" t="str">
        <f t="shared" si="20"/>
        <v/>
      </c>
      <c r="AA165" s="2"/>
      <c r="AB165" s="2"/>
    </row>
    <row r="166" spans="1:28" ht="16">
      <c r="A166" s="31"/>
      <c r="B166" s="32"/>
      <c r="C166" s="32"/>
      <c r="D166" s="32"/>
      <c r="E166" s="32"/>
      <c r="F166" s="33"/>
      <c r="G166" s="2"/>
      <c r="H166" s="2"/>
      <c r="I166" s="2"/>
      <c r="J166" s="35" t="str">
        <f>IF(H166&lt;&gt;"",IFERROR(VLOOKUP(IFERROR(LEFT(H166,FIND("-",H166)-1),H166),'Catalogo MINSAL'!A:E,5,FALSE),""),IF(I166&lt;&gt;"",IFERROR(VLOOKUP(IFERROR(LEFT(I166,FIND("-",I166)-1),I166),'Catalogo MINSAL'!A:E,5,FALSE),""),""))</f>
        <v/>
      </c>
      <c r="K166" s="2"/>
      <c r="L166" s="2"/>
      <c r="M166" s="2"/>
      <c r="N166" s="2"/>
      <c r="O166" s="2"/>
      <c r="P166" s="2"/>
      <c r="Q166" s="24"/>
      <c r="R166" s="2" t="str">
        <f t="shared" si="14"/>
        <v/>
      </c>
      <c r="S166" s="2"/>
      <c r="T166" s="2"/>
      <c r="U166" s="10" t="str">
        <f t="shared" si="15"/>
        <v/>
      </c>
      <c r="V166" s="10" t="str">
        <f t="shared" si="16"/>
        <v/>
      </c>
      <c r="W166" s="15" t="str">
        <f t="shared" si="17"/>
        <v/>
      </c>
      <c r="X166" s="38" t="str">
        <f t="shared" si="18"/>
        <v/>
      </c>
      <c r="Y166" s="10" t="str">
        <f t="shared" si="19"/>
        <v/>
      </c>
      <c r="Z166" s="2" t="str">
        <f t="shared" si="20"/>
        <v/>
      </c>
      <c r="AA166" s="2"/>
      <c r="AB166" s="2"/>
    </row>
    <row r="167" spans="1:28" ht="16">
      <c r="A167" s="31"/>
      <c r="B167" s="32"/>
      <c r="C167" s="32"/>
      <c r="D167" s="32"/>
      <c r="E167" s="32"/>
      <c r="F167" s="33"/>
      <c r="G167" s="2"/>
      <c r="H167" s="2"/>
      <c r="I167" s="2"/>
      <c r="J167" s="35" t="str">
        <f>IF(H167&lt;&gt;"",IFERROR(VLOOKUP(IFERROR(LEFT(H167,FIND("-",H167)-1),H167),'Catalogo MINSAL'!A:E,5,FALSE),""),IF(I167&lt;&gt;"",IFERROR(VLOOKUP(IFERROR(LEFT(I167,FIND("-",I167)-1),I167),'Catalogo MINSAL'!A:E,5,FALSE),""),""))</f>
        <v/>
      </c>
      <c r="K167" s="2"/>
      <c r="L167" s="2"/>
      <c r="M167" s="2"/>
      <c r="N167" s="2"/>
      <c r="O167" s="2"/>
      <c r="P167" s="2"/>
      <c r="Q167" s="24"/>
      <c r="R167" s="2" t="str">
        <f t="shared" si="14"/>
        <v/>
      </c>
      <c r="S167" s="2"/>
      <c r="T167" s="2"/>
      <c r="U167" s="10" t="str">
        <f t="shared" si="15"/>
        <v/>
      </c>
      <c r="V167" s="10" t="str">
        <f t="shared" si="16"/>
        <v/>
      </c>
      <c r="W167" s="15" t="str">
        <f t="shared" si="17"/>
        <v/>
      </c>
      <c r="X167" s="38" t="str">
        <f t="shared" si="18"/>
        <v/>
      </c>
      <c r="Y167" s="10" t="str">
        <f t="shared" si="19"/>
        <v/>
      </c>
      <c r="Z167" s="2" t="str">
        <f t="shared" si="20"/>
        <v/>
      </c>
      <c r="AA167" s="2"/>
      <c r="AB167" s="2"/>
    </row>
    <row r="168" spans="1:28" ht="16">
      <c r="A168" s="31"/>
      <c r="B168" s="32"/>
      <c r="C168" s="32"/>
      <c r="D168" s="32"/>
      <c r="E168" s="32"/>
      <c r="F168" s="33"/>
      <c r="G168" s="2"/>
      <c r="H168" s="2"/>
      <c r="I168" s="2"/>
      <c r="J168" s="35" t="str">
        <f>IF(H168&lt;&gt;"",IFERROR(VLOOKUP(IFERROR(LEFT(H168,FIND("-",H168)-1),H168),'Catalogo MINSAL'!A:E,5,FALSE),""),IF(I168&lt;&gt;"",IFERROR(VLOOKUP(IFERROR(LEFT(I168,FIND("-",I168)-1),I168),'Catalogo MINSAL'!A:E,5,FALSE),""),""))</f>
        <v/>
      </c>
      <c r="K168" s="2"/>
      <c r="L168" s="2"/>
      <c r="M168" s="2"/>
      <c r="N168" s="2"/>
      <c r="O168" s="2"/>
      <c r="P168" s="2"/>
      <c r="Q168" s="24"/>
      <c r="R168" s="2" t="str">
        <f t="shared" si="14"/>
        <v/>
      </c>
      <c r="S168" s="2"/>
      <c r="T168" s="2"/>
      <c r="U168" s="10" t="str">
        <f t="shared" si="15"/>
        <v/>
      </c>
      <c r="V168" s="10" t="str">
        <f t="shared" si="16"/>
        <v/>
      </c>
      <c r="W168" s="15" t="str">
        <f t="shared" si="17"/>
        <v/>
      </c>
      <c r="X168" s="38" t="str">
        <f t="shared" si="18"/>
        <v/>
      </c>
      <c r="Y168" s="10" t="str">
        <f t="shared" si="19"/>
        <v/>
      </c>
      <c r="Z168" s="2" t="str">
        <f t="shared" si="20"/>
        <v/>
      </c>
      <c r="AA168" s="2"/>
      <c r="AB168" s="2"/>
    </row>
    <row r="169" spans="1:28" ht="16">
      <c r="A169" s="31"/>
      <c r="B169" s="32"/>
      <c r="C169" s="32"/>
      <c r="D169" s="32"/>
      <c r="E169" s="32"/>
      <c r="F169" s="33"/>
      <c r="G169" s="2"/>
      <c r="H169" s="2"/>
      <c r="I169" s="2"/>
      <c r="J169" s="35" t="str">
        <f>IF(H169&lt;&gt;"",IFERROR(VLOOKUP(IFERROR(LEFT(H169,FIND("-",H169)-1),H169),'Catalogo MINSAL'!A:E,5,FALSE),""),IF(I169&lt;&gt;"",IFERROR(VLOOKUP(IFERROR(LEFT(I169,FIND("-",I169)-1),I169),'Catalogo MINSAL'!A:E,5,FALSE),""),""))</f>
        <v/>
      </c>
      <c r="K169" s="2"/>
      <c r="L169" s="2"/>
      <c r="M169" s="2"/>
      <c r="N169" s="2"/>
      <c r="O169" s="2"/>
      <c r="P169" s="2"/>
      <c r="Q169" s="24"/>
      <c r="R169" s="2" t="str">
        <f t="shared" si="14"/>
        <v/>
      </c>
      <c r="S169" s="2"/>
      <c r="T169" s="2"/>
      <c r="U169" s="10" t="str">
        <f t="shared" si="15"/>
        <v/>
      </c>
      <c r="V169" s="10" t="str">
        <f t="shared" si="16"/>
        <v/>
      </c>
      <c r="W169" s="15" t="str">
        <f t="shared" si="17"/>
        <v/>
      </c>
      <c r="X169" s="38" t="str">
        <f t="shared" si="18"/>
        <v/>
      </c>
      <c r="Y169" s="10" t="str">
        <f t="shared" si="19"/>
        <v/>
      </c>
      <c r="Z169" s="2" t="str">
        <f t="shared" si="20"/>
        <v/>
      </c>
      <c r="AA169" s="2"/>
      <c r="AB169" s="2"/>
    </row>
    <row r="170" spans="1:28" ht="16">
      <c r="A170" s="31"/>
      <c r="B170" s="32"/>
      <c r="C170" s="32"/>
      <c r="D170" s="32"/>
      <c r="E170" s="32"/>
      <c r="F170" s="33"/>
      <c r="G170" s="2"/>
      <c r="H170" s="2"/>
      <c r="I170" s="2"/>
      <c r="J170" s="35" t="str">
        <f>IF(H170&lt;&gt;"",IFERROR(VLOOKUP(IFERROR(LEFT(H170,FIND("-",H170)-1),H170),'Catalogo MINSAL'!A:E,5,FALSE),""),IF(I170&lt;&gt;"",IFERROR(VLOOKUP(IFERROR(LEFT(I170,FIND("-",I170)-1),I170),'Catalogo MINSAL'!A:E,5,FALSE),""),""))</f>
        <v/>
      </c>
      <c r="K170" s="2"/>
      <c r="L170" s="2"/>
      <c r="M170" s="2"/>
      <c r="N170" s="2"/>
      <c r="O170" s="2"/>
      <c r="P170" s="2"/>
      <c r="Q170" s="24"/>
      <c r="R170" s="2" t="str">
        <f t="shared" si="14"/>
        <v/>
      </c>
      <c r="S170" s="2"/>
      <c r="T170" s="2"/>
      <c r="U170" s="10" t="str">
        <f t="shared" si="15"/>
        <v/>
      </c>
      <c r="V170" s="10" t="str">
        <f t="shared" si="16"/>
        <v/>
      </c>
      <c r="W170" s="15" t="str">
        <f t="shared" si="17"/>
        <v/>
      </c>
      <c r="X170" s="38" t="str">
        <f t="shared" si="18"/>
        <v/>
      </c>
      <c r="Y170" s="10" t="str">
        <f t="shared" si="19"/>
        <v/>
      </c>
      <c r="Z170" s="2" t="str">
        <f t="shared" si="20"/>
        <v/>
      </c>
      <c r="AA170" s="2"/>
      <c r="AB170" s="2"/>
    </row>
    <row r="171" spans="1:28" ht="16">
      <c r="A171" s="31"/>
      <c r="B171" s="32"/>
      <c r="C171" s="32"/>
      <c r="D171" s="32"/>
      <c r="E171" s="32"/>
      <c r="F171" s="33"/>
      <c r="G171" s="2"/>
      <c r="H171" s="2"/>
      <c r="I171" s="2"/>
      <c r="J171" s="35" t="str">
        <f>IF(H171&lt;&gt;"",IFERROR(VLOOKUP(IFERROR(LEFT(H171,FIND("-",H171)-1),H171),'Catalogo MINSAL'!A:E,5,FALSE),""),IF(I171&lt;&gt;"",IFERROR(VLOOKUP(IFERROR(LEFT(I171,FIND("-",I171)-1),I171),'Catalogo MINSAL'!A:E,5,FALSE),""),""))</f>
        <v/>
      </c>
      <c r="K171" s="2"/>
      <c r="L171" s="2"/>
      <c r="M171" s="2"/>
      <c r="N171" s="2"/>
      <c r="O171" s="2"/>
      <c r="P171" s="2"/>
      <c r="Q171" s="24"/>
      <c r="R171" s="2" t="str">
        <f t="shared" si="14"/>
        <v/>
      </c>
      <c r="S171" s="2"/>
      <c r="T171" s="2"/>
      <c r="U171" s="10" t="str">
        <f t="shared" si="15"/>
        <v/>
      </c>
      <c r="V171" s="10" t="str">
        <f t="shared" si="16"/>
        <v/>
      </c>
      <c r="W171" s="15" t="str">
        <f t="shared" si="17"/>
        <v/>
      </c>
      <c r="X171" s="38" t="str">
        <f t="shared" si="18"/>
        <v/>
      </c>
      <c r="Y171" s="10" t="str">
        <f t="shared" si="19"/>
        <v/>
      </c>
      <c r="Z171" s="2" t="str">
        <f t="shared" si="20"/>
        <v/>
      </c>
      <c r="AA171" s="2"/>
      <c r="AB171" s="2"/>
    </row>
    <row r="172" spans="1:28" ht="16">
      <c r="A172" s="31"/>
      <c r="B172" s="32"/>
      <c r="C172" s="32"/>
      <c r="D172" s="32"/>
      <c r="E172" s="32"/>
      <c r="F172" s="33"/>
      <c r="G172" s="2"/>
      <c r="H172" s="2"/>
      <c r="I172" s="2"/>
      <c r="J172" s="35" t="str">
        <f>IF(H172&lt;&gt;"",IFERROR(VLOOKUP(IFERROR(LEFT(H172,FIND("-",H172)-1),H172),'Catalogo MINSAL'!A:E,5,FALSE),""),IF(I172&lt;&gt;"",IFERROR(VLOOKUP(IFERROR(LEFT(I172,FIND("-",I172)-1),I172),'Catalogo MINSAL'!A:E,5,FALSE),""),""))</f>
        <v/>
      </c>
      <c r="K172" s="2"/>
      <c r="L172" s="2"/>
      <c r="M172" s="2"/>
      <c r="N172" s="2"/>
      <c r="O172" s="2"/>
      <c r="P172" s="2"/>
      <c r="Q172" s="24"/>
      <c r="R172" s="2" t="str">
        <f t="shared" si="14"/>
        <v/>
      </c>
      <c r="S172" s="2"/>
      <c r="T172" s="2"/>
      <c r="U172" s="10" t="str">
        <f t="shared" si="15"/>
        <v/>
      </c>
      <c r="V172" s="10" t="str">
        <f t="shared" si="16"/>
        <v/>
      </c>
      <c r="W172" s="15" t="str">
        <f t="shared" si="17"/>
        <v/>
      </c>
      <c r="X172" s="38" t="str">
        <f t="shared" si="18"/>
        <v/>
      </c>
      <c r="Y172" s="10" t="str">
        <f t="shared" si="19"/>
        <v/>
      </c>
      <c r="Z172" s="2" t="str">
        <f t="shared" si="20"/>
        <v/>
      </c>
      <c r="AA172" s="2"/>
      <c r="AB172" s="2"/>
    </row>
    <row r="173" spans="1:28" ht="16">
      <c r="A173" s="31"/>
      <c r="B173" s="32"/>
      <c r="C173" s="32"/>
      <c r="D173" s="32"/>
      <c r="E173" s="32"/>
      <c r="F173" s="33"/>
      <c r="G173" s="2"/>
      <c r="H173" s="2"/>
      <c r="I173" s="2"/>
      <c r="J173" s="35" t="str">
        <f>IF(H173&lt;&gt;"",IFERROR(VLOOKUP(IFERROR(LEFT(H173,FIND("-",H173)-1),H173),'Catalogo MINSAL'!A:E,5,FALSE),""),IF(I173&lt;&gt;"",IFERROR(VLOOKUP(IFERROR(LEFT(I173,FIND("-",I173)-1),I173),'Catalogo MINSAL'!A:E,5,FALSE),""),""))</f>
        <v/>
      </c>
      <c r="K173" s="2"/>
      <c r="L173" s="2"/>
      <c r="M173" s="2"/>
      <c r="N173" s="2"/>
      <c r="O173" s="2"/>
      <c r="P173" s="2"/>
      <c r="Q173" s="24"/>
      <c r="R173" s="2" t="str">
        <f t="shared" si="14"/>
        <v/>
      </c>
      <c r="S173" s="2"/>
      <c r="T173" s="2"/>
      <c r="U173" s="10" t="str">
        <f t="shared" si="15"/>
        <v/>
      </c>
      <c r="V173" s="10" t="str">
        <f t="shared" si="16"/>
        <v/>
      </c>
      <c r="W173" s="15" t="str">
        <f t="shared" si="17"/>
        <v/>
      </c>
      <c r="X173" s="38" t="str">
        <f t="shared" si="18"/>
        <v/>
      </c>
      <c r="Y173" s="10" t="str">
        <f t="shared" si="19"/>
        <v/>
      </c>
      <c r="Z173" s="2" t="str">
        <f t="shared" si="20"/>
        <v/>
      </c>
      <c r="AA173" s="2"/>
      <c r="AB173" s="2"/>
    </row>
    <row r="174" spans="1:28" ht="16">
      <c r="A174" s="31"/>
      <c r="B174" s="32"/>
      <c r="C174" s="32"/>
      <c r="D174" s="32"/>
      <c r="E174" s="32"/>
      <c r="F174" s="33"/>
      <c r="G174" s="2"/>
      <c r="H174" s="2"/>
      <c r="I174" s="2"/>
      <c r="J174" s="35" t="str">
        <f>IF(H174&lt;&gt;"",IFERROR(VLOOKUP(IFERROR(LEFT(H174,FIND("-",H174)-1),H174),'Catalogo MINSAL'!A:E,5,FALSE),""),IF(I174&lt;&gt;"",IFERROR(VLOOKUP(IFERROR(LEFT(I174,FIND("-",I174)-1),I174),'Catalogo MINSAL'!A:E,5,FALSE),""),""))</f>
        <v/>
      </c>
      <c r="K174" s="2"/>
      <c r="L174" s="2"/>
      <c r="M174" s="2"/>
      <c r="N174" s="2"/>
      <c r="O174" s="2"/>
      <c r="P174" s="2"/>
      <c r="Q174" s="24"/>
      <c r="R174" s="2" t="str">
        <f t="shared" si="14"/>
        <v/>
      </c>
      <c r="S174" s="2"/>
      <c r="T174" s="2"/>
      <c r="U174" s="10" t="str">
        <f t="shared" si="15"/>
        <v/>
      </c>
      <c r="V174" s="10" t="str">
        <f t="shared" si="16"/>
        <v/>
      </c>
      <c r="W174" s="15" t="str">
        <f t="shared" si="17"/>
        <v/>
      </c>
      <c r="X174" s="38" t="str">
        <f t="shared" si="18"/>
        <v/>
      </c>
      <c r="Y174" s="10" t="str">
        <f t="shared" si="19"/>
        <v/>
      </c>
      <c r="Z174" s="2" t="str">
        <f t="shared" si="20"/>
        <v/>
      </c>
      <c r="AA174" s="2"/>
      <c r="AB174" s="2"/>
    </row>
    <row r="175" spans="1:28" ht="16">
      <c r="A175" s="31"/>
      <c r="B175" s="32"/>
      <c r="C175" s="32"/>
      <c r="D175" s="32"/>
      <c r="E175" s="32"/>
      <c r="F175" s="33"/>
      <c r="G175" s="2"/>
      <c r="H175" s="2"/>
      <c r="I175" s="2"/>
      <c r="J175" s="35" t="str">
        <f>IF(H175&lt;&gt;"",IFERROR(VLOOKUP(IFERROR(LEFT(H175,FIND("-",H175)-1),H175),'Catalogo MINSAL'!A:E,5,FALSE),""),IF(I175&lt;&gt;"",IFERROR(VLOOKUP(IFERROR(LEFT(I175,FIND("-",I175)-1),I175),'Catalogo MINSAL'!A:E,5,FALSE),""),""))</f>
        <v/>
      </c>
      <c r="K175" s="2"/>
      <c r="L175" s="2"/>
      <c r="M175" s="2"/>
      <c r="N175" s="2"/>
      <c r="O175" s="2"/>
      <c r="P175" s="2"/>
      <c r="Q175" s="24"/>
      <c r="R175" s="2" t="str">
        <f t="shared" si="14"/>
        <v/>
      </c>
      <c r="S175" s="2"/>
      <c r="T175" s="2"/>
      <c r="U175" s="10" t="str">
        <f t="shared" si="15"/>
        <v/>
      </c>
      <c r="V175" s="10" t="str">
        <f t="shared" si="16"/>
        <v/>
      </c>
      <c r="W175" s="15" t="str">
        <f t="shared" si="17"/>
        <v/>
      </c>
      <c r="X175" s="38" t="str">
        <f t="shared" si="18"/>
        <v/>
      </c>
      <c r="Y175" s="10" t="str">
        <f t="shared" si="19"/>
        <v/>
      </c>
      <c r="Z175" s="2" t="str">
        <f t="shared" si="20"/>
        <v/>
      </c>
      <c r="AA175" s="2"/>
      <c r="AB175" s="2"/>
    </row>
    <row r="176" spans="1:28" ht="16">
      <c r="A176" s="31"/>
      <c r="B176" s="32"/>
      <c r="C176" s="32"/>
      <c r="D176" s="32"/>
      <c r="E176" s="32"/>
      <c r="F176" s="33"/>
      <c r="G176" s="2"/>
      <c r="H176" s="2"/>
      <c r="I176" s="2"/>
      <c r="J176" s="35" t="str">
        <f>IF(H176&lt;&gt;"",IFERROR(VLOOKUP(IFERROR(LEFT(H176,FIND("-",H176)-1),H176),'Catalogo MINSAL'!A:E,5,FALSE),""),IF(I176&lt;&gt;"",IFERROR(VLOOKUP(IFERROR(LEFT(I176,FIND("-",I176)-1),I176),'Catalogo MINSAL'!A:E,5,FALSE),""),""))</f>
        <v/>
      </c>
      <c r="K176" s="2"/>
      <c r="L176" s="2"/>
      <c r="M176" s="2"/>
      <c r="N176" s="2"/>
      <c r="O176" s="2"/>
      <c r="P176" s="2"/>
      <c r="Q176" s="24"/>
      <c r="R176" s="2" t="str">
        <f t="shared" si="14"/>
        <v/>
      </c>
      <c r="S176" s="2"/>
      <c r="T176" s="2"/>
      <c r="U176" s="10" t="str">
        <f t="shared" si="15"/>
        <v/>
      </c>
      <c r="V176" s="10" t="str">
        <f t="shared" si="16"/>
        <v/>
      </c>
      <c r="W176" s="15" t="str">
        <f t="shared" si="17"/>
        <v/>
      </c>
      <c r="X176" s="38" t="str">
        <f t="shared" si="18"/>
        <v/>
      </c>
      <c r="Y176" s="10" t="str">
        <f t="shared" si="19"/>
        <v/>
      </c>
      <c r="Z176" s="2" t="str">
        <f t="shared" si="20"/>
        <v/>
      </c>
      <c r="AA176" s="2"/>
      <c r="AB176" s="2"/>
    </row>
    <row r="177" spans="1:28" ht="16">
      <c r="A177" s="31"/>
      <c r="B177" s="32"/>
      <c r="C177" s="32"/>
      <c r="D177" s="32"/>
      <c r="E177" s="32"/>
      <c r="F177" s="33"/>
      <c r="G177" s="2"/>
      <c r="H177" s="2"/>
      <c r="I177" s="2"/>
      <c r="J177" s="35" t="str">
        <f>IF(H177&lt;&gt;"",IFERROR(VLOOKUP(IFERROR(LEFT(H177,FIND("-",H177)-1),H177),'Catalogo MINSAL'!A:E,5,FALSE),""),IF(I177&lt;&gt;"",IFERROR(VLOOKUP(IFERROR(LEFT(I177,FIND("-",I177)-1),I177),'Catalogo MINSAL'!A:E,5,FALSE),""),""))</f>
        <v/>
      </c>
      <c r="K177" s="2"/>
      <c r="L177" s="2"/>
      <c r="M177" s="2"/>
      <c r="N177" s="2"/>
      <c r="O177" s="2"/>
      <c r="P177" s="2"/>
      <c r="Q177" s="24"/>
      <c r="R177" s="2" t="str">
        <f t="shared" si="14"/>
        <v/>
      </c>
      <c r="S177" s="2"/>
      <c r="T177" s="2"/>
      <c r="U177" s="10" t="str">
        <f t="shared" si="15"/>
        <v/>
      </c>
      <c r="V177" s="10" t="str">
        <f t="shared" si="16"/>
        <v/>
      </c>
      <c r="W177" s="15" t="str">
        <f t="shared" si="17"/>
        <v/>
      </c>
      <c r="X177" s="38" t="str">
        <f t="shared" si="18"/>
        <v/>
      </c>
      <c r="Y177" s="10" t="str">
        <f t="shared" si="19"/>
        <v/>
      </c>
      <c r="Z177" s="2" t="str">
        <f t="shared" si="20"/>
        <v/>
      </c>
      <c r="AA177" s="2"/>
      <c r="AB177" s="2"/>
    </row>
    <row r="178" spans="1:28" ht="16">
      <c r="A178" s="31"/>
      <c r="B178" s="32"/>
      <c r="C178" s="32"/>
      <c r="D178" s="32"/>
      <c r="E178" s="32"/>
      <c r="F178" s="33"/>
      <c r="G178" s="2"/>
      <c r="H178" s="2"/>
      <c r="I178" s="2"/>
      <c r="J178" s="35" t="str">
        <f>IF(H178&lt;&gt;"",IFERROR(VLOOKUP(IFERROR(LEFT(H178,FIND("-",H178)-1),H178),'Catalogo MINSAL'!A:E,5,FALSE),""),IF(I178&lt;&gt;"",IFERROR(VLOOKUP(IFERROR(LEFT(I178,FIND("-",I178)-1),I178),'Catalogo MINSAL'!A:E,5,FALSE),""),""))</f>
        <v/>
      </c>
      <c r="K178" s="2"/>
      <c r="L178" s="2"/>
      <c r="M178" s="2"/>
      <c r="N178" s="2"/>
      <c r="O178" s="2"/>
      <c r="P178" s="2"/>
      <c r="Q178" s="24"/>
      <c r="R178" s="2" t="str">
        <f t="shared" si="14"/>
        <v/>
      </c>
      <c r="S178" s="2"/>
      <c r="T178" s="2"/>
      <c r="U178" s="10" t="str">
        <f t="shared" si="15"/>
        <v/>
      </c>
      <c r="V178" s="10" t="str">
        <f t="shared" si="16"/>
        <v/>
      </c>
      <c r="W178" s="15" t="str">
        <f t="shared" si="17"/>
        <v/>
      </c>
      <c r="X178" s="38" t="str">
        <f t="shared" si="18"/>
        <v/>
      </c>
      <c r="Y178" s="10" t="str">
        <f t="shared" si="19"/>
        <v/>
      </c>
      <c r="Z178" s="2" t="str">
        <f t="shared" si="20"/>
        <v/>
      </c>
      <c r="AA178" s="2"/>
      <c r="AB178" s="2"/>
    </row>
    <row r="179" spans="1:28" ht="16">
      <c r="A179" s="31"/>
      <c r="B179" s="32"/>
      <c r="C179" s="32"/>
      <c r="D179" s="32"/>
      <c r="E179" s="32"/>
      <c r="F179" s="33"/>
      <c r="G179" s="2"/>
      <c r="H179" s="2"/>
      <c r="I179" s="2"/>
      <c r="J179" s="35" t="str">
        <f>IF(H179&lt;&gt;"",IFERROR(VLOOKUP(IFERROR(LEFT(H179,FIND("-",H179)-1),H179),'Catalogo MINSAL'!A:E,5,FALSE),""),IF(I179&lt;&gt;"",IFERROR(VLOOKUP(IFERROR(LEFT(I179,FIND("-",I179)-1),I179),'Catalogo MINSAL'!A:E,5,FALSE),""),""))</f>
        <v/>
      </c>
      <c r="K179" s="2"/>
      <c r="L179" s="2"/>
      <c r="M179" s="2"/>
      <c r="N179" s="2"/>
      <c r="O179" s="2"/>
      <c r="P179" s="2"/>
      <c r="Q179" s="24"/>
      <c r="R179" s="2" t="str">
        <f t="shared" si="14"/>
        <v/>
      </c>
      <c r="S179" s="2"/>
      <c r="T179" s="2"/>
      <c r="U179" s="10" t="str">
        <f t="shared" si="15"/>
        <v/>
      </c>
      <c r="V179" s="10" t="str">
        <f t="shared" si="16"/>
        <v/>
      </c>
      <c r="W179" s="15" t="str">
        <f t="shared" si="17"/>
        <v/>
      </c>
      <c r="X179" s="38" t="str">
        <f t="shared" si="18"/>
        <v/>
      </c>
      <c r="Y179" s="10" t="str">
        <f t="shared" si="19"/>
        <v/>
      </c>
      <c r="Z179" s="2" t="str">
        <f t="shared" si="20"/>
        <v/>
      </c>
      <c r="AA179" s="2"/>
      <c r="AB179" s="2"/>
    </row>
    <row r="180" spans="1:28" ht="16">
      <c r="A180" s="31"/>
      <c r="B180" s="32"/>
      <c r="C180" s="32"/>
      <c r="D180" s="32"/>
      <c r="E180" s="32"/>
      <c r="F180" s="33"/>
      <c r="G180" s="2"/>
      <c r="H180" s="2"/>
      <c r="I180" s="2"/>
      <c r="J180" s="35" t="str">
        <f>IF(H180&lt;&gt;"",IFERROR(VLOOKUP(IFERROR(LEFT(H180,FIND("-",H180)-1),H180),'Catalogo MINSAL'!A:E,5,FALSE),""),IF(I180&lt;&gt;"",IFERROR(VLOOKUP(IFERROR(LEFT(I180,FIND("-",I180)-1),I180),'Catalogo MINSAL'!A:E,5,FALSE),""),""))</f>
        <v/>
      </c>
      <c r="K180" s="2"/>
      <c r="L180" s="2"/>
      <c r="M180" s="2"/>
      <c r="N180" s="2"/>
      <c r="O180" s="2"/>
      <c r="P180" s="2"/>
      <c r="Q180" s="24"/>
      <c r="R180" s="2" t="str">
        <f t="shared" si="14"/>
        <v/>
      </c>
      <c r="S180" s="2"/>
      <c r="T180" s="2"/>
      <c r="U180" s="10" t="str">
        <f t="shared" si="15"/>
        <v/>
      </c>
      <c r="V180" s="10" t="str">
        <f t="shared" si="16"/>
        <v/>
      </c>
      <c r="W180" s="15" t="str">
        <f t="shared" si="17"/>
        <v/>
      </c>
      <c r="X180" s="38" t="str">
        <f t="shared" si="18"/>
        <v/>
      </c>
      <c r="Y180" s="10" t="str">
        <f t="shared" si="19"/>
        <v/>
      </c>
      <c r="Z180" s="2" t="str">
        <f t="shared" si="20"/>
        <v/>
      </c>
      <c r="AA180" s="2"/>
      <c r="AB180" s="2"/>
    </row>
    <row r="181" spans="1:28" ht="16">
      <c r="A181" s="31"/>
      <c r="B181" s="32"/>
      <c r="C181" s="32"/>
      <c r="D181" s="32"/>
      <c r="E181" s="32"/>
      <c r="F181" s="33"/>
      <c r="G181" s="2"/>
      <c r="H181" s="2"/>
      <c r="I181" s="2"/>
      <c r="J181" s="35" t="str">
        <f>IF(H181&lt;&gt;"",IFERROR(VLOOKUP(IFERROR(LEFT(H181,FIND("-",H181)-1),H181),'Catalogo MINSAL'!A:E,5,FALSE),""),IF(I181&lt;&gt;"",IFERROR(VLOOKUP(IFERROR(LEFT(I181,FIND("-",I181)-1),I181),'Catalogo MINSAL'!A:E,5,FALSE),""),""))</f>
        <v/>
      </c>
      <c r="K181" s="2"/>
      <c r="L181" s="2"/>
      <c r="M181" s="2"/>
      <c r="N181" s="2"/>
      <c r="O181" s="2"/>
      <c r="P181" s="2"/>
      <c r="Q181" s="24"/>
      <c r="R181" s="2" t="str">
        <f t="shared" si="14"/>
        <v/>
      </c>
      <c r="S181" s="2"/>
      <c r="T181" s="2"/>
      <c r="U181" s="10" t="str">
        <f t="shared" si="15"/>
        <v/>
      </c>
      <c r="V181" s="10" t="str">
        <f t="shared" si="16"/>
        <v/>
      </c>
      <c r="W181" s="15" t="str">
        <f t="shared" si="17"/>
        <v/>
      </c>
      <c r="X181" s="38" t="str">
        <f t="shared" si="18"/>
        <v/>
      </c>
      <c r="Y181" s="10" t="str">
        <f t="shared" si="19"/>
        <v/>
      </c>
      <c r="Z181" s="2" t="str">
        <f t="shared" si="20"/>
        <v/>
      </c>
      <c r="AA181" s="2"/>
      <c r="AB181" s="2"/>
    </row>
    <row r="182" spans="1:28" ht="16">
      <c r="A182" s="31"/>
      <c r="B182" s="32"/>
      <c r="C182" s="32"/>
      <c r="D182" s="32"/>
      <c r="E182" s="32"/>
      <c r="F182" s="33"/>
      <c r="G182" s="2"/>
      <c r="H182" s="2"/>
      <c r="I182" s="2"/>
      <c r="J182" s="35" t="str">
        <f>IF(H182&lt;&gt;"",IFERROR(VLOOKUP(IFERROR(LEFT(H182,FIND("-",H182)-1),H182),'Catalogo MINSAL'!A:E,5,FALSE),""),IF(I182&lt;&gt;"",IFERROR(VLOOKUP(IFERROR(LEFT(I182,FIND("-",I182)-1),I182),'Catalogo MINSAL'!A:E,5,FALSE),""),""))</f>
        <v/>
      </c>
      <c r="K182" s="2"/>
      <c r="L182" s="2"/>
      <c r="M182" s="2"/>
      <c r="N182" s="2"/>
      <c r="O182" s="2"/>
      <c r="P182" s="2"/>
      <c r="Q182" s="24"/>
      <c r="R182" s="2" t="str">
        <f t="shared" si="14"/>
        <v/>
      </c>
      <c r="S182" s="2"/>
      <c r="T182" s="2"/>
      <c r="U182" s="10" t="str">
        <f t="shared" si="15"/>
        <v/>
      </c>
      <c r="V182" s="10" t="str">
        <f t="shared" si="16"/>
        <v/>
      </c>
      <c r="W182" s="15" t="str">
        <f t="shared" si="17"/>
        <v/>
      </c>
      <c r="X182" s="38" t="str">
        <f t="shared" si="18"/>
        <v/>
      </c>
      <c r="Y182" s="10" t="str">
        <f t="shared" si="19"/>
        <v/>
      </c>
      <c r="Z182" s="2" t="str">
        <f t="shared" si="20"/>
        <v/>
      </c>
      <c r="AA182" s="2"/>
      <c r="AB182" s="2"/>
    </row>
    <row r="183" spans="1:28" ht="16">
      <c r="A183" s="31"/>
      <c r="B183" s="32"/>
      <c r="C183" s="32"/>
      <c r="D183" s="32"/>
      <c r="E183" s="32"/>
      <c r="F183" s="33"/>
      <c r="G183" s="2"/>
      <c r="H183" s="2"/>
      <c r="I183" s="2"/>
      <c r="J183" s="35" t="str">
        <f>IF(H183&lt;&gt;"",IFERROR(VLOOKUP(IFERROR(LEFT(H183,FIND("-",H183)-1),H183),'Catalogo MINSAL'!A:E,5,FALSE),""),IF(I183&lt;&gt;"",IFERROR(VLOOKUP(IFERROR(LEFT(I183,FIND("-",I183)-1),I183),'Catalogo MINSAL'!A:E,5,FALSE),""),""))</f>
        <v/>
      </c>
      <c r="K183" s="2"/>
      <c r="L183" s="2"/>
      <c r="M183" s="2"/>
      <c r="N183" s="2"/>
      <c r="O183" s="2"/>
      <c r="P183" s="2"/>
      <c r="Q183" s="24"/>
      <c r="R183" s="2" t="str">
        <f t="shared" si="14"/>
        <v/>
      </c>
      <c r="S183" s="2"/>
      <c r="T183" s="2"/>
      <c r="U183" s="10" t="str">
        <f t="shared" si="15"/>
        <v/>
      </c>
      <c r="V183" s="10" t="str">
        <f t="shared" si="16"/>
        <v/>
      </c>
      <c r="W183" s="15" t="str">
        <f t="shared" si="17"/>
        <v/>
      </c>
      <c r="X183" s="38" t="str">
        <f t="shared" si="18"/>
        <v/>
      </c>
      <c r="Y183" s="10" t="str">
        <f t="shared" si="19"/>
        <v/>
      </c>
      <c r="Z183" s="2" t="str">
        <f t="shared" si="20"/>
        <v/>
      </c>
      <c r="AA183" s="2"/>
      <c r="AB183" s="2"/>
    </row>
    <row r="184" spans="1:28" ht="16">
      <c r="A184" s="31"/>
      <c r="B184" s="32"/>
      <c r="C184" s="32"/>
      <c r="D184" s="32"/>
      <c r="E184" s="32"/>
      <c r="F184" s="33"/>
      <c r="G184" s="2"/>
      <c r="H184" s="2"/>
      <c r="I184" s="2"/>
      <c r="J184" s="35" t="str">
        <f>IF(H184&lt;&gt;"",IFERROR(VLOOKUP(IFERROR(LEFT(H184,FIND("-",H184)-1),H184),'Catalogo MINSAL'!A:E,5,FALSE),""),IF(I184&lt;&gt;"",IFERROR(VLOOKUP(IFERROR(LEFT(I184,FIND("-",I184)-1),I184),'Catalogo MINSAL'!A:E,5,FALSE),""),""))</f>
        <v/>
      </c>
      <c r="K184" s="2"/>
      <c r="L184" s="2"/>
      <c r="M184" s="2"/>
      <c r="N184" s="2"/>
      <c r="O184" s="2"/>
      <c r="P184" s="2"/>
      <c r="Q184" s="24"/>
      <c r="R184" s="2" t="str">
        <f t="shared" si="14"/>
        <v/>
      </c>
      <c r="S184" s="2"/>
      <c r="T184" s="2"/>
      <c r="U184" s="10" t="str">
        <f t="shared" si="15"/>
        <v/>
      </c>
      <c r="V184" s="10" t="str">
        <f t="shared" si="16"/>
        <v/>
      </c>
      <c r="W184" s="15" t="str">
        <f t="shared" si="17"/>
        <v/>
      </c>
      <c r="X184" s="38" t="str">
        <f t="shared" si="18"/>
        <v/>
      </c>
      <c r="Y184" s="10" t="str">
        <f t="shared" si="19"/>
        <v/>
      </c>
      <c r="Z184" s="2" t="str">
        <f t="shared" si="20"/>
        <v/>
      </c>
      <c r="AA184" s="2"/>
      <c r="AB184" s="2"/>
    </row>
    <row r="185" spans="1:28" ht="16">
      <c r="A185" s="31"/>
      <c r="B185" s="32"/>
      <c r="C185" s="32"/>
      <c r="D185" s="32"/>
      <c r="E185" s="32"/>
      <c r="F185" s="33"/>
      <c r="G185" s="2"/>
      <c r="H185" s="2"/>
      <c r="I185" s="2"/>
      <c r="J185" s="35" t="str">
        <f>IF(H185&lt;&gt;"",IFERROR(VLOOKUP(IFERROR(LEFT(H185,FIND("-",H185)-1),H185),'Catalogo MINSAL'!A:E,5,FALSE),""),IF(I185&lt;&gt;"",IFERROR(VLOOKUP(IFERROR(LEFT(I185,FIND("-",I185)-1),I185),'Catalogo MINSAL'!A:E,5,FALSE),""),""))</f>
        <v/>
      </c>
      <c r="K185" s="2"/>
      <c r="L185" s="2"/>
      <c r="M185" s="2"/>
      <c r="N185" s="2"/>
      <c r="O185" s="2"/>
      <c r="P185" s="2"/>
      <c r="Q185" s="24"/>
      <c r="R185" s="2" t="str">
        <f t="shared" si="14"/>
        <v/>
      </c>
      <c r="S185" s="2"/>
      <c r="T185" s="2"/>
      <c r="U185" s="10" t="str">
        <f t="shared" si="15"/>
        <v/>
      </c>
      <c r="V185" s="10" t="str">
        <f t="shared" si="16"/>
        <v/>
      </c>
      <c r="W185" s="15" t="str">
        <f t="shared" si="17"/>
        <v/>
      </c>
      <c r="X185" s="38" t="str">
        <f t="shared" si="18"/>
        <v/>
      </c>
      <c r="Y185" s="10" t="str">
        <f t="shared" si="19"/>
        <v/>
      </c>
      <c r="Z185" s="2" t="str">
        <f t="shared" si="20"/>
        <v/>
      </c>
      <c r="AA185" s="2"/>
      <c r="AB185" s="2"/>
    </row>
    <row r="186" spans="1:28" ht="16">
      <c r="A186" s="31"/>
      <c r="B186" s="32"/>
      <c r="C186" s="32"/>
      <c r="D186" s="32"/>
      <c r="E186" s="32"/>
      <c r="F186" s="33"/>
      <c r="G186" s="2"/>
      <c r="H186" s="2"/>
      <c r="I186" s="2"/>
      <c r="J186" s="35" t="str">
        <f>IF(H186&lt;&gt;"",IFERROR(VLOOKUP(IFERROR(LEFT(H186,FIND("-",H186)-1),H186),'Catalogo MINSAL'!A:E,5,FALSE),""),IF(I186&lt;&gt;"",IFERROR(VLOOKUP(IFERROR(LEFT(I186,FIND("-",I186)-1),I186),'Catalogo MINSAL'!A:E,5,FALSE),""),""))</f>
        <v/>
      </c>
      <c r="K186" s="2"/>
      <c r="L186" s="2"/>
      <c r="M186" s="2"/>
      <c r="N186" s="2"/>
      <c r="O186" s="2"/>
      <c r="P186" s="2"/>
      <c r="Q186" s="24"/>
      <c r="R186" s="2" t="str">
        <f t="shared" si="14"/>
        <v/>
      </c>
      <c r="S186" s="2"/>
      <c r="T186" s="2"/>
      <c r="U186" s="10" t="str">
        <f t="shared" si="15"/>
        <v/>
      </c>
      <c r="V186" s="10" t="str">
        <f t="shared" si="16"/>
        <v/>
      </c>
      <c r="W186" s="15" t="str">
        <f t="shared" si="17"/>
        <v/>
      </c>
      <c r="X186" s="38" t="str">
        <f t="shared" si="18"/>
        <v/>
      </c>
      <c r="Y186" s="10" t="str">
        <f t="shared" si="19"/>
        <v/>
      </c>
      <c r="Z186" s="2" t="str">
        <f t="shared" si="20"/>
        <v/>
      </c>
      <c r="AA186" s="2"/>
      <c r="AB186" s="2"/>
    </row>
    <row r="187" spans="1:28" ht="16">
      <c r="A187" s="31"/>
      <c r="B187" s="32"/>
      <c r="C187" s="32"/>
      <c r="D187" s="32"/>
      <c r="E187" s="32"/>
      <c r="F187" s="33"/>
      <c r="G187" s="2"/>
      <c r="H187" s="2"/>
      <c r="I187" s="2"/>
      <c r="J187" s="35" t="str">
        <f>IF(H187&lt;&gt;"",IFERROR(VLOOKUP(IFERROR(LEFT(H187,FIND("-",H187)-1),H187),'Catalogo MINSAL'!A:E,5,FALSE),""),IF(I187&lt;&gt;"",IFERROR(VLOOKUP(IFERROR(LEFT(I187,FIND("-",I187)-1),I187),'Catalogo MINSAL'!A:E,5,FALSE),""),""))</f>
        <v/>
      </c>
      <c r="K187" s="2"/>
      <c r="L187" s="2"/>
      <c r="M187" s="2"/>
      <c r="N187" s="2"/>
      <c r="O187" s="2"/>
      <c r="P187" s="2"/>
      <c r="Q187" s="24"/>
      <c r="R187" s="2" t="str">
        <f t="shared" si="14"/>
        <v/>
      </c>
      <c r="S187" s="2"/>
      <c r="T187" s="2"/>
      <c r="U187" s="10" t="str">
        <f t="shared" si="15"/>
        <v/>
      </c>
      <c r="V187" s="10" t="str">
        <f t="shared" si="16"/>
        <v/>
      </c>
      <c r="W187" s="15" t="str">
        <f t="shared" si="17"/>
        <v/>
      </c>
      <c r="X187" s="38" t="str">
        <f t="shared" si="18"/>
        <v/>
      </c>
      <c r="Y187" s="10" t="str">
        <f t="shared" si="19"/>
        <v/>
      </c>
      <c r="Z187" s="2" t="str">
        <f t="shared" si="20"/>
        <v/>
      </c>
      <c r="AA187" s="2"/>
      <c r="AB187" s="2"/>
    </row>
    <row r="188" spans="1:28" ht="16">
      <c r="A188" s="31"/>
      <c r="B188" s="32"/>
      <c r="C188" s="32"/>
      <c r="D188" s="32"/>
      <c r="E188" s="32"/>
      <c r="F188" s="33"/>
      <c r="G188" s="2"/>
      <c r="H188" s="2"/>
      <c r="I188" s="2"/>
      <c r="J188" s="35" t="str">
        <f>IF(H188&lt;&gt;"",IFERROR(VLOOKUP(IFERROR(LEFT(H188,FIND("-",H188)-1),H188),'Catalogo MINSAL'!A:E,5,FALSE),""),IF(I188&lt;&gt;"",IFERROR(VLOOKUP(IFERROR(LEFT(I188,FIND("-",I188)-1),I188),'Catalogo MINSAL'!A:E,5,FALSE),""),""))</f>
        <v/>
      </c>
      <c r="K188" s="2"/>
      <c r="L188" s="2"/>
      <c r="M188" s="2"/>
      <c r="N188" s="2"/>
      <c r="O188" s="2"/>
      <c r="P188" s="2"/>
      <c r="Q188" s="24"/>
      <c r="R188" s="2" t="str">
        <f t="shared" si="14"/>
        <v/>
      </c>
      <c r="S188" s="2"/>
      <c r="T188" s="2"/>
      <c r="U188" s="10" t="str">
        <f t="shared" si="15"/>
        <v/>
      </c>
      <c r="V188" s="10" t="str">
        <f t="shared" si="16"/>
        <v/>
      </c>
      <c r="W188" s="15" t="str">
        <f t="shared" si="17"/>
        <v/>
      </c>
      <c r="X188" s="38" t="str">
        <f t="shared" si="18"/>
        <v/>
      </c>
      <c r="Y188" s="10" t="str">
        <f t="shared" si="19"/>
        <v/>
      </c>
      <c r="Z188" s="2" t="str">
        <f t="shared" si="20"/>
        <v/>
      </c>
      <c r="AA188" s="2"/>
      <c r="AB188" s="2"/>
    </row>
    <row r="189" spans="1:28" ht="16">
      <c r="A189" s="31"/>
      <c r="B189" s="32"/>
      <c r="C189" s="32"/>
      <c r="D189" s="32"/>
      <c r="E189" s="32"/>
      <c r="F189" s="33"/>
      <c r="G189" s="2"/>
      <c r="H189" s="2"/>
      <c r="I189" s="2"/>
      <c r="J189" s="35" t="str">
        <f>IF(H189&lt;&gt;"",IFERROR(VLOOKUP(IFERROR(LEFT(H189,FIND("-",H189)-1),H189),'Catalogo MINSAL'!A:E,5,FALSE),""),IF(I189&lt;&gt;"",IFERROR(VLOOKUP(IFERROR(LEFT(I189,FIND("-",I189)-1),I189),'Catalogo MINSAL'!A:E,5,FALSE),""),""))</f>
        <v/>
      </c>
      <c r="K189" s="2"/>
      <c r="L189" s="2"/>
      <c r="M189" s="2"/>
      <c r="N189" s="2"/>
      <c r="O189" s="2"/>
      <c r="P189" s="2"/>
      <c r="Q189" s="24"/>
      <c r="R189" s="2" t="str">
        <f t="shared" si="14"/>
        <v/>
      </c>
      <c r="S189" s="2"/>
      <c r="T189" s="2"/>
      <c r="U189" s="10" t="str">
        <f t="shared" si="15"/>
        <v/>
      </c>
      <c r="V189" s="10" t="str">
        <f t="shared" si="16"/>
        <v/>
      </c>
      <c r="W189" s="15" t="str">
        <f t="shared" si="17"/>
        <v/>
      </c>
      <c r="X189" s="38" t="str">
        <f t="shared" si="18"/>
        <v/>
      </c>
      <c r="Y189" s="10" t="str">
        <f t="shared" si="19"/>
        <v/>
      </c>
      <c r="Z189" s="2" t="str">
        <f t="shared" si="20"/>
        <v/>
      </c>
      <c r="AA189" s="2"/>
      <c r="AB189" s="2"/>
    </row>
    <row r="190" spans="1:28" ht="16">
      <c r="A190" s="31"/>
      <c r="B190" s="32"/>
      <c r="C190" s="32"/>
      <c r="D190" s="32"/>
      <c r="E190" s="32"/>
      <c r="F190" s="33"/>
      <c r="G190" s="2"/>
      <c r="H190" s="2"/>
      <c r="I190" s="2"/>
      <c r="J190" s="35" t="str">
        <f>IF(H190&lt;&gt;"",IFERROR(VLOOKUP(IFERROR(LEFT(H190,FIND("-",H190)-1),H190),'Catalogo MINSAL'!A:E,5,FALSE),""),IF(I190&lt;&gt;"",IFERROR(VLOOKUP(IFERROR(LEFT(I190,FIND("-",I190)-1),I190),'Catalogo MINSAL'!A:E,5,FALSE),""),""))</f>
        <v/>
      </c>
      <c r="K190" s="2"/>
      <c r="L190" s="2"/>
      <c r="M190" s="2"/>
      <c r="N190" s="2"/>
      <c r="O190" s="2"/>
      <c r="P190" s="2"/>
      <c r="Q190" s="24"/>
      <c r="R190" s="2" t="str">
        <f t="shared" si="14"/>
        <v/>
      </c>
      <c r="S190" s="2"/>
      <c r="T190" s="2"/>
      <c r="U190" s="10" t="str">
        <f t="shared" si="15"/>
        <v/>
      </c>
      <c r="V190" s="10" t="str">
        <f t="shared" si="16"/>
        <v/>
      </c>
      <c r="W190" s="15" t="str">
        <f t="shared" si="17"/>
        <v/>
      </c>
      <c r="X190" s="38" t="str">
        <f t="shared" si="18"/>
        <v/>
      </c>
      <c r="Y190" s="10" t="str">
        <f t="shared" si="19"/>
        <v/>
      </c>
      <c r="Z190" s="2" t="str">
        <f t="shared" si="20"/>
        <v/>
      </c>
      <c r="AA190" s="2"/>
      <c r="AB190" s="2"/>
    </row>
    <row r="191" spans="1:28" ht="16">
      <c r="A191" s="31"/>
      <c r="B191" s="32"/>
      <c r="C191" s="32"/>
      <c r="D191" s="32"/>
      <c r="E191" s="32"/>
      <c r="F191" s="33"/>
      <c r="G191" s="2"/>
      <c r="H191" s="2"/>
      <c r="I191" s="2"/>
      <c r="J191" s="35" t="str">
        <f>IF(H191&lt;&gt;"",IFERROR(VLOOKUP(IFERROR(LEFT(H191,FIND("-",H191)-1),H191),'Catalogo MINSAL'!A:E,5,FALSE),""),IF(I191&lt;&gt;"",IFERROR(VLOOKUP(IFERROR(LEFT(I191,FIND("-",I191)-1),I191),'Catalogo MINSAL'!A:E,5,FALSE),""),""))</f>
        <v/>
      </c>
      <c r="K191" s="2"/>
      <c r="L191" s="2"/>
      <c r="M191" s="2"/>
      <c r="N191" s="2"/>
      <c r="O191" s="2"/>
      <c r="P191" s="2"/>
      <c r="Q191" s="24"/>
      <c r="R191" s="2" t="str">
        <f t="shared" si="14"/>
        <v/>
      </c>
      <c r="S191" s="2"/>
      <c r="T191" s="2"/>
      <c r="U191" s="10" t="str">
        <f t="shared" si="15"/>
        <v/>
      </c>
      <c r="V191" s="10" t="str">
        <f t="shared" si="16"/>
        <v/>
      </c>
      <c r="W191" s="15" t="str">
        <f t="shared" si="17"/>
        <v/>
      </c>
      <c r="X191" s="38" t="str">
        <f t="shared" si="18"/>
        <v/>
      </c>
      <c r="Y191" s="10" t="str">
        <f t="shared" si="19"/>
        <v/>
      </c>
      <c r="Z191" s="2" t="str">
        <f t="shared" si="20"/>
        <v/>
      </c>
      <c r="AA191" s="2"/>
      <c r="AB191" s="2"/>
    </row>
    <row r="192" spans="1:28" ht="16">
      <c r="A192" s="31"/>
      <c r="B192" s="32"/>
      <c r="C192" s="32"/>
      <c r="D192" s="32"/>
      <c r="E192" s="32"/>
      <c r="F192" s="33"/>
      <c r="G192" s="2"/>
      <c r="H192" s="2"/>
      <c r="I192" s="2"/>
      <c r="J192" s="35" t="str">
        <f>IF(H192&lt;&gt;"",IFERROR(VLOOKUP(IFERROR(LEFT(H192,FIND("-",H192)-1),H192),'Catalogo MINSAL'!A:E,5,FALSE),""),IF(I192&lt;&gt;"",IFERROR(VLOOKUP(IFERROR(LEFT(I192,FIND("-",I192)-1),I192),'Catalogo MINSAL'!A:E,5,FALSE),""),""))</f>
        <v/>
      </c>
      <c r="K192" s="2"/>
      <c r="L192" s="2"/>
      <c r="M192" s="2"/>
      <c r="N192" s="2"/>
      <c r="O192" s="2"/>
      <c r="P192" s="2"/>
      <c r="Q192" s="24"/>
      <c r="R192" s="2" t="str">
        <f t="shared" si="14"/>
        <v/>
      </c>
      <c r="S192" s="2"/>
      <c r="T192" s="2"/>
      <c r="U192" s="10" t="str">
        <f t="shared" si="15"/>
        <v/>
      </c>
      <c r="V192" s="10" t="str">
        <f t="shared" si="16"/>
        <v/>
      </c>
      <c r="W192" s="15" t="str">
        <f t="shared" si="17"/>
        <v/>
      </c>
      <c r="X192" s="38" t="str">
        <f t="shared" si="18"/>
        <v/>
      </c>
      <c r="Y192" s="10" t="str">
        <f t="shared" si="19"/>
        <v/>
      </c>
      <c r="Z192" s="2" t="str">
        <f t="shared" si="20"/>
        <v/>
      </c>
      <c r="AA192" s="2"/>
      <c r="AB192" s="2"/>
    </row>
    <row r="193" spans="1:28" ht="16">
      <c r="A193" s="31"/>
      <c r="B193" s="32"/>
      <c r="C193" s="32"/>
      <c r="D193" s="32"/>
      <c r="E193" s="32"/>
      <c r="F193" s="33"/>
      <c r="G193" s="2"/>
      <c r="H193" s="2"/>
      <c r="I193" s="2"/>
      <c r="J193" s="35" t="str">
        <f>IF(H193&lt;&gt;"",IFERROR(VLOOKUP(IFERROR(LEFT(H193,FIND("-",H193)-1),H193),'Catalogo MINSAL'!A:E,5,FALSE),""),IF(I193&lt;&gt;"",IFERROR(VLOOKUP(IFERROR(LEFT(I193,FIND("-",I193)-1),I193),'Catalogo MINSAL'!A:E,5,FALSE),""),""))</f>
        <v/>
      </c>
      <c r="K193" s="2"/>
      <c r="L193" s="2"/>
      <c r="M193" s="2"/>
      <c r="N193" s="2"/>
      <c r="O193" s="2"/>
      <c r="P193" s="2"/>
      <c r="Q193" s="24"/>
      <c r="R193" s="2" t="str">
        <f t="shared" si="14"/>
        <v/>
      </c>
      <c r="S193" s="2"/>
      <c r="T193" s="2"/>
      <c r="U193" s="10" t="str">
        <f t="shared" si="15"/>
        <v/>
      </c>
      <c r="V193" s="10" t="str">
        <f t="shared" si="16"/>
        <v/>
      </c>
      <c r="W193" s="15" t="str">
        <f t="shared" si="17"/>
        <v/>
      </c>
      <c r="X193" s="38" t="str">
        <f t="shared" si="18"/>
        <v/>
      </c>
      <c r="Y193" s="10" t="str">
        <f t="shared" si="19"/>
        <v/>
      </c>
      <c r="Z193" s="2" t="str">
        <f t="shared" si="20"/>
        <v/>
      </c>
      <c r="AA193" s="2"/>
      <c r="AB193" s="2"/>
    </row>
    <row r="194" spans="1:28" ht="16">
      <c r="A194" s="31"/>
      <c r="B194" s="32"/>
      <c r="C194" s="32"/>
      <c r="D194" s="32"/>
      <c r="E194" s="32"/>
      <c r="F194" s="33"/>
      <c r="G194" s="2"/>
      <c r="H194" s="2"/>
      <c r="I194" s="2"/>
      <c r="J194" s="35" t="str">
        <f>IF(H194&lt;&gt;"",IFERROR(VLOOKUP(IFERROR(LEFT(H194,FIND("-",H194)-1),H194),'Catalogo MINSAL'!A:E,5,FALSE),""),IF(I194&lt;&gt;"",IFERROR(VLOOKUP(IFERROR(LEFT(I194,FIND("-",I194)-1),I194),'Catalogo MINSAL'!A:E,5,FALSE),""),""))</f>
        <v/>
      </c>
      <c r="K194" s="2"/>
      <c r="L194" s="2"/>
      <c r="M194" s="2"/>
      <c r="N194" s="2"/>
      <c r="O194" s="2"/>
      <c r="P194" s="2"/>
      <c r="Q194" s="24"/>
      <c r="R194" s="2" t="str">
        <f t="shared" si="14"/>
        <v/>
      </c>
      <c r="S194" s="2"/>
      <c r="T194" s="2"/>
      <c r="U194" s="10" t="str">
        <f t="shared" si="15"/>
        <v/>
      </c>
      <c r="V194" s="10" t="str">
        <f t="shared" si="16"/>
        <v/>
      </c>
      <c r="W194" s="15" t="str">
        <f t="shared" si="17"/>
        <v/>
      </c>
      <c r="X194" s="38" t="str">
        <f t="shared" si="18"/>
        <v/>
      </c>
      <c r="Y194" s="10" t="str">
        <f t="shared" si="19"/>
        <v/>
      </c>
      <c r="Z194" s="2" t="str">
        <f t="shared" si="20"/>
        <v/>
      </c>
      <c r="AA194" s="2"/>
      <c r="AB194" s="2"/>
    </row>
    <row r="195" spans="1:28" ht="16">
      <c r="A195" s="31"/>
      <c r="B195" s="32"/>
      <c r="C195" s="32"/>
      <c r="D195" s="32"/>
      <c r="E195" s="32"/>
      <c r="F195" s="33"/>
      <c r="G195" s="2"/>
      <c r="H195" s="2"/>
      <c r="I195" s="2"/>
      <c r="J195" s="35" t="str">
        <f>IF(H195&lt;&gt;"",IFERROR(VLOOKUP(IFERROR(LEFT(H195,FIND("-",H195)-1),H195),'Catalogo MINSAL'!A:E,5,FALSE),""),IF(I195&lt;&gt;"",IFERROR(VLOOKUP(IFERROR(LEFT(I195,FIND("-",I195)-1),I195),'Catalogo MINSAL'!A:E,5,FALSE),""),""))</f>
        <v/>
      </c>
      <c r="K195" s="2"/>
      <c r="L195" s="2"/>
      <c r="M195" s="2"/>
      <c r="N195" s="2"/>
      <c r="O195" s="2"/>
      <c r="P195" s="2"/>
      <c r="Q195" s="24"/>
      <c r="R195" s="2" t="str">
        <f t="shared" si="14"/>
        <v/>
      </c>
      <c r="S195" s="2"/>
      <c r="T195" s="2"/>
      <c r="U195" s="10" t="str">
        <f t="shared" si="15"/>
        <v/>
      </c>
      <c r="V195" s="10" t="str">
        <f t="shared" si="16"/>
        <v/>
      </c>
      <c r="W195" s="15" t="str">
        <f t="shared" si="17"/>
        <v/>
      </c>
      <c r="X195" s="38" t="str">
        <f t="shared" si="18"/>
        <v/>
      </c>
      <c r="Y195" s="10" t="str">
        <f t="shared" si="19"/>
        <v/>
      </c>
      <c r="Z195" s="2" t="str">
        <f t="shared" si="20"/>
        <v/>
      </c>
      <c r="AA195" s="2"/>
      <c r="AB195" s="2"/>
    </row>
    <row r="196" spans="1:28" ht="16">
      <c r="A196" s="31"/>
      <c r="B196" s="32"/>
      <c r="C196" s="32"/>
      <c r="D196" s="32"/>
      <c r="E196" s="32"/>
      <c r="F196" s="33"/>
      <c r="G196" s="2"/>
      <c r="H196" s="2"/>
      <c r="I196" s="2"/>
      <c r="J196" s="35" t="str">
        <f>IF(H196&lt;&gt;"",IFERROR(VLOOKUP(IFERROR(LEFT(H196,FIND("-",H196)-1),H196),'Catalogo MINSAL'!A:E,5,FALSE),""),IF(I196&lt;&gt;"",IFERROR(VLOOKUP(IFERROR(LEFT(I196,FIND("-",I196)-1),I196),'Catalogo MINSAL'!A:E,5,FALSE),""),""))</f>
        <v/>
      </c>
      <c r="K196" s="2"/>
      <c r="L196" s="2"/>
      <c r="M196" s="2"/>
      <c r="N196" s="2"/>
      <c r="O196" s="2"/>
      <c r="P196" s="2"/>
      <c r="Q196" s="24"/>
      <c r="R196" s="2" t="str">
        <f t="shared" ref="R196:R259" si="21">IF(Q196="","",IF(IF(ISNUMBER(Q196),MOD(Q196,1),TIMEVALUE(Q196))&lt;=TIME(8,15,0),"Ingreso adecuado","Atraso"))</f>
        <v/>
      </c>
      <c r="S196" s="2"/>
      <c r="T196" s="2"/>
      <c r="U196" s="10" t="str">
        <f t="shared" ref="U196:U259" si="22">IFERROR(IF(OR(Q196="",R196=""),"",IF(TIMEVALUE(R196)&gt;=TIMEVALUE(Q196),(TIMEVALUE(R196)-TIMEVALUE(Q196))*1440,(TIMEVALUE(R196)+1-TIMEVALUE(Q196))*1440)),"")</f>
        <v/>
      </c>
      <c r="V196" s="10" t="str">
        <f t="shared" ref="V196:V259" si="23">IFERROR(IF(OR(Q196="",S196=""),"",IF(IF(ISNUMBER(S196),MOD(S196,1),TIMEVALUE(S196))&gt;=IF(ISNUMBER(Q196),MOD(Q196,1),TIMEVALUE(Q196)),(IF(ISNUMBER(S196),MOD(S196,1),TIMEVALUE(S196))-IF(ISNUMBER(Q196),MOD(Q196,1),TIMEVALUE(Q196)))*1440,(IF(ISNUMBER(S196),MOD(S196,1),TIMEVALUE(S196))+1-IF(ISNUMBER(Q196),MOD(Q196,1),TIMEVALUE(Q196)))*1440)),"")</f>
        <v/>
      </c>
      <c r="W196" s="15" t="str">
        <f t="shared" ref="W196:W259" si="24">IFERROR(IF(OR(S196="",T196=""),"",IF(IF(ISNUMBER(T196),MOD(T196,1),TIMEVALUE(T196))&gt;=IF(ISNUMBER(S196),MOD(S196,1),TIMEVALUE(S196)),(IF(ISNUMBER(T196),MOD(T196,1),TIMEVALUE(T196))-IF(ISNUMBER(S196),MOD(S196,1),TIMEVALUE(S196)))*1440,(IF(ISNUMBER(T196),MOD(T196,1),TIMEVALUE(T196))+1-IF(ISNUMBER(S196),MOD(S196,1),TIMEVALUE(S196)))*1440)),"")</f>
        <v/>
      </c>
      <c r="X196" s="38" t="str">
        <f t="shared" ref="X196:X259" si="25">IFERROR(IF(OR(V196="",W196=""),"",V196-W196),"")</f>
        <v/>
      </c>
      <c r="Y196" s="10" t="str">
        <f t="shared" ref="Y196:Y259" si="26">IFERROR(IF(OR(W196="",X196=""),"",W196-X196),"")</f>
        <v/>
      </c>
      <c r="Z196" s="2" t="str">
        <f t="shared" ref="Z196:Z259" si="27">IFERROR(IF(Y196="","",IF(Y196&gt;15,"Subestimacion",IF(Y196&lt;-15,"Sobrestimacion","Asertivo"))),"")</f>
        <v/>
      </c>
      <c r="AA196" s="2"/>
      <c r="AB196" s="2"/>
    </row>
    <row r="197" spans="1:28" ht="16">
      <c r="A197" s="31"/>
      <c r="B197" s="32"/>
      <c r="C197" s="32"/>
      <c r="D197" s="32"/>
      <c r="E197" s="32"/>
      <c r="F197" s="33"/>
      <c r="G197" s="2"/>
      <c r="H197" s="2"/>
      <c r="I197" s="2"/>
      <c r="J197" s="35" t="str">
        <f>IF(H197&lt;&gt;"",IFERROR(VLOOKUP(IFERROR(LEFT(H197,FIND("-",H197)-1),H197),'Catalogo MINSAL'!A:E,5,FALSE),""),IF(I197&lt;&gt;"",IFERROR(VLOOKUP(IFERROR(LEFT(I197,FIND("-",I197)-1),I197),'Catalogo MINSAL'!A:E,5,FALSE),""),""))</f>
        <v/>
      </c>
      <c r="K197" s="2"/>
      <c r="L197" s="2"/>
      <c r="M197" s="2"/>
      <c r="N197" s="2"/>
      <c r="O197" s="2"/>
      <c r="P197" s="2"/>
      <c r="Q197" s="24"/>
      <c r="R197" s="2" t="str">
        <f t="shared" si="21"/>
        <v/>
      </c>
      <c r="S197" s="2"/>
      <c r="T197" s="2"/>
      <c r="U197" s="10" t="str">
        <f t="shared" si="22"/>
        <v/>
      </c>
      <c r="V197" s="10" t="str">
        <f t="shared" si="23"/>
        <v/>
      </c>
      <c r="W197" s="15" t="str">
        <f t="shared" si="24"/>
        <v/>
      </c>
      <c r="X197" s="38" t="str">
        <f t="shared" si="25"/>
        <v/>
      </c>
      <c r="Y197" s="10" t="str">
        <f t="shared" si="26"/>
        <v/>
      </c>
      <c r="Z197" s="2" t="str">
        <f t="shared" si="27"/>
        <v/>
      </c>
      <c r="AA197" s="2"/>
      <c r="AB197" s="2"/>
    </row>
    <row r="198" spans="1:28" ht="16">
      <c r="A198" s="31"/>
      <c r="B198" s="32"/>
      <c r="C198" s="32"/>
      <c r="D198" s="32"/>
      <c r="E198" s="32"/>
      <c r="F198" s="33"/>
      <c r="G198" s="2"/>
      <c r="H198" s="2"/>
      <c r="I198" s="2"/>
      <c r="J198" s="35" t="str">
        <f>IF(H198&lt;&gt;"",IFERROR(VLOOKUP(IFERROR(LEFT(H198,FIND("-",H198)-1),H198),'Catalogo MINSAL'!A:E,5,FALSE),""),IF(I198&lt;&gt;"",IFERROR(VLOOKUP(IFERROR(LEFT(I198,FIND("-",I198)-1),I198),'Catalogo MINSAL'!A:E,5,FALSE),""),""))</f>
        <v/>
      </c>
      <c r="K198" s="2"/>
      <c r="L198" s="2"/>
      <c r="M198" s="2"/>
      <c r="N198" s="2"/>
      <c r="O198" s="2"/>
      <c r="P198" s="2"/>
      <c r="Q198" s="24"/>
      <c r="R198" s="2" t="str">
        <f t="shared" si="21"/>
        <v/>
      </c>
      <c r="S198" s="2"/>
      <c r="T198" s="2"/>
      <c r="U198" s="10" t="str">
        <f t="shared" si="22"/>
        <v/>
      </c>
      <c r="V198" s="10" t="str">
        <f t="shared" si="23"/>
        <v/>
      </c>
      <c r="W198" s="15" t="str">
        <f t="shared" si="24"/>
        <v/>
      </c>
      <c r="X198" s="38" t="str">
        <f t="shared" si="25"/>
        <v/>
      </c>
      <c r="Y198" s="10" t="str">
        <f t="shared" si="26"/>
        <v/>
      </c>
      <c r="Z198" s="2" t="str">
        <f t="shared" si="27"/>
        <v/>
      </c>
      <c r="AA198" s="2"/>
      <c r="AB198" s="2"/>
    </row>
    <row r="199" spans="1:28" ht="16">
      <c r="A199" s="31"/>
      <c r="B199" s="32"/>
      <c r="C199" s="32"/>
      <c r="D199" s="32"/>
      <c r="E199" s="32"/>
      <c r="F199" s="33"/>
      <c r="G199" s="2"/>
      <c r="H199" s="2"/>
      <c r="I199" s="2"/>
      <c r="J199" s="35" t="str">
        <f>IF(H199&lt;&gt;"",IFERROR(VLOOKUP(IFERROR(LEFT(H199,FIND("-",H199)-1),H199),'Catalogo MINSAL'!A:E,5,FALSE),""),IF(I199&lt;&gt;"",IFERROR(VLOOKUP(IFERROR(LEFT(I199,FIND("-",I199)-1),I199),'Catalogo MINSAL'!A:E,5,FALSE),""),""))</f>
        <v/>
      </c>
      <c r="K199" s="2"/>
      <c r="L199" s="2"/>
      <c r="M199" s="2"/>
      <c r="N199" s="2"/>
      <c r="O199" s="2"/>
      <c r="P199" s="2"/>
      <c r="Q199" s="24"/>
      <c r="R199" s="2" t="str">
        <f t="shared" si="21"/>
        <v/>
      </c>
      <c r="S199" s="2"/>
      <c r="T199" s="2"/>
      <c r="U199" s="10" t="str">
        <f t="shared" si="22"/>
        <v/>
      </c>
      <c r="V199" s="10" t="str">
        <f t="shared" si="23"/>
        <v/>
      </c>
      <c r="W199" s="15" t="str">
        <f t="shared" si="24"/>
        <v/>
      </c>
      <c r="X199" s="38" t="str">
        <f t="shared" si="25"/>
        <v/>
      </c>
      <c r="Y199" s="10" t="str">
        <f t="shared" si="26"/>
        <v/>
      </c>
      <c r="Z199" s="2" t="str">
        <f t="shared" si="27"/>
        <v/>
      </c>
      <c r="AA199" s="2"/>
      <c r="AB199" s="2"/>
    </row>
    <row r="200" spans="1:28" ht="16">
      <c r="A200" s="31"/>
      <c r="B200" s="32"/>
      <c r="C200" s="32"/>
      <c r="D200" s="32"/>
      <c r="E200" s="32"/>
      <c r="F200" s="33"/>
      <c r="G200" s="2"/>
      <c r="H200" s="2"/>
      <c r="I200" s="2"/>
      <c r="J200" s="35" t="str">
        <f>IF(H200&lt;&gt;"",IFERROR(VLOOKUP(IFERROR(LEFT(H200,FIND("-",H200)-1),H200),'Catalogo MINSAL'!A:E,5,FALSE),""),IF(I200&lt;&gt;"",IFERROR(VLOOKUP(IFERROR(LEFT(I200,FIND("-",I200)-1),I200),'Catalogo MINSAL'!A:E,5,FALSE),""),""))</f>
        <v/>
      </c>
      <c r="K200" s="2"/>
      <c r="L200" s="2"/>
      <c r="M200" s="2"/>
      <c r="N200" s="2"/>
      <c r="O200" s="2"/>
      <c r="P200" s="2"/>
      <c r="Q200" s="24"/>
      <c r="R200" s="2" t="str">
        <f t="shared" si="21"/>
        <v/>
      </c>
      <c r="S200" s="2"/>
      <c r="T200" s="2"/>
      <c r="U200" s="10" t="str">
        <f t="shared" si="22"/>
        <v/>
      </c>
      <c r="V200" s="10" t="str">
        <f t="shared" si="23"/>
        <v/>
      </c>
      <c r="W200" s="15" t="str">
        <f t="shared" si="24"/>
        <v/>
      </c>
      <c r="X200" s="38" t="str">
        <f t="shared" si="25"/>
        <v/>
      </c>
      <c r="Y200" s="10" t="str">
        <f t="shared" si="26"/>
        <v/>
      </c>
      <c r="Z200" s="2" t="str">
        <f t="shared" si="27"/>
        <v/>
      </c>
      <c r="AA200" s="2"/>
      <c r="AB200" s="2"/>
    </row>
    <row r="201" spans="1:28" ht="16">
      <c r="A201" s="31"/>
      <c r="B201" s="32"/>
      <c r="C201" s="32"/>
      <c r="D201" s="32"/>
      <c r="E201" s="32"/>
      <c r="F201" s="33"/>
      <c r="G201" s="2"/>
      <c r="H201" s="2"/>
      <c r="I201" s="2"/>
      <c r="J201" s="35" t="str">
        <f>IF(H201&lt;&gt;"",IFERROR(VLOOKUP(IFERROR(LEFT(H201,FIND("-",H201)-1),H201),'Catalogo MINSAL'!A:E,5,FALSE),""),IF(I201&lt;&gt;"",IFERROR(VLOOKUP(IFERROR(LEFT(I201,FIND("-",I201)-1),I201),'Catalogo MINSAL'!A:E,5,FALSE),""),""))</f>
        <v/>
      </c>
      <c r="K201" s="2"/>
      <c r="L201" s="2"/>
      <c r="M201" s="2"/>
      <c r="N201" s="2"/>
      <c r="O201" s="2"/>
      <c r="P201" s="2"/>
      <c r="Q201" s="24"/>
      <c r="R201" s="2" t="str">
        <f t="shared" si="21"/>
        <v/>
      </c>
      <c r="S201" s="2"/>
      <c r="T201" s="2"/>
      <c r="U201" s="2" t="str">
        <f t="shared" si="22"/>
        <v/>
      </c>
      <c r="V201" s="10" t="str">
        <f t="shared" si="23"/>
        <v/>
      </c>
      <c r="W201" s="10" t="str">
        <f t="shared" si="24"/>
        <v/>
      </c>
      <c r="X201" s="38" t="str">
        <f t="shared" si="25"/>
        <v/>
      </c>
      <c r="Y201" s="10" t="str">
        <f t="shared" si="26"/>
        <v/>
      </c>
      <c r="Z201" s="2" t="str">
        <f t="shared" si="27"/>
        <v/>
      </c>
      <c r="AA201" s="2"/>
      <c r="AB201" s="2"/>
    </row>
    <row r="202" spans="1:28" ht="16">
      <c r="A202" s="31"/>
      <c r="B202" s="32"/>
      <c r="C202" s="32"/>
      <c r="D202" s="32"/>
      <c r="E202" s="32"/>
      <c r="F202" s="33"/>
      <c r="G202" s="2"/>
      <c r="H202" s="2"/>
      <c r="I202" s="2"/>
      <c r="J202" s="35" t="str">
        <f>IF(H202&lt;&gt;"",IFERROR(VLOOKUP(IFERROR(LEFT(H202,FIND("-",H202)-1),H202),'Catalogo MINSAL'!A:E,5,FALSE),""),IF(I202&lt;&gt;"",IFERROR(VLOOKUP(IFERROR(LEFT(I202,FIND("-",I202)-1),I202),'Catalogo MINSAL'!A:E,5,FALSE),""),""))</f>
        <v/>
      </c>
      <c r="K202" s="2"/>
      <c r="L202" s="2"/>
      <c r="M202" s="2"/>
      <c r="N202" s="2"/>
      <c r="O202" s="2"/>
      <c r="P202" s="2"/>
      <c r="Q202" s="24"/>
      <c r="R202" s="2" t="str">
        <f t="shared" si="21"/>
        <v/>
      </c>
      <c r="S202" s="2"/>
      <c r="T202" s="2"/>
      <c r="U202" s="2" t="str">
        <f t="shared" si="22"/>
        <v/>
      </c>
      <c r="V202" s="10" t="str">
        <f t="shared" si="23"/>
        <v/>
      </c>
      <c r="W202" s="10" t="str">
        <f t="shared" si="24"/>
        <v/>
      </c>
      <c r="X202" s="38" t="str">
        <f t="shared" si="25"/>
        <v/>
      </c>
      <c r="Y202" s="10" t="str">
        <f t="shared" si="26"/>
        <v/>
      </c>
      <c r="Z202" s="2" t="str">
        <f t="shared" si="27"/>
        <v/>
      </c>
      <c r="AA202" s="2"/>
      <c r="AB202" s="2"/>
    </row>
    <row r="203" spans="1:28" ht="16">
      <c r="A203" s="31"/>
      <c r="B203" s="32"/>
      <c r="C203" s="32"/>
      <c r="D203" s="32"/>
      <c r="E203" s="32"/>
      <c r="F203" s="33"/>
      <c r="G203" s="2"/>
      <c r="H203" s="2"/>
      <c r="I203" s="2"/>
      <c r="J203" s="35" t="str">
        <f>IF(H203&lt;&gt;"",IFERROR(VLOOKUP(IFERROR(LEFT(H203,FIND("-",H203)-1),H203),'Catalogo MINSAL'!A:E,5,FALSE),""),IF(I203&lt;&gt;"",IFERROR(VLOOKUP(IFERROR(LEFT(I203,FIND("-",I203)-1),I203),'Catalogo MINSAL'!A:E,5,FALSE),""),""))</f>
        <v/>
      </c>
      <c r="K203" s="2"/>
      <c r="L203" s="2"/>
      <c r="M203" s="2"/>
      <c r="N203" s="2"/>
      <c r="O203" s="2"/>
      <c r="P203" s="2"/>
      <c r="Q203" s="24"/>
      <c r="R203" s="2" t="str">
        <f t="shared" si="21"/>
        <v/>
      </c>
      <c r="S203" s="2"/>
      <c r="T203" s="2"/>
      <c r="U203" s="2" t="str">
        <f t="shared" si="22"/>
        <v/>
      </c>
      <c r="V203" s="10" t="str">
        <f t="shared" si="23"/>
        <v/>
      </c>
      <c r="W203" s="10" t="str">
        <f t="shared" si="24"/>
        <v/>
      </c>
      <c r="X203" s="38" t="str">
        <f t="shared" si="25"/>
        <v/>
      </c>
      <c r="Y203" s="10" t="str">
        <f t="shared" si="26"/>
        <v/>
      </c>
      <c r="Z203" s="2" t="str">
        <f t="shared" si="27"/>
        <v/>
      </c>
      <c r="AA203" s="2"/>
      <c r="AB203" s="2"/>
    </row>
    <row r="204" spans="1:28" ht="16">
      <c r="A204" s="31"/>
      <c r="B204" s="32"/>
      <c r="C204" s="32"/>
      <c r="D204" s="32"/>
      <c r="E204" s="32"/>
      <c r="F204" s="33"/>
      <c r="G204" s="2"/>
      <c r="H204" s="2"/>
      <c r="I204" s="2"/>
      <c r="J204" s="35" t="str">
        <f>IF(H204&lt;&gt;"",IFERROR(VLOOKUP(IFERROR(LEFT(H204,FIND("-",H204)-1),H204),'Catalogo MINSAL'!A:E,5,FALSE),""),IF(I204&lt;&gt;"",IFERROR(VLOOKUP(IFERROR(LEFT(I204,FIND("-",I204)-1),I204),'Catalogo MINSAL'!A:E,5,FALSE),""),""))</f>
        <v/>
      </c>
      <c r="K204" s="2"/>
      <c r="L204" s="2"/>
      <c r="M204" s="2"/>
      <c r="N204" s="2"/>
      <c r="O204" s="2"/>
      <c r="P204" s="2"/>
      <c r="Q204" s="24"/>
      <c r="R204" s="2" t="str">
        <f t="shared" si="21"/>
        <v/>
      </c>
      <c r="S204" s="2"/>
      <c r="T204" s="2"/>
      <c r="U204" s="2" t="str">
        <f t="shared" si="22"/>
        <v/>
      </c>
      <c r="V204" s="10" t="str">
        <f t="shared" si="23"/>
        <v/>
      </c>
      <c r="W204" s="10" t="str">
        <f t="shared" si="24"/>
        <v/>
      </c>
      <c r="X204" s="38" t="str">
        <f t="shared" si="25"/>
        <v/>
      </c>
      <c r="Y204" s="10" t="str">
        <f t="shared" si="26"/>
        <v/>
      </c>
      <c r="Z204" s="2" t="str">
        <f t="shared" si="27"/>
        <v/>
      </c>
      <c r="AA204" s="2"/>
      <c r="AB204" s="2"/>
    </row>
    <row r="205" spans="1:28" ht="16">
      <c r="A205" s="31"/>
      <c r="B205" s="32"/>
      <c r="C205" s="32"/>
      <c r="D205" s="32"/>
      <c r="E205" s="32"/>
      <c r="F205" s="33"/>
      <c r="G205" s="2"/>
      <c r="H205" s="2"/>
      <c r="I205" s="2"/>
      <c r="J205" s="35" t="str">
        <f>IF(H205&lt;&gt;"",IFERROR(VLOOKUP(IFERROR(LEFT(H205,FIND("-",H205)-1),H205),'Catalogo MINSAL'!A:E,5,FALSE),""),IF(I205&lt;&gt;"",IFERROR(VLOOKUP(IFERROR(LEFT(I205,FIND("-",I205)-1),I205),'Catalogo MINSAL'!A:E,5,FALSE),""),""))</f>
        <v/>
      </c>
      <c r="K205" s="2"/>
      <c r="L205" s="2"/>
      <c r="M205" s="2"/>
      <c r="N205" s="2"/>
      <c r="O205" s="2"/>
      <c r="P205" s="2"/>
      <c r="Q205" s="24"/>
      <c r="R205" s="2" t="str">
        <f t="shared" si="21"/>
        <v/>
      </c>
      <c r="S205" s="2"/>
      <c r="T205" s="2"/>
      <c r="U205" s="2" t="str">
        <f t="shared" si="22"/>
        <v/>
      </c>
      <c r="V205" s="10" t="str">
        <f t="shared" si="23"/>
        <v/>
      </c>
      <c r="W205" s="10" t="str">
        <f t="shared" si="24"/>
        <v/>
      </c>
      <c r="X205" s="38" t="str">
        <f t="shared" si="25"/>
        <v/>
      </c>
      <c r="Y205" s="10" t="str">
        <f t="shared" si="26"/>
        <v/>
      </c>
      <c r="Z205" s="2" t="str">
        <f t="shared" si="27"/>
        <v/>
      </c>
      <c r="AA205" s="2"/>
      <c r="AB205" s="2"/>
    </row>
    <row r="206" spans="1:28" ht="16">
      <c r="A206" s="31"/>
      <c r="B206" s="32"/>
      <c r="C206" s="32"/>
      <c r="D206" s="32"/>
      <c r="E206" s="32"/>
      <c r="F206" s="33"/>
      <c r="G206" s="2"/>
      <c r="H206" s="2"/>
      <c r="I206" s="2"/>
      <c r="J206" s="35" t="str">
        <f>IF(H206&lt;&gt;"",IFERROR(VLOOKUP(IFERROR(LEFT(H206,FIND("-",H206)-1),H206),'Catalogo MINSAL'!A:E,5,FALSE),""),IF(I206&lt;&gt;"",IFERROR(VLOOKUP(IFERROR(LEFT(I206,FIND("-",I206)-1),I206),'Catalogo MINSAL'!A:E,5,FALSE),""),""))</f>
        <v/>
      </c>
      <c r="K206" s="2"/>
      <c r="L206" s="2"/>
      <c r="M206" s="2"/>
      <c r="N206" s="2"/>
      <c r="O206" s="2"/>
      <c r="P206" s="2"/>
      <c r="Q206" s="24"/>
      <c r="R206" s="2" t="str">
        <f t="shared" si="21"/>
        <v/>
      </c>
      <c r="S206" s="2"/>
      <c r="T206" s="2"/>
      <c r="U206" s="2" t="str">
        <f t="shared" si="22"/>
        <v/>
      </c>
      <c r="V206" s="10" t="str">
        <f t="shared" si="23"/>
        <v/>
      </c>
      <c r="W206" s="10" t="str">
        <f t="shared" si="24"/>
        <v/>
      </c>
      <c r="X206" s="38" t="str">
        <f t="shared" si="25"/>
        <v/>
      </c>
      <c r="Y206" s="10" t="str">
        <f t="shared" si="26"/>
        <v/>
      </c>
      <c r="Z206" s="2" t="str">
        <f t="shared" si="27"/>
        <v/>
      </c>
      <c r="AA206" s="2"/>
      <c r="AB206" s="2"/>
    </row>
    <row r="207" spans="1:28" ht="16">
      <c r="A207" s="31"/>
      <c r="B207" s="32"/>
      <c r="C207" s="32"/>
      <c r="D207" s="32"/>
      <c r="E207" s="32"/>
      <c r="F207" s="33"/>
      <c r="G207" s="2"/>
      <c r="H207" s="2"/>
      <c r="I207" s="2"/>
      <c r="J207" s="35" t="str">
        <f>IF(H207&lt;&gt;"",IFERROR(VLOOKUP(IFERROR(LEFT(H207,FIND("-",H207)-1),H207),'Catalogo MINSAL'!A:E,5,FALSE),""),IF(I207&lt;&gt;"",IFERROR(VLOOKUP(IFERROR(LEFT(I207,FIND("-",I207)-1),I207),'Catalogo MINSAL'!A:E,5,FALSE),""),""))</f>
        <v/>
      </c>
      <c r="K207" s="2"/>
      <c r="L207" s="2"/>
      <c r="M207" s="2"/>
      <c r="N207" s="2"/>
      <c r="O207" s="2"/>
      <c r="P207" s="2"/>
      <c r="Q207" s="24"/>
      <c r="R207" s="2" t="str">
        <f t="shared" si="21"/>
        <v/>
      </c>
      <c r="S207" s="2"/>
      <c r="T207" s="2"/>
      <c r="U207" s="2" t="str">
        <f t="shared" si="22"/>
        <v/>
      </c>
      <c r="V207" s="10" t="str">
        <f t="shared" si="23"/>
        <v/>
      </c>
      <c r="W207" s="10" t="str">
        <f t="shared" si="24"/>
        <v/>
      </c>
      <c r="X207" s="38" t="str">
        <f t="shared" si="25"/>
        <v/>
      </c>
      <c r="Y207" s="10" t="str">
        <f t="shared" si="26"/>
        <v/>
      </c>
      <c r="Z207" s="2" t="str">
        <f t="shared" si="27"/>
        <v/>
      </c>
      <c r="AA207" s="2"/>
      <c r="AB207" s="2"/>
    </row>
    <row r="208" spans="1:28" ht="16">
      <c r="A208" s="31"/>
      <c r="B208" s="32"/>
      <c r="C208" s="32"/>
      <c r="D208" s="32"/>
      <c r="E208" s="32"/>
      <c r="F208" s="33"/>
      <c r="G208" s="2"/>
      <c r="H208" s="2"/>
      <c r="I208" s="2"/>
      <c r="J208" s="35" t="str">
        <f>IF(H208&lt;&gt;"",IFERROR(VLOOKUP(IFERROR(LEFT(H208,FIND("-",H208)-1),H208),'Catalogo MINSAL'!A:E,5,FALSE),""),IF(I208&lt;&gt;"",IFERROR(VLOOKUP(IFERROR(LEFT(I208,FIND("-",I208)-1),I208),'Catalogo MINSAL'!A:E,5,FALSE),""),""))</f>
        <v/>
      </c>
      <c r="K208" s="2"/>
      <c r="L208" s="2"/>
      <c r="M208" s="2"/>
      <c r="N208" s="2"/>
      <c r="O208" s="2"/>
      <c r="P208" s="2"/>
      <c r="Q208" s="24"/>
      <c r="R208" s="2" t="str">
        <f t="shared" si="21"/>
        <v/>
      </c>
      <c r="S208" s="2"/>
      <c r="T208" s="2"/>
      <c r="U208" s="2" t="str">
        <f t="shared" si="22"/>
        <v/>
      </c>
      <c r="V208" s="10" t="str">
        <f t="shared" si="23"/>
        <v/>
      </c>
      <c r="W208" s="10" t="str">
        <f t="shared" si="24"/>
        <v/>
      </c>
      <c r="X208" s="38" t="str">
        <f t="shared" si="25"/>
        <v/>
      </c>
      <c r="Y208" s="10" t="str">
        <f t="shared" si="26"/>
        <v/>
      </c>
      <c r="Z208" s="2" t="str">
        <f t="shared" si="27"/>
        <v/>
      </c>
      <c r="AA208" s="2"/>
      <c r="AB208" s="2"/>
    </row>
    <row r="209" spans="1:28" ht="16">
      <c r="A209" s="31"/>
      <c r="B209" s="32"/>
      <c r="C209" s="32"/>
      <c r="D209" s="32"/>
      <c r="E209" s="32"/>
      <c r="F209" s="33"/>
      <c r="G209" s="2"/>
      <c r="H209" s="2"/>
      <c r="I209" s="2"/>
      <c r="J209" s="35" t="str">
        <f>IF(H209&lt;&gt;"",IFERROR(VLOOKUP(IFERROR(LEFT(H209,FIND("-",H209)-1),H209),'Catalogo MINSAL'!A:E,5,FALSE),""),IF(I209&lt;&gt;"",IFERROR(VLOOKUP(IFERROR(LEFT(I209,FIND("-",I209)-1),I209),'Catalogo MINSAL'!A:E,5,FALSE),""),""))</f>
        <v/>
      </c>
      <c r="K209" s="2"/>
      <c r="L209" s="2"/>
      <c r="M209" s="2"/>
      <c r="N209" s="2"/>
      <c r="O209" s="2"/>
      <c r="P209" s="2"/>
      <c r="Q209" s="24"/>
      <c r="R209" s="2" t="str">
        <f t="shared" si="21"/>
        <v/>
      </c>
      <c r="S209" s="2"/>
      <c r="T209" s="2"/>
      <c r="U209" s="2" t="str">
        <f t="shared" si="22"/>
        <v/>
      </c>
      <c r="V209" s="10" t="str">
        <f t="shared" si="23"/>
        <v/>
      </c>
      <c r="W209" s="10" t="str">
        <f t="shared" si="24"/>
        <v/>
      </c>
      <c r="X209" s="38" t="str">
        <f t="shared" si="25"/>
        <v/>
      </c>
      <c r="Y209" s="10" t="str">
        <f t="shared" si="26"/>
        <v/>
      </c>
      <c r="Z209" s="2" t="str">
        <f t="shared" si="27"/>
        <v/>
      </c>
      <c r="AA209" s="2"/>
      <c r="AB209" s="2"/>
    </row>
    <row r="210" spans="1:28" ht="16">
      <c r="A210" s="31"/>
      <c r="B210" s="32"/>
      <c r="C210" s="32"/>
      <c r="D210" s="32"/>
      <c r="E210" s="32"/>
      <c r="F210" s="33"/>
      <c r="G210" s="2"/>
      <c r="H210" s="2"/>
      <c r="I210" s="2"/>
      <c r="J210" s="35" t="str">
        <f>IF(H210&lt;&gt;"",IFERROR(VLOOKUP(IFERROR(LEFT(H210,FIND("-",H210)-1),H210),'Catalogo MINSAL'!A:E,5,FALSE),""),IF(I210&lt;&gt;"",IFERROR(VLOOKUP(IFERROR(LEFT(I210,FIND("-",I210)-1),I210),'Catalogo MINSAL'!A:E,5,FALSE),""),""))</f>
        <v/>
      </c>
      <c r="K210" s="2"/>
      <c r="L210" s="2"/>
      <c r="M210" s="2"/>
      <c r="N210" s="2"/>
      <c r="O210" s="2"/>
      <c r="P210" s="2"/>
      <c r="Q210" s="24"/>
      <c r="R210" s="2" t="str">
        <f t="shared" si="21"/>
        <v/>
      </c>
      <c r="S210" s="2"/>
      <c r="T210" s="2"/>
      <c r="U210" s="2" t="str">
        <f t="shared" si="22"/>
        <v/>
      </c>
      <c r="V210" s="10" t="str">
        <f t="shared" si="23"/>
        <v/>
      </c>
      <c r="W210" s="10" t="str">
        <f t="shared" si="24"/>
        <v/>
      </c>
      <c r="X210" s="38" t="str">
        <f t="shared" si="25"/>
        <v/>
      </c>
      <c r="Y210" s="10" t="str">
        <f t="shared" si="26"/>
        <v/>
      </c>
      <c r="Z210" s="2" t="str">
        <f t="shared" si="27"/>
        <v/>
      </c>
      <c r="AA210" s="2"/>
      <c r="AB210" s="2"/>
    </row>
    <row r="211" spans="1:28" ht="16">
      <c r="A211" s="31"/>
      <c r="B211" s="32"/>
      <c r="C211" s="32"/>
      <c r="D211" s="32"/>
      <c r="E211" s="32"/>
      <c r="F211" s="33"/>
      <c r="G211" s="2"/>
      <c r="H211" s="2"/>
      <c r="I211" s="2"/>
      <c r="J211" s="35" t="str">
        <f>IF(H211&lt;&gt;"",IFERROR(VLOOKUP(IFERROR(LEFT(H211,FIND("-",H211)-1),H211),'Catalogo MINSAL'!A:E,5,FALSE),""),IF(I211&lt;&gt;"",IFERROR(VLOOKUP(IFERROR(LEFT(I211,FIND("-",I211)-1),I211),'Catalogo MINSAL'!A:E,5,FALSE),""),""))</f>
        <v/>
      </c>
      <c r="K211" s="2"/>
      <c r="L211" s="2"/>
      <c r="M211" s="2"/>
      <c r="N211" s="2"/>
      <c r="O211" s="2"/>
      <c r="P211" s="2"/>
      <c r="Q211" s="24"/>
      <c r="R211" s="2" t="str">
        <f t="shared" si="21"/>
        <v/>
      </c>
      <c r="S211" s="2"/>
      <c r="T211" s="2"/>
      <c r="U211" s="2" t="str">
        <f t="shared" si="22"/>
        <v/>
      </c>
      <c r="V211" s="10" t="str">
        <f t="shared" si="23"/>
        <v/>
      </c>
      <c r="W211" s="10" t="str">
        <f t="shared" si="24"/>
        <v/>
      </c>
      <c r="X211" s="38" t="str">
        <f t="shared" si="25"/>
        <v/>
      </c>
      <c r="Y211" s="10" t="str">
        <f t="shared" si="26"/>
        <v/>
      </c>
      <c r="Z211" s="2" t="str">
        <f t="shared" si="27"/>
        <v/>
      </c>
      <c r="AA211" s="2"/>
      <c r="AB211" s="2"/>
    </row>
    <row r="212" spans="1:28" ht="16">
      <c r="A212" s="31"/>
      <c r="B212" s="32"/>
      <c r="C212" s="32"/>
      <c r="D212" s="32"/>
      <c r="E212" s="32"/>
      <c r="F212" s="33"/>
      <c r="G212" s="2"/>
      <c r="H212" s="2"/>
      <c r="I212" s="2"/>
      <c r="J212" s="35" t="str">
        <f>IF(H212&lt;&gt;"",IFERROR(VLOOKUP(IFERROR(LEFT(H212,FIND("-",H212)-1),H212),'Catalogo MINSAL'!A:E,5,FALSE),""),IF(I212&lt;&gt;"",IFERROR(VLOOKUP(IFERROR(LEFT(I212,FIND("-",I212)-1),I212),'Catalogo MINSAL'!A:E,5,FALSE),""),""))</f>
        <v/>
      </c>
      <c r="K212" s="2"/>
      <c r="L212" s="2"/>
      <c r="M212" s="2"/>
      <c r="N212" s="2"/>
      <c r="O212" s="2"/>
      <c r="P212" s="2"/>
      <c r="Q212" s="24"/>
      <c r="R212" s="2" t="str">
        <f t="shared" si="21"/>
        <v/>
      </c>
      <c r="S212" s="2"/>
      <c r="T212" s="2"/>
      <c r="U212" s="2" t="str">
        <f t="shared" si="22"/>
        <v/>
      </c>
      <c r="V212" s="10" t="str">
        <f t="shared" si="23"/>
        <v/>
      </c>
      <c r="W212" s="10" t="str">
        <f t="shared" si="24"/>
        <v/>
      </c>
      <c r="X212" s="38" t="str">
        <f t="shared" si="25"/>
        <v/>
      </c>
      <c r="Y212" s="10" t="str">
        <f t="shared" si="26"/>
        <v/>
      </c>
      <c r="Z212" s="2" t="str">
        <f t="shared" si="27"/>
        <v/>
      </c>
      <c r="AA212" s="2"/>
      <c r="AB212" s="2"/>
    </row>
    <row r="213" spans="1:28" ht="16">
      <c r="A213" s="31"/>
      <c r="B213" s="32"/>
      <c r="C213" s="32"/>
      <c r="D213" s="32"/>
      <c r="E213" s="32"/>
      <c r="F213" s="33"/>
      <c r="G213" s="2"/>
      <c r="H213" s="2"/>
      <c r="I213" s="2"/>
      <c r="J213" s="35" t="str">
        <f>IF(H213&lt;&gt;"",IFERROR(VLOOKUP(IFERROR(LEFT(H213,FIND("-",H213)-1),H213),'Catalogo MINSAL'!A:E,5,FALSE),""),IF(I213&lt;&gt;"",IFERROR(VLOOKUP(IFERROR(LEFT(I213,FIND("-",I213)-1),I213),'Catalogo MINSAL'!A:E,5,FALSE),""),""))</f>
        <v/>
      </c>
      <c r="K213" s="2"/>
      <c r="L213" s="2"/>
      <c r="M213" s="2"/>
      <c r="N213" s="2"/>
      <c r="O213" s="2"/>
      <c r="P213" s="2"/>
      <c r="Q213" s="24"/>
      <c r="R213" s="2" t="str">
        <f t="shared" si="21"/>
        <v/>
      </c>
      <c r="S213" s="2"/>
      <c r="T213" s="2"/>
      <c r="U213" s="2" t="str">
        <f t="shared" si="22"/>
        <v/>
      </c>
      <c r="V213" s="10" t="str">
        <f t="shared" si="23"/>
        <v/>
      </c>
      <c r="W213" s="10" t="str">
        <f t="shared" si="24"/>
        <v/>
      </c>
      <c r="X213" s="38" t="str">
        <f t="shared" si="25"/>
        <v/>
      </c>
      <c r="Y213" s="10" t="str">
        <f t="shared" si="26"/>
        <v/>
      </c>
      <c r="Z213" s="2" t="str">
        <f t="shared" si="27"/>
        <v/>
      </c>
      <c r="AA213" s="2"/>
      <c r="AB213" s="2"/>
    </row>
    <row r="214" spans="1:28" ht="16">
      <c r="A214" s="31"/>
      <c r="B214" s="32"/>
      <c r="C214" s="32"/>
      <c r="D214" s="32"/>
      <c r="E214" s="32"/>
      <c r="F214" s="33"/>
      <c r="G214" s="2"/>
      <c r="H214" s="2"/>
      <c r="I214" s="2"/>
      <c r="J214" s="35" t="str">
        <f>IF(H214&lt;&gt;"",IFERROR(VLOOKUP(IFERROR(LEFT(H214,FIND("-",H214)-1),H214),'Catalogo MINSAL'!A:E,5,FALSE),""),IF(I214&lt;&gt;"",IFERROR(VLOOKUP(IFERROR(LEFT(I214,FIND("-",I214)-1),I214),'Catalogo MINSAL'!A:E,5,FALSE),""),""))</f>
        <v/>
      </c>
      <c r="K214" s="2"/>
      <c r="L214" s="2"/>
      <c r="M214" s="2"/>
      <c r="N214" s="2"/>
      <c r="O214" s="2"/>
      <c r="P214" s="2"/>
      <c r="Q214" s="24"/>
      <c r="R214" s="2" t="str">
        <f t="shared" si="21"/>
        <v/>
      </c>
      <c r="S214" s="2"/>
      <c r="T214" s="2"/>
      <c r="U214" s="2" t="str">
        <f t="shared" si="22"/>
        <v/>
      </c>
      <c r="V214" s="10" t="str">
        <f t="shared" si="23"/>
        <v/>
      </c>
      <c r="W214" s="10" t="str">
        <f t="shared" si="24"/>
        <v/>
      </c>
      <c r="X214" s="38" t="str">
        <f t="shared" si="25"/>
        <v/>
      </c>
      <c r="Y214" s="10" t="str">
        <f t="shared" si="26"/>
        <v/>
      </c>
      <c r="Z214" s="2" t="str">
        <f t="shared" si="27"/>
        <v/>
      </c>
      <c r="AA214" s="2"/>
      <c r="AB214" s="2"/>
    </row>
    <row r="215" spans="1:28" ht="16">
      <c r="A215" s="31"/>
      <c r="B215" s="32"/>
      <c r="C215" s="32"/>
      <c r="D215" s="32"/>
      <c r="E215" s="32"/>
      <c r="F215" s="33"/>
      <c r="G215" s="2"/>
      <c r="H215" s="2"/>
      <c r="I215" s="2"/>
      <c r="J215" s="35" t="str">
        <f>IF(H215&lt;&gt;"",IFERROR(VLOOKUP(IFERROR(LEFT(H215,FIND("-",H215)-1),H215),'Catalogo MINSAL'!A:E,5,FALSE),""),IF(I215&lt;&gt;"",IFERROR(VLOOKUP(IFERROR(LEFT(I215,FIND("-",I215)-1),I215),'Catalogo MINSAL'!A:E,5,FALSE),""),""))</f>
        <v/>
      </c>
      <c r="K215" s="2"/>
      <c r="L215" s="2"/>
      <c r="M215" s="2"/>
      <c r="N215" s="2"/>
      <c r="O215" s="2"/>
      <c r="P215" s="2"/>
      <c r="Q215" s="24"/>
      <c r="R215" s="2" t="str">
        <f t="shared" si="21"/>
        <v/>
      </c>
      <c r="S215" s="2"/>
      <c r="T215" s="2"/>
      <c r="U215" s="2" t="str">
        <f t="shared" si="22"/>
        <v/>
      </c>
      <c r="V215" s="10" t="str">
        <f t="shared" si="23"/>
        <v/>
      </c>
      <c r="W215" s="10" t="str">
        <f t="shared" si="24"/>
        <v/>
      </c>
      <c r="X215" s="38" t="str">
        <f t="shared" si="25"/>
        <v/>
      </c>
      <c r="Y215" s="10" t="str">
        <f t="shared" si="26"/>
        <v/>
      </c>
      <c r="Z215" s="2" t="str">
        <f t="shared" si="27"/>
        <v/>
      </c>
      <c r="AA215" s="2"/>
      <c r="AB215" s="2"/>
    </row>
    <row r="216" spans="1:28" ht="16">
      <c r="A216" s="31"/>
      <c r="B216" s="32"/>
      <c r="C216" s="32"/>
      <c r="D216" s="32"/>
      <c r="E216" s="32"/>
      <c r="F216" s="33"/>
      <c r="G216" s="2"/>
      <c r="H216" s="2"/>
      <c r="I216" s="2"/>
      <c r="J216" s="35" t="str">
        <f>IF(H216&lt;&gt;"",IFERROR(VLOOKUP(IFERROR(LEFT(H216,FIND("-",H216)-1),H216),'Catalogo MINSAL'!A:E,5,FALSE),""),IF(I216&lt;&gt;"",IFERROR(VLOOKUP(IFERROR(LEFT(I216,FIND("-",I216)-1),I216),'Catalogo MINSAL'!A:E,5,FALSE),""),""))</f>
        <v/>
      </c>
      <c r="K216" s="2"/>
      <c r="L216" s="2"/>
      <c r="M216" s="2"/>
      <c r="N216" s="2"/>
      <c r="O216" s="2"/>
      <c r="P216" s="2"/>
      <c r="Q216" s="24"/>
      <c r="R216" s="2" t="str">
        <f t="shared" si="21"/>
        <v/>
      </c>
      <c r="S216" s="2"/>
      <c r="T216" s="2"/>
      <c r="U216" s="2" t="str">
        <f t="shared" si="22"/>
        <v/>
      </c>
      <c r="V216" s="10" t="str">
        <f t="shared" si="23"/>
        <v/>
      </c>
      <c r="W216" s="10" t="str">
        <f t="shared" si="24"/>
        <v/>
      </c>
      <c r="X216" s="38" t="str">
        <f t="shared" si="25"/>
        <v/>
      </c>
      <c r="Y216" s="10" t="str">
        <f t="shared" si="26"/>
        <v/>
      </c>
      <c r="Z216" s="2" t="str">
        <f t="shared" si="27"/>
        <v/>
      </c>
      <c r="AA216" s="2"/>
      <c r="AB216" s="2"/>
    </row>
    <row r="217" spans="1:28" ht="16">
      <c r="A217" s="31"/>
      <c r="B217" s="32"/>
      <c r="C217" s="32"/>
      <c r="D217" s="32"/>
      <c r="E217" s="32"/>
      <c r="F217" s="33"/>
      <c r="G217" s="2"/>
      <c r="H217" s="2"/>
      <c r="I217" s="2"/>
      <c r="J217" s="35" t="str">
        <f>IF(H217&lt;&gt;"",IFERROR(VLOOKUP(IFERROR(LEFT(H217,FIND("-",H217)-1),H217),'Catalogo MINSAL'!A:E,5,FALSE),""),IF(I217&lt;&gt;"",IFERROR(VLOOKUP(IFERROR(LEFT(I217,FIND("-",I217)-1),I217),'Catalogo MINSAL'!A:E,5,FALSE),""),""))</f>
        <v/>
      </c>
      <c r="K217" s="2"/>
      <c r="L217" s="2"/>
      <c r="M217" s="2"/>
      <c r="N217" s="2"/>
      <c r="O217" s="2"/>
      <c r="P217" s="2"/>
      <c r="Q217" s="24"/>
      <c r="R217" s="2" t="str">
        <f t="shared" si="21"/>
        <v/>
      </c>
      <c r="S217" s="2"/>
      <c r="T217" s="2"/>
      <c r="U217" s="2" t="str">
        <f t="shared" si="22"/>
        <v/>
      </c>
      <c r="V217" s="10" t="str">
        <f t="shared" si="23"/>
        <v/>
      </c>
      <c r="W217" s="10" t="str">
        <f t="shared" si="24"/>
        <v/>
      </c>
      <c r="X217" s="38" t="str">
        <f t="shared" si="25"/>
        <v/>
      </c>
      <c r="Y217" s="10" t="str">
        <f t="shared" si="26"/>
        <v/>
      </c>
      <c r="Z217" s="2" t="str">
        <f t="shared" si="27"/>
        <v/>
      </c>
      <c r="AA217" s="2"/>
      <c r="AB217" s="2"/>
    </row>
    <row r="218" spans="1:28" ht="16">
      <c r="A218" s="31"/>
      <c r="B218" s="32"/>
      <c r="C218" s="32"/>
      <c r="D218" s="32"/>
      <c r="E218" s="32"/>
      <c r="F218" s="33"/>
      <c r="G218" s="2"/>
      <c r="H218" s="2"/>
      <c r="I218" s="2"/>
      <c r="J218" s="35" t="str">
        <f>IF(H218&lt;&gt;"",IFERROR(VLOOKUP(IFERROR(LEFT(H218,FIND("-",H218)-1),H218),'Catalogo MINSAL'!A:E,5,FALSE),""),IF(I218&lt;&gt;"",IFERROR(VLOOKUP(IFERROR(LEFT(I218,FIND("-",I218)-1),I218),'Catalogo MINSAL'!A:E,5,FALSE),""),""))</f>
        <v/>
      </c>
      <c r="K218" s="2"/>
      <c r="L218" s="2"/>
      <c r="M218" s="2"/>
      <c r="N218" s="2"/>
      <c r="O218" s="2"/>
      <c r="P218" s="2"/>
      <c r="Q218" s="24"/>
      <c r="R218" s="2" t="str">
        <f t="shared" si="21"/>
        <v/>
      </c>
      <c r="S218" s="2"/>
      <c r="T218" s="2"/>
      <c r="U218" s="2" t="str">
        <f t="shared" si="22"/>
        <v/>
      </c>
      <c r="V218" s="10" t="str">
        <f t="shared" si="23"/>
        <v/>
      </c>
      <c r="W218" s="10" t="str">
        <f t="shared" si="24"/>
        <v/>
      </c>
      <c r="X218" s="38" t="str">
        <f t="shared" si="25"/>
        <v/>
      </c>
      <c r="Y218" s="10" t="str">
        <f t="shared" si="26"/>
        <v/>
      </c>
      <c r="Z218" s="2" t="str">
        <f t="shared" si="27"/>
        <v/>
      </c>
      <c r="AA218" s="2"/>
      <c r="AB218" s="2"/>
    </row>
    <row r="219" spans="1:28" ht="16">
      <c r="A219" s="31"/>
      <c r="B219" s="32"/>
      <c r="C219" s="32"/>
      <c r="D219" s="32"/>
      <c r="E219" s="32"/>
      <c r="F219" s="33"/>
      <c r="G219" s="2"/>
      <c r="H219" s="2"/>
      <c r="I219" s="2"/>
      <c r="J219" s="35" t="str">
        <f>IF(H219&lt;&gt;"",IFERROR(VLOOKUP(IFERROR(LEFT(H219,FIND("-",H219)-1),H219),'Catalogo MINSAL'!A:E,5,FALSE),""),IF(I219&lt;&gt;"",IFERROR(VLOOKUP(IFERROR(LEFT(I219,FIND("-",I219)-1),I219),'Catalogo MINSAL'!A:E,5,FALSE),""),""))</f>
        <v/>
      </c>
      <c r="K219" s="2"/>
      <c r="L219" s="2"/>
      <c r="M219" s="2"/>
      <c r="N219" s="2"/>
      <c r="O219" s="2"/>
      <c r="P219" s="2"/>
      <c r="Q219" s="24"/>
      <c r="R219" s="2" t="str">
        <f t="shared" si="21"/>
        <v/>
      </c>
      <c r="S219" s="2"/>
      <c r="T219" s="2"/>
      <c r="U219" s="2" t="str">
        <f t="shared" si="22"/>
        <v/>
      </c>
      <c r="V219" s="10" t="str">
        <f t="shared" si="23"/>
        <v/>
      </c>
      <c r="W219" s="10" t="str">
        <f t="shared" si="24"/>
        <v/>
      </c>
      <c r="X219" s="38" t="str">
        <f t="shared" si="25"/>
        <v/>
      </c>
      <c r="Y219" s="10" t="str">
        <f t="shared" si="26"/>
        <v/>
      </c>
      <c r="Z219" s="2" t="str">
        <f t="shared" si="27"/>
        <v/>
      </c>
      <c r="AA219" s="2"/>
      <c r="AB219" s="2"/>
    </row>
    <row r="220" spans="1:28" ht="16">
      <c r="A220" s="31"/>
      <c r="B220" s="32"/>
      <c r="C220" s="32"/>
      <c r="D220" s="32"/>
      <c r="E220" s="32"/>
      <c r="F220" s="33"/>
      <c r="G220" s="2"/>
      <c r="H220" s="2"/>
      <c r="I220" s="2"/>
      <c r="J220" s="35" t="str">
        <f>IF(H220&lt;&gt;"",IFERROR(VLOOKUP(IFERROR(LEFT(H220,FIND("-",H220)-1),H220),'Catalogo MINSAL'!A:E,5,FALSE),""),IF(I220&lt;&gt;"",IFERROR(VLOOKUP(IFERROR(LEFT(I220,FIND("-",I220)-1),I220),'Catalogo MINSAL'!A:E,5,FALSE),""),""))</f>
        <v/>
      </c>
      <c r="K220" s="2"/>
      <c r="L220" s="2"/>
      <c r="M220" s="2"/>
      <c r="N220" s="2"/>
      <c r="O220" s="2"/>
      <c r="P220" s="2"/>
      <c r="Q220" s="24"/>
      <c r="R220" s="2" t="str">
        <f t="shared" si="21"/>
        <v/>
      </c>
      <c r="S220" s="2"/>
      <c r="T220" s="2"/>
      <c r="U220" s="2" t="str">
        <f t="shared" si="22"/>
        <v/>
      </c>
      <c r="V220" s="10" t="str">
        <f t="shared" si="23"/>
        <v/>
      </c>
      <c r="W220" s="10" t="str">
        <f t="shared" si="24"/>
        <v/>
      </c>
      <c r="X220" s="38" t="str">
        <f t="shared" si="25"/>
        <v/>
      </c>
      <c r="Y220" s="10" t="str">
        <f t="shared" si="26"/>
        <v/>
      </c>
      <c r="Z220" s="2" t="str">
        <f t="shared" si="27"/>
        <v/>
      </c>
      <c r="AA220" s="2"/>
      <c r="AB220" s="2"/>
    </row>
    <row r="221" spans="1:28" ht="16">
      <c r="A221" s="31"/>
      <c r="B221" s="32"/>
      <c r="C221" s="32"/>
      <c r="D221" s="32"/>
      <c r="E221" s="32"/>
      <c r="F221" s="33"/>
      <c r="G221" s="2"/>
      <c r="H221" s="2"/>
      <c r="I221" s="2"/>
      <c r="J221" s="35" t="str">
        <f>IF(H221&lt;&gt;"",IFERROR(VLOOKUP(IFERROR(LEFT(H221,FIND("-",H221)-1),H221),'Catalogo MINSAL'!A:E,5,FALSE),""),IF(I221&lt;&gt;"",IFERROR(VLOOKUP(IFERROR(LEFT(I221,FIND("-",I221)-1),I221),'Catalogo MINSAL'!A:E,5,FALSE),""),""))</f>
        <v/>
      </c>
      <c r="K221" s="2"/>
      <c r="L221" s="2"/>
      <c r="M221" s="2"/>
      <c r="N221" s="2"/>
      <c r="O221" s="2"/>
      <c r="P221" s="2"/>
      <c r="Q221" s="24"/>
      <c r="R221" s="2" t="str">
        <f t="shared" si="21"/>
        <v/>
      </c>
      <c r="S221" s="2"/>
      <c r="T221" s="2"/>
      <c r="U221" s="2" t="str">
        <f t="shared" si="22"/>
        <v/>
      </c>
      <c r="V221" s="10" t="str">
        <f t="shared" si="23"/>
        <v/>
      </c>
      <c r="W221" s="10" t="str">
        <f t="shared" si="24"/>
        <v/>
      </c>
      <c r="X221" s="38" t="str">
        <f t="shared" si="25"/>
        <v/>
      </c>
      <c r="Y221" s="10" t="str">
        <f t="shared" si="26"/>
        <v/>
      </c>
      <c r="Z221" s="2" t="str">
        <f t="shared" si="27"/>
        <v/>
      </c>
      <c r="AA221" s="2"/>
      <c r="AB221" s="2"/>
    </row>
    <row r="222" spans="1:28" ht="16">
      <c r="A222" s="31"/>
      <c r="B222" s="32"/>
      <c r="C222" s="32"/>
      <c r="D222" s="32"/>
      <c r="E222" s="32"/>
      <c r="F222" s="33"/>
      <c r="G222" s="2"/>
      <c r="H222" s="2"/>
      <c r="I222" s="2"/>
      <c r="J222" s="35" t="str">
        <f>IF(H222&lt;&gt;"",IFERROR(VLOOKUP(IFERROR(LEFT(H222,FIND("-",H222)-1),H222),'Catalogo MINSAL'!A:E,5,FALSE),""),IF(I222&lt;&gt;"",IFERROR(VLOOKUP(IFERROR(LEFT(I222,FIND("-",I222)-1),I222),'Catalogo MINSAL'!A:E,5,FALSE),""),""))</f>
        <v/>
      </c>
      <c r="K222" s="2"/>
      <c r="L222" s="2"/>
      <c r="M222" s="2"/>
      <c r="N222" s="2"/>
      <c r="O222" s="2"/>
      <c r="P222" s="2"/>
      <c r="Q222" s="24"/>
      <c r="R222" s="2" t="str">
        <f t="shared" si="21"/>
        <v/>
      </c>
      <c r="S222" s="2"/>
      <c r="T222" s="2"/>
      <c r="U222" s="2" t="str">
        <f t="shared" si="22"/>
        <v/>
      </c>
      <c r="V222" s="10" t="str">
        <f t="shared" si="23"/>
        <v/>
      </c>
      <c r="W222" s="10" t="str">
        <f t="shared" si="24"/>
        <v/>
      </c>
      <c r="X222" s="38" t="str">
        <f t="shared" si="25"/>
        <v/>
      </c>
      <c r="Y222" s="10" t="str">
        <f t="shared" si="26"/>
        <v/>
      </c>
      <c r="Z222" s="2" t="str">
        <f t="shared" si="27"/>
        <v/>
      </c>
      <c r="AA222" s="2"/>
      <c r="AB222" s="2"/>
    </row>
    <row r="223" spans="1:28" ht="16">
      <c r="A223" s="31"/>
      <c r="B223" s="32"/>
      <c r="C223" s="32"/>
      <c r="D223" s="32"/>
      <c r="E223" s="32"/>
      <c r="F223" s="33"/>
      <c r="G223" s="2"/>
      <c r="H223" s="2"/>
      <c r="I223" s="2"/>
      <c r="J223" s="35" t="str">
        <f>IF(H223&lt;&gt;"",IFERROR(VLOOKUP(IFERROR(LEFT(H223,FIND("-",H223)-1),H223),'Catalogo MINSAL'!A:E,5,FALSE),""),IF(I223&lt;&gt;"",IFERROR(VLOOKUP(IFERROR(LEFT(I223,FIND("-",I223)-1),I223),'Catalogo MINSAL'!A:E,5,FALSE),""),""))</f>
        <v/>
      </c>
      <c r="K223" s="2"/>
      <c r="L223" s="2"/>
      <c r="M223" s="2"/>
      <c r="N223" s="2"/>
      <c r="O223" s="2"/>
      <c r="P223" s="2"/>
      <c r="Q223" s="24"/>
      <c r="R223" s="2" t="str">
        <f t="shared" si="21"/>
        <v/>
      </c>
      <c r="S223" s="2"/>
      <c r="T223" s="2"/>
      <c r="U223" s="2" t="str">
        <f t="shared" si="22"/>
        <v/>
      </c>
      <c r="V223" s="10" t="str">
        <f t="shared" si="23"/>
        <v/>
      </c>
      <c r="W223" s="10" t="str">
        <f t="shared" si="24"/>
        <v/>
      </c>
      <c r="X223" s="38" t="str">
        <f t="shared" si="25"/>
        <v/>
      </c>
      <c r="Y223" s="10" t="str">
        <f t="shared" si="26"/>
        <v/>
      </c>
      <c r="Z223" s="2" t="str">
        <f t="shared" si="27"/>
        <v/>
      </c>
      <c r="AA223" s="2"/>
      <c r="AB223" s="2"/>
    </row>
    <row r="224" spans="1:28" ht="16">
      <c r="A224" s="31"/>
      <c r="B224" s="32"/>
      <c r="C224" s="32"/>
      <c r="D224" s="32"/>
      <c r="E224" s="32"/>
      <c r="F224" s="33"/>
      <c r="G224" s="2"/>
      <c r="H224" s="2"/>
      <c r="I224" s="2"/>
      <c r="J224" s="35" t="str">
        <f>IF(H224&lt;&gt;"",IFERROR(VLOOKUP(IFERROR(LEFT(H224,FIND("-",H224)-1),H224),'Catalogo MINSAL'!A:E,5,FALSE),""),IF(I224&lt;&gt;"",IFERROR(VLOOKUP(IFERROR(LEFT(I224,FIND("-",I224)-1),I224),'Catalogo MINSAL'!A:E,5,FALSE),""),""))</f>
        <v/>
      </c>
      <c r="K224" s="2"/>
      <c r="L224" s="2"/>
      <c r="M224" s="2"/>
      <c r="N224" s="2"/>
      <c r="O224" s="2"/>
      <c r="P224" s="2"/>
      <c r="Q224" s="24"/>
      <c r="R224" s="2" t="str">
        <f t="shared" si="21"/>
        <v/>
      </c>
      <c r="S224" s="2"/>
      <c r="T224" s="2"/>
      <c r="U224" s="2" t="str">
        <f t="shared" si="22"/>
        <v/>
      </c>
      <c r="V224" s="10" t="str">
        <f t="shared" si="23"/>
        <v/>
      </c>
      <c r="W224" s="10" t="str">
        <f t="shared" si="24"/>
        <v/>
      </c>
      <c r="X224" s="38" t="str">
        <f t="shared" si="25"/>
        <v/>
      </c>
      <c r="Y224" s="10" t="str">
        <f t="shared" si="26"/>
        <v/>
      </c>
      <c r="Z224" s="2" t="str">
        <f t="shared" si="27"/>
        <v/>
      </c>
      <c r="AA224" s="2"/>
      <c r="AB224" s="2"/>
    </row>
    <row r="225" spans="1:28" ht="16">
      <c r="A225" s="31"/>
      <c r="B225" s="32"/>
      <c r="C225" s="32"/>
      <c r="D225" s="32"/>
      <c r="E225" s="32"/>
      <c r="F225" s="33"/>
      <c r="G225" s="2"/>
      <c r="H225" s="2"/>
      <c r="I225" s="2"/>
      <c r="J225" s="35" t="str">
        <f>IF(H225&lt;&gt;"",IFERROR(VLOOKUP(IFERROR(LEFT(H225,FIND("-",H225)-1),H225),'Catalogo MINSAL'!A:E,5,FALSE),""),IF(I225&lt;&gt;"",IFERROR(VLOOKUP(IFERROR(LEFT(I225,FIND("-",I225)-1),I225),'Catalogo MINSAL'!A:E,5,FALSE),""),""))</f>
        <v/>
      </c>
      <c r="K225" s="2"/>
      <c r="L225" s="2"/>
      <c r="M225" s="2"/>
      <c r="N225" s="2"/>
      <c r="O225" s="2"/>
      <c r="P225" s="2"/>
      <c r="Q225" s="24"/>
      <c r="R225" s="2" t="str">
        <f t="shared" si="21"/>
        <v/>
      </c>
      <c r="S225" s="2"/>
      <c r="T225" s="2"/>
      <c r="U225" s="2" t="str">
        <f t="shared" si="22"/>
        <v/>
      </c>
      <c r="V225" s="10" t="str">
        <f t="shared" si="23"/>
        <v/>
      </c>
      <c r="W225" s="10" t="str">
        <f t="shared" si="24"/>
        <v/>
      </c>
      <c r="X225" s="38" t="str">
        <f t="shared" si="25"/>
        <v/>
      </c>
      <c r="Y225" s="10" t="str">
        <f t="shared" si="26"/>
        <v/>
      </c>
      <c r="Z225" s="2" t="str">
        <f t="shared" si="27"/>
        <v/>
      </c>
      <c r="AA225" s="2"/>
      <c r="AB225" s="2"/>
    </row>
    <row r="226" spans="1:28" ht="16">
      <c r="A226" s="31"/>
      <c r="B226" s="32"/>
      <c r="C226" s="32"/>
      <c r="D226" s="32"/>
      <c r="E226" s="32"/>
      <c r="F226" s="33"/>
      <c r="G226" s="2"/>
      <c r="H226" s="2"/>
      <c r="I226" s="2"/>
      <c r="J226" s="35" t="str">
        <f>IF(H226&lt;&gt;"",IFERROR(VLOOKUP(IFERROR(LEFT(H226,FIND("-",H226)-1),H226),'Catalogo MINSAL'!A:E,5,FALSE),""),IF(I226&lt;&gt;"",IFERROR(VLOOKUP(IFERROR(LEFT(I226,FIND("-",I226)-1),I226),'Catalogo MINSAL'!A:E,5,FALSE),""),""))</f>
        <v/>
      </c>
      <c r="K226" s="2"/>
      <c r="L226" s="2"/>
      <c r="M226" s="2"/>
      <c r="N226" s="2"/>
      <c r="O226" s="2"/>
      <c r="P226" s="2"/>
      <c r="Q226" s="24"/>
      <c r="R226" s="2" t="str">
        <f t="shared" si="21"/>
        <v/>
      </c>
      <c r="S226" s="2"/>
      <c r="T226" s="2"/>
      <c r="U226" s="2" t="str">
        <f t="shared" si="22"/>
        <v/>
      </c>
      <c r="V226" s="10" t="str">
        <f t="shared" si="23"/>
        <v/>
      </c>
      <c r="W226" s="10" t="str">
        <f t="shared" si="24"/>
        <v/>
      </c>
      <c r="X226" s="38" t="str">
        <f t="shared" si="25"/>
        <v/>
      </c>
      <c r="Y226" s="10" t="str">
        <f t="shared" si="26"/>
        <v/>
      </c>
      <c r="Z226" s="2" t="str">
        <f t="shared" si="27"/>
        <v/>
      </c>
      <c r="AA226" s="2"/>
      <c r="AB226" s="2"/>
    </row>
    <row r="227" spans="1:28" ht="16">
      <c r="A227" s="31"/>
      <c r="B227" s="32"/>
      <c r="C227" s="32"/>
      <c r="D227" s="32"/>
      <c r="E227" s="32"/>
      <c r="F227" s="33"/>
      <c r="G227" s="2"/>
      <c r="H227" s="2"/>
      <c r="I227" s="2"/>
      <c r="J227" s="35" t="str">
        <f>IF(H227&lt;&gt;"",IFERROR(VLOOKUP(IFERROR(LEFT(H227,FIND("-",H227)-1),H227),'Catalogo MINSAL'!A:E,5,FALSE),""),IF(I227&lt;&gt;"",IFERROR(VLOOKUP(IFERROR(LEFT(I227,FIND("-",I227)-1),I227),'Catalogo MINSAL'!A:E,5,FALSE),""),""))</f>
        <v/>
      </c>
      <c r="K227" s="2"/>
      <c r="L227" s="2"/>
      <c r="M227" s="2"/>
      <c r="N227" s="2"/>
      <c r="O227" s="2"/>
      <c r="P227" s="2"/>
      <c r="Q227" s="24"/>
      <c r="R227" s="2" t="str">
        <f t="shared" si="21"/>
        <v/>
      </c>
      <c r="S227" s="2"/>
      <c r="T227" s="2"/>
      <c r="U227" s="2" t="str">
        <f t="shared" si="22"/>
        <v/>
      </c>
      <c r="V227" s="10" t="str">
        <f t="shared" si="23"/>
        <v/>
      </c>
      <c r="W227" s="10" t="str">
        <f t="shared" si="24"/>
        <v/>
      </c>
      <c r="X227" s="38" t="str">
        <f t="shared" si="25"/>
        <v/>
      </c>
      <c r="Y227" s="10" t="str">
        <f t="shared" si="26"/>
        <v/>
      </c>
      <c r="Z227" s="2" t="str">
        <f t="shared" si="27"/>
        <v/>
      </c>
      <c r="AA227" s="2"/>
      <c r="AB227" s="2"/>
    </row>
    <row r="228" spans="1:28" ht="16">
      <c r="A228" s="31"/>
      <c r="B228" s="32"/>
      <c r="C228" s="32"/>
      <c r="D228" s="32"/>
      <c r="E228" s="32"/>
      <c r="F228" s="33"/>
      <c r="G228" s="2"/>
      <c r="H228" s="2"/>
      <c r="I228" s="2"/>
      <c r="J228" s="35" t="str">
        <f>IF(H228&lt;&gt;"",IFERROR(VLOOKUP(IFERROR(LEFT(H228,FIND("-",H228)-1),H228),'Catalogo MINSAL'!A:E,5,FALSE),""),IF(I228&lt;&gt;"",IFERROR(VLOOKUP(IFERROR(LEFT(I228,FIND("-",I228)-1),I228),'Catalogo MINSAL'!A:E,5,FALSE),""),""))</f>
        <v/>
      </c>
      <c r="K228" s="2"/>
      <c r="L228" s="2"/>
      <c r="M228" s="2"/>
      <c r="N228" s="2"/>
      <c r="O228" s="2"/>
      <c r="P228" s="2"/>
      <c r="Q228" s="24"/>
      <c r="R228" s="2" t="str">
        <f t="shared" si="21"/>
        <v/>
      </c>
      <c r="S228" s="2"/>
      <c r="T228" s="2"/>
      <c r="U228" s="2" t="str">
        <f t="shared" si="22"/>
        <v/>
      </c>
      <c r="V228" s="10" t="str">
        <f t="shared" si="23"/>
        <v/>
      </c>
      <c r="W228" s="10" t="str">
        <f t="shared" si="24"/>
        <v/>
      </c>
      <c r="X228" s="38" t="str">
        <f t="shared" si="25"/>
        <v/>
      </c>
      <c r="Y228" s="10" t="str">
        <f t="shared" si="26"/>
        <v/>
      </c>
      <c r="Z228" s="2" t="str">
        <f t="shared" si="27"/>
        <v/>
      </c>
      <c r="AA228" s="2"/>
      <c r="AB228" s="2"/>
    </row>
    <row r="229" spans="1:28" ht="16">
      <c r="A229" s="31"/>
      <c r="B229" s="32"/>
      <c r="C229" s="32"/>
      <c r="D229" s="32"/>
      <c r="E229" s="32"/>
      <c r="F229" s="33"/>
      <c r="G229" s="2"/>
      <c r="H229" s="2"/>
      <c r="I229" s="2"/>
      <c r="J229" s="35" t="str">
        <f>IF(H229&lt;&gt;"",IFERROR(VLOOKUP(IFERROR(LEFT(H229,FIND("-",H229)-1),H229),'Catalogo MINSAL'!A:E,5,FALSE),""),IF(I229&lt;&gt;"",IFERROR(VLOOKUP(IFERROR(LEFT(I229,FIND("-",I229)-1),I229),'Catalogo MINSAL'!A:E,5,FALSE),""),""))</f>
        <v/>
      </c>
      <c r="K229" s="2"/>
      <c r="L229" s="2"/>
      <c r="M229" s="2"/>
      <c r="N229" s="2"/>
      <c r="O229" s="2"/>
      <c r="P229" s="2"/>
      <c r="Q229" s="24"/>
      <c r="R229" s="2" t="str">
        <f t="shared" si="21"/>
        <v/>
      </c>
      <c r="S229" s="2"/>
      <c r="T229" s="2"/>
      <c r="U229" s="2" t="str">
        <f t="shared" si="22"/>
        <v/>
      </c>
      <c r="V229" s="10" t="str">
        <f t="shared" si="23"/>
        <v/>
      </c>
      <c r="W229" s="10" t="str">
        <f t="shared" si="24"/>
        <v/>
      </c>
      <c r="X229" s="38" t="str">
        <f t="shared" si="25"/>
        <v/>
      </c>
      <c r="Y229" s="10" t="str">
        <f t="shared" si="26"/>
        <v/>
      </c>
      <c r="Z229" s="2" t="str">
        <f t="shared" si="27"/>
        <v/>
      </c>
      <c r="AA229" s="2"/>
      <c r="AB229" s="2"/>
    </row>
    <row r="230" spans="1:28" ht="16">
      <c r="A230" s="31"/>
      <c r="B230" s="32"/>
      <c r="C230" s="32"/>
      <c r="D230" s="32"/>
      <c r="E230" s="32"/>
      <c r="F230" s="33"/>
      <c r="G230" s="2"/>
      <c r="H230" s="2"/>
      <c r="I230" s="2"/>
      <c r="J230" s="35" t="str">
        <f>IF(H230&lt;&gt;"",IFERROR(VLOOKUP(IFERROR(LEFT(H230,FIND("-",H230)-1),H230),'Catalogo MINSAL'!A:E,5,FALSE),""),IF(I230&lt;&gt;"",IFERROR(VLOOKUP(IFERROR(LEFT(I230,FIND("-",I230)-1),I230),'Catalogo MINSAL'!A:E,5,FALSE),""),""))</f>
        <v/>
      </c>
      <c r="K230" s="2"/>
      <c r="L230" s="2"/>
      <c r="M230" s="2"/>
      <c r="N230" s="2"/>
      <c r="O230" s="2"/>
      <c r="P230" s="2"/>
      <c r="Q230" s="24"/>
      <c r="R230" s="2" t="str">
        <f t="shared" si="21"/>
        <v/>
      </c>
      <c r="S230" s="2"/>
      <c r="T230" s="2"/>
      <c r="U230" s="2" t="str">
        <f t="shared" si="22"/>
        <v/>
      </c>
      <c r="V230" s="10" t="str">
        <f t="shared" si="23"/>
        <v/>
      </c>
      <c r="W230" s="10" t="str">
        <f t="shared" si="24"/>
        <v/>
      </c>
      <c r="X230" s="38" t="str">
        <f t="shared" si="25"/>
        <v/>
      </c>
      <c r="Y230" s="10" t="str">
        <f t="shared" si="26"/>
        <v/>
      </c>
      <c r="Z230" s="2" t="str">
        <f t="shared" si="27"/>
        <v/>
      </c>
      <c r="AA230" s="2"/>
      <c r="AB230" s="2"/>
    </row>
    <row r="231" spans="1:28" ht="16">
      <c r="A231" s="31"/>
      <c r="B231" s="32"/>
      <c r="C231" s="32"/>
      <c r="D231" s="32"/>
      <c r="E231" s="32"/>
      <c r="F231" s="33"/>
      <c r="G231" s="2"/>
      <c r="H231" s="2"/>
      <c r="I231" s="2"/>
      <c r="J231" s="35" t="str">
        <f>IF(H231&lt;&gt;"",IFERROR(VLOOKUP(IFERROR(LEFT(H231,FIND("-",H231)-1),H231),'Catalogo MINSAL'!A:E,5,FALSE),""),IF(I231&lt;&gt;"",IFERROR(VLOOKUP(IFERROR(LEFT(I231,FIND("-",I231)-1),I231),'Catalogo MINSAL'!A:E,5,FALSE),""),""))</f>
        <v/>
      </c>
      <c r="K231" s="2"/>
      <c r="L231" s="2"/>
      <c r="M231" s="2"/>
      <c r="N231" s="2"/>
      <c r="O231" s="2"/>
      <c r="P231" s="2"/>
      <c r="Q231" s="24"/>
      <c r="R231" s="2" t="str">
        <f t="shared" si="21"/>
        <v/>
      </c>
      <c r="S231" s="2"/>
      <c r="T231" s="2"/>
      <c r="U231" s="2" t="str">
        <f t="shared" si="22"/>
        <v/>
      </c>
      <c r="V231" s="10" t="str">
        <f t="shared" si="23"/>
        <v/>
      </c>
      <c r="W231" s="10" t="str">
        <f t="shared" si="24"/>
        <v/>
      </c>
      <c r="X231" s="38" t="str">
        <f t="shared" si="25"/>
        <v/>
      </c>
      <c r="Y231" s="10" t="str">
        <f t="shared" si="26"/>
        <v/>
      </c>
      <c r="Z231" s="2" t="str">
        <f t="shared" si="27"/>
        <v/>
      </c>
      <c r="AA231" s="2"/>
      <c r="AB231" s="2"/>
    </row>
    <row r="232" spans="1:28" ht="16">
      <c r="A232" s="31"/>
      <c r="B232" s="32"/>
      <c r="C232" s="32"/>
      <c r="D232" s="32"/>
      <c r="E232" s="32"/>
      <c r="F232" s="33"/>
      <c r="G232" s="2"/>
      <c r="H232" s="2"/>
      <c r="I232" s="2"/>
      <c r="J232" s="35" t="str">
        <f>IF(H232&lt;&gt;"",IFERROR(VLOOKUP(IFERROR(LEFT(H232,FIND("-",H232)-1),H232),'Catalogo MINSAL'!A:E,5,FALSE),""),IF(I232&lt;&gt;"",IFERROR(VLOOKUP(IFERROR(LEFT(I232,FIND("-",I232)-1),I232),'Catalogo MINSAL'!A:E,5,FALSE),""),""))</f>
        <v/>
      </c>
      <c r="K232" s="2"/>
      <c r="L232" s="2"/>
      <c r="M232" s="2"/>
      <c r="N232" s="2"/>
      <c r="O232" s="2"/>
      <c r="P232" s="2"/>
      <c r="Q232" s="24"/>
      <c r="R232" s="2" t="str">
        <f t="shared" si="21"/>
        <v/>
      </c>
      <c r="S232" s="2"/>
      <c r="T232" s="2"/>
      <c r="U232" s="2" t="str">
        <f t="shared" si="22"/>
        <v/>
      </c>
      <c r="V232" s="10" t="str">
        <f t="shared" si="23"/>
        <v/>
      </c>
      <c r="W232" s="10" t="str">
        <f t="shared" si="24"/>
        <v/>
      </c>
      <c r="X232" s="38" t="str">
        <f t="shared" si="25"/>
        <v/>
      </c>
      <c r="Y232" s="10" t="str">
        <f t="shared" si="26"/>
        <v/>
      </c>
      <c r="Z232" s="2" t="str">
        <f t="shared" si="27"/>
        <v/>
      </c>
      <c r="AA232" s="2"/>
      <c r="AB232" s="2"/>
    </row>
    <row r="233" spans="1:28" ht="16">
      <c r="A233" s="31"/>
      <c r="B233" s="32"/>
      <c r="C233" s="32"/>
      <c r="D233" s="32"/>
      <c r="E233" s="32"/>
      <c r="F233" s="33"/>
      <c r="G233" s="2"/>
      <c r="H233" s="2"/>
      <c r="I233" s="2"/>
      <c r="J233" s="35" t="str">
        <f>IF(H233&lt;&gt;"",IFERROR(VLOOKUP(IFERROR(LEFT(H233,FIND("-",H233)-1),H233),'Catalogo MINSAL'!A:E,5,FALSE),""),IF(I233&lt;&gt;"",IFERROR(VLOOKUP(IFERROR(LEFT(I233,FIND("-",I233)-1),I233),'Catalogo MINSAL'!A:E,5,FALSE),""),""))</f>
        <v/>
      </c>
      <c r="K233" s="2"/>
      <c r="L233" s="2"/>
      <c r="M233" s="2"/>
      <c r="N233" s="2"/>
      <c r="O233" s="2"/>
      <c r="P233" s="2"/>
      <c r="Q233" s="24"/>
      <c r="R233" s="2" t="str">
        <f t="shared" si="21"/>
        <v/>
      </c>
      <c r="S233" s="2"/>
      <c r="T233" s="2"/>
      <c r="U233" s="2" t="str">
        <f t="shared" si="22"/>
        <v/>
      </c>
      <c r="V233" s="10" t="str">
        <f t="shared" si="23"/>
        <v/>
      </c>
      <c r="W233" s="10" t="str">
        <f t="shared" si="24"/>
        <v/>
      </c>
      <c r="X233" s="38" t="str">
        <f t="shared" si="25"/>
        <v/>
      </c>
      <c r="Y233" s="10" t="str">
        <f t="shared" si="26"/>
        <v/>
      </c>
      <c r="Z233" s="2" t="str">
        <f t="shared" si="27"/>
        <v/>
      </c>
      <c r="AA233" s="2"/>
      <c r="AB233" s="2"/>
    </row>
    <row r="234" spans="1:28" ht="16">
      <c r="A234" s="31"/>
      <c r="B234" s="32"/>
      <c r="C234" s="32"/>
      <c r="D234" s="32"/>
      <c r="E234" s="32"/>
      <c r="F234" s="33"/>
      <c r="G234" s="2"/>
      <c r="H234" s="2"/>
      <c r="I234" s="2"/>
      <c r="J234" s="35" t="str">
        <f>IF(H234&lt;&gt;"",IFERROR(VLOOKUP(IFERROR(LEFT(H234,FIND("-",H234)-1),H234),'Catalogo MINSAL'!A:E,5,FALSE),""),IF(I234&lt;&gt;"",IFERROR(VLOOKUP(IFERROR(LEFT(I234,FIND("-",I234)-1),I234),'Catalogo MINSAL'!A:E,5,FALSE),""),""))</f>
        <v/>
      </c>
      <c r="K234" s="2"/>
      <c r="L234" s="2"/>
      <c r="M234" s="2"/>
      <c r="N234" s="2"/>
      <c r="O234" s="2"/>
      <c r="P234" s="2"/>
      <c r="Q234" s="24"/>
      <c r="R234" s="2" t="str">
        <f t="shared" si="21"/>
        <v/>
      </c>
      <c r="S234" s="2"/>
      <c r="T234" s="2"/>
      <c r="U234" s="2" t="str">
        <f t="shared" si="22"/>
        <v/>
      </c>
      <c r="V234" s="10" t="str">
        <f t="shared" si="23"/>
        <v/>
      </c>
      <c r="W234" s="10" t="str">
        <f t="shared" si="24"/>
        <v/>
      </c>
      <c r="X234" s="38" t="str">
        <f t="shared" si="25"/>
        <v/>
      </c>
      <c r="Y234" s="10" t="str">
        <f t="shared" si="26"/>
        <v/>
      </c>
      <c r="Z234" s="2" t="str">
        <f t="shared" si="27"/>
        <v/>
      </c>
      <c r="AA234" s="2"/>
      <c r="AB234" s="2"/>
    </row>
    <row r="235" spans="1:28" ht="16">
      <c r="A235" s="31"/>
      <c r="B235" s="32"/>
      <c r="C235" s="32"/>
      <c r="D235" s="32"/>
      <c r="E235" s="32"/>
      <c r="F235" s="33"/>
      <c r="G235" s="2"/>
      <c r="H235" s="2"/>
      <c r="I235" s="2"/>
      <c r="J235" s="35" t="str">
        <f>IF(H235&lt;&gt;"",IFERROR(VLOOKUP(IFERROR(LEFT(H235,FIND("-",H235)-1),H235),'Catalogo MINSAL'!A:E,5,FALSE),""),IF(I235&lt;&gt;"",IFERROR(VLOOKUP(IFERROR(LEFT(I235,FIND("-",I235)-1),I235),'Catalogo MINSAL'!A:E,5,FALSE),""),""))</f>
        <v/>
      </c>
      <c r="K235" s="2"/>
      <c r="L235" s="2"/>
      <c r="M235" s="2"/>
      <c r="N235" s="2"/>
      <c r="O235" s="2"/>
      <c r="P235" s="2"/>
      <c r="Q235" s="24"/>
      <c r="R235" s="2" t="str">
        <f t="shared" si="21"/>
        <v/>
      </c>
      <c r="S235" s="2"/>
      <c r="T235" s="2"/>
      <c r="U235" s="2" t="str">
        <f t="shared" si="22"/>
        <v/>
      </c>
      <c r="V235" s="10" t="str">
        <f t="shared" si="23"/>
        <v/>
      </c>
      <c r="W235" s="10" t="str">
        <f t="shared" si="24"/>
        <v/>
      </c>
      <c r="X235" s="38" t="str">
        <f t="shared" si="25"/>
        <v/>
      </c>
      <c r="Y235" s="10" t="str">
        <f t="shared" si="26"/>
        <v/>
      </c>
      <c r="Z235" s="2" t="str">
        <f t="shared" si="27"/>
        <v/>
      </c>
      <c r="AA235" s="2"/>
      <c r="AB235" s="2"/>
    </row>
    <row r="236" spans="1:28" ht="16">
      <c r="A236" s="31"/>
      <c r="B236" s="32"/>
      <c r="C236" s="32"/>
      <c r="D236" s="32"/>
      <c r="E236" s="32"/>
      <c r="F236" s="33"/>
      <c r="G236" s="2"/>
      <c r="H236" s="2"/>
      <c r="I236" s="2"/>
      <c r="J236" s="35" t="str">
        <f>IF(H236&lt;&gt;"",IFERROR(VLOOKUP(IFERROR(LEFT(H236,FIND("-",H236)-1),H236),'Catalogo MINSAL'!A:E,5,FALSE),""),IF(I236&lt;&gt;"",IFERROR(VLOOKUP(IFERROR(LEFT(I236,FIND("-",I236)-1),I236),'Catalogo MINSAL'!A:E,5,FALSE),""),""))</f>
        <v/>
      </c>
      <c r="K236" s="2"/>
      <c r="L236" s="2"/>
      <c r="M236" s="2"/>
      <c r="N236" s="2"/>
      <c r="O236" s="2"/>
      <c r="P236" s="2"/>
      <c r="Q236" s="24"/>
      <c r="R236" s="2" t="str">
        <f t="shared" si="21"/>
        <v/>
      </c>
      <c r="S236" s="2"/>
      <c r="T236" s="2"/>
      <c r="U236" s="2" t="str">
        <f t="shared" si="22"/>
        <v/>
      </c>
      <c r="V236" s="10" t="str">
        <f t="shared" si="23"/>
        <v/>
      </c>
      <c r="W236" s="10" t="str">
        <f t="shared" si="24"/>
        <v/>
      </c>
      <c r="X236" s="38" t="str">
        <f t="shared" si="25"/>
        <v/>
      </c>
      <c r="Y236" s="10" t="str">
        <f t="shared" si="26"/>
        <v/>
      </c>
      <c r="Z236" s="2" t="str">
        <f t="shared" si="27"/>
        <v/>
      </c>
      <c r="AA236" s="2"/>
      <c r="AB236" s="2"/>
    </row>
    <row r="237" spans="1:28" ht="16">
      <c r="A237" s="31"/>
      <c r="B237" s="32"/>
      <c r="C237" s="32"/>
      <c r="D237" s="32"/>
      <c r="E237" s="32"/>
      <c r="F237" s="33"/>
      <c r="G237" s="2"/>
      <c r="H237" s="2"/>
      <c r="I237" s="2"/>
      <c r="J237" s="35" t="str">
        <f>IF(H237&lt;&gt;"",IFERROR(VLOOKUP(IFERROR(LEFT(H237,FIND("-",H237)-1),H237),'Catalogo MINSAL'!A:E,5,FALSE),""),IF(I237&lt;&gt;"",IFERROR(VLOOKUP(IFERROR(LEFT(I237,FIND("-",I237)-1),I237),'Catalogo MINSAL'!A:E,5,FALSE),""),""))</f>
        <v/>
      </c>
      <c r="K237" s="2"/>
      <c r="L237" s="2"/>
      <c r="M237" s="2"/>
      <c r="N237" s="2"/>
      <c r="O237" s="2"/>
      <c r="P237" s="2"/>
      <c r="Q237" s="24"/>
      <c r="R237" s="2" t="str">
        <f t="shared" si="21"/>
        <v/>
      </c>
      <c r="S237" s="2"/>
      <c r="T237" s="2"/>
      <c r="U237" s="2" t="str">
        <f t="shared" si="22"/>
        <v/>
      </c>
      <c r="V237" s="10" t="str">
        <f t="shared" si="23"/>
        <v/>
      </c>
      <c r="W237" s="10" t="str">
        <f t="shared" si="24"/>
        <v/>
      </c>
      <c r="X237" s="38" t="str">
        <f t="shared" si="25"/>
        <v/>
      </c>
      <c r="Y237" s="10" t="str">
        <f t="shared" si="26"/>
        <v/>
      </c>
      <c r="Z237" s="2" t="str">
        <f t="shared" si="27"/>
        <v/>
      </c>
      <c r="AA237" s="2"/>
      <c r="AB237" s="2"/>
    </row>
    <row r="238" spans="1:28" ht="16">
      <c r="A238" s="31"/>
      <c r="B238" s="32"/>
      <c r="C238" s="32"/>
      <c r="D238" s="32"/>
      <c r="E238" s="32"/>
      <c r="F238" s="33"/>
      <c r="G238" s="2"/>
      <c r="H238" s="2"/>
      <c r="I238" s="2"/>
      <c r="J238" s="35" t="str">
        <f>IF(H238&lt;&gt;"",IFERROR(VLOOKUP(IFERROR(LEFT(H238,FIND("-",H238)-1),H238),'Catalogo MINSAL'!A:E,5,FALSE),""),IF(I238&lt;&gt;"",IFERROR(VLOOKUP(IFERROR(LEFT(I238,FIND("-",I238)-1),I238),'Catalogo MINSAL'!A:E,5,FALSE),""),""))</f>
        <v/>
      </c>
      <c r="K238" s="2"/>
      <c r="L238" s="2"/>
      <c r="M238" s="2"/>
      <c r="N238" s="2"/>
      <c r="O238" s="2"/>
      <c r="P238" s="2"/>
      <c r="Q238" s="24"/>
      <c r="R238" s="2" t="str">
        <f t="shared" si="21"/>
        <v/>
      </c>
      <c r="S238" s="2"/>
      <c r="T238" s="2"/>
      <c r="U238" s="2" t="str">
        <f t="shared" si="22"/>
        <v/>
      </c>
      <c r="V238" s="10" t="str">
        <f t="shared" si="23"/>
        <v/>
      </c>
      <c r="W238" s="10" t="str">
        <f t="shared" si="24"/>
        <v/>
      </c>
      <c r="X238" s="38" t="str">
        <f t="shared" si="25"/>
        <v/>
      </c>
      <c r="Y238" s="10" t="str">
        <f t="shared" si="26"/>
        <v/>
      </c>
      <c r="Z238" s="2" t="str">
        <f t="shared" si="27"/>
        <v/>
      </c>
      <c r="AA238" s="2"/>
      <c r="AB238" s="2"/>
    </row>
    <row r="239" spans="1:28" ht="16">
      <c r="A239" s="31"/>
      <c r="B239" s="32"/>
      <c r="C239" s="32"/>
      <c r="D239" s="32"/>
      <c r="E239" s="32"/>
      <c r="F239" s="33"/>
      <c r="G239" s="2"/>
      <c r="H239" s="2"/>
      <c r="I239" s="2"/>
      <c r="J239" s="35" t="str">
        <f>IF(H239&lt;&gt;"",IFERROR(VLOOKUP(IFERROR(LEFT(H239,FIND("-",H239)-1),H239),'Catalogo MINSAL'!A:E,5,FALSE),""),IF(I239&lt;&gt;"",IFERROR(VLOOKUP(IFERROR(LEFT(I239,FIND("-",I239)-1),I239),'Catalogo MINSAL'!A:E,5,FALSE),""),""))</f>
        <v/>
      </c>
      <c r="K239" s="2"/>
      <c r="L239" s="2"/>
      <c r="M239" s="2"/>
      <c r="N239" s="2"/>
      <c r="O239" s="2"/>
      <c r="P239" s="2"/>
      <c r="Q239" s="24"/>
      <c r="R239" s="2" t="str">
        <f t="shared" si="21"/>
        <v/>
      </c>
      <c r="S239" s="2"/>
      <c r="T239" s="2"/>
      <c r="U239" s="2" t="str">
        <f t="shared" si="22"/>
        <v/>
      </c>
      <c r="V239" s="10" t="str">
        <f t="shared" si="23"/>
        <v/>
      </c>
      <c r="W239" s="10" t="str">
        <f t="shared" si="24"/>
        <v/>
      </c>
      <c r="X239" s="38" t="str">
        <f t="shared" si="25"/>
        <v/>
      </c>
      <c r="Y239" s="10" t="str">
        <f t="shared" si="26"/>
        <v/>
      </c>
      <c r="Z239" s="2" t="str">
        <f t="shared" si="27"/>
        <v/>
      </c>
      <c r="AA239" s="2"/>
      <c r="AB239" s="2"/>
    </row>
    <row r="240" spans="1:28" ht="16">
      <c r="A240" s="31"/>
      <c r="B240" s="32"/>
      <c r="C240" s="32"/>
      <c r="D240" s="32"/>
      <c r="E240" s="32"/>
      <c r="F240" s="33"/>
      <c r="G240" s="2"/>
      <c r="H240" s="2"/>
      <c r="I240" s="2"/>
      <c r="J240" s="35" t="str">
        <f>IF(H240&lt;&gt;"",IFERROR(VLOOKUP(IFERROR(LEFT(H240,FIND("-",H240)-1),H240),'Catalogo MINSAL'!A:E,5,FALSE),""),IF(I240&lt;&gt;"",IFERROR(VLOOKUP(IFERROR(LEFT(I240,FIND("-",I240)-1),I240),'Catalogo MINSAL'!A:E,5,FALSE),""),""))</f>
        <v/>
      </c>
      <c r="K240" s="2"/>
      <c r="L240" s="2"/>
      <c r="M240" s="2"/>
      <c r="N240" s="2"/>
      <c r="O240" s="2"/>
      <c r="P240" s="2"/>
      <c r="Q240" s="24"/>
      <c r="R240" s="2" t="str">
        <f t="shared" si="21"/>
        <v/>
      </c>
      <c r="S240" s="2"/>
      <c r="T240" s="2"/>
      <c r="U240" s="2" t="str">
        <f t="shared" si="22"/>
        <v/>
      </c>
      <c r="V240" s="10" t="str">
        <f t="shared" si="23"/>
        <v/>
      </c>
      <c r="W240" s="10" t="str">
        <f t="shared" si="24"/>
        <v/>
      </c>
      <c r="X240" s="38" t="str">
        <f t="shared" si="25"/>
        <v/>
      </c>
      <c r="Y240" s="10" t="str">
        <f t="shared" si="26"/>
        <v/>
      </c>
      <c r="Z240" s="2" t="str">
        <f t="shared" si="27"/>
        <v/>
      </c>
      <c r="AA240" s="2"/>
      <c r="AB240" s="2"/>
    </row>
    <row r="241" spans="1:28" ht="16">
      <c r="A241" s="31"/>
      <c r="B241" s="32"/>
      <c r="C241" s="32"/>
      <c r="D241" s="32"/>
      <c r="E241" s="32"/>
      <c r="F241" s="33"/>
      <c r="G241" s="2"/>
      <c r="H241" s="2"/>
      <c r="I241" s="2"/>
      <c r="J241" s="35" t="str">
        <f>IF(H241&lt;&gt;"",IFERROR(VLOOKUP(IFERROR(LEFT(H241,FIND("-",H241)-1),H241),'Catalogo MINSAL'!A:E,5,FALSE),""),IF(I241&lt;&gt;"",IFERROR(VLOOKUP(IFERROR(LEFT(I241,FIND("-",I241)-1),I241),'Catalogo MINSAL'!A:E,5,FALSE),""),""))</f>
        <v/>
      </c>
      <c r="K241" s="2"/>
      <c r="L241" s="2"/>
      <c r="M241" s="2"/>
      <c r="N241" s="2"/>
      <c r="O241" s="2"/>
      <c r="P241" s="2"/>
      <c r="Q241" s="24"/>
      <c r="R241" s="2" t="str">
        <f t="shared" si="21"/>
        <v/>
      </c>
      <c r="S241" s="2"/>
      <c r="T241" s="2"/>
      <c r="U241" s="2" t="str">
        <f t="shared" si="22"/>
        <v/>
      </c>
      <c r="V241" s="10" t="str">
        <f t="shared" si="23"/>
        <v/>
      </c>
      <c r="W241" s="10" t="str">
        <f t="shared" si="24"/>
        <v/>
      </c>
      <c r="X241" s="38" t="str">
        <f t="shared" si="25"/>
        <v/>
      </c>
      <c r="Y241" s="10" t="str">
        <f t="shared" si="26"/>
        <v/>
      </c>
      <c r="Z241" s="2" t="str">
        <f t="shared" si="27"/>
        <v/>
      </c>
      <c r="AA241" s="2"/>
      <c r="AB241" s="2"/>
    </row>
    <row r="242" spans="1:28" ht="16">
      <c r="A242" s="31"/>
      <c r="B242" s="32"/>
      <c r="C242" s="32"/>
      <c r="D242" s="32"/>
      <c r="E242" s="32"/>
      <c r="F242" s="33"/>
      <c r="G242" s="2"/>
      <c r="H242" s="2"/>
      <c r="I242" s="2"/>
      <c r="J242" s="35" t="str">
        <f>IF(H242&lt;&gt;"",IFERROR(VLOOKUP(IFERROR(LEFT(H242,FIND("-",H242)-1),H242),'Catalogo MINSAL'!A:E,5,FALSE),""),IF(I242&lt;&gt;"",IFERROR(VLOOKUP(IFERROR(LEFT(I242,FIND("-",I242)-1),I242),'Catalogo MINSAL'!A:E,5,FALSE),""),""))</f>
        <v/>
      </c>
      <c r="K242" s="2"/>
      <c r="L242" s="2"/>
      <c r="M242" s="2"/>
      <c r="N242" s="2"/>
      <c r="O242" s="2"/>
      <c r="P242" s="2"/>
      <c r="Q242" s="24"/>
      <c r="R242" s="2" t="str">
        <f t="shared" si="21"/>
        <v/>
      </c>
      <c r="S242" s="2"/>
      <c r="T242" s="2"/>
      <c r="U242" s="2" t="str">
        <f t="shared" si="22"/>
        <v/>
      </c>
      <c r="V242" s="10" t="str">
        <f t="shared" si="23"/>
        <v/>
      </c>
      <c r="W242" s="10" t="str">
        <f t="shared" si="24"/>
        <v/>
      </c>
      <c r="X242" s="38" t="str">
        <f t="shared" si="25"/>
        <v/>
      </c>
      <c r="Y242" s="10" t="str">
        <f t="shared" si="26"/>
        <v/>
      </c>
      <c r="Z242" s="2" t="str">
        <f t="shared" si="27"/>
        <v/>
      </c>
      <c r="AA242" s="2"/>
      <c r="AB242" s="2"/>
    </row>
    <row r="243" spans="1:28" ht="16">
      <c r="A243" s="31"/>
      <c r="B243" s="32"/>
      <c r="C243" s="32"/>
      <c r="D243" s="32"/>
      <c r="E243" s="32"/>
      <c r="F243" s="33"/>
      <c r="G243" s="2"/>
      <c r="H243" s="2"/>
      <c r="I243" s="2"/>
      <c r="J243" s="35" t="str">
        <f>IF(H243&lt;&gt;"",IFERROR(VLOOKUP(IFERROR(LEFT(H243,FIND("-",H243)-1),H243),'Catalogo MINSAL'!A:E,5,FALSE),""),IF(I243&lt;&gt;"",IFERROR(VLOOKUP(IFERROR(LEFT(I243,FIND("-",I243)-1),I243),'Catalogo MINSAL'!A:E,5,FALSE),""),""))</f>
        <v/>
      </c>
      <c r="K243" s="2"/>
      <c r="L243" s="2"/>
      <c r="M243" s="2"/>
      <c r="N243" s="2"/>
      <c r="O243" s="2"/>
      <c r="P243" s="2"/>
      <c r="Q243" s="24"/>
      <c r="R243" s="2" t="str">
        <f t="shared" si="21"/>
        <v/>
      </c>
      <c r="S243" s="2"/>
      <c r="T243" s="2"/>
      <c r="U243" s="2" t="str">
        <f t="shared" si="22"/>
        <v/>
      </c>
      <c r="V243" s="10" t="str">
        <f t="shared" si="23"/>
        <v/>
      </c>
      <c r="W243" s="10" t="str">
        <f t="shared" si="24"/>
        <v/>
      </c>
      <c r="X243" s="38" t="str">
        <f t="shared" si="25"/>
        <v/>
      </c>
      <c r="Y243" s="10" t="str">
        <f t="shared" si="26"/>
        <v/>
      </c>
      <c r="Z243" s="2" t="str">
        <f t="shared" si="27"/>
        <v/>
      </c>
      <c r="AA243" s="2"/>
      <c r="AB243" s="2"/>
    </row>
    <row r="244" spans="1:28" ht="16">
      <c r="A244" s="31"/>
      <c r="B244" s="32"/>
      <c r="C244" s="32"/>
      <c r="D244" s="32"/>
      <c r="E244" s="32"/>
      <c r="F244" s="33"/>
      <c r="G244" s="2"/>
      <c r="H244" s="2"/>
      <c r="I244" s="2"/>
      <c r="J244" s="35" t="str">
        <f>IF(H244&lt;&gt;"",IFERROR(VLOOKUP(IFERROR(LEFT(H244,FIND("-",H244)-1),H244),'Catalogo MINSAL'!A:E,5,FALSE),""),IF(I244&lt;&gt;"",IFERROR(VLOOKUP(IFERROR(LEFT(I244,FIND("-",I244)-1),I244),'Catalogo MINSAL'!A:E,5,FALSE),""),""))</f>
        <v/>
      </c>
      <c r="K244" s="2"/>
      <c r="L244" s="2"/>
      <c r="M244" s="2"/>
      <c r="N244" s="2"/>
      <c r="O244" s="2"/>
      <c r="P244" s="2"/>
      <c r="Q244" s="24"/>
      <c r="R244" s="2" t="str">
        <f t="shared" si="21"/>
        <v/>
      </c>
      <c r="S244" s="2"/>
      <c r="T244" s="2"/>
      <c r="U244" s="2" t="str">
        <f t="shared" si="22"/>
        <v/>
      </c>
      <c r="V244" s="10" t="str">
        <f t="shared" si="23"/>
        <v/>
      </c>
      <c r="W244" s="10" t="str">
        <f t="shared" si="24"/>
        <v/>
      </c>
      <c r="X244" s="38" t="str">
        <f t="shared" si="25"/>
        <v/>
      </c>
      <c r="Y244" s="10" t="str">
        <f t="shared" si="26"/>
        <v/>
      </c>
      <c r="Z244" s="2" t="str">
        <f t="shared" si="27"/>
        <v/>
      </c>
      <c r="AA244" s="2"/>
      <c r="AB244" s="2"/>
    </row>
    <row r="245" spans="1:28" ht="16">
      <c r="A245" s="31"/>
      <c r="B245" s="32"/>
      <c r="C245" s="32"/>
      <c r="D245" s="32"/>
      <c r="E245" s="32"/>
      <c r="F245" s="33"/>
      <c r="G245" s="2"/>
      <c r="H245" s="2"/>
      <c r="I245" s="2"/>
      <c r="J245" s="35" t="str">
        <f>IF(H245&lt;&gt;"",IFERROR(VLOOKUP(IFERROR(LEFT(H245,FIND("-",H245)-1),H245),'Catalogo MINSAL'!A:E,5,FALSE),""),IF(I245&lt;&gt;"",IFERROR(VLOOKUP(IFERROR(LEFT(I245,FIND("-",I245)-1),I245),'Catalogo MINSAL'!A:E,5,FALSE),""),""))</f>
        <v/>
      </c>
      <c r="K245" s="2"/>
      <c r="L245" s="2"/>
      <c r="M245" s="2"/>
      <c r="N245" s="2"/>
      <c r="O245" s="2"/>
      <c r="P245" s="2"/>
      <c r="Q245" s="24"/>
      <c r="R245" s="2" t="str">
        <f t="shared" si="21"/>
        <v/>
      </c>
      <c r="S245" s="2"/>
      <c r="T245" s="2"/>
      <c r="U245" s="2" t="str">
        <f t="shared" si="22"/>
        <v/>
      </c>
      <c r="V245" s="10" t="str">
        <f t="shared" si="23"/>
        <v/>
      </c>
      <c r="W245" s="10" t="str">
        <f t="shared" si="24"/>
        <v/>
      </c>
      <c r="X245" s="38" t="str">
        <f t="shared" si="25"/>
        <v/>
      </c>
      <c r="Y245" s="10" t="str">
        <f t="shared" si="26"/>
        <v/>
      </c>
      <c r="Z245" s="2" t="str">
        <f t="shared" si="27"/>
        <v/>
      </c>
      <c r="AA245" s="2"/>
      <c r="AB245" s="2"/>
    </row>
    <row r="246" spans="1:28" ht="16">
      <c r="A246" s="31"/>
      <c r="B246" s="32"/>
      <c r="C246" s="32"/>
      <c r="D246" s="32"/>
      <c r="E246" s="32"/>
      <c r="F246" s="33"/>
      <c r="G246" s="2"/>
      <c r="H246" s="2"/>
      <c r="I246" s="2"/>
      <c r="J246" s="35" t="str">
        <f>IF(H246&lt;&gt;"",IFERROR(VLOOKUP(IFERROR(LEFT(H246,FIND("-",H246)-1),H246),'Catalogo MINSAL'!A:E,5,FALSE),""),IF(I246&lt;&gt;"",IFERROR(VLOOKUP(IFERROR(LEFT(I246,FIND("-",I246)-1),I246),'Catalogo MINSAL'!A:E,5,FALSE),""),""))</f>
        <v/>
      </c>
      <c r="K246" s="2"/>
      <c r="L246" s="2"/>
      <c r="M246" s="2"/>
      <c r="N246" s="2"/>
      <c r="O246" s="2"/>
      <c r="P246" s="2"/>
      <c r="Q246" s="24"/>
      <c r="R246" s="2" t="str">
        <f t="shared" si="21"/>
        <v/>
      </c>
      <c r="S246" s="2"/>
      <c r="T246" s="2"/>
      <c r="U246" s="2" t="str">
        <f t="shared" si="22"/>
        <v/>
      </c>
      <c r="V246" s="10" t="str">
        <f t="shared" si="23"/>
        <v/>
      </c>
      <c r="W246" s="10" t="str">
        <f t="shared" si="24"/>
        <v/>
      </c>
      <c r="X246" s="38" t="str">
        <f t="shared" si="25"/>
        <v/>
      </c>
      <c r="Y246" s="10" t="str">
        <f t="shared" si="26"/>
        <v/>
      </c>
      <c r="Z246" s="2" t="str">
        <f t="shared" si="27"/>
        <v/>
      </c>
      <c r="AA246" s="2"/>
      <c r="AB246" s="2"/>
    </row>
    <row r="247" spans="1:28" ht="16">
      <c r="A247" s="31"/>
      <c r="B247" s="32"/>
      <c r="C247" s="32"/>
      <c r="D247" s="32"/>
      <c r="E247" s="32"/>
      <c r="F247" s="33"/>
      <c r="G247" s="2"/>
      <c r="H247" s="2"/>
      <c r="I247" s="2"/>
      <c r="J247" s="35" t="str">
        <f>IF(H247&lt;&gt;"",IFERROR(VLOOKUP(IFERROR(LEFT(H247,FIND("-",H247)-1),H247),'Catalogo MINSAL'!A:E,5,FALSE),""),IF(I247&lt;&gt;"",IFERROR(VLOOKUP(IFERROR(LEFT(I247,FIND("-",I247)-1),I247),'Catalogo MINSAL'!A:E,5,FALSE),""),""))</f>
        <v/>
      </c>
      <c r="K247" s="2"/>
      <c r="L247" s="2"/>
      <c r="M247" s="2"/>
      <c r="N247" s="2"/>
      <c r="O247" s="2"/>
      <c r="P247" s="2"/>
      <c r="Q247" s="24"/>
      <c r="R247" s="2" t="str">
        <f t="shared" si="21"/>
        <v/>
      </c>
      <c r="S247" s="2"/>
      <c r="T247" s="2"/>
      <c r="U247" s="2" t="str">
        <f t="shared" si="22"/>
        <v/>
      </c>
      <c r="V247" s="10" t="str">
        <f t="shared" si="23"/>
        <v/>
      </c>
      <c r="W247" s="10" t="str">
        <f t="shared" si="24"/>
        <v/>
      </c>
      <c r="X247" s="38" t="str">
        <f t="shared" si="25"/>
        <v/>
      </c>
      <c r="Y247" s="10" t="str">
        <f t="shared" si="26"/>
        <v/>
      </c>
      <c r="Z247" s="2" t="str">
        <f t="shared" si="27"/>
        <v/>
      </c>
      <c r="AA247" s="2"/>
      <c r="AB247" s="2"/>
    </row>
    <row r="248" spans="1:28" ht="16">
      <c r="A248" s="31"/>
      <c r="B248" s="32"/>
      <c r="C248" s="32"/>
      <c r="D248" s="32"/>
      <c r="E248" s="32"/>
      <c r="F248" s="33"/>
      <c r="G248" s="2"/>
      <c r="H248" s="2"/>
      <c r="I248" s="2"/>
      <c r="J248" s="35" t="str">
        <f>IF(H248&lt;&gt;"",IFERROR(VLOOKUP(IFERROR(LEFT(H248,FIND("-",H248)-1),H248),'Catalogo MINSAL'!A:E,5,FALSE),""),IF(I248&lt;&gt;"",IFERROR(VLOOKUP(IFERROR(LEFT(I248,FIND("-",I248)-1),I248),'Catalogo MINSAL'!A:E,5,FALSE),""),""))</f>
        <v/>
      </c>
      <c r="K248" s="2"/>
      <c r="L248" s="2"/>
      <c r="M248" s="2"/>
      <c r="N248" s="2"/>
      <c r="O248" s="2"/>
      <c r="P248" s="2"/>
      <c r="Q248" s="24"/>
      <c r="R248" s="2" t="str">
        <f t="shared" si="21"/>
        <v/>
      </c>
      <c r="S248" s="2"/>
      <c r="T248" s="2"/>
      <c r="U248" s="2" t="str">
        <f t="shared" si="22"/>
        <v/>
      </c>
      <c r="V248" s="10" t="str">
        <f t="shared" si="23"/>
        <v/>
      </c>
      <c r="W248" s="10" t="str">
        <f t="shared" si="24"/>
        <v/>
      </c>
      <c r="X248" s="38" t="str">
        <f t="shared" si="25"/>
        <v/>
      </c>
      <c r="Y248" s="10" t="str">
        <f t="shared" si="26"/>
        <v/>
      </c>
      <c r="Z248" s="2" t="str">
        <f t="shared" si="27"/>
        <v/>
      </c>
      <c r="AA248" s="2"/>
      <c r="AB248" s="2"/>
    </row>
    <row r="249" spans="1:28" ht="16">
      <c r="A249" s="31"/>
      <c r="B249" s="32"/>
      <c r="C249" s="32"/>
      <c r="D249" s="32"/>
      <c r="E249" s="32"/>
      <c r="F249" s="33"/>
      <c r="G249" s="2"/>
      <c r="H249" s="2"/>
      <c r="I249" s="2"/>
      <c r="J249" s="35" t="str">
        <f>IF(H249&lt;&gt;"",IFERROR(VLOOKUP(IFERROR(LEFT(H249,FIND("-",H249)-1),H249),'Catalogo MINSAL'!A:E,5,FALSE),""),IF(I249&lt;&gt;"",IFERROR(VLOOKUP(IFERROR(LEFT(I249,FIND("-",I249)-1),I249),'Catalogo MINSAL'!A:E,5,FALSE),""),""))</f>
        <v/>
      </c>
      <c r="K249" s="2"/>
      <c r="L249" s="2"/>
      <c r="M249" s="2"/>
      <c r="N249" s="2"/>
      <c r="O249" s="2"/>
      <c r="P249" s="2"/>
      <c r="Q249" s="24"/>
      <c r="R249" s="2" t="str">
        <f t="shared" si="21"/>
        <v/>
      </c>
      <c r="S249" s="2"/>
      <c r="T249" s="2"/>
      <c r="U249" s="2" t="str">
        <f t="shared" si="22"/>
        <v/>
      </c>
      <c r="V249" s="10" t="str">
        <f t="shared" si="23"/>
        <v/>
      </c>
      <c r="W249" s="10" t="str">
        <f t="shared" si="24"/>
        <v/>
      </c>
      <c r="X249" s="38" t="str">
        <f t="shared" si="25"/>
        <v/>
      </c>
      <c r="Y249" s="10" t="str">
        <f t="shared" si="26"/>
        <v/>
      </c>
      <c r="Z249" s="2" t="str">
        <f t="shared" si="27"/>
        <v/>
      </c>
      <c r="AA249" s="2"/>
      <c r="AB249" s="2"/>
    </row>
    <row r="250" spans="1:28" ht="16">
      <c r="A250" s="31"/>
      <c r="B250" s="32"/>
      <c r="C250" s="32"/>
      <c r="D250" s="32"/>
      <c r="E250" s="32"/>
      <c r="F250" s="33"/>
      <c r="G250" s="2"/>
      <c r="H250" s="2"/>
      <c r="I250" s="2"/>
      <c r="J250" s="35" t="str">
        <f>IF(H250&lt;&gt;"",IFERROR(VLOOKUP(IFERROR(LEFT(H250,FIND("-",H250)-1),H250),'Catalogo MINSAL'!A:E,5,FALSE),""),IF(I250&lt;&gt;"",IFERROR(VLOOKUP(IFERROR(LEFT(I250,FIND("-",I250)-1),I250),'Catalogo MINSAL'!A:E,5,FALSE),""),""))</f>
        <v/>
      </c>
      <c r="K250" s="2"/>
      <c r="L250" s="2"/>
      <c r="M250" s="2"/>
      <c r="N250" s="2"/>
      <c r="O250" s="2"/>
      <c r="P250" s="2"/>
      <c r="Q250" s="24"/>
      <c r="R250" s="2" t="str">
        <f t="shared" si="21"/>
        <v/>
      </c>
      <c r="S250" s="2"/>
      <c r="T250" s="2"/>
      <c r="U250" s="2" t="str">
        <f t="shared" si="22"/>
        <v/>
      </c>
      <c r="V250" s="10" t="str">
        <f t="shared" si="23"/>
        <v/>
      </c>
      <c r="W250" s="10" t="str">
        <f t="shared" si="24"/>
        <v/>
      </c>
      <c r="X250" s="38" t="str">
        <f t="shared" si="25"/>
        <v/>
      </c>
      <c r="Y250" s="10" t="str">
        <f t="shared" si="26"/>
        <v/>
      </c>
      <c r="Z250" s="2" t="str">
        <f t="shared" si="27"/>
        <v/>
      </c>
      <c r="AA250" s="2"/>
      <c r="AB250" s="2"/>
    </row>
    <row r="251" spans="1:28" ht="16">
      <c r="A251" s="31"/>
      <c r="B251" s="32"/>
      <c r="C251" s="32"/>
      <c r="D251" s="32"/>
      <c r="E251" s="32"/>
      <c r="F251" s="33"/>
      <c r="G251" s="2"/>
      <c r="H251" s="2"/>
      <c r="I251" s="2"/>
      <c r="J251" s="35" t="str">
        <f>IF(H251&lt;&gt;"",IFERROR(VLOOKUP(IFERROR(LEFT(H251,FIND("-",H251)-1),H251),'Catalogo MINSAL'!A:E,5,FALSE),""),IF(I251&lt;&gt;"",IFERROR(VLOOKUP(IFERROR(LEFT(I251,FIND("-",I251)-1),I251),'Catalogo MINSAL'!A:E,5,FALSE),""),""))</f>
        <v/>
      </c>
      <c r="K251" s="2"/>
      <c r="L251" s="2"/>
      <c r="M251" s="2"/>
      <c r="N251" s="2"/>
      <c r="O251" s="2"/>
      <c r="P251" s="2"/>
      <c r="Q251" s="24"/>
      <c r="R251" s="2" t="str">
        <f t="shared" si="21"/>
        <v/>
      </c>
      <c r="S251" s="2"/>
      <c r="T251" s="2"/>
      <c r="U251" s="2" t="str">
        <f t="shared" si="22"/>
        <v/>
      </c>
      <c r="V251" s="10" t="str">
        <f t="shared" si="23"/>
        <v/>
      </c>
      <c r="W251" s="10" t="str">
        <f t="shared" si="24"/>
        <v/>
      </c>
      <c r="X251" s="38" t="str">
        <f t="shared" si="25"/>
        <v/>
      </c>
      <c r="Y251" s="10" t="str">
        <f t="shared" si="26"/>
        <v/>
      </c>
      <c r="Z251" s="2" t="str">
        <f t="shared" si="27"/>
        <v/>
      </c>
      <c r="AA251" s="2"/>
      <c r="AB251" s="2"/>
    </row>
    <row r="252" spans="1:28" ht="16">
      <c r="A252" s="31"/>
      <c r="B252" s="32"/>
      <c r="C252" s="32"/>
      <c r="D252" s="32"/>
      <c r="E252" s="32"/>
      <c r="F252" s="33"/>
      <c r="G252" s="2"/>
      <c r="H252" s="2"/>
      <c r="I252" s="2"/>
      <c r="J252" s="35" t="str">
        <f>IF(H252&lt;&gt;"",IFERROR(VLOOKUP(IFERROR(LEFT(H252,FIND("-",H252)-1),H252),'Catalogo MINSAL'!A:E,5,FALSE),""),IF(I252&lt;&gt;"",IFERROR(VLOOKUP(IFERROR(LEFT(I252,FIND("-",I252)-1),I252),'Catalogo MINSAL'!A:E,5,FALSE),""),""))</f>
        <v/>
      </c>
      <c r="K252" s="2"/>
      <c r="L252" s="2"/>
      <c r="M252" s="2"/>
      <c r="N252" s="2"/>
      <c r="O252" s="2"/>
      <c r="P252" s="2"/>
      <c r="Q252" s="24"/>
      <c r="R252" s="2" t="str">
        <f t="shared" si="21"/>
        <v/>
      </c>
      <c r="S252" s="2"/>
      <c r="T252" s="2"/>
      <c r="U252" s="2" t="str">
        <f t="shared" si="22"/>
        <v/>
      </c>
      <c r="V252" s="10" t="str">
        <f t="shared" si="23"/>
        <v/>
      </c>
      <c r="W252" s="10" t="str">
        <f t="shared" si="24"/>
        <v/>
      </c>
      <c r="X252" s="38" t="str">
        <f t="shared" si="25"/>
        <v/>
      </c>
      <c r="Y252" s="10" t="str">
        <f t="shared" si="26"/>
        <v/>
      </c>
      <c r="Z252" s="2" t="str">
        <f t="shared" si="27"/>
        <v/>
      </c>
      <c r="AA252" s="2"/>
      <c r="AB252" s="2"/>
    </row>
    <row r="253" spans="1:28" ht="16">
      <c r="A253" s="31"/>
      <c r="B253" s="32"/>
      <c r="C253" s="32"/>
      <c r="D253" s="32"/>
      <c r="E253" s="32"/>
      <c r="F253" s="33"/>
      <c r="G253" s="2"/>
      <c r="H253" s="2"/>
      <c r="I253" s="2"/>
      <c r="J253" s="35" t="str">
        <f>IF(H253&lt;&gt;"",IFERROR(VLOOKUP(IFERROR(LEFT(H253,FIND("-",H253)-1),H253),'Catalogo MINSAL'!A:E,5,FALSE),""),IF(I253&lt;&gt;"",IFERROR(VLOOKUP(IFERROR(LEFT(I253,FIND("-",I253)-1),I253),'Catalogo MINSAL'!A:E,5,FALSE),""),""))</f>
        <v/>
      </c>
      <c r="K253" s="2"/>
      <c r="L253" s="2"/>
      <c r="M253" s="2"/>
      <c r="N253" s="2"/>
      <c r="O253" s="2"/>
      <c r="P253" s="2"/>
      <c r="Q253" s="24"/>
      <c r="R253" s="2" t="str">
        <f t="shared" si="21"/>
        <v/>
      </c>
      <c r="S253" s="2"/>
      <c r="T253" s="2"/>
      <c r="U253" s="2" t="str">
        <f t="shared" si="22"/>
        <v/>
      </c>
      <c r="V253" s="10" t="str">
        <f t="shared" si="23"/>
        <v/>
      </c>
      <c r="W253" s="10" t="str">
        <f t="shared" si="24"/>
        <v/>
      </c>
      <c r="X253" s="38" t="str">
        <f t="shared" si="25"/>
        <v/>
      </c>
      <c r="Y253" s="10" t="str">
        <f t="shared" si="26"/>
        <v/>
      </c>
      <c r="Z253" s="2" t="str">
        <f t="shared" si="27"/>
        <v/>
      </c>
      <c r="AA253" s="2"/>
      <c r="AB253" s="2"/>
    </row>
    <row r="254" spans="1:28" ht="16">
      <c r="A254" s="31"/>
      <c r="B254" s="32"/>
      <c r="C254" s="32"/>
      <c r="D254" s="32"/>
      <c r="E254" s="32"/>
      <c r="F254" s="33"/>
      <c r="G254" s="2"/>
      <c r="H254" s="2"/>
      <c r="I254" s="2"/>
      <c r="J254" s="35" t="str">
        <f>IF(H254&lt;&gt;"",IFERROR(VLOOKUP(IFERROR(LEFT(H254,FIND("-",H254)-1),H254),'Catalogo MINSAL'!A:E,5,FALSE),""),IF(I254&lt;&gt;"",IFERROR(VLOOKUP(IFERROR(LEFT(I254,FIND("-",I254)-1),I254),'Catalogo MINSAL'!A:E,5,FALSE),""),""))</f>
        <v/>
      </c>
      <c r="K254" s="2"/>
      <c r="L254" s="2"/>
      <c r="M254" s="2"/>
      <c r="N254" s="2"/>
      <c r="O254" s="2"/>
      <c r="P254" s="2"/>
      <c r="Q254" s="24"/>
      <c r="R254" s="2" t="str">
        <f t="shared" si="21"/>
        <v/>
      </c>
      <c r="S254" s="2"/>
      <c r="T254" s="2"/>
      <c r="U254" s="2" t="str">
        <f t="shared" si="22"/>
        <v/>
      </c>
      <c r="V254" s="10" t="str">
        <f t="shared" si="23"/>
        <v/>
      </c>
      <c r="W254" s="10" t="str">
        <f t="shared" si="24"/>
        <v/>
      </c>
      <c r="X254" s="38" t="str">
        <f t="shared" si="25"/>
        <v/>
      </c>
      <c r="Y254" s="10" t="str">
        <f t="shared" si="26"/>
        <v/>
      </c>
      <c r="Z254" s="2" t="str">
        <f t="shared" si="27"/>
        <v/>
      </c>
      <c r="AA254" s="2"/>
      <c r="AB254" s="2"/>
    </row>
    <row r="255" spans="1:28" ht="16">
      <c r="A255" s="31"/>
      <c r="B255" s="32"/>
      <c r="C255" s="32"/>
      <c r="D255" s="32"/>
      <c r="E255" s="32"/>
      <c r="F255" s="33"/>
      <c r="G255" s="2"/>
      <c r="H255" s="2"/>
      <c r="I255" s="2"/>
      <c r="J255" s="35" t="str">
        <f>IF(H255&lt;&gt;"",IFERROR(VLOOKUP(IFERROR(LEFT(H255,FIND("-",H255)-1),H255),'Catalogo MINSAL'!A:E,5,FALSE),""),IF(I255&lt;&gt;"",IFERROR(VLOOKUP(IFERROR(LEFT(I255,FIND("-",I255)-1),I255),'Catalogo MINSAL'!A:E,5,FALSE),""),""))</f>
        <v/>
      </c>
      <c r="K255" s="2"/>
      <c r="L255" s="2"/>
      <c r="M255" s="2"/>
      <c r="N255" s="2"/>
      <c r="O255" s="2"/>
      <c r="P255" s="2"/>
      <c r="Q255" s="24"/>
      <c r="R255" s="2" t="str">
        <f t="shared" si="21"/>
        <v/>
      </c>
      <c r="S255" s="2"/>
      <c r="T255" s="2"/>
      <c r="U255" s="2" t="str">
        <f t="shared" si="22"/>
        <v/>
      </c>
      <c r="V255" s="10" t="str">
        <f t="shared" si="23"/>
        <v/>
      </c>
      <c r="W255" s="10" t="str">
        <f t="shared" si="24"/>
        <v/>
      </c>
      <c r="X255" s="38" t="str">
        <f t="shared" si="25"/>
        <v/>
      </c>
      <c r="Y255" s="10" t="str">
        <f t="shared" si="26"/>
        <v/>
      </c>
      <c r="Z255" s="2" t="str">
        <f t="shared" si="27"/>
        <v/>
      </c>
      <c r="AA255" s="2"/>
      <c r="AB255" s="2"/>
    </row>
    <row r="256" spans="1:28" ht="16">
      <c r="A256" s="31"/>
      <c r="B256" s="32"/>
      <c r="C256" s="32"/>
      <c r="D256" s="32"/>
      <c r="E256" s="32"/>
      <c r="F256" s="33"/>
      <c r="G256" s="2"/>
      <c r="H256" s="2"/>
      <c r="I256" s="2"/>
      <c r="J256" s="35" t="str">
        <f>IF(H256&lt;&gt;"",IFERROR(VLOOKUP(IFERROR(LEFT(H256,FIND("-",H256)-1),H256),'Catalogo MINSAL'!A:E,5,FALSE),""),IF(I256&lt;&gt;"",IFERROR(VLOOKUP(IFERROR(LEFT(I256,FIND("-",I256)-1),I256),'Catalogo MINSAL'!A:E,5,FALSE),""),""))</f>
        <v/>
      </c>
      <c r="K256" s="2"/>
      <c r="L256" s="2"/>
      <c r="M256" s="2"/>
      <c r="N256" s="2"/>
      <c r="O256" s="2"/>
      <c r="P256" s="2"/>
      <c r="Q256" s="24"/>
      <c r="R256" s="2" t="str">
        <f t="shared" si="21"/>
        <v/>
      </c>
      <c r="S256" s="2"/>
      <c r="T256" s="2"/>
      <c r="U256" s="2" t="str">
        <f t="shared" si="22"/>
        <v/>
      </c>
      <c r="V256" s="10" t="str">
        <f t="shared" si="23"/>
        <v/>
      </c>
      <c r="W256" s="10" t="str">
        <f t="shared" si="24"/>
        <v/>
      </c>
      <c r="X256" s="38" t="str">
        <f t="shared" si="25"/>
        <v/>
      </c>
      <c r="Y256" s="10" t="str">
        <f t="shared" si="26"/>
        <v/>
      </c>
      <c r="Z256" s="2" t="str">
        <f t="shared" si="27"/>
        <v/>
      </c>
      <c r="AA256" s="2"/>
      <c r="AB256" s="2"/>
    </row>
    <row r="257" spans="1:28" ht="16">
      <c r="A257" s="31"/>
      <c r="B257" s="32"/>
      <c r="C257" s="32"/>
      <c r="D257" s="32"/>
      <c r="E257" s="32"/>
      <c r="F257" s="33"/>
      <c r="G257" s="2"/>
      <c r="H257" s="2"/>
      <c r="I257" s="2"/>
      <c r="J257" s="35" t="str">
        <f>IF(H257&lt;&gt;"",IFERROR(VLOOKUP(IFERROR(LEFT(H257,FIND("-",H257)-1),H257),'Catalogo MINSAL'!A:E,5,FALSE),""),IF(I257&lt;&gt;"",IFERROR(VLOOKUP(IFERROR(LEFT(I257,FIND("-",I257)-1),I257),'Catalogo MINSAL'!A:E,5,FALSE),""),""))</f>
        <v/>
      </c>
      <c r="K257" s="2"/>
      <c r="L257" s="2"/>
      <c r="M257" s="2"/>
      <c r="N257" s="2"/>
      <c r="O257" s="2"/>
      <c r="P257" s="2"/>
      <c r="Q257" s="24"/>
      <c r="R257" s="2" t="str">
        <f t="shared" si="21"/>
        <v/>
      </c>
      <c r="S257" s="2"/>
      <c r="T257" s="2"/>
      <c r="U257" s="2" t="str">
        <f t="shared" si="22"/>
        <v/>
      </c>
      <c r="V257" s="10" t="str">
        <f t="shared" si="23"/>
        <v/>
      </c>
      <c r="W257" s="10" t="str">
        <f t="shared" si="24"/>
        <v/>
      </c>
      <c r="X257" s="38" t="str">
        <f t="shared" si="25"/>
        <v/>
      </c>
      <c r="Y257" s="10" t="str">
        <f t="shared" si="26"/>
        <v/>
      </c>
      <c r="Z257" s="2" t="str">
        <f t="shared" si="27"/>
        <v/>
      </c>
      <c r="AA257" s="2"/>
      <c r="AB257" s="2"/>
    </row>
    <row r="258" spans="1:28" ht="16">
      <c r="A258" s="31"/>
      <c r="B258" s="32"/>
      <c r="C258" s="32"/>
      <c r="D258" s="32"/>
      <c r="E258" s="32"/>
      <c r="F258" s="33"/>
      <c r="G258" s="2"/>
      <c r="H258" s="2"/>
      <c r="I258" s="2"/>
      <c r="J258" s="35" t="str">
        <f>IF(H258&lt;&gt;"",IFERROR(VLOOKUP(IFERROR(LEFT(H258,FIND("-",H258)-1),H258),'Catalogo MINSAL'!A:E,5,FALSE),""),IF(I258&lt;&gt;"",IFERROR(VLOOKUP(IFERROR(LEFT(I258,FIND("-",I258)-1),I258),'Catalogo MINSAL'!A:E,5,FALSE),""),""))</f>
        <v/>
      </c>
      <c r="K258" s="2"/>
      <c r="L258" s="2"/>
      <c r="M258" s="2"/>
      <c r="N258" s="2"/>
      <c r="O258" s="2"/>
      <c r="P258" s="2"/>
      <c r="Q258" s="24"/>
      <c r="R258" s="2" t="str">
        <f t="shared" si="21"/>
        <v/>
      </c>
      <c r="S258" s="2"/>
      <c r="T258" s="2"/>
      <c r="U258" s="2" t="str">
        <f t="shared" si="22"/>
        <v/>
      </c>
      <c r="V258" s="10" t="str">
        <f t="shared" si="23"/>
        <v/>
      </c>
      <c r="W258" s="10" t="str">
        <f t="shared" si="24"/>
        <v/>
      </c>
      <c r="X258" s="38" t="str">
        <f t="shared" si="25"/>
        <v/>
      </c>
      <c r="Y258" s="10" t="str">
        <f t="shared" si="26"/>
        <v/>
      </c>
      <c r="Z258" s="2" t="str">
        <f t="shared" si="27"/>
        <v/>
      </c>
      <c r="AA258" s="2"/>
      <c r="AB258" s="2"/>
    </row>
    <row r="259" spans="1:28" ht="16">
      <c r="A259" s="31"/>
      <c r="B259" s="32"/>
      <c r="C259" s="32"/>
      <c r="D259" s="32"/>
      <c r="E259" s="32"/>
      <c r="F259" s="33"/>
      <c r="G259" s="2"/>
      <c r="H259" s="2"/>
      <c r="I259" s="2"/>
      <c r="J259" s="35" t="str">
        <f>IF(H259&lt;&gt;"",IFERROR(VLOOKUP(IFERROR(LEFT(H259,FIND("-",H259)-1),H259),'Catalogo MINSAL'!A:E,5,FALSE),""),IF(I259&lt;&gt;"",IFERROR(VLOOKUP(IFERROR(LEFT(I259,FIND("-",I259)-1),I259),'Catalogo MINSAL'!A:E,5,FALSE),""),""))</f>
        <v/>
      </c>
      <c r="K259" s="2"/>
      <c r="L259" s="2"/>
      <c r="M259" s="2"/>
      <c r="N259" s="2"/>
      <c r="O259" s="2"/>
      <c r="P259" s="2"/>
      <c r="Q259" s="24"/>
      <c r="R259" s="2" t="str">
        <f t="shared" si="21"/>
        <v/>
      </c>
      <c r="S259" s="2"/>
      <c r="T259" s="2"/>
      <c r="U259" s="2" t="str">
        <f t="shared" si="22"/>
        <v/>
      </c>
      <c r="V259" s="10" t="str">
        <f t="shared" si="23"/>
        <v/>
      </c>
      <c r="W259" s="10" t="str">
        <f t="shared" si="24"/>
        <v/>
      </c>
      <c r="X259" s="38" t="str">
        <f t="shared" si="25"/>
        <v/>
      </c>
      <c r="Y259" s="10" t="str">
        <f t="shared" si="26"/>
        <v/>
      </c>
      <c r="Z259" s="2" t="str">
        <f t="shared" si="27"/>
        <v/>
      </c>
      <c r="AA259" s="2"/>
      <c r="AB259" s="2"/>
    </row>
    <row r="260" spans="1:28" ht="16">
      <c r="A260" s="31"/>
      <c r="B260" s="32"/>
      <c r="C260" s="32"/>
      <c r="D260" s="32"/>
      <c r="E260" s="32"/>
      <c r="F260" s="33"/>
      <c r="G260" s="2"/>
      <c r="H260" s="2"/>
      <c r="I260" s="2"/>
      <c r="J260" s="35" t="str">
        <f>IF(H260&lt;&gt;"",IFERROR(VLOOKUP(IFERROR(LEFT(H260,FIND("-",H260)-1),H260),'Catalogo MINSAL'!A:E,5,FALSE),""),IF(I260&lt;&gt;"",IFERROR(VLOOKUP(IFERROR(LEFT(I260,FIND("-",I260)-1),I260),'Catalogo MINSAL'!A:E,5,FALSE),""),""))</f>
        <v/>
      </c>
      <c r="K260" s="2"/>
      <c r="L260" s="2"/>
      <c r="M260" s="2"/>
      <c r="N260" s="2"/>
      <c r="O260" s="2"/>
      <c r="P260" s="2"/>
      <c r="Q260" s="24"/>
      <c r="R260" s="2" t="str">
        <f t="shared" ref="R260:R323" si="28">IF(Q260="","",IF(IF(ISNUMBER(Q260),MOD(Q260,1),TIMEVALUE(Q260))&lt;=TIME(8,15,0),"Ingreso adecuado","Atraso"))</f>
        <v/>
      </c>
      <c r="S260" s="2"/>
      <c r="T260" s="2"/>
      <c r="U260" s="2" t="str">
        <f t="shared" ref="U260:U323" si="29">IFERROR(IF(OR(Q260="",R260=""),"",IF(TIMEVALUE(R260)&gt;=TIMEVALUE(Q260),(TIMEVALUE(R260)-TIMEVALUE(Q260))*1440,(TIMEVALUE(R260)+1-TIMEVALUE(Q260))*1440)),"")</f>
        <v/>
      </c>
      <c r="V260" s="10" t="str">
        <f t="shared" ref="V260:V323" si="30">IFERROR(IF(OR(Q260="",S260=""),"",IF(IF(ISNUMBER(S260),MOD(S260,1),TIMEVALUE(S260))&gt;=IF(ISNUMBER(Q260),MOD(Q260,1),TIMEVALUE(Q260)),(IF(ISNUMBER(S260),MOD(S260,1),TIMEVALUE(S260))-IF(ISNUMBER(Q260),MOD(Q260,1),TIMEVALUE(Q260)))*1440,(IF(ISNUMBER(S260),MOD(S260,1),TIMEVALUE(S260))+1-IF(ISNUMBER(Q260),MOD(Q260,1),TIMEVALUE(Q260)))*1440)),"")</f>
        <v/>
      </c>
      <c r="W260" s="10" t="str">
        <f t="shared" ref="W260:W323" si="31">IFERROR(IF(OR(S260="",T260=""),"",IF(IF(ISNUMBER(T260),MOD(T260,1),TIMEVALUE(T260))&gt;=IF(ISNUMBER(S260),MOD(S260,1),TIMEVALUE(S260)),(IF(ISNUMBER(T260),MOD(T260,1),TIMEVALUE(T260))-IF(ISNUMBER(S260),MOD(S260,1),TIMEVALUE(S260)))*1440,(IF(ISNUMBER(T260),MOD(T260,1),TIMEVALUE(T260))+1-IF(ISNUMBER(S260),MOD(S260,1),TIMEVALUE(S260)))*1440)),"")</f>
        <v/>
      </c>
      <c r="X260" s="38" t="str">
        <f t="shared" ref="X260:X323" si="32">IFERROR(IF(OR(V260="",W260=""),"",V260-W260),"")</f>
        <v/>
      </c>
      <c r="Y260" s="10" t="str">
        <f t="shared" ref="Y260:Y323" si="33">IFERROR(IF(OR(W260="",X260=""),"",W260-X260),"")</f>
        <v/>
      </c>
      <c r="Z260" s="2" t="str">
        <f t="shared" ref="Z260:Z323" si="34">IFERROR(IF(Y260="","",IF(Y260&gt;15,"Subestimacion",IF(Y260&lt;-15,"Sobrestimacion","Asertivo"))),"")</f>
        <v/>
      </c>
      <c r="AA260" s="2"/>
      <c r="AB260" s="2"/>
    </row>
    <row r="261" spans="1:28" ht="16">
      <c r="A261" s="31"/>
      <c r="B261" s="32"/>
      <c r="C261" s="32"/>
      <c r="D261" s="32"/>
      <c r="E261" s="32"/>
      <c r="F261" s="33"/>
      <c r="G261" s="2"/>
      <c r="H261" s="2"/>
      <c r="I261" s="2"/>
      <c r="J261" s="35" t="str">
        <f>IF(H261&lt;&gt;"",IFERROR(VLOOKUP(IFERROR(LEFT(H261,FIND("-",H261)-1),H261),'Catalogo MINSAL'!A:E,5,FALSE),""),IF(I261&lt;&gt;"",IFERROR(VLOOKUP(IFERROR(LEFT(I261,FIND("-",I261)-1),I261),'Catalogo MINSAL'!A:E,5,FALSE),""),""))</f>
        <v/>
      </c>
      <c r="K261" s="2"/>
      <c r="L261" s="2"/>
      <c r="M261" s="2"/>
      <c r="N261" s="2"/>
      <c r="O261" s="2"/>
      <c r="P261" s="2"/>
      <c r="Q261" s="24"/>
      <c r="R261" s="2" t="str">
        <f t="shared" si="28"/>
        <v/>
      </c>
      <c r="S261" s="2"/>
      <c r="T261" s="2"/>
      <c r="U261" s="2" t="str">
        <f t="shared" si="29"/>
        <v/>
      </c>
      <c r="V261" s="10" t="str">
        <f t="shared" si="30"/>
        <v/>
      </c>
      <c r="W261" s="10" t="str">
        <f t="shared" si="31"/>
        <v/>
      </c>
      <c r="X261" s="38" t="str">
        <f t="shared" si="32"/>
        <v/>
      </c>
      <c r="Y261" s="10" t="str">
        <f t="shared" si="33"/>
        <v/>
      </c>
      <c r="Z261" s="2" t="str">
        <f t="shared" si="34"/>
        <v/>
      </c>
      <c r="AA261" s="2"/>
      <c r="AB261" s="2"/>
    </row>
    <row r="262" spans="1:28" ht="16">
      <c r="A262" s="31"/>
      <c r="B262" s="32"/>
      <c r="C262" s="32"/>
      <c r="D262" s="32"/>
      <c r="E262" s="32"/>
      <c r="F262" s="33"/>
      <c r="G262" s="2"/>
      <c r="H262" s="2"/>
      <c r="I262" s="2"/>
      <c r="J262" s="35" t="str">
        <f>IF(H262&lt;&gt;"",IFERROR(VLOOKUP(IFERROR(LEFT(H262,FIND("-",H262)-1),H262),'Catalogo MINSAL'!A:E,5,FALSE),""),IF(I262&lt;&gt;"",IFERROR(VLOOKUP(IFERROR(LEFT(I262,FIND("-",I262)-1),I262),'Catalogo MINSAL'!A:E,5,FALSE),""),""))</f>
        <v/>
      </c>
      <c r="K262" s="2"/>
      <c r="L262" s="2"/>
      <c r="M262" s="2"/>
      <c r="N262" s="2"/>
      <c r="O262" s="2"/>
      <c r="P262" s="2"/>
      <c r="Q262" s="24"/>
      <c r="R262" s="2" t="str">
        <f t="shared" si="28"/>
        <v/>
      </c>
      <c r="S262" s="2"/>
      <c r="T262" s="2"/>
      <c r="U262" s="2" t="str">
        <f t="shared" si="29"/>
        <v/>
      </c>
      <c r="V262" s="10" t="str">
        <f t="shared" si="30"/>
        <v/>
      </c>
      <c r="W262" s="10" t="str">
        <f t="shared" si="31"/>
        <v/>
      </c>
      <c r="X262" s="38" t="str">
        <f t="shared" si="32"/>
        <v/>
      </c>
      <c r="Y262" s="10" t="str">
        <f t="shared" si="33"/>
        <v/>
      </c>
      <c r="Z262" s="2" t="str">
        <f t="shared" si="34"/>
        <v/>
      </c>
      <c r="AA262" s="2"/>
      <c r="AB262" s="2"/>
    </row>
    <row r="263" spans="1:28" ht="16">
      <c r="A263" s="31"/>
      <c r="B263" s="32"/>
      <c r="C263" s="32"/>
      <c r="D263" s="32"/>
      <c r="E263" s="32"/>
      <c r="F263" s="33"/>
      <c r="G263" s="2"/>
      <c r="H263" s="2"/>
      <c r="I263" s="2"/>
      <c r="J263" s="35" t="str">
        <f>IF(H263&lt;&gt;"",IFERROR(VLOOKUP(IFERROR(LEFT(H263,FIND("-",H263)-1),H263),'Catalogo MINSAL'!A:E,5,FALSE),""),IF(I263&lt;&gt;"",IFERROR(VLOOKUP(IFERROR(LEFT(I263,FIND("-",I263)-1),I263),'Catalogo MINSAL'!A:E,5,FALSE),""),""))</f>
        <v/>
      </c>
      <c r="K263" s="2"/>
      <c r="L263" s="2"/>
      <c r="M263" s="2"/>
      <c r="N263" s="2"/>
      <c r="O263" s="2"/>
      <c r="P263" s="2"/>
      <c r="Q263" s="24"/>
      <c r="R263" s="2" t="str">
        <f t="shared" si="28"/>
        <v/>
      </c>
      <c r="S263" s="2"/>
      <c r="T263" s="2"/>
      <c r="U263" s="2" t="str">
        <f t="shared" si="29"/>
        <v/>
      </c>
      <c r="V263" s="10" t="str">
        <f t="shared" si="30"/>
        <v/>
      </c>
      <c r="W263" s="10" t="str">
        <f t="shared" si="31"/>
        <v/>
      </c>
      <c r="X263" s="38" t="str">
        <f t="shared" si="32"/>
        <v/>
      </c>
      <c r="Y263" s="10" t="str">
        <f t="shared" si="33"/>
        <v/>
      </c>
      <c r="Z263" s="2" t="str">
        <f t="shared" si="34"/>
        <v/>
      </c>
      <c r="AA263" s="2"/>
      <c r="AB263" s="2"/>
    </row>
    <row r="264" spans="1:28" ht="16">
      <c r="A264" s="31"/>
      <c r="B264" s="32"/>
      <c r="C264" s="32"/>
      <c r="D264" s="32"/>
      <c r="E264" s="32"/>
      <c r="F264" s="33"/>
      <c r="G264" s="2"/>
      <c r="H264" s="2"/>
      <c r="I264" s="2"/>
      <c r="J264" s="35" t="str">
        <f>IF(H264&lt;&gt;"",IFERROR(VLOOKUP(IFERROR(LEFT(H264,FIND("-",H264)-1),H264),'Catalogo MINSAL'!A:E,5,FALSE),""),IF(I264&lt;&gt;"",IFERROR(VLOOKUP(IFERROR(LEFT(I264,FIND("-",I264)-1),I264),'Catalogo MINSAL'!A:E,5,FALSE),""),""))</f>
        <v/>
      </c>
      <c r="K264" s="2"/>
      <c r="L264" s="2"/>
      <c r="M264" s="2"/>
      <c r="N264" s="2"/>
      <c r="O264" s="2"/>
      <c r="P264" s="2"/>
      <c r="Q264" s="24"/>
      <c r="R264" s="2" t="str">
        <f t="shared" si="28"/>
        <v/>
      </c>
      <c r="S264" s="2"/>
      <c r="T264" s="2"/>
      <c r="U264" s="2" t="str">
        <f t="shared" si="29"/>
        <v/>
      </c>
      <c r="V264" s="10" t="str">
        <f t="shared" si="30"/>
        <v/>
      </c>
      <c r="W264" s="10" t="str">
        <f t="shared" si="31"/>
        <v/>
      </c>
      <c r="X264" s="38" t="str">
        <f t="shared" si="32"/>
        <v/>
      </c>
      <c r="Y264" s="10" t="str">
        <f t="shared" si="33"/>
        <v/>
      </c>
      <c r="Z264" s="2" t="str">
        <f t="shared" si="34"/>
        <v/>
      </c>
      <c r="AA264" s="2"/>
      <c r="AB264" s="2"/>
    </row>
    <row r="265" spans="1:28" ht="16">
      <c r="A265" s="31"/>
      <c r="B265" s="32"/>
      <c r="C265" s="32"/>
      <c r="D265" s="32"/>
      <c r="E265" s="32"/>
      <c r="F265" s="33"/>
      <c r="G265" s="2"/>
      <c r="H265" s="2"/>
      <c r="I265" s="2"/>
      <c r="J265" s="35" t="str">
        <f>IF(H265&lt;&gt;"",IFERROR(VLOOKUP(IFERROR(LEFT(H265,FIND("-",H265)-1),H265),'Catalogo MINSAL'!A:E,5,FALSE),""),IF(I265&lt;&gt;"",IFERROR(VLOOKUP(IFERROR(LEFT(I265,FIND("-",I265)-1),I265),'Catalogo MINSAL'!A:E,5,FALSE),""),""))</f>
        <v/>
      </c>
      <c r="K265" s="2"/>
      <c r="L265" s="2"/>
      <c r="M265" s="2"/>
      <c r="N265" s="2"/>
      <c r="O265" s="2"/>
      <c r="P265" s="2"/>
      <c r="Q265" s="24"/>
      <c r="R265" s="2" t="str">
        <f t="shared" si="28"/>
        <v/>
      </c>
      <c r="S265" s="2"/>
      <c r="T265" s="2"/>
      <c r="U265" s="2" t="str">
        <f t="shared" si="29"/>
        <v/>
      </c>
      <c r="V265" s="10" t="str">
        <f t="shared" si="30"/>
        <v/>
      </c>
      <c r="W265" s="10" t="str">
        <f t="shared" si="31"/>
        <v/>
      </c>
      <c r="X265" s="38" t="str">
        <f t="shared" si="32"/>
        <v/>
      </c>
      <c r="Y265" s="10" t="str">
        <f t="shared" si="33"/>
        <v/>
      </c>
      <c r="Z265" s="2" t="str">
        <f t="shared" si="34"/>
        <v/>
      </c>
      <c r="AA265" s="2"/>
      <c r="AB265" s="2"/>
    </row>
    <row r="266" spans="1:28" ht="16">
      <c r="A266" s="31"/>
      <c r="B266" s="32"/>
      <c r="C266" s="32"/>
      <c r="D266" s="32"/>
      <c r="E266" s="32"/>
      <c r="F266" s="33"/>
      <c r="G266" s="2"/>
      <c r="H266" s="2"/>
      <c r="I266" s="2"/>
      <c r="J266" s="35" t="str">
        <f>IF(H266&lt;&gt;"",IFERROR(VLOOKUP(IFERROR(LEFT(H266,FIND("-",H266)-1),H266),'Catalogo MINSAL'!A:E,5,FALSE),""),IF(I266&lt;&gt;"",IFERROR(VLOOKUP(IFERROR(LEFT(I266,FIND("-",I266)-1),I266),'Catalogo MINSAL'!A:E,5,FALSE),""),""))</f>
        <v/>
      </c>
      <c r="K266" s="2"/>
      <c r="L266" s="2"/>
      <c r="M266" s="2"/>
      <c r="N266" s="2"/>
      <c r="O266" s="2"/>
      <c r="P266" s="2"/>
      <c r="Q266" s="24"/>
      <c r="R266" s="2" t="str">
        <f t="shared" si="28"/>
        <v/>
      </c>
      <c r="S266" s="2"/>
      <c r="T266" s="2"/>
      <c r="U266" s="2" t="str">
        <f t="shared" si="29"/>
        <v/>
      </c>
      <c r="V266" s="10" t="str">
        <f t="shared" si="30"/>
        <v/>
      </c>
      <c r="W266" s="10" t="str">
        <f t="shared" si="31"/>
        <v/>
      </c>
      <c r="X266" s="38" t="str">
        <f t="shared" si="32"/>
        <v/>
      </c>
      <c r="Y266" s="10" t="str">
        <f t="shared" si="33"/>
        <v/>
      </c>
      <c r="Z266" s="2" t="str">
        <f t="shared" si="34"/>
        <v/>
      </c>
      <c r="AA266" s="2"/>
      <c r="AB266" s="2"/>
    </row>
    <row r="267" spans="1:28" ht="16">
      <c r="A267" s="31"/>
      <c r="B267" s="32"/>
      <c r="C267" s="32"/>
      <c r="D267" s="32"/>
      <c r="E267" s="32"/>
      <c r="F267" s="33"/>
      <c r="G267" s="2"/>
      <c r="H267" s="2"/>
      <c r="I267" s="2"/>
      <c r="J267" s="35" t="str">
        <f>IF(H267&lt;&gt;"",IFERROR(VLOOKUP(IFERROR(LEFT(H267,FIND("-",H267)-1),H267),'Catalogo MINSAL'!A:E,5,FALSE),""),IF(I267&lt;&gt;"",IFERROR(VLOOKUP(IFERROR(LEFT(I267,FIND("-",I267)-1),I267),'Catalogo MINSAL'!A:E,5,FALSE),""),""))</f>
        <v/>
      </c>
      <c r="K267" s="2"/>
      <c r="L267" s="2"/>
      <c r="M267" s="2"/>
      <c r="N267" s="2"/>
      <c r="O267" s="2"/>
      <c r="P267" s="2"/>
      <c r="Q267" s="24"/>
      <c r="R267" s="2" t="str">
        <f t="shared" si="28"/>
        <v/>
      </c>
      <c r="S267" s="2"/>
      <c r="T267" s="2"/>
      <c r="U267" s="2" t="str">
        <f t="shared" si="29"/>
        <v/>
      </c>
      <c r="V267" s="10" t="str">
        <f t="shared" si="30"/>
        <v/>
      </c>
      <c r="W267" s="10" t="str">
        <f t="shared" si="31"/>
        <v/>
      </c>
      <c r="X267" s="38" t="str">
        <f t="shared" si="32"/>
        <v/>
      </c>
      <c r="Y267" s="10" t="str">
        <f t="shared" si="33"/>
        <v/>
      </c>
      <c r="Z267" s="2" t="str">
        <f t="shared" si="34"/>
        <v/>
      </c>
      <c r="AA267" s="2"/>
      <c r="AB267" s="2"/>
    </row>
    <row r="268" spans="1:28" ht="16">
      <c r="A268" s="31"/>
      <c r="B268" s="32"/>
      <c r="C268" s="32"/>
      <c r="D268" s="32"/>
      <c r="E268" s="32"/>
      <c r="F268" s="33"/>
      <c r="G268" s="2"/>
      <c r="H268" s="2"/>
      <c r="I268" s="2"/>
      <c r="J268" s="35" t="str">
        <f>IF(H268&lt;&gt;"",IFERROR(VLOOKUP(IFERROR(LEFT(H268,FIND("-",H268)-1),H268),'Catalogo MINSAL'!A:E,5,FALSE),""),IF(I268&lt;&gt;"",IFERROR(VLOOKUP(IFERROR(LEFT(I268,FIND("-",I268)-1),I268),'Catalogo MINSAL'!A:E,5,FALSE),""),""))</f>
        <v/>
      </c>
      <c r="K268" s="2"/>
      <c r="L268" s="2"/>
      <c r="M268" s="2"/>
      <c r="N268" s="2"/>
      <c r="O268" s="2"/>
      <c r="P268" s="2"/>
      <c r="Q268" s="24"/>
      <c r="R268" s="2" t="str">
        <f t="shared" si="28"/>
        <v/>
      </c>
      <c r="S268" s="2"/>
      <c r="T268" s="2"/>
      <c r="U268" s="2" t="str">
        <f t="shared" si="29"/>
        <v/>
      </c>
      <c r="V268" s="10" t="str">
        <f t="shared" si="30"/>
        <v/>
      </c>
      <c r="W268" s="10" t="str">
        <f t="shared" si="31"/>
        <v/>
      </c>
      <c r="X268" s="38" t="str">
        <f t="shared" si="32"/>
        <v/>
      </c>
      <c r="Y268" s="10" t="str">
        <f t="shared" si="33"/>
        <v/>
      </c>
      <c r="Z268" s="2" t="str">
        <f t="shared" si="34"/>
        <v/>
      </c>
      <c r="AA268" s="2"/>
      <c r="AB268" s="2"/>
    </row>
    <row r="269" spans="1:28" ht="16">
      <c r="A269" s="31"/>
      <c r="B269" s="32"/>
      <c r="C269" s="32"/>
      <c r="D269" s="32"/>
      <c r="E269" s="32"/>
      <c r="F269" s="33"/>
      <c r="G269" s="2"/>
      <c r="H269" s="2"/>
      <c r="I269" s="2"/>
      <c r="J269" s="35" t="str">
        <f>IF(H269&lt;&gt;"",IFERROR(VLOOKUP(IFERROR(LEFT(H269,FIND("-",H269)-1),H269),'Catalogo MINSAL'!A:E,5,FALSE),""),IF(I269&lt;&gt;"",IFERROR(VLOOKUP(IFERROR(LEFT(I269,FIND("-",I269)-1),I269),'Catalogo MINSAL'!A:E,5,FALSE),""),""))</f>
        <v/>
      </c>
      <c r="K269" s="2"/>
      <c r="L269" s="2"/>
      <c r="M269" s="2"/>
      <c r="N269" s="2"/>
      <c r="O269" s="2"/>
      <c r="P269" s="2"/>
      <c r="Q269" s="24"/>
      <c r="R269" s="2" t="str">
        <f t="shared" si="28"/>
        <v/>
      </c>
      <c r="S269" s="2"/>
      <c r="T269" s="2"/>
      <c r="U269" s="2" t="str">
        <f t="shared" si="29"/>
        <v/>
      </c>
      <c r="V269" s="10" t="str">
        <f t="shared" si="30"/>
        <v/>
      </c>
      <c r="W269" s="10" t="str">
        <f t="shared" si="31"/>
        <v/>
      </c>
      <c r="X269" s="38" t="str">
        <f t="shared" si="32"/>
        <v/>
      </c>
      <c r="Y269" s="10" t="str">
        <f t="shared" si="33"/>
        <v/>
      </c>
      <c r="Z269" s="2" t="str">
        <f t="shared" si="34"/>
        <v/>
      </c>
      <c r="AA269" s="2"/>
      <c r="AB269" s="2"/>
    </row>
    <row r="270" spans="1:28" ht="16">
      <c r="A270" s="31"/>
      <c r="B270" s="32"/>
      <c r="C270" s="32"/>
      <c r="D270" s="32"/>
      <c r="E270" s="32"/>
      <c r="F270" s="33"/>
      <c r="G270" s="2"/>
      <c r="H270" s="2"/>
      <c r="I270" s="2"/>
      <c r="J270" s="35" t="str">
        <f>IF(H270&lt;&gt;"",IFERROR(VLOOKUP(IFERROR(LEFT(H270,FIND("-",H270)-1),H270),'Catalogo MINSAL'!A:E,5,FALSE),""),IF(I270&lt;&gt;"",IFERROR(VLOOKUP(IFERROR(LEFT(I270,FIND("-",I270)-1),I270),'Catalogo MINSAL'!A:E,5,FALSE),""),""))</f>
        <v/>
      </c>
      <c r="K270" s="2"/>
      <c r="L270" s="2"/>
      <c r="M270" s="2"/>
      <c r="N270" s="2"/>
      <c r="O270" s="2"/>
      <c r="P270" s="2"/>
      <c r="Q270" s="24"/>
      <c r="R270" s="2" t="str">
        <f t="shared" si="28"/>
        <v/>
      </c>
      <c r="S270" s="2"/>
      <c r="T270" s="2"/>
      <c r="U270" s="2" t="str">
        <f t="shared" si="29"/>
        <v/>
      </c>
      <c r="V270" s="10" t="str">
        <f t="shared" si="30"/>
        <v/>
      </c>
      <c r="W270" s="10" t="str">
        <f t="shared" si="31"/>
        <v/>
      </c>
      <c r="X270" s="38" t="str">
        <f t="shared" si="32"/>
        <v/>
      </c>
      <c r="Y270" s="10" t="str">
        <f t="shared" si="33"/>
        <v/>
      </c>
      <c r="Z270" s="2" t="str">
        <f t="shared" si="34"/>
        <v/>
      </c>
      <c r="AA270" s="2"/>
      <c r="AB270" s="2"/>
    </row>
    <row r="271" spans="1:28" ht="16">
      <c r="A271" s="31"/>
      <c r="B271" s="32"/>
      <c r="C271" s="32"/>
      <c r="D271" s="32"/>
      <c r="E271" s="32"/>
      <c r="F271" s="33"/>
      <c r="G271" s="2"/>
      <c r="H271" s="2"/>
      <c r="I271" s="2"/>
      <c r="J271" s="35" t="str">
        <f>IF(H271&lt;&gt;"",IFERROR(VLOOKUP(IFERROR(LEFT(H271,FIND("-",H271)-1),H271),'Catalogo MINSAL'!A:E,5,FALSE),""),IF(I271&lt;&gt;"",IFERROR(VLOOKUP(IFERROR(LEFT(I271,FIND("-",I271)-1),I271),'Catalogo MINSAL'!A:E,5,FALSE),""),""))</f>
        <v/>
      </c>
      <c r="K271" s="2"/>
      <c r="L271" s="2"/>
      <c r="M271" s="2"/>
      <c r="N271" s="2"/>
      <c r="O271" s="2"/>
      <c r="P271" s="2"/>
      <c r="Q271" s="24"/>
      <c r="R271" s="2" t="str">
        <f t="shared" si="28"/>
        <v/>
      </c>
      <c r="S271" s="2"/>
      <c r="T271" s="2"/>
      <c r="U271" s="2" t="str">
        <f t="shared" si="29"/>
        <v/>
      </c>
      <c r="V271" s="10" t="str">
        <f t="shared" si="30"/>
        <v/>
      </c>
      <c r="W271" s="10" t="str">
        <f t="shared" si="31"/>
        <v/>
      </c>
      <c r="X271" s="38" t="str">
        <f t="shared" si="32"/>
        <v/>
      </c>
      <c r="Y271" s="10" t="str">
        <f t="shared" si="33"/>
        <v/>
      </c>
      <c r="Z271" s="2" t="str">
        <f t="shared" si="34"/>
        <v/>
      </c>
      <c r="AA271" s="2"/>
      <c r="AB271" s="2"/>
    </row>
    <row r="272" spans="1:28" ht="16">
      <c r="A272" s="31"/>
      <c r="B272" s="32"/>
      <c r="C272" s="32"/>
      <c r="D272" s="32"/>
      <c r="E272" s="32"/>
      <c r="F272" s="33"/>
      <c r="G272" s="2"/>
      <c r="H272" s="2"/>
      <c r="I272" s="2"/>
      <c r="J272" s="35" t="str">
        <f>IF(H272&lt;&gt;"",IFERROR(VLOOKUP(IFERROR(LEFT(H272,FIND("-",H272)-1),H272),'Catalogo MINSAL'!A:E,5,FALSE),""),IF(I272&lt;&gt;"",IFERROR(VLOOKUP(IFERROR(LEFT(I272,FIND("-",I272)-1),I272),'Catalogo MINSAL'!A:E,5,FALSE),""),""))</f>
        <v/>
      </c>
      <c r="K272" s="2"/>
      <c r="L272" s="2"/>
      <c r="M272" s="2"/>
      <c r="N272" s="2"/>
      <c r="O272" s="2"/>
      <c r="P272" s="2"/>
      <c r="Q272" s="24"/>
      <c r="R272" s="2" t="str">
        <f t="shared" si="28"/>
        <v/>
      </c>
      <c r="S272" s="2"/>
      <c r="T272" s="2"/>
      <c r="U272" s="2" t="str">
        <f t="shared" si="29"/>
        <v/>
      </c>
      <c r="V272" s="10" t="str">
        <f t="shared" si="30"/>
        <v/>
      </c>
      <c r="W272" s="10" t="str">
        <f t="shared" si="31"/>
        <v/>
      </c>
      <c r="X272" s="38" t="str">
        <f t="shared" si="32"/>
        <v/>
      </c>
      <c r="Y272" s="10" t="str">
        <f t="shared" si="33"/>
        <v/>
      </c>
      <c r="Z272" s="2" t="str">
        <f t="shared" si="34"/>
        <v/>
      </c>
      <c r="AA272" s="2"/>
      <c r="AB272" s="2"/>
    </row>
    <row r="273" spans="1:28" ht="16">
      <c r="A273" s="31"/>
      <c r="B273" s="32"/>
      <c r="C273" s="32"/>
      <c r="D273" s="32"/>
      <c r="E273" s="32"/>
      <c r="F273" s="33"/>
      <c r="G273" s="2"/>
      <c r="H273" s="2"/>
      <c r="I273" s="2"/>
      <c r="J273" s="35" t="str">
        <f>IF(H273&lt;&gt;"",IFERROR(VLOOKUP(IFERROR(LEFT(H273,FIND("-",H273)-1),H273),'Catalogo MINSAL'!A:E,5,FALSE),""),IF(I273&lt;&gt;"",IFERROR(VLOOKUP(IFERROR(LEFT(I273,FIND("-",I273)-1),I273),'Catalogo MINSAL'!A:E,5,FALSE),""),""))</f>
        <v/>
      </c>
      <c r="K273" s="2"/>
      <c r="L273" s="2"/>
      <c r="M273" s="2"/>
      <c r="N273" s="2"/>
      <c r="O273" s="2"/>
      <c r="P273" s="2"/>
      <c r="Q273" s="24"/>
      <c r="R273" s="2" t="str">
        <f t="shared" si="28"/>
        <v/>
      </c>
      <c r="S273" s="2"/>
      <c r="T273" s="2"/>
      <c r="U273" s="2" t="str">
        <f t="shared" si="29"/>
        <v/>
      </c>
      <c r="V273" s="10" t="str">
        <f t="shared" si="30"/>
        <v/>
      </c>
      <c r="W273" s="10" t="str">
        <f t="shared" si="31"/>
        <v/>
      </c>
      <c r="X273" s="38" t="str">
        <f t="shared" si="32"/>
        <v/>
      </c>
      <c r="Y273" s="10" t="str">
        <f t="shared" si="33"/>
        <v/>
      </c>
      <c r="Z273" s="2" t="str">
        <f t="shared" si="34"/>
        <v/>
      </c>
      <c r="AA273" s="2"/>
      <c r="AB273" s="2"/>
    </row>
    <row r="274" spans="1:28" ht="16">
      <c r="A274" s="31"/>
      <c r="B274" s="32"/>
      <c r="C274" s="32"/>
      <c r="D274" s="32"/>
      <c r="E274" s="32"/>
      <c r="F274" s="33"/>
      <c r="G274" s="2"/>
      <c r="H274" s="2"/>
      <c r="I274" s="2"/>
      <c r="J274" s="35" t="str">
        <f>IF(H274&lt;&gt;"",IFERROR(VLOOKUP(IFERROR(LEFT(H274,FIND("-",H274)-1),H274),'Catalogo MINSAL'!A:E,5,FALSE),""),IF(I274&lt;&gt;"",IFERROR(VLOOKUP(IFERROR(LEFT(I274,FIND("-",I274)-1),I274),'Catalogo MINSAL'!A:E,5,FALSE),""),""))</f>
        <v/>
      </c>
      <c r="K274" s="2"/>
      <c r="L274" s="2"/>
      <c r="M274" s="2"/>
      <c r="N274" s="2"/>
      <c r="O274" s="2"/>
      <c r="P274" s="2"/>
      <c r="Q274" s="24"/>
      <c r="R274" s="2" t="str">
        <f t="shared" si="28"/>
        <v/>
      </c>
      <c r="S274" s="2"/>
      <c r="T274" s="2"/>
      <c r="U274" s="2" t="str">
        <f t="shared" si="29"/>
        <v/>
      </c>
      <c r="V274" s="10" t="str">
        <f t="shared" si="30"/>
        <v/>
      </c>
      <c r="W274" s="10" t="str">
        <f t="shared" si="31"/>
        <v/>
      </c>
      <c r="X274" s="38" t="str">
        <f t="shared" si="32"/>
        <v/>
      </c>
      <c r="Y274" s="10" t="str">
        <f t="shared" si="33"/>
        <v/>
      </c>
      <c r="Z274" s="2" t="str">
        <f t="shared" si="34"/>
        <v/>
      </c>
      <c r="AA274" s="2"/>
      <c r="AB274" s="2"/>
    </row>
    <row r="275" spans="1:28" ht="16">
      <c r="A275" s="31"/>
      <c r="B275" s="32"/>
      <c r="C275" s="32"/>
      <c r="D275" s="32"/>
      <c r="E275" s="32"/>
      <c r="F275" s="33"/>
      <c r="G275" s="2"/>
      <c r="H275" s="2"/>
      <c r="I275" s="2"/>
      <c r="J275" s="35" t="str">
        <f>IF(H275&lt;&gt;"",IFERROR(VLOOKUP(IFERROR(LEFT(H275,FIND("-",H275)-1),H275),'Catalogo MINSAL'!A:E,5,FALSE),""),IF(I275&lt;&gt;"",IFERROR(VLOOKUP(IFERROR(LEFT(I275,FIND("-",I275)-1),I275),'Catalogo MINSAL'!A:E,5,FALSE),""),""))</f>
        <v/>
      </c>
      <c r="K275" s="2"/>
      <c r="L275" s="2"/>
      <c r="M275" s="2"/>
      <c r="N275" s="2"/>
      <c r="O275" s="2"/>
      <c r="P275" s="2"/>
      <c r="Q275" s="24"/>
      <c r="R275" s="2" t="str">
        <f t="shared" si="28"/>
        <v/>
      </c>
      <c r="S275" s="2"/>
      <c r="T275" s="2"/>
      <c r="U275" s="2" t="str">
        <f t="shared" si="29"/>
        <v/>
      </c>
      <c r="V275" s="10" t="str">
        <f t="shared" si="30"/>
        <v/>
      </c>
      <c r="W275" s="10" t="str">
        <f t="shared" si="31"/>
        <v/>
      </c>
      <c r="X275" s="38" t="str">
        <f t="shared" si="32"/>
        <v/>
      </c>
      <c r="Y275" s="10" t="str">
        <f t="shared" si="33"/>
        <v/>
      </c>
      <c r="Z275" s="2" t="str">
        <f t="shared" si="34"/>
        <v/>
      </c>
      <c r="AA275" s="2"/>
      <c r="AB275" s="2"/>
    </row>
    <row r="276" spans="1:28" ht="16">
      <c r="A276" s="31"/>
      <c r="B276" s="32"/>
      <c r="C276" s="32"/>
      <c r="D276" s="32"/>
      <c r="E276" s="32"/>
      <c r="F276" s="33"/>
      <c r="G276" s="2"/>
      <c r="H276" s="2"/>
      <c r="I276" s="2"/>
      <c r="J276" s="35" t="str">
        <f>IF(H276&lt;&gt;"",IFERROR(VLOOKUP(IFERROR(LEFT(H276,FIND("-",H276)-1),H276),'Catalogo MINSAL'!A:E,5,FALSE),""),IF(I276&lt;&gt;"",IFERROR(VLOOKUP(IFERROR(LEFT(I276,FIND("-",I276)-1),I276),'Catalogo MINSAL'!A:E,5,FALSE),""),""))</f>
        <v/>
      </c>
      <c r="K276" s="2"/>
      <c r="L276" s="2"/>
      <c r="M276" s="2"/>
      <c r="N276" s="2"/>
      <c r="O276" s="2"/>
      <c r="P276" s="2"/>
      <c r="Q276" s="24"/>
      <c r="R276" s="2" t="str">
        <f t="shared" si="28"/>
        <v/>
      </c>
      <c r="S276" s="2"/>
      <c r="T276" s="2"/>
      <c r="U276" s="2" t="str">
        <f t="shared" si="29"/>
        <v/>
      </c>
      <c r="V276" s="10" t="str">
        <f t="shared" si="30"/>
        <v/>
      </c>
      <c r="W276" s="10" t="str">
        <f t="shared" si="31"/>
        <v/>
      </c>
      <c r="X276" s="38" t="str">
        <f t="shared" si="32"/>
        <v/>
      </c>
      <c r="Y276" s="10" t="str">
        <f t="shared" si="33"/>
        <v/>
      </c>
      <c r="Z276" s="2" t="str">
        <f t="shared" si="34"/>
        <v/>
      </c>
      <c r="AA276" s="2"/>
      <c r="AB276" s="2"/>
    </row>
    <row r="277" spans="1:28" ht="16">
      <c r="A277" s="31"/>
      <c r="B277" s="32"/>
      <c r="C277" s="32"/>
      <c r="D277" s="32"/>
      <c r="E277" s="32"/>
      <c r="F277" s="33"/>
      <c r="G277" s="2"/>
      <c r="H277" s="2"/>
      <c r="I277" s="2"/>
      <c r="J277" s="35" t="str">
        <f>IF(H277&lt;&gt;"",IFERROR(VLOOKUP(IFERROR(LEFT(H277,FIND("-",H277)-1),H277),'Catalogo MINSAL'!A:E,5,FALSE),""),IF(I277&lt;&gt;"",IFERROR(VLOOKUP(IFERROR(LEFT(I277,FIND("-",I277)-1),I277),'Catalogo MINSAL'!A:E,5,FALSE),""),""))</f>
        <v/>
      </c>
      <c r="K277" s="2"/>
      <c r="L277" s="2"/>
      <c r="M277" s="2"/>
      <c r="N277" s="2"/>
      <c r="O277" s="2"/>
      <c r="P277" s="2"/>
      <c r="Q277" s="24"/>
      <c r="R277" s="2" t="str">
        <f t="shared" si="28"/>
        <v/>
      </c>
      <c r="S277" s="2"/>
      <c r="T277" s="2"/>
      <c r="U277" s="2" t="str">
        <f t="shared" si="29"/>
        <v/>
      </c>
      <c r="V277" s="10" t="str">
        <f t="shared" si="30"/>
        <v/>
      </c>
      <c r="W277" s="10" t="str">
        <f t="shared" si="31"/>
        <v/>
      </c>
      <c r="X277" s="38" t="str">
        <f t="shared" si="32"/>
        <v/>
      </c>
      <c r="Y277" s="10" t="str">
        <f t="shared" si="33"/>
        <v/>
      </c>
      <c r="Z277" s="2" t="str">
        <f t="shared" si="34"/>
        <v/>
      </c>
      <c r="AA277" s="2"/>
      <c r="AB277" s="2"/>
    </row>
    <row r="278" spans="1:28" ht="16">
      <c r="A278" s="31"/>
      <c r="B278" s="32"/>
      <c r="C278" s="32"/>
      <c r="D278" s="32"/>
      <c r="E278" s="32"/>
      <c r="F278" s="33"/>
      <c r="G278" s="2"/>
      <c r="H278" s="2"/>
      <c r="I278" s="2"/>
      <c r="J278" s="35" t="str">
        <f>IF(H278&lt;&gt;"",IFERROR(VLOOKUP(IFERROR(LEFT(H278,FIND("-",H278)-1),H278),'Catalogo MINSAL'!A:E,5,FALSE),""),IF(I278&lt;&gt;"",IFERROR(VLOOKUP(IFERROR(LEFT(I278,FIND("-",I278)-1),I278),'Catalogo MINSAL'!A:E,5,FALSE),""),""))</f>
        <v/>
      </c>
      <c r="K278" s="2"/>
      <c r="L278" s="2"/>
      <c r="M278" s="2"/>
      <c r="N278" s="2"/>
      <c r="O278" s="2"/>
      <c r="P278" s="2"/>
      <c r="Q278" s="24"/>
      <c r="R278" s="2" t="str">
        <f t="shared" si="28"/>
        <v/>
      </c>
      <c r="S278" s="2"/>
      <c r="T278" s="2"/>
      <c r="U278" s="2" t="str">
        <f t="shared" si="29"/>
        <v/>
      </c>
      <c r="V278" s="10" t="str">
        <f t="shared" si="30"/>
        <v/>
      </c>
      <c r="W278" s="10" t="str">
        <f t="shared" si="31"/>
        <v/>
      </c>
      <c r="X278" s="38" t="str">
        <f t="shared" si="32"/>
        <v/>
      </c>
      <c r="Y278" s="10" t="str">
        <f t="shared" si="33"/>
        <v/>
      </c>
      <c r="Z278" s="2" t="str">
        <f t="shared" si="34"/>
        <v/>
      </c>
      <c r="AA278" s="2"/>
      <c r="AB278" s="2"/>
    </row>
    <row r="279" spans="1:28" ht="16">
      <c r="A279" s="31"/>
      <c r="B279" s="32"/>
      <c r="C279" s="32"/>
      <c r="D279" s="32"/>
      <c r="E279" s="32"/>
      <c r="F279" s="33"/>
      <c r="G279" s="2"/>
      <c r="H279" s="2"/>
      <c r="I279" s="2"/>
      <c r="J279" s="35" t="str">
        <f>IF(H279&lt;&gt;"",IFERROR(VLOOKUP(IFERROR(LEFT(H279,FIND("-",H279)-1),H279),'Catalogo MINSAL'!A:E,5,FALSE),""),IF(I279&lt;&gt;"",IFERROR(VLOOKUP(IFERROR(LEFT(I279,FIND("-",I279)-1),I279),'Catalogo MINSAL'!A:E,5,FALSE),""),""))</f>
        <v/>
      </c>
      <c r="K279" s="2"/>
      <c r="L279" s="2"/>
      <c r="M279" s="2"/>
      <c r="N279" s="2"/>
      <c r="O279" s="2"/>
      <c r="P279" s="2"/>
      <c r="Q279" s="24"/>
      <c r="R279" s="2" t="str">
        <f t="shared" si="28"/>
        <v/>
      </c>
      <c r="S279" s="2"/>
      <c r="T279" s="2"/>
      <c r="U279" s="2" t="str">
        <f t="shared" si="29"/>
        <v/>
      </c>
      <c r="V279" s="10" t="str">
        <f t="shared" si="30"/>
        <v/>
      </c>
      <c r="W279" s="10" t="str">
        <f t="shared" si="31"/>
        <v/>
      </c>
      <c r="X279" s="38" t="str">
        <f t="shared" si="32"/>
        <v/>
      </c>
      <c r="Y279" s="10" t="str">
        <f t="shared" si="33"/>
        <v/>
      </c>
      <c r="Z279" s="2" t="str">
        <f t="shared" si="34"/>
        <v/>
      </c>
      <c r="AA279" s="2"/>
      <c r="AB279" s="2"/>
    </row>
    <row r="280" spans="1:28" ht="16">
      <c r="A280" s="31"/>
      <c r="B280" s="32"/>
      <c r="C280" s="32"/>
      <c r="D280" s="32"/>
      <c r="E280" s="32"/>
      <c r="F280" s="33"/>
      <c r="G280" s="2"/>
      <c r="H280" s="2"/>
      <c r="I280" s="2"/>
      <c r="J280" s="35" t="str">
        <f>IF(H280&lt;&gt;"",IFERROR(VLOOKUP(IFERROR(LEFT(H280,FIND("-",H280)-1),H280),'Catalogo MINSAL'!A:E,5,FALSE),""),IF(I280&lt;&gt;"",IFERROR(VLOOKUP(IFERROR(LEFT(I280,FIND("-",I280)-1),I280),'Catalogo MINSAL'!A:E,5,FALSE),""),""))</f>
        <v/>
      </c>
      <c r="K280" s="2"/>
      <c r="L280" s="2"/>
      <c r="M280" s="2"/>
      <c r="N280" s="2"/>
      <c r="O280" s="2"/>
      <c r="P280" s="2"/>
      <c r="Q280" s="24"/>
      <c r="R280" s="2" t="str">
        <f t="shared" si="28"/>
        <v/>
      </c>
      <c r="S280" s="2"/>
      <c r="T280" s="2"/>
      <c r="U280" s="2" t="str">
        <f t="shared" si="29"/>
        <v/>
      </c>
      <c r="V280" s="10" t="str">
        <f t="shared" si="30"/>
        <v/>
      </c>
      <c r="W280" s="10" t="str">
        <f t="shared" si="31"/>
        <v/>
      </c>
      <c r="X280" s="38" t="str">
        <f t="shared" si="32"/>
        <v/>
      </c>
      <c r="Y280" s="10" t="str">
        <f t="shared" si="33"/>
        <v/>
      </c>
      <c r="Z280" s="2" t="str">
        <f t="shared" si="34"/>
        <v/>
      </c>
      <c r="AA280" s="2"/>
      <c r="AB280" s="2"/>
    </row>
    <row r="281" spans="1:28" ht="16">
      <c r="A281" s="31"/>
      <c r="B281" s="32"/>
      <c r="C281" s="32"/>
      <c r="D281" s="32"/>
      <c r="E281" s="32"/>
      <c r="F281" s="33"/>
      <c r="G281" s="2"/>
      <c r="H281" s="2"/>
      <c r="I281" s="2"/>
      <c r="J281" s="35" t="str">
        <f>IF(H281&lt;&gt;"",IFERROR(VLOOKUP(IFERROR(LEFT(H281,FIND("-",H281)-1),H281),'Catalogo MINSAL'!A:E,5,FALSE),""),IF(I281&lt;&gt;"",IFERROR(VLOOKUP(IFERROR(LEFT(I281,FIND("-",I281)-1),I281),'Catalogo MINSAL'!A:E,5,FALSE),""),""))</f>
        <v/>
      </c>
      <c r="K281" s="2"/>
      <c r="L281" s="2"/>
      <c r="M281" s="2"/>
      <c r="N281" s="2"/>
      <c r="O281" s="2"/>
      <c r="P281" s="2"/>
      <c r="Q281" s="24"/>
      <c r="R281" s="2" t="str">
        <f t="shared" si="28"/>
        <v/>
      </c>
      <c r="S281" s="2"/>
      <c r="T281" s="2"/>
      <c r="U281" s="2" t="str">
        <f t="shared" si="29"/>
        <v/>
      </c>
      <c r="V281" s="10" t="str">
        <f t="shared" si="30"/>
        <v/>
      </c>
      <c r="W281" s="10" t="str">
        <f t="shared" si="31"/>
        <v/>
      </c>
      <c r="X281" s="38" t="str">
        <f t="shared" si="32"/>
        <v/>
      </c>
      <c r="Y281" s="10" t="str">
        <f t="shared" si="33"/>
        <v/>
      </c>
      <c r="Z281" s="2" t="str">
        <f t="shared" si="34"/>
        <v/>
      </c>
      <c r="AA281" s="2"/>
      <c r="AB281" s="2"/>
    </row>
    <row r="282" spans="1:28" ht="16">
      <c r="A282" s="31"/>
      <c r="B282" s="32"/>
      <c r="C282" s="32"/>
      <c r="D282" s="32"/>
      <c r="E282" s="32"/>
      <c r="F282" s="33"/>
      <c r="G282" s="2"/>
      <c r="H282" s="2"/>
      <c r="I282" s="2"/>
      <c r="J282" s="35" t="str">
        <f>IF(H282&lt;&gt;"",IFERROR(VLOOKUP(IFERROR(LEFT(H282,FIND("-",H282)-1),H282),'Catalogo MINSAL'!A:E,5,FALSE),""),IF(I282&lt;&gt;"",IFERROR(VLOOKUP(IFERROR(LEFT(I282,FIND("-",I282)-1),I282),'Catalogo MINSAL'!A:E,5,FALSE),""),""))</f>
        <v/>
      </c>
      <c r="K282" s="2"/>
      <c r="L282" s="2"/>
      <c r="M282" s="2"/>
      <c r="N282" s="2"/>
      <c r="O282" s="2"/>
      <c r="P282" s="2"/>
      <c r="Q282" s="24"/>
      <c r="R282" s="2" t="str">
        <f t="shared" si="28"/>
        <v/>
      </c>
      <c r="S282" s="2"/>
      <c r="T282" s="2"/>
      <c r="U282" s="2" t="str">
        <f t="shared" si="29"/>
        <v/>
      </c>
      <c r="V282" s="10" t="str">
        <f t="shared" si="30"/>
        <v/>
      </c>
      <c r="W282" s="10" t="str">
        <f t="shared" si="31"/>
        <v/>
      </c>
      <c r="X282" s="38" t="str">
        <f t="shared" si="32"/>
        <v/>
      </c>
      <c r="Y282" s="10" t="str">
        <f t="shared" si="33"/>
        <v/>
      </c>
      <c r="Z282" s="2" t="str">
        <f t="shared" si="34"/>
        <v/>
      </c>
      <c r="AA282" s="2"/>
      <c r="AB282" s="2"/>
    </row>
    <row r="283" spans="1:28" ht="16">
      <c r="A283" s="31"/>
      <c r="B283" s="32"/>
      <c r="C283" s="32"/>
      <c r="D283" s="32"/>
      <c r="E283" s="32"/>
      <c r="F283" s="33"/>
      <c r="G283" s="2"/>
      <c r="H283" s="2"/>
      <c r="I283" s="2"/>
      <c r="J283" s="35" t="str">
        <f>IF(H283&lt;&gt;"",IFERROR(VLOOKUP(IFERROR(LEFT(H283,FIND("-",H283)-1),H283),'Catalogo MINSAL'!A:E,5,FALSE),""),IF(I283&lt;&gt;"",IFERROR(VLOOKUP(IFERROR(LEFT(I283,FIND("-",I283)-1),I283),'Catalogo MINSAL'!A:E,5,FALSE),""),""))</f>
        <v/>
      </c>
      <c r="K283" s="2"/>
      <c r="L283" s="2"/>
      <c r="M283" s="2"/>
      <c r="N283" s="2"/>
      <c r="O283" s="2"/>
      <c r="P283" s="2"/>
      <c r="Q283" s="24"/>
      <c r="R283" s="2" t="str">
        <f t="shared" si="28"/>
        <v/>
      </c>
      <c r="S283" s="2"/>
      <c r="T283" s="2"/>
      <c r="U283" s="2" t="str">
        <f t="shared" si="29"/>
        <v/>
      </c>
      <c r="V283" s="10" t="str">
        <f t="shared" si="30"/>
        <v/>
      </c>
      <c r="W283" s="10" t="str">
        <f t="shared" si="31"/>
        <v/>
      </c>
      <c r="X283" s="38" t="str">
        <f t="shared" si="32"/>
        <v/>
      </c>
      <c r="Y283" s="10" t="str">
        <f t="shared" si="33"/>
        <v/>
      </c>
      <c r="Z283" s="2" t="str">
        <f t="shared" si="34"/>
        <v/>
      </c>
      <c r="AA283" s="2"/>
      <c r="AB283" s="2"/>
    </row>
    <row r="284" spans="1:28" ht="16">
      <c r="A284" s="31"/>
      <c r="B284" s="32"/>
      <c r="C284" s="32"/>
      <c r="D284" s="32"/>
      <c r="E284" s="32"/>
      <c r="F284" s="33"/>
      <c r="G284" s="2"/>
      <c r="H284" s="2"/>
      <c r="I284" s="2"/>
      <c r="J284" s="35" t="str">
        <f>IF(H284&lt;&gt;"",IFERROR(VLOOKUP(IFERROR(LEFT(H284,FIND("-",H284)-1),H284),'Catalogo MINSAL'!A:E,5,FALSE),""),IF(I284&lt;&gt;"",IFERROR(VLOOKUP(IFERROR(LEFT(I284,FIND("-",I284)-1),I284),'Catalogo MINSAL'!A:E,5,FALSE),""),""))</f>
        <v/>
      </c>
      <c r="K284" s="2"/>
      <c r="L284" s="2"/>
      <c r="M284" s="2"/>
      <c r="N284" s="2"/>
      <c r="O284" s="2"/>
      <c r="P284" s="2"/>
      <c r="Q284" s="24"/>
      <c r="R284" s="2" t="str">
        <f t="shared" si="28"/>
        <v/>
      </c>
      <c r="S284" s="2"/>
      <c r="T284" s="2"/>
      <c r="U284" s="2" t="str">
        <f t="shared" si="29"/>
        <v/>
      </c>
      <c r="V284" s="10" t="str">
        <f t="shared" si="30"/>
        <v/>
      </c>
      <c r="W284" s="10" t="str">
        <f t="shared" si="31"/>
        <v/>
      </c>
      <c r="X284" s="38" t="str">
        <f t="shared" si="32"/>
        <v/>
      </c>
      <c r="Y284" s="10" t="str">
        <f t="shared" si="33"/>
        <v/>
      </c>
      <c r="Z284" s="2" t="str">
        <f t="shared" si="34"/>
        <v/>
      </c>
      <c r="AA284" s="2"/>
      <c r="AB284" s="2"/>
    </row>
    <row r="285" spans="1:28" ht="16">
      <c r="A285" s="31"/>
      <c r="B285" s="32"/>
      <c r="C285" s="32"/>
      <c r="D285" s="32"/>
      <c r="E285" s="32"/>
      <c r="F285" s="33"/>
      <c r="G285" s="2"/>
      <c r="H285" s="2"/>
      <c r="I285" s="2"/>
      <c r="J285" s="35" t="str">
        <f>IF(H285&lt;&gt;"",IFERROR(VLOOKUP(IFERROR(LEFT(H285,FIND("-",H285)-1),H285),'Catalogo MINSAL'!A:E,5,FALSE),""),IF(I285&lt;&gt;"",IFERROR(VLOOKUP(IFERROR(LEFT(I285,FIND("-",I285)-1),I285),'Catalogo MINSAL'!A:E,5,FALSE),""),""))</f>
        <v/>
      </c>
      <c r="K285" s="2"/>
      <c r="L285" s="2"/>
      <c r="M285" s="2"/>
      <c r="N285" s="2"/>
      <c r="O285" s="2"/>
      <c r="P285" s="2"/>
      <c r="Q285" s="24"/>
      <c r="R285" s="2" t="str">
        <f t="shared" si="28"/>
        <v/>
      </c>
      <c r="S285" s="2"/>
      <c r="T285" s="2"/>
      <c r="U285" s="2" t="str">
        <f t="shared" si="29"/>
        <v/>
      </c>
      <c r="V285" s="10" t="str">
        <f t="shared" si="30"/>
        <v/>
      </c>
      <c r="W285" s="10" t="str">
        <f t="shared" si="31"/>
        <v/>
      </c>
      <c r="X285" s="38" t="str">
        <f t="shared" si="32"/>
        <v/>
      </c>
      <c r="Y285" s="10" t="str">
        <f t="shared" si="33"/>
        <v/>
      </c>
      <c r="Z285" s="2" t="str">
        <f t="shared" si="34"/>
        <v/>
      </c>
      <c r="AA285" s="2"/>
      <c r="AB285" s="2"/>
    </row>
    <row r="286" spans="1:28" ht="16">
      <c r="A286" s="31"/>
      <c r="B286" s="32"/>
      <c r="C286" s="32"/>
      <c r="D286" s="32"/>
      <c r="E286" s="32"/>
      <c r="F286" s="33"/>
      <c r="G286" s="2"/>
      <c r="H286" s="2"/>
      <c r="I286" s="2"/>
      <c r="J286" s="35" t="str">
        <f>IF(H286&lt;&gt;"",IFERROR(VLOOKUP(IFERROR(LEFT(H286,FIND("-",H286)-1),H286),'Catalogo MINSAL'!A:E,5,FALSE),""),IF(I286&lt;&gt;"",IFERROR(VLOOKUP(IFERROR(LEFT(I286,FIND("-",I286)-1),I286),'Catalogo MINSAL'!A:E,5,FALSE),""),""))</f>
        <v/>
      </c>
      <c r="K286" s="2"/>
      <c r="L286" s="2"/>
      <c r="M286" s="2"/>
      <c r="N286" s="2"/>
      <c r="O286" s="2"/>
      <c r="P286" s="2"/>
      <c r="Q286" s="24"/>
      <c r="R286" s="2" t="str">
        <f t="shared" si="28"/>
        <v/>
      </c>
      <c r="S286" s="2"/>
      <c r="T286" s="2"/>
      <c r="U286" s="2" t="str">
        <f t="shared" si="29"/>
        <v/>
      </c>
      <c r="V286" s="10" t="str">
        <f t="shared" si="30"/>
        <v/>
      </c>
      <c r="W286" s="10" t="str">
        <f t="shared" si="31"/>
        <v/>
      </c>
      <c r="X286" s="38" t="str">
        <f t="shared" si="32"/>
        <v/>
      </c>
      <c r="Y286" s="10" t="str">
        <f t="shared" si="33"/>
        <v/>
      </c>
      <c r="Z286" s="2" t="str">
        <f t="shared" si="34"/>
        <v/>
      </c>
      <c r="AA286" s="2"/>
      <c r="AB286" s="2"/>
    </row>
    <row r="287" spans="1:28" ht="16">
      <c r="A287" s="31"/>
      <c r="B287" s="32"/>
      <c r="C287" s="32"/>
      <c r="D287" s="32"/>
      <c r="E287" s="32"/>
      <c r="F287" s="33"/>
      <c r="G287" s="2"/>
      <c r="H287" s="2"/>
      <c r="I287" s="2"/>
      <c r="J287" s="35" t="str">
        <f>IF(H287&lt;&gt;"",IFERROR(VLOOKUP(IFERROR(LEFT(H287,FIND("-",H287)-1),H287),'Catalogo MINSAL'!A:E,5,FALSE),""),IF(I287&lt;&gt;"",IFERROR(VLOOKUP(IFERROR(LEFT(I287,FIND("-",I287)-1),I287),'Catalogo MINSAL'!A:E,5,FALSE),""),""))</f>
        <v/>
      </c>
      <c r="K287" s="2"/>
      <c r="L287" s="2"/>
      <c r="M287" s="2"/>
      <c r="N287" s="2"/>
      <c r="O287" s="2"/>
      <c r="P287" s="2"/>
      <c r="Q287" s="24"/>
      <c r="R287" s="2" t="str">
        <f t="shared" si="28"/>
        <v/>
      </c>
      <c r="S287" s="2"/>
      <c r="T287" s="2"/>
      <c r="U287" s="2" t="str">
        <f t="shared" si="29"/>
        <v/>
      </c>
      <c r="V287" s="10" t="str">
        <f t="shared" si="30"/>
        <v/>
      </c>
      <c r="W287" s="10" t="str">
        <f t="shared" si="31"/>
        <v/>
      </c>
      <c r="X287" s="38" t="str">
        <f t="shared" si="32"/>
        <v/>
      </c>
      <c r="Y287" s="10" t="str">
        <f t="shared" si="33"/>
        <v/>
      </c>
      <c r="Z287" s="2" t="str">
        <f t="shared" si="34"/>
        <v/>
      </c>
      <c r="AA287" s="2"/>
      <c r="AB287" s="2"/>
    </row>
    <row r="288" spans="1:28" ht="16">
      <c r="A288" s="31"/>
      <c r="B288" s="32"/>
      <c r="C288" s="32"/>
      <c r="D288" s="32"/>
      <c r="E288" s="32"/>
      <c r="F288" s="33"/>
      <c r="G288" s="2"/>
      <c r="H288" s="2"/>
      <c r="I288" s="2"/>
      <c r="J288" s="35" t="str">
        <f>IF(H288&lt;&gt;"",IFERROR(VLOOKUP(IFERROR(LEFT(H288,FIND("-",H288)-1),H288),'Catalogo MINSAL'!A:E,5,FALSE),""),IF(I288&lt;&gt;"",IFERROR(VLOOKUP(IFERROR(LEFT(I288,FIND("-",I288)-1),I288),'Catalogo MINSAL'!A:E,5,FALSE),""),""))</f>
        <v/>
      </c>
      <c r="K288" s="2"/>
      <c r="L288" s="2"/>
      <c r="M288" s="2"/>
      <c r="N288" s="2"/>
      <c r="O288" s="2"/>
      <c r="P288" s="2"/>
      <c r="Q288" s="24"/>
      <c r="R288" s="2" t="str">
        <f t="shared" si="28"/>
        <v/>
      </c>
      <c r="S288" s="2"/>
      <c r="T288" s="2"/>
      <c r="U288" s="2" t="str">
        <f t="shared" si="29"/>
        <v/>
      </c>
      <c r="V288" s="10" t="str">
        <f t="shared" si="30"/>
        <v/>
      </c>
      <c r="W288" s="10" t="str">
        <f t="shared" si="31"/>
        <v/>
      </c>
      <c r="X288" s="38" t="str">
        <f t="shared" si="32"/>
        <v/>
      </c>
      <c r="Y288" s="10" t="str">
        <f t="shared" si="33"/>
        <v/>
      </c>
      <c r="Z288" s="2" t="str">
        <f t="shared" si="34"/>
        <v/>
      </c>
      <c r="AA288" s="2"/>
      <c r="AB288" s="2"/>
    </row>
    <row r="289" spans="1:28" ht="16">
      <c r="A289" s="31"/>
      <c r="B289" s="32"/>
      <c r="C289" s="32"/>
      <c r="D289" s="32"/>
      <c r="E289" s="32"/>
      <c r="F289" s="33"/>
      <c r="G289" s="2"/>
      <c r="H289" s="2"/>
      <c r="I289" s="2"/>
      <c r="J289" s="35" t="str">
        <f>IF(H289&lt;&gt;"",IFERROR(VLOOKUP(IFERROR(LEFT(H289,FIND("-",H289)-1),H289),'Catalogo MINSAL'!A:E,5,FALSE),""),IF(I289&lt;&gt;"",IFERROR(VLOOKUP(IFERROR(LEFT(I289,FIND("-",I289)-1),I289),'Catalogo MINSAL'!A:E,5,FALSE),""),""))</f>
        <v/>
      </c>
      <c r="K289" s="2"/>
      <c r="L289" s="2"/>
      <c r="M289" s="2"/>
      <c r="N289" s="2"/>
      <c r="O289" s="2"/>
      <c r="P289" s="2"/>
      <c r="Q289" s="24"/>
      <c r="R289" s="2" t="str">
        <f t="shared" si="28"/>
        <v/>
      </c>
      <c r="S289" s="2"/>
      <c r="T289" s="2"/>
      <c r="U289" s="2" t="str">
        <f t="shared" si="29"/>
        <v/>
      </c>
      <c r="V289" s="10" t="str">
        <f t="shared" si="30"/>
        <v/>
      </c>
      <c r="W289" s="10" t="str">
        <f t="shared" si="31"/>
        <v/>
      </c>
      <c r="X289" s="38" t="str">
        <f t="shared" si="32"/>
        <v/>
      </c>
      <c r="Y289" s="10" t="str">
        <f t="shared" si="33"/>
        <v/>
      </c>
      <c r="Z289" s="2" t="str">
        <f t="shared" si="34"/>
        <v/>
      </c>
      <c r="AA289" s="2"/>
      <c r="AB289" s="2"/>
    </row>
    <row r="290" spans="1:28" ht="16">
      <c r="A290" s="31"/>
      <c r="B290" s="32"/>
      <c r="C290" s="32"/>
      <c r="D290" s="32"/>
      <c r="E290" s="32"/>
      <c r="F290" s="33"/>
      <c r="G290" s="2"/>
      <c r="H290" s="2"/>
      <c r="I290" s="2"/>
      <c r="J290" s="35" t="str">
        <f>IF(H290&lt;&gt;"",IFERROR(VLOOKUP(IFERROR(LEFT(H290,FIND("-",H290)-1),H290),'Catalogo MINSAL'!A:E,5,FALSE),""),IF(I290&lt;&gt;"",IFERROR(VLOOKUP(IFERROR(LEFT(I290,FIND("-",I290)-1),I290),'Catalogo MINSAL'!A:E,5,FALSE),""),""))</f>
        <v/>
      </c>
      <c r="K290" s="2"/>
      <c r="L290" s="2"/>
      <c r="M290" s="2"/>
      <c r="N290" s="2"/>
      <c r="O290" s="2"/>
      <c r="P290" s="2"/>
      <c r="Q290" s="24"/>
      <c r="R290" s="2" t="str">
        <f t="shared" si="28"/>
        <v/>
      </c>
      <c r="S290" s="2"/>
      <c r="T290" s="2"/>
      <c r="U290" s="2" t="str">
        <f t="shared" si="29"/>
        <v/>
      </c>
      <c r="V290" s="10" t="str">
        <f t="shared" si="30"/>
        <v/>
      </c>
      <c r="W290" s="10" t="str">
        <f t="shared" si="31"/>
        <v/>
      </c>
      <c r="X290" s="38" t="str">
        <f t="shared" si="32"/>
        <v/>
      </c>
      <c r="Y290" s="10" t="str">
        <f t="shared" si="33"/>
        <v/>
      </c>
      <c r="Z290" s="2" t="str">
        <f t="shared" si="34"/>
        <v/>
      </c>
      <c r="AA290" s="2"/>
      <c r="AB290" s="2"/>
    </row>
    <row r="291" spans="1:28" ht="16">
      <c r="A291" s="31"/>
      <c r="B291" s="32"/>
      <c r="C291" s="32"/>
      <c r="D291" s="32"/>
      <c r="E291" s="32"/>
      <c r="F291" s="33"/>
      <c r="G291" s="2"/>
      <c r="H291" s="2"/>
      <c r="I291" s="2"/>
      <c r="J291" s="35" t="str">
        <f>IF(H291&lt;&gt;"",IFERROR(VLOOKUP(IFERROR(LEFT(H291,FIND("-",H291)-1),H291),'Catalogo MINSAL'!A:E,5,FALSE),""),IF(I291&lt;&gt;"",IFERROR(VLOOKUP(IFERROR(LEFT(I291,FIND("-",I291)-1),I291),'Catalogo MINSAL'!A:E,5,FALSE),""),""))</f>
        <v/>
      </c>
      <c r="K291" s="2"/>
      <c r="L291" s="2"/>
      <c r="M291" s="2"/>
      <c r="N291" s="2"/>
      <c r="O291" s="2"/>
      <c r="P291" s="2"/>
      <c r="Q291" s="24"/>
      <c r="R291" s="2" t="str">
        <f t="shared" si="28"/>
        <v/>
      </c>
      <c r="S291" s="2"/>
      <c r="T291" s="2"/>
      <c r="U291" s="2" t="str">
        <f t="shared" si="29"/>
        <v/>
      </c>
      <c r="V291" s="10" t="str">
        <f t="shared" si="30"/>
        <v/>
      </c>
      <c r="W291" s="10" t="str">
        <f t="shared" si="31"/>
        <v/>
      </c>
      <c r="X291" s="38" t="str">
        <f t="shared" si="32"/>
        <v/>
      </c>
      <c r="Y291" s="10" t="str">
        <f t="shared" si="33"/>
        <v/>
      </c>
      <c r="Z291" s="2" t="str">
        <f t="shared" si="34"/>
        <v/>
      </c>
      <c r="AA291" s="2"/>
      <c r="AB291" s="2"/>
    </row>
    <row r="292" spans="1:28" ht="16">
      <c r="A292" s="31"/>
      <c r="B292" s="32"/>
      <c r="C292" s="32"/>
      <c r="D292" s="32"/>
      <c r="E292" s="32"/>
      <c r="F292" s="33"/>
      <c r="G292" s="2"/>
      <c r="H292" s="2"/>
      <c r="I292" s="2"/>
      <c r="J292" s="35" t="str">
        <f>IF(H292&lt;&gt;"",IFERROR(VLOOKUP(IFERROR(LEFT(H292,FIND("-",H292)-1),H292),'Catalogo MINSAL'!A:E,5,FALSE),""),IF(I292&lt;&gt;"",IFERROR(VLOOKUP(IFERROR(LEFT(I292,FIND("-",I292)-1),I292),'Catalogo MINSAL'!A:E,5,FALSE),""),""))</f>
        <v/>
      </c>
      <c r="K292" s="2"/>
      <c r="L292" s="2"/>
      <c r="M292" s="2"/>
      <c r="N292" s="2"/>
      <c r="O292" s="2"/>
      <c r="P292" s="2"/>
      <c r="Q292" s="24"/>
      <c r="R292" s="2" t="str">
        <f t="shared" si="28"/>
        <v/>
      </c>
      <c r="S292" s="2"/>
      <c r="T292" s="2"/>
      <c r="U292" s="2" t="str">
        <f t="shared" si="29"/>
        <v/>
      </c>
      <c r="V292" s="10" t="str">
        <f t="shared" si="30"/>
        <v/>
      </c>
      <c r="W292" s="10" t="str">
        <f t="shared" si="31"/>
        <v/>
      </c>
      <c r="X292" s="38" t="str">
        <f t="shared" si="32"/>
        <v/>
      </c>
      <c r="Y292" s="10" t="str">
        <f t="shared" si="33"/>
        <v/>
      </c>
      <c r="Z292" s="2" t="str">
        <f t="shared" si="34"/>
        <v/>
      </c>
      <c r="AA292" s="2"/>
      <c r="AB292" s="2"/>
    </row>
    <row r="293" spans="1:28" ht="16">
      <c r="A293" s="31"/>
      <c r="B293" s="32"/>
      <c r="C293" s="32"/>
      <c r="D293" s="32"/>
      <c r="E293" s="32"/>
      <c r="F293" s="33"/>
      <c r="G293" s="2"/>
      <c r="H293" s="2"/>
      <c r="I293" s="2"/>
      <c r="J293" s="35" t="str">
        <f>IF(H293&lt;&gt;"",IFERROR(VLOOKUP(IFERROR(LEFT(H293,FIND("-",H293)-1),H293),'Catalogo MINSAL'!A:E,5,FALSE),""),IF(I293&lt;&gt;"",IFERROR(VLOOKUP(IFERROR(LEFT(I293,FIND("-",I293)-1),I293),'Catalogo MINSAL'!A:E,5,FALSE),""),""))</f>
        <v/>
      </c>
      <c r="K293" s="2"/>
      <c r="L293" s="2"/>
      <c r="M293" s="2"/>
      <c r="N293" s="2"/>
      <c r="O293" s="2"/>
      <c r="P293" s="2"/>
      <c r="Q293" s="24"/>
      <c r="R293" s="2" t="str">
        <f t="shared" si="28"/>
        <v/>
      </c>
      <c r="S293" s="2"/>
      <c r="T293" s="2"/>
      <c r="U293" s="2" t="str">
        <f t="shared" si="29"/>
        <v/>
      </c>
      <c r="V293" s="10" t="str">
        <f t="shared" si="30"/>
        <v/>
      </c>
      <c r="W293" s="10" t="str">
        <f t="shared" si="31"/>
        <v/>
      </c>
      <c r="X293" s="38" t="str">
        <f t="shared" si="32"/>
        <v/>
      </c>
      <c r="Y293" s="10" t="str">
        <f t="shared" si="33"/>
        <v/>
      </c>
      <c r="Z293" s="2" t="str">
        <f t="shared" si="34"/>
        <v/>
      </c>
      <c r="AA293" s="2"/>
      <c r="AB293" s="2"/>
    </row>
    <row r="294" spans="1:28" ht="16">
      <c r="A294" s="31"/>
      <c r="B294" s="32"/>
      <c r="C294" s="32"/>
      <c r="D294" s="32"/>
      <c r="E294" s="32"/>
      <c r="F294" s="33"/>
      <c r="G294" s="2"/>
      <c r="H294" s="2"/>
      <c r="I294" s="2"/>
      <c r="J294" s="35" t="str">
        <f>IF(H294&lt;&gt;"",IFERROR(VLOOKUP(IFERROR(LEFT(H294,FIND("-",H294)-1),H294),'Catalogo MINSAL'!A:E,5,FALSE),""),IF(I294&lt;&gt;"",IFERROR(VLOOKUP(IFERROR(LEFT(I294,FIND("-",I294)-1),I294),'Catalogo MINSAL'!A:E,5,FALSE),""),""))</f>
        <v/>
      </c>
      <c r="K294" s="2"/>
      <c r="L294" s="2"/>
      <c r="M294" s="2"/>
      <c r="N294" s="2"/>
      <c r="O294" s="2"/>
      <c r="P294" s="2"/>
      <c r="Q294" s="24"/>
      <c r="R294" s="2" t="str">
        <f t="shared" si="28"/>
        <v/>
      </c>
      <c r="S294" s="2"/>
      <c r="T294" s="2"/>
      <c r="U294" s="2" t="str">
        <f t="shared" si="29"/>
        <v/>
      </c>
      <c r="V294" s="10" t="str">
        <f t="shared" si="30"/>
        <v/>
      </c>
      <c r="W294" s="10" t="str">
        <f t="shared" si="31"/>
        <v/>
      </c>
      <c r="X294" s="38" t="str">
        <f t="shared" si="32"/>
        <v/>
      </c>
      <c r="Y294" s="10" t="str">
        <f t="shared" si="33"/>
        <v/>
      </c>
      <c r="Z294" s="2" t="str">
        <f t="shared" si="34"/>
        <v/>
      </c>
      <c r="AA294" s="2"/>
      <c r="AB294" s="2"/>
    </row>
    <row r="295" spans="1:28" ht="16">
      <c r="A295" s="31"/>
      <c r="B295" s="32"/>
      <c r="C295" s="32"/>
      <c r="D295" s="32"/>
      <c r="E295" s="32"/>
      <c r="F295" s="33"/>
      <c r="G295" s="2"/>
      <c r="H295" s="2"/>
      <c r="I295" s="2"/>
      <c r="J295" s="35" t="str">
        <f>IF(H295&lt;&gt;"",IFERROR(VLOOKUP(IFERROR(LEFT(H295,FIND("-",H295)-1),H295),'Catalogo MINSAL'!A:E,5,FALSE),""),IF(I295&lt;&gt;"",IFERROR(VLOOKUP(IFERROR(LEFT(I295,FIND("-",I295)-1),I295),'Catalogo MINSAL'!A:E,5,FALSE),""),""))</f>
        <v/>
      </c>
      <c r="K295" s="2"/>
      <c r="L295" s="2"/>
      <c r="M295" s="2"/>
      <c r="N295" s="2"/>
      <c r="O295" s="2"/>
      <c r="P295" s="2"/>
      <c r="Q295" s="24"/>
      <c r="R295" s="2" t="str">
        <f t="shared" si="28"/>
        <v/>
      </c>
      <c r="S295" s="2"/>
      <c r="T295" s="2"/>
      <c r="U295" s="2" t="str">
        <f t="shared" si="29"/>
        <v/>
      </c>
      <c r="V295" s="10" t="str">
        <f t="shared" si="30"/>
        <v/>
      </c>
      <c r="W295" s="10" t="str">
        <f t="shared" si="31"/>
        <v/>
      </c>
      <c r="X295" s="38" t="str">
        <f t="shared" si="32"/>
        <v/>
      </c>
      <c r="Y295" s="10" t="str">
        <f t="shared" si="33"/>
        <v/>
      </c>
      <c r="Z295" s="2" t="str">
        <f t="shared" si="34"/>
        <v/>
      </c>
      <c r="AA295" s="2"/>
      <c r="AB295" s="2"/>
    </row>
    <row r="296" spans="1:28" ht="16">
      <c r="A296" s="31"/>
      <c r="B296" s="32"/>
      <c r="C296" s="32"/>
      <c r="D296" s="32"/>
      <c r="E296" s="32"/>
      <c r="F296" s="33"/>
      <c r="G296" s="2"/>
      <c r="H296" s="2"/>
      <c r="I296" s="2"/>
      <c r="J296" s="35" t="str">
        <f>IF(H296&lt;&gt;"",IFERROR(VLOOKUP(IFERROR(LEFT(H296,FIND("-",H296)-1),H296),'Catalogo MINSAL'!A:E,5,FALSE),""),IF(I296&lt;&gt;"",IFERROR(VLOOKUP(IFERROR(LEFT(I296,FIND("-",I296)-1),I296),'Catalogo MINSAL'!A:E,5,FALSE),""),""))</f>
        <v/>
      </c>
      <c r="K296" s="2"/>
      <c r="L296" s="2"/>
      <c r="M296" s="2"/>
      <c r="N296" s="2"/>
      <c r="O296" s="2"/>
      <c r="P296" s="2"/>
      <c r="Q296" s="24"/>
      <c r="R296" s="2" t="str">
        <f t="shared" si="28"/>
        <v/>
      </c>
      <c r="S296" s="2"/>
      <c r="T296" s="2"/>
      <c r="U296" s="2" t="str">
        <f t="shared" si="29"/>
        <v/>
      </c>
      <c r="V296" s="10" t="str">
        <f t="shared" si="30"/>
        <v/>
      </c>
      <c r="W296" s="10" t="str">
        <f t="shared" si="31"/>
        <v/>
      </c>
      <c r="X296" s="38" t="str">
        <f t="shared" si="32"/>
        <v/>
      </c>
      <c r="Y296" s="10" t="str">
        <f t="shared" si="33"/>
        <v/>
      </c>
      <c r="Z296" s="2" t="str">
        <f t="shared" si="34"/>
        <v/>
      </c>
      <c r="AA296" s="2"/>
      <c r="AB296" s="2"/>
    </row>
    <row r="297" spans="1:28" ht="16">
      <c r="A297" s="31"/>
      <c r="B297" s="32"/>
      <c r="C297" s="32"/>
      <c r="D297" s="32"/>
      <c r="E297" s="32"/>
      <c r="F297" s="33"/>
      <c r="G297" s="2"/>
      <c r="H297" s="2"/>
      <c r="I297" s="2"/>
      <c r="J297" s="35" t="str">
        <f>IF(H297&lt;&gt;"",IFERROR(VLOOKUP(IFERROR(LEFT(H297,FIND("-",H297)-1),H297),'Catalogo MINSAL'!A:E,5,FALSE),""),IF(I297&lt;&gt;"",IFERROR(VLOOKUP(IFERROR(LEFT(I297,FIND("-",I297)-1),I297),'Catalogo MINSAL'!A:E,5,FALSE),""),""))</f>
        <v/>
      </c>
      <c r="K297" s="2"/>
      <c r="L297" s="2"/>
      <c r="M297" s="2"/>
      <c r="N297" s="2"/>
      <c r="O297" s="2"/>
      <c r="P297" s="2"/>
      <c r="Q297" s="24"/>
      <c r="R297" s="2" t="str">
        <f t="shared" si="28"/>
        <v/>
      </c>
      <c r="S297" s="2"/>
      <c r="T297" s="2"/>
      <c r="U297" s="2" t="str">
        <f t="shared" si="29"/>
        <v/>
      </c>
      <c r="V297" s="10" t="str">
        <f t="shared" si="30"/>
        <v/>
      </c>
      <c r="W297" s="10" t="str">
        <f t="shared" si="31"/>
        <v/>
      </c>
      <c r="X297" s="38" t="str">
        <f t="shared" si="32"/>
        <v/>
      </c>
      <c r="Y297" s="10" t="str">
        <f t="shared" si="33"/>
        <v/>
      </c>
      <c r="Z297" s="2" t="str">
        <f t="shared" si="34"/>
        <v/>
      </c>
      <c r="AA297" s="2"/>
      <c r="AB297" s="2"/>
    </row>
    <row r="298" spans="1:28" ht="16">
      <c r="A298" s="31"/>
      <c r="B298" s="32"/>
      <c r="C298" s="32"/>
      <c r="D298" s="32"/>
      <c r="E298" s="32"/>
      <c r="F298" s="33"/>
      <c r="G298" s="2"/>
      <c r="H298" s="2"/>
      <c r="I298" s="2"/>
      <c r="J298" s="35" t="str">
        <f>IF(H298&lt;&gt;"",IFERROR(VLOOKUP(IFERROR(LEFT(H298,FIND("-",H298)-1),H298),'Catalogo MINSAL'!A:E,5,FALSE),""),IF(I298&lt;&gt;"",IFERROR(VLOOKUP(IFERROR(LEFT(I298,FIND("-",I298)-1),I298),'Catalogo MINSAL'!A:E,5,FALSE),""),""))</f>
        <v/>
      </c>
      <c r="K298" s="2"/>
      <c r="L298" s="2"/>
      <c r="M298" s="2"/>
      <c r="N298" s="2"/>
      <c r="O298" s="2"/>
      <c r="P298" s="2"/>
      <c r="Q298" s="24"/>
      <c r="R298" s="2" t="str">
        <f t="shared" si="28"/>
        <v/>
      </c>
      <c r="S298" s="2"/>
      <c r="T298" s="2"/>
      <c r="U298" s="2" t="str">
        <f t="shared" si="29"/>
        <v/>
      </c>
      <c r="V298" s="10" t="str">
        <f t="shared" si="30"/>
        <v/>
      </c>
      <c r="W298" s="10" t="str">
        <f t="shared" si="31"/>
        <v/>
      </c>
      <c r="X298" s="38" t="str">
        <f t="shared" si="32"/>
        <v/>
      </c>
      <c r="Y298" s="10" t="str">
        <f t="shared" si="33"/>
        <v/>
      </c>
      <c r="Z298" s="2" t="str">
        <f t="shared" si="34"/>
        <v/>
      </c>
      <c r="AA298" s="2"/>
      <c r="AB298" s="2"/>
    </row>
    <row r="299" spans="1:28" ht="16">
      <c r="A299" s="31"/>
      <c r="B299" s="32"/>
      <c r="C299" s="32"/>
      <c r="D299" s="32"/>
      <c r="E299" s="32"/>
      <c r="F299" s="33"/>
      <c r="G299" s="2"/>
      <c r="H299" s="2"/>
      <c r="I299" s="2"/>
      <c r="J299" s="35" t="str">
        <f>IF(H299&lt;&gt;"",IFERROR(VLOOKUP(IFERROR(LEFT(H299,FIND("-",H299)-1),H299),'Catalogo MINSAL'!A:E,5,FALSE),""),IF(I299&lt;&gt;"",IFERROR(VLOOKUP(IFERROR(LEFT(I299,FIND("-",I299)-1),I299),'Catalogo MINSAL'!A:E,5,FALSE),""),""))</f>
        <v/>
      </c>
      <c r="K299" s="2"/>
      <c r="L299" s="2"/>
      <c r="M299" s="2"/>
      <c r="N299" s="2"/>
      <c r="O299" s="2"/>
      <c r="P299" s="2"/>
      <c r="Q299" s="24"/>
      <c r="R299" s="2" t="str">
        <f t="shared" si="28"/>
        <v/>
      </c>
      <c r="S299" s="2"/>
      <c r="T299" s="2"/>
      <c r="U299" s="2" t="str">
        <f t="shared" si="29"/>
        <v/>
      </c>
      <c r="V299" s="10" t="str">
        <f t="shared" si="30"/>
        <v/>
      </c>
      <c r="W299" s="10" t="str">
        <f t="shared" si="31"/>
        <v/>
      </c>
      <c r="X299" s="38" t="str">
        <f t="shared" si="32"/>
        <v/>
      </c>
      <c r="Y299" s="10" t="str">
        <f t="shared" si="33"/>
        <v/>
      </c>
      <c r="Z299" s="2" t="str">
        <f t="shared" si="34"/>
        <v/>
      </c>
      <c r="AA299" s="2"/>
      <c r="AB299" s="2"/>
    </row>
    <row r="300" spans="1:28" ht="16">
      <c r="A300" s="31"/>
      <c r="B300" s="32"/>
      <c r="C300" s="32"/>
      <c r="D300" s="32"/>
      <c r="E300" s="32"/>
      <c r="F300" s="33"/>
      <c r="G300" s="2"/>
      <c r="H300" s="2"/>
      <c r="I300" s="2"/>
      <c r="J300" s="35" t="str">
        <f>IF(H300&lt;&gt;"",IFERROR(VLOOKUP(IFERROR(LEFT(H300,FIND("-",H300)-1),H300),'Catalogo MINSAL'!A:E,5,FALSE),""),IF(I300&lt;&gt;"",IFERROR(VLOOKUP(IFERROR(LEFT(I300,FIND("-",I300)-1),I300),'Catalogo MINSAL'!A:E,5,FALSE),""),""))</f>
        <v/>
      </c>
      <c r="K300" s="2"/>
      <c r="L300" s="2"/>
      <c r="M300" s="2"/>
      <c r="N300" s="2"/>
      <c r="O300" s="2"/>
      <c r="P300" s="2"/>
      <c r="Q300" s="24"/>
      <c r="R300" s="2" t="str">
        <f t="shared" si="28"/>
        <v/>
      </c>
      <c r="S300" s="2"/>
      <c r="T300" s="2"/>
      <c r="U300" s="2" t="str">
        <f t="shared" si="29"/>
        <v/>
      </c>
      <c r="V300" s="10" t="str">
        <f t="shared" si="30"/>
        <v/>
      </c>
      <c r="W300" s="10" t="str">
        <f t="shared" si="31"/>
        <v/>
      </c>
      <c r="X300" s="38" t="str">
        <f t="shared" si="32"/>
        <v/>
      </c>
      <c r="Y300" s="10" t="str">
        <f t="shared" si="33"/>
        <v/>
      </c>
      <c r="Z300" s="2" t="str">
        <f t="shared" si="34"/>
        <v/>
      </c>
      <c r="AA300" s="2"/>
      <c r="AB300" s="2"/>
    </row>
    <row r="301" spans="1:28" ht="16">
      <c r="A301" s="31"/>
      <c r="B301" s="32"/>
      <c r="C301" s="32"/>
      <c r="D301" s="32"/>
      <c r="E301" s="32"/>
      <c r="F301" s="33"/>
      <c r="G301" s="2"/>
      <c r="H301" s="2"/>
      <c r="I301" s="2"/>
      <c r="J301" s="35" t="str">
        <f>IF(H301&lt;&gt;"",IFERROR(VLOOKUP(IFERROR(LEFT(H301,FIND("-",H301)-1),H301),'Catalogo MINSAL'!A:E,5,FALSE),""),IF(I301&lt;&gt;"",IFERROR(VLOOKUP(IFERROR(LEFT(I301,FIND("-",I301)-1),I301),'Catalogo MINSAL'!A:E,5,FALSE),""),""))</f>
        <v/>
      </c>
      <c r="K301" s="2"/>
      <c r="L301" s="2"/>
      <c r="M301" s="2"/>
      <c r="N301" s="2"/>
      <c r="O301" s="2"/>
      <c r="P301" s="2"/>
      <c r="Q301" s="24"/>
      <c r="R301" s="2" t="str">
        <f t="shared" si="28"/>
        <v/>
      </c>
      <c r="S301" s="2"/>
      <c r="T301" s="2"/>
      <c r="U301" s="2" t="str">
        <f t="shared" si="29"/>
        <v/>
      </c>
      <c r="V301" s="10" t="str">
        <f t="shared" si="30"/>
        <v/>
      </c>
      <c r="W301" s="10" t="str">
        <f t="shared" si="31"/>
        <v/>
      </c>
      <c r="X301" s="38" t="str">
        <f t="shared" si="32"/>
        <v/>
      </c>
      <c r="Y301" s="10" t="str">
        <f t="shared" si="33"/>
        <v/>
      </c>
      <c r="Z301" s="2" t="str">
        <f t="shared" si="34"/>
        <v/>
      </c>
      <c r="AA301" s="2"/>
      <c r="AB301" s="2"/>
    </row>
    <row r="302" spans="1:28" ht="16">
      <c r="A302" s="31"/>
      <c r="B302" s="32"/>
      <c r="C302" s="32"/>
      <c r="D302" s="32"/>
      <c r="E302" s="32"/>
      <c r="F302" s="33"/>
      <c r="G302" s="2"/>
      <c r="H302" s="2"/>
      <c r="I302" s="2"/>
      <c r="J302" s="35" t="str">
        <f>IF(H302&lt;&gt;"",IFERROR(VLOOKUP(IFERROR(LEFT(H302,FIND("-",H302)-1),H302),'Catalogo MINSAL'!A:E,5,FALSE),""),IF(I302&lt;&gt;"",IFERROR(VLOOKUP(IFERROR(LEFT(I302,FIND("-",I302)-1),I302),'Catalogo MINSAL'!A:E,5,FALSE),""),""))</f>
        <v/>
      </c>
      <c r="K302" s="2"/>
      <c r="L302" s="2"/>
      <c r="M302" s="2"/>
      <c r="N302" s="2"/>
      <c r="O302" s="2"/>
      <c r="P302" s="2"/>
      <c r="Q302" s="24"/>
      <c r="R302" s="2" t="str">
        <f t="shared" si="28"/>
        <v/>
      </c>
      <c r="S302" s="2"/>
      <c r="T302" s="2"/>
      <c r="U302" s="2" t="str">
        <f t="shared" si="29"/>
        <v/>
      </c>
      <c r="V302" s="10" t="str">
        <f t="shared" si="30"/>
        <v/>
      </c>
      <c r="W302" s="10" t="str">
        <f t="shared" si="31"/>
        <v/>
      </c>
      <c r="X302" s="38" t="str">
        <f t="shared" si="32"/>
        <v/>
      </c>
      <c r="Y302" s="10" t="str">
        <f t="shared" si="33"/>
        <v/>
      </c>
      <c r="Z302" s="2" t="str">
        <f t="shared" si="34"/>
        <v/>
      </c>
      <c r="AA302" s="2"/>
      <c r="AB302" s="2"/>
    </row>
    <row r="303" spans="1:28" ht="16">
      <c r="A303" s="31"/>
      <c r="B303" s="32"/>
      <c r="C303" s="32"/>
      <c r="D303" s="32"/>
      <c r="E303" s="32"/>
      <c r="F303" s="33"/>
      <c r="G303" s="2"/>
      <c r="H303" s="2"/>
      <c r="I303" s="2"/>
      <c r="J303" s="35" t="str">
        <f>IF(H303&lt;&gt;"",IFERROR(VLOOKUP(IFERROR(LEFT(H303,FIND("-",H303)-1),H303),'Catalogo MINSAL'!A:E,5,FALSE),""),IF(I303&lt;&gt;"",IFERROR(VLOOKUP(IFERROR(LEFT(I303,FIND("-",I303)-1),I303),'Catalogo MINSAL'!A:E,5,FALSE),""),""))</f>
        <v/>
      </c>
      <c r="K303" s="2"/>
      <c r="L303" s="2"/>
      <c r="M303" s="2"/>
      <c r="N303" s="2"/>
      <c r="O303" s="2"/>
      <c r="P303" s="2"/>
      <c r="Q303" s="24"/>
      <c r="R303" s="2" t="str">
        <f t="shared" si="28"/>
        <v/>
      </c>
      <c r="S303" s="2"/>
      <c r="T303" s="2"/>
      <c r="U303" s="2" t="str">
        <f t="shared" si="29"/>
        <v/>
      </c>
      <c r="V303" s="10" t="str">
        <f t="shared" si="30"/>
        <v/>
      </c>
      <c r="W303" s="10" t="str">
        <f t="shared" si="31"/>
        <v/>
      </c>
      <c r="X303" s="38" t="str">
        <f t="shared" si="32"/>
        <v/>
      </c>
      <c r="Y303" s="10" t="str">
        <f t="shared" si="33"/>
        <v/>
      </c>
      <c r="Z303" s="2" t="str">
        <f t="shared" si="34"/>
        <v/>
      </c>
      <c r="AA303" s="2"/>
      <c r="AB303" s="2"/>
    </row>
    <row r="304" spans="1:28" ht="16">
      <c r="A304" s="31"/>
      <c r="B304" s="32"/>
      <c r="C304" s="32"/>
      <c r="D304" s="32"/>
      <c r="E304" s="32"/>
      <c r="F304" s="33"/>
      <c r="G304" s="2"/>
      <c r="H304" s="2"/>
      <c r="I304" s="2"/>
      <c r="J304" s="35" t="str">
        <f>IF(H304&lt;&gt;"",IFERROR(VLOOKUP(IFERROR(LEFT(H304,FIND("-",H304)-1),H304),'Catalogo MINSAL'!A:E,5,FALSE),""),IF(I304&lt;&gt;"",IFERROR(VLOOKUP(IFERROR(LEFT(I304,FIND("-",I304)-1),I304),'Catalogo MINSAL'!A:E,5,FALSE),""),""))</f>
        <v/>
      </c>
      <c r="K304" s="2"/>
      <c r="L304" s="2"/>
      <c r="M304" s="2"/>
      <c r="N304" s="2"/>
      <c r="O304" s="2"/>
      <c r="P304" s="2"/>
      <c r="Q304" s="24"/>
      <c r="R304" s="2" t="str">
        <f t="shared" si="28"/>
        <v/>
      </c>
      <c r="S304" s="2"/>
      <c r="T304" s="2"/>
      <c r="U304" s="2" t="str">
        <f t="shared" si="29"/>
        <v/>
      </c>
      <c r="V304" s="10" t="str">
        <f t="shared" si="30"/>
        <v/>
      </c>
      <c r="W304" s="10" t="str">
        <f t="shared" si="31"/>
        <v/>
      </c>
      <c r="X304" s="38" t="str">
        <f t="shared" si="32"/>
        <v/>
      </c>
      <c r="Y304" s="10" t="str">
        <f t="shared" si="33"/>
        <v/>
      </c>
      <c r="Z304" s="2" t="str">
        <f t="shared" si="34"/>
        <v/>
      </c>
      <c r="AA304" s="2"/>
      <c r="AB304" s="2"/>
    </row>
    <row r="305" spans="1:28" ht="16">
      <c r="A305" s="31"/>
      <c r="B305" s="32"/>
      <c r="C305" s="32"/>
      <c r="D305" s="32"/>
      <c r="E305" s="32"/>
      <c r="F305" s="33"/>
      <c r="G305" s="2"/>
      <c r="H305" s="2"/>
      <c r="I305" s="2"/>
      <c r="J305" s="35" t="str">
        <f>IF(H305&lt;&gt;"",IFERROR(VLOOKUP(IFERROR(LEFT(H305,FIND("-",H305)-1),H305),'Catalogo MINSAL'!A:E,5,FALSE),""),IF(I305&lt;&gt;"",IFERROR(VLOOKUP(IFERROR(LEFT(I305,FIND("-",I305)-1),I305),'Catalogo MINSAL'!A:E,5,FALSE),""),""))</f>
        <v/>
      </c>
      <c r="K305" s="2"/>
      <c r="L305" s="2"/>
      <c r="M305" s="2"/>
      <c r="N305" s="2"/>
      <c r="O305" s="2"/>
      <c r="P305" s="2"/>
      <c r="Q305" s="24"/>
      <c r="R305" s="2" t="str">
        <f t="shared" si="28"/>
        <v/>
      </c>
      <c r="S305" s="2"/>
      <c r="T305" s="2"/>
      <c r="U305" s="2" t="str">
        <f t="shared" si="29"/>
        <v/>
      </c>
      <c r="V305" s="10" t="str">
        <f t="shared" si="30"/>
        <v/>
      </c>
      <c r="W305" s="10" t="str">
        <f t="shared" si="31"/>
        <v/>
      </c>
      <c r="X305" s="38" t="str">
        <f t="shared" si="32"/>
        <v/>
      </c>
      <c r="Y305" s="10" t="str">
        <f t="shared" si="33"/>
        <v/>
      </c>
      <c r="Z305" s="2" t="str">
        <f t="shared" si="34"/>
        <v/>
      </c>
      <c r="AA305" s="2"/>
      <c r="AB305" s="2"/>
    </row>
    <row r="306" spans="1:28" ht="16">
      <c r="A306" s="31"/>
      <c r="B306" s="32"/>
      <c r="C306" s="32"/>
      <c r="D306" s="32"/>
      <c r="E306" s="32"/>
      <c r="F306" s="33"/>
      <c r="G306" s="2"/>
      <c r="H306" s="2"/>
      <c r="I306" s="2"/>
      <c r="J306" s="35" t="str">
        <f>IF(H306&lt;&gt;"",IFERROR(VLOOKUP(IFERROR(LEFT(H306,FIND("-",H306)-1),H306),'Catalogo MINSAL'!A:E,5,FALSE),""),IF(I306&lt;&gt;"",IFERROR(VLOOKUP(IFERROR(LEFT(I306,FIND("-",I306)-1),I306),'Catalogo MINSAL'!A:E,5,FALSE),""),""))</f>
        <v/>
      </c>
      <c r="K306" s="2"/>
      <c r="L306" s="2"/>
      <c r="M306" s="2"/>
      <c r="N306" s="2"/>
      <c r="O306" s="2"/>
      <c r="P306" s="2"/>
      <c r="Q306" s="24"/>
      <c r="R306" s="2" t="str">
        <f t="shared" si="28"/>
        <v/>
      </c>
      <c r="S306" s="2"/>
      <c r="T306" s="2"/>
      <c r="U306" s="2" t="str">
        <f t="shared" si="29"/>
        <v/>
      </c>
      <c r="V306" s="10" t="str">
        <f t="shared" si="30"/>
        <v/>
      </c>
      <c r="W306" s="10" t="str">
        <f t="shared" si="31"/>
        <v/>
      </c>
      <c r="X306" s="38" t="str">
        <f t="shared" si="32"/>
        <v/>
      </c>
      <c r="Y306" s="10" t="str">
        <f t="shared" si="33"/>
        <v/>
      </c>
      <c r="Z306" s="2" t="str">
        <f t="shared" si="34"/>
        <v/>
      </c>
      <c r="AA306" s="2"/>
      <c r="AB306" s="2"/>
    </row>
    <row r="307" spans="1:28" ht="16">
      <c r="A307" s="31"/>
      <c r="B307" s="32"/>
      <c r="C307" s="32"/>
      <c r="D307" s="32"/>
      <c r="E307" s="32"/>
      <c r="F307" s="33"/>
      <c r="G307" s="2"/>
      <c r="H307" s="2"/>
      <c r="I307" s="2"/>
      <c r="J307" s="35" t="str">
        <f>IF(H307&lt;&gt;"",IFERROR(VLOOKUP(IFERROR(LEFT(H307,FIND("-",H307)-1),H307),'Catalogo MINSAL'!A:E,5,FALSE),""),IF(I307&lt;&gt;"",IFERROR(VLOOKUP(IFERROR(LEFT(I307,FIND("-",I307)-1),I307),'Catalogo MINSAL'!A:E,5,FALSE),""),""))</f>
        <v/>
      </c>
      <c r="K307" s="2"/>
      <c r="L307" s="2"/>
      <c r="M307" s="2"/>
      <c r="N307" s="2"/>
      <c r="O307" s="2"/>
      <c r="P307" s="2"/>
      <c r="Q307" s="24"/>
      <c r="R307" s="2" t="str">
        <f t="shared" si="28"/>
        <v/>
      </c>
      <c r="S307" s="2"/>
      <c r="T307" s="2"/>
      <c r="U307" s="2" t="str">
        <f t="shared" si="29"/>
        <v/>
      </c>
      <c r="V307" s="10" t="str">
        <f t="shared" si="30"/>
        <v/>
      </c>
      <c r="W307" s="10" t="str">
        <f t="shared" si="31"/>
        <v/>
      </c>
      <c r="X307" s="38" t="str">
        <f t="shared" si="32"/>
        <v/>
      </c>
      <c r="Y307" s="10" t="str">
        <f t="shared" si="33"/>
        <v/>
      </c>
      <c r="Z307" s="2" t="str">
        <f t="shared" si="34"/>
        <v/>
      </c>
      <c r="AA307" s="2"/>
      <c r="AB307" s="2"/>
    </row>
    <row r="308" spans="1:28" ht="16">
      <c r="A308" s="31"/>
      <c r="B308" s="32"/>
      <c r="C308" s="32"/>
      <c r="D308" s="32"/>
      <c r="E308" s="32"/>
      <c r="F308" s="33"/>
      <c r="G308" s="2"/>
      <c r="H308" s="2"/>
      <c r="I308" s="2"/>
      <c r="J308" s="35" t="str">
        <f>IF(H308&lt;&gt;"",IFERROR(VLOOKUP(IFERROR(LEFT(H308,FIND("-",H308)-1),H308),'Catalogo MINSAL'!A:E,5,FALSE),""),IF(I308&lt;&gt;"",IFERROR(VLOOKUP(IFERROR(LEFT(I308,FIND("-",I308)-1),I308),'Catalogo MINSAL'!A:E,5,FALSE),""),""))</f>
        <v/>
      </c>
      <c r="K308" s="2"/>
      <c r="L308" s="2"/>
      <c r="M308" s="2"/>
      <c r="N308" s="2"/>
      <c r="O308" s="2"/>
      <c r="P308" s="2"/>
      <c r="Q308" s="24"/>
      <c r="R308" s="2" t="str">
        <f t="shared" si="28"/>
        <v/>
      </c>
      <c r="S308" s="2"/>
      <c r="T308" s="2"/>
      <c r="U308" s="2" t="str">
        <f t="shared" si="29"/>
        <v/>
      </c>
      <c r="V308" s="10" t="str">
        <f t="shared" si="30"/>
        <v/>
      </c>
      <c r="W308" s="10" t="str">
        <f t="shared" si="31"/>
        <v/>
      </c>
      <c r="X308" s="38" t="str">
        <f t="shared" si="32"/>
        <v/>
      </c>
      <c r="Y308" s="10" t="str">
        <f t="shared" si="33"/>
        <v/>
      </c>
      <c r="Z308" s="2" t="str">
        <f t="shared" si="34"/>
        <v/>
      </c>
      <c r="AA308" s="2"/>
      <c r="AB308" s="2"/>
    </row>
    <row r="309" spans="1:28" ht="16">
      <c r="A309" s="31"/>
      <c r="B309" s="32"/>
      <c r="C309" s="32"/>
      <c r="D309" s="32"/>
      <c r="E309" s="32"/>
      <c r="F309" s="33"/>
      <c r="G309" s="2"/>
      <c r="H309" s="2"/>
      <c r="I309" s="2"/>
      <c r="J309" s="35" t="str">
        <f>IF(H309&lt;&gt;"",IFERROR(VLOOKUP(IFERROR(LEFT(H309,FIND("-",H309)-1),H309),'Catalogo MINSAL'!A:E,5,FALSE),""),IF(I309&lt;&gt;"",IFERROR(VLOOKUP(IFERROR(LEFT(I309,FIND("-",I309)-1),I309),'Catalogo MINSAL'!A:E,5,FALSE),""),""))</f>
        <v/>
      </c>
      <c r="K309" s="2"/>
      <c r="L309" s="2"/>
      <c r="M309" s="2"/>
      <c r="N309" s="2"/>
      <c r="O309" s="2"/>
      <c r="P309" s="2"/>
      <c r="Q309" s="24"/>
      <c r="R309" s="2" t="str">
        <f t="shared" si="28"/>
        <v/>
      </c>
      <c r="S309" s="2"/>
      <c r="T309" s="2"/>
      <c r="U309" s="2" t="str">
        <f t="shared" si="29"/>
        <v/>
      </c>
      <c r="V309" s="10" t="str">
        <f t="shared" si="30"/>
        <v/>
      </c>
      <c r="W309" s="10" t="str">
        <f t="shared" si="31"/>
        <v/>
      </c>
      <c r="X309" s="38" t="str">
        <f t="shared" si="32"/>
        <v/>
      </c>
      <c r="Y309" s="10" t="str">
        <f t="shared" si="33"/>
        <v/>
      </c>
      <c r="Z309" s="2" t="str">
        <f t="shared" si="34"/>
        <v/>
      </c>
      <c r="AA309" s="2"/>
      <c r="AB309" s="2"/>
    </row>
    <row r="310" spans="1:28" ht="16">
      <c r="A310" s="31"/>
      <c r="B310" s="32"/>
      <c r="C310" s="32"/>
      <c r="D310" s="32"/>
      <c r="E310" s="32"/>
      <c r="F310" s="33"/>
      <c r="G310" s="2"/>
      <c r="H310" s="2"/>
      <c r="I310" s="2"/>
      <c r="J310" s="35" t="str">
        <f>IF(H310&lt;&gt;"",IFERROR(VLOOKUP(IFERROR(LEFT(H310,FIND("-",H310)-1),H310),'Catalogo MINSAL'!A:E,5,FALSE),""),IF(I310&lt;&gt;"",IFERROR(VLOOKUP(IFERROR(LEFT(I310,FIND("-",I310)-1),I310),'Catalogo MINSAL'!A:E,5,FALSE),""),""))</f>
        <v/>
      </c>
      <c r="K310" s="2"/>
      <c r="L310" s="2"/>
      <c r="M310" s="2"/>
      <c r="N310" s="2"/>
      <c r="O310" s="2"/>
      <c r="P310" s="2"/>
      <c r="Q310" s="24"/>
      <c r="R310" s="2" t="str">
        <f t="shared" si="28"/>
        <v/>
      </c>
      <c r="S310" s="2"/>
      <c r="T310" s="2"/>
      <c r="U310" s="2" t="str">
        <f t="shared" si="29"/>
        <v/>
      </c>
      <c r="V310" s="10" t="str">
        <f t="shared" si="30"/>
        <v/>
      </c>
      <c r="W310" s="10" t="str">
        <f t="shared" si="31"/>
        <v/>
      </c>
      <c r="X310" s="38" t="str">
        <f t="shared" si="32"/>
        <v/>
      </c>
      <c r="Y310" s="10" t="str">
        <f t="shared" si="33"/>
        <v/>
      </c>
      <c r="Z310" s="2" t="str">
        <f t="shared" si="34"/>
        <v/>
      </c>
      <c r="AA310" s="2"/>
      <c r="AB310" s="2"/>
    </row>
    <row r="311" spans="1:28" ht="16">
      <c r="A311" s="31"/>
      <c r="B311" s="32"/>
      <c r="C311" s="32"/>
      <c r="D311" s="32"/>
      <c r="E311" s="32"/>
      <c r="F311" s="33"/>
      <c r="G311" s="2"/>
      <c r="H311" s="2"/>
      <c r="I311" s="2"/>
      <c r="J311" s="35" t="str">
        <f>IF(H311&lt;&gt;"",IFERROR(VLOOKUP(IFERROR(LEFT(H311,FIND("-",H311)-1),H311),'Catalogo MINSAL'!A:E,5,FALSE),""),IF(I311&lt;&gt;"",IFERROR(VLOOKUP(IFERROR(LEFT(I311,FIND("-",I311)-1),I311),'Catalogo MINSAL'!A:E,5,FALSE),""),""))</f>
        <v/>
      </c>
      <c r="K311" s="2"/>
      <c r="L311" s="2"/>
      <c r="M311" s="2"/>
      <c r="N311" s="2"/>
      <c r="O311" s="2"/>
      <c r="P311" s="2"/>
      <c r="Q311" s="24"/>
      <c r="R311" s="2" t="str">
        <f t="shared" si="28"/>
        <v/>
      </c>
      <c r="S311" s="2"/>
      <c r="T311" s="2"/>
      <c r="U311" s="2" t="str">
        <f t="shared" si="29"/>
        <v/>
      </c>
      <c r="V311" s="10" t="str">
        <f t="shared" si="30"/>
        <v/>
      </c>
      <c r="W311" s="10" t="str">
        <f t="shared" si="31"/>
        <v/>
      </c>
      <c r="X311" s="38" t="str">
        <f t="shared" si="32"/>
        <v/>
      </c>
      <c r="Y311" s="10" t="str">
        <f t="shared" si="33"/>
        <v/>
      </c>
      <c r="Z311" s="2" t="str">
        <f t="shared" si="34"/>
        <v/>
      </c>
      <c r="AA311" s="2"/>
      <c r="AB311" s="2"/>
    </row>
    <row r="312" spans="1:28" ht="16">
      <c r="A312" s="31"/>
      <c r="B312" s="32"/>
      <c r="C312" s="32"/>
      <c r="D312" s="32"/>
      <c r="E312" s="32"/>
      <c r="F312" s="33"/>
      <c r="G312" s="2"/>
      <c r="H312" s="2"/>
      <c r="I312" s="2"/>
      <c r="J312" s="35" t="str">
        <f>IF(H312&lt;&gt;"",IFERROR(VLOOKUP(IFERROR(LEFT(H312,FIND("-",H312)-1),H312),'Catalogo MINSAL'!A:E,5,FALSE),""),IF(I312&lt;&gt;"",IFERROR(VLOOKUP(IFERROR(LEFT(I312,FIND("-",I312)-1),I312),'Catalogo MINSAL'!A:E,5,FALSE),""),""))</f>
        <v/>
      </c>
      <c r="K312" s="2"/>
      <c r="L312" s="2"/>
      <c r="M312" s="2"/>
      <c r="N312" s="2"/>
      <c r="O312" s="2"/>
      <c r="P312" s="2"/>
      <c r="Q312" s="24"/>
      <c r="R312" s="2" t="str">
        <f t="shared" si="28"/>
        <v/>
      </c>
      <c r="S312" s="2"/>
      <c r="T312" s="2"/>
      <c r="U312" s="2" t="str">
        <f t="shared" si="29"/>
        <v/>
      </c>
      <c r="V312" s="10" t="str">
        <f t="shared" si="30"/>
        <v/>
      </c>
      <c r="W312" s="10" t="str">
        <f t="shared" si="31"/>
        <v/>
      </c>
      <c r="X312" s="38" t="str">
        <f t="shared" si="32"/>
        <v/>
      </c>
      <c r="Y312" s="10" t="str">
        <f t="shared" si="33"/>
        <v/>
      </c>
      <c r="Z312" s="2" t="str">
        <f t="shared" si="34"/>
        <v/>
      </c>
      <c r="AA312" s="2"/>
      <c r="AB312" s="2"/>
    </row>
    <row r="313" spans="1:28" ht="16">
      <c r="A313" s="31"/>
      <c r="B313" s="32"/>
      <c r="C313" s="32"/>
      <c r="D313" s="32"/>
      <c r="E313" s="32"/>
      <c r="F313" s="33"/>
      <c r="G313" s="2"/>
      <c r="H313" s="2"/>
      <c r="I313" s="2"/>
      <c r="J313" s="35" t="str">
        <f>IF(H313&lt;&gt;"",IFERROR(VLOOKUP(IFERROR(LEFT(H313,FIND("-",H313)-1),H313),'Catalogo MINSAL'!A:E,5,FALSE),""),IF(I313&lt;&gt;"",IFERROR(VLOOKUP(IFERROR(LEFT(I313,FIND("-",I313)-1),I313),'Catalogo MINSAL'!A:E,5,FALSE),""),""))</f>
        <v/>
      </c>
      <c r="K313" s="2"/>
      <c r="L313" s="2"/>
      <c r="M313" s="2"/>
      <c r="N313" s="2"/>
      <c r="O313" s="2"/>
      <c r="P313" s="2"/>
      <c r="Q313" s="24"/>
      <c r="R313" s="2" t="str">
        <f t="shared" si="28"/>
        <v/>
      </c>
      <c r="S313" s="2"/>
      <c r="T313" s="2"/>
      <c r="U313" s="2" t="str">
        <f t="shared" si="29"/>
        <v/>
      </c>
      <c r="V313" s="10" t="str">
        <f t="shared" si="30"/>
        <v/>
      </c>
      <c r="W313" s="10" t="str">
        <f t="shared" si="31"/>
        <v/>
      </c>
      <c r="X313" s="38" t="str">
        <f t="shared" si="32"/>
        <v/>
      </c>
      <c r="Y313" s="10" t="str">
        <f t="shared" si="33"/>
        <v/>
      </c>
      <c r="Z313" s="2" t="str">
        <f t="shared" si="34"/>
        <v/>
      </c>
      <c r="AA313" s="2"/>
      <c r="AB313" s="2"/>
    </row>
    <row r="314" spans="1:28" ht="16">
      <c r="A314" s="31"/>
      <c r="B314" s="32"/>
      <c r="C314" s="32"/>
      <c r="D314" s="32"/>
      <c r="E314" s="32"/>
      <c r="F314" s="33"/>
      <c r="G314" s="2"/>
      <c r="H314" s="2"/>
      <c r="I314" s="2"/>
      <c r="J314" s="35" t="str">
        <f>IF(H314&lt;&gt;"",IFERROR(VLOOKUP(IFERROR(LEFT(H314,FIND("-",H314)-1),H314),'Catalogo MINSAL'!A:E,5,FALSE),""),IF(I314&lt;&gt;"",IFERROR(VLOOKUP(IFERROR(LEFT(I314,FIND("-",I314)-1),I314),'Catalogo MINSAL'!A:E,5,FALSE),""),""))</f>
        <v/>
      </c>
      <c r="K314" s="2"/>
      <c r="L314" s="2"/>
      <c r="M314" s="2"/>
      <c r="N314" s="2"/>
      <c r="O314" s="2"/>
      <c r="P314" s="2"/>
      <c r="Q314" s="24"/>
      <c r="R314" s="2" t="str">
        <f t="shared" si="28"/>
        <v/>
      </c>
      <c r="S314" s="2"/>
      <c r="T314" s="2"/>
      <c r="U314" s="2" t="str">
        <f t="shared" si="29"/>
        <v/>
      </c>
      <c r="V314" s="10" t="str">
        <f t="shared" si="30"/>
        <v/>
      </c>
      <c r="W314" s="10" t="str">
        <f t="shared" si="31"/>
        <v/>
      </c>
      <c r="X314" s="38" t="str">
        <f t="shared" si="32"/>
        <v/>
      </c>
      <c r="Y314" s="10" t="str">
        <f t="shared" si="33"/>
        <v/>
      </c>
      <c r="Z314" s="2" t="str">
        <f t="shared" si="34"/>
        <v/>
      </c>
      <c r="AA314" s="2"/>
      <c r="AB314" s="2"/>
    </row>
    <row r="315" spans="1:28" ht="16">
      <c r="A315" s="31"/>
      <c r="B315" s="32"/>
      <c r="C315" s="32"/>
      <c r="D315" s="32"/>
      <c r="E315" s="32"/>
      <c r="F315" s="33"/>
      <c r="G315" s="2"/>
      <c r="H315" s="2"/>
      <c r="I315" s="2"/>
      <c r="J315" s="35" t="str">
        <f>IF(H315&lt;&gt;"",IFERROR(VLOOKUP(IFERROR(LEFT(H315,FIND("-",H315)-1),H315),'Catalogo MINSAL'!A:E,5,FALSE),""),IF(I315&lt;&gt;"",IFERROR(VLOOKUP(IFERROR(LEFT(I315,FIND("-",I315)-1),I315),'Catalogo MINSAL'!A:E,5,FALSE),""),""))</f>
        <v/>
      </c>
      <c r="K315" s="2"/>
      <c r="L315" s="2"/>
      <c r="M315" s="2"/>
      <c r="N315" s="2"/>
      <c r="O315" s="2"/>
      <c r="P315" s="2"/>
      <c r="Q315" s="24"/>
      <c r="R315" s="2" t="str">
        <f t="shared" si="28"/>
        <v/>
      </c>
      <c r="S315" s="2"/>
      <c r="T315" s="2"/>
      <c r="U315" s="2" t="str">
        <f t="shared" si="29"/>
        <v/>
      </c>
      <c r="V315" s="10" t="str">
        <f t="shared" si="30"/>
        <v/>
      </c>
      <c r="W315" s="10" t="str">
        <f t="shared" si="31"/>
        <v/>
      </c>
      <c r="X315" s="38" t="str">
        <f t="shared" si="32"/>
        <v/>
      </c>
      <c r="Y315" s="10" t="str">
        <f t="shared" si="33"/>
        <v/>
      </c>
      <c r="Z315" s="2" t="str">
        <f t="shared" si="34"/>
        <v/>
      </c>
      <c r="AA315" s="2"/>
      <c r="AB315" s="2"/>
    </row>
    <row r="316" spans="1:28" ht="16">
      <c r="A316" s="31"/>
      <c r="B316" s="32"/>
      <c r="C316" s="32"/>
      <c r="D316" s="32"/>
      <c r="E316" s="32"/>
      <c r="F316" s="33"/>
      <c r="G316" s="2"/>
      <c r="H316" s="2"/>
      <c r="I316" s="2"/>
      <c r="J316" s="35" t="str">
        <f>IF(H316&lt;&gt;"",IFERROR(VLOOKUP(IFERROR(LEFT(H316,FIND("-",H316)-1),H316),'Catalogo MINSAL'!A:E,5,FALSE),""),IF(I316&lt;&gt;"",IFERROR(VLOOKUP(IFERROR(LEFT(I316,FIND("-",I316)-1),I316),'Catalogo MINSAL'!A:E,5,FALSE),""),""))</f>
        <v/>
      </c>
      <c r="K316" s="2"/>
      <c r="L316" s="2"/>
      <c r="M316" s="2"/>
      <c r="N316" s="2"/>
      <c r="O316" s="2"/>
      <c r="P316" s="2"/>
      <c r="Q316" s="24"/>
      <c r="R316" s="2" t="str">
        <f t="shared" si="28"/>
        <v/>
      </c>
      <c r="S316" s="2"/>
      <c r="T316" s="2"/>
      <c r="U316" s="2" t="str">
        <f t="shared" si="29"/>
        <v/>
      </c>
      <c r="V316" s="10" t="str">
        <f t="shared" si="30"/>
        <v/>
      </c>
      <c r="W316" s="10" t="str">
        <f t="shared" si="31"/>
        <v/>
      </c>
      <c r="X316" s="38" t="str">
        <f t="shared" si="32"/>
        <v/>
      </c>
      <c r="Y316" s="10" t="str">
        <f t="shared" si="33"/>
        <v/>
      </c>
      <c r="Z316" s="2" t="str">
        <f t="shared" si="34"/>
        <v/>
      </c>
      <c r="AA316" s="2"/>
      <c r="AB316" s="2"/>
    </row>
    <row r="317" spans="1:28" ht="16">
      <c r="A317" s="31"/>
      <c r="B317" s="32"/>
      <c r="C317" s="32"/>
      <c r="D317" s="32"/>
      <c r="E317" s="32"/>
      <c r="F317" s="33"/>
      <c r="G317" s="2"/>
      <c r="H317" s="2"/>
      <c r="I317" s="2"/>
      <c r="J317" s="35" t="str">
        <f>IF(H317&lt;&gt;"",IFERROR(VLOOKUP(IFERROR(LEFT(H317,FIND("-",H317)-1),H317),'Catalogo MINSAL'!A:E,5,FALSE),""),IF(I317&lt;&gt;"",IFERROR(VLOOKUP(IFERROR(LEFT(I317,FIND("-",I317)-1),I317),'Catalogo MINSAL'!A:E,5,FALSE),""),""))</f>
        <v/>
      </c>
      <c r="K317" s="2"/>
      <c r="L317" s="2"/>
      <c r="M317" s="2"/>
      <c r="N317" s="2"/>
      <c r="O317" s="2"/>
      <c r="P317" s="2"/>
      <c r="Q317" s="24"/>
      <c r="R317" s="2" t="str">
        <f t="shared" si="28"/>
        <v/>
      </c>
      <c r="S317" s="2"/>
      <c r="T317" s="2"/>
      <c r="U317" s="2" t="str">
        <f t="shared" si="29"/>
        <v/>
      </c>
      <c r="V317" s="10" t="str">
        <f t="shared" si="30"/>
        <v/>
      </c>
      <c r="W317" s="10" t="str">
        <f t="shared" si="31"/>
        <v/>
      </c>
      <c r="X317" s="38" t="str">
        <f t="shared" si="32"/>
        <v/>
      </c>
      <c r="Y317" s="10" t="str">
        <f t="shared" si="33"/>
        <v/>
      </c>
      <c r="Z317" s="2" t="str">
        <f t="shared" si="34"/>
        <v/>
      </c>
      <c r="AA317" s="2"/>
      <c r="AB317" s="2"/>
    </row>
    <row r="318" spans="1:28" ht="16">
      <c r="A318" s="31"/>
      <c r="B318" s="32"/>
      <c r="C318" s="32"/>
      <c r="D318" s="32"/>
      <c r="E318" s="32"/>
      <c r="F318" s="33"/>
      <c r="G318" s="2"/>
      <c r="H318" s="2"/>
      <c r="I318" s="2"/>
      <c r="J318" s="35" t="str">
        <f>IF(H318&lt;&gt;"",IFERROR(VLOOKUP(IFERROR(LEFT(H318,FIND("-",H318)-1),H318),'Catalogo MINSAL'!A:E,5,FALSE),""),IF(I318&lt;&gt;"",IFERROR(VLOOKUP(IFERROR(LEFT(I318,FIND("-",I318)-1),I318),'Catalogo MINSAL'!A:E,5,FALSE),""),""))</f>
        <v/>
      </c>
      <c r="K318" s="2"/>
      <c r="L318" s="2"/>
      <c r="M318" s="2"/>
      <c r="N318" s="2"/>
      <c r="O318" s="2"/>
      <c r="P318" s="2"/>
      <c r="Q318" s="24"/>
      <c r="R318" s="2" t="str">
        <f t="shared" si="28"/>
        <v/>
      </c>
      <c r="S318" s="2"/>
      <c r="T318" s="2"/>
      <c r="U318" s="2" t="str">
        <f t="shared" si="29"/>
        <v/>
      </c>
      <c r="V318" s="10" t="str">
        <f t="shared" si="30"/>
        <v/>
      </c>
      <c r="W318" s="10" t="str">
        <f t="shared" si="31"/>
        <v/>
      </c>
      <c r="X318" s="38" t="str">
        <f t="shared" si="32"/>
        <v/>
      </c>
      <c r="Y318" s="10" t="str">
        <f t="shared" si="33"/>
        <v/>
      </c>
      <c r="Z318" s="2" t="str">
        <f t="shared" si="34"/>
        <v/>
      </c>
      <c r="AA318" s="2"/>
      <c r="AB318" s="2"/>
    </row>
    <row r="319" spans="1:28" ht="16">
      <c r="A319" s="31"/>
      <c r="B319" s="32"/>
      <c r="C319" s="32"/>
      <c r="D319" s="32"/>
      <c r="E319" s="32"/>
      <c r="F319" s="33"/>
      <c r="G319" s="2"/>
      <c r="H319" s="2"/>
      <c r="I319" s="2"/>
      <c r="J319" s="35" t="str">
        <f>IF(H319&lt;&gt;"",IFERROR(VLOOKUP(IFERROR(LEFT(H319,FIND("-",H319)-1),H319),'Catalogo MINSAL'!A:E,5,FALSE),""),IF(I319&lt;&gt;"",IFERROR(VLOOKUP(IFERROR(LEFT(I319,FIND("-",I319)-1),I319),'Catalogo MINSAL'!A:E,5,FALSE),""),""))</f>
        <v/>
      </c>
      <c r="K319" s="2"/>
      <c r="L319" s="2"/>
      <c r="M319" s="2"/>
      <c r="N319" s="2"/>
      <c r="O319" s="2"/>
      <c r="P319" s="2"/>
      <c r="Q319" s="24"/>
      <c r="R319" s="2" t="str">
        <f t="shared" si="28"/>
        <v/>
      </c>
      <c r="S319" s="2"/>
      <c r="T319" s="2"/>
      <c r="U319" s="2" t="str">
        <f t="shared" si="29"/>
        <v/>
      </c>
      <c r="V319" s="10" t="str">
        <f t="shared" si="30"/>
        <v/>
      </c>
      <c r="W319" s="10" t="str">
        <f t="shared" si="31"/>
        <v/>
      </c>
      <c r="X319" s="38" t="str">
        <f t="shared" si="32"/>
        <v/>
      </c>
      <c r="Y319" s="10" t="str">
        <f t="shared" si="33"/>
        <v/>
      </c>
      <c r="Z319" s="2" t="str">
        <f t="shared" si="34"/>
        <v/>
      </c>
      <c r="AA319" s="2"/>
      <c r="AB319" s="2"/>
    </row>
    <row r="320" spans="1:28" ht="16">
      <c r="A320" s="31"/>
      <c r="B320" s="32"/>
      <c r="C320" s="32"/>
      <c r="D320" s="32"/>
      <c r="E320" s="32"/>
      <c r="F320" s="33"/>
      <c r="G320" s="2"/>
      <c r="H320" s="2"/>
      <c r="I320" s="2"/>
      <c r="J320" s="35" t="str">
        <f>IF(H320&lt;&gt;"",IFERROR(VLOOKUP(IFERROR(LEFT(H320,FIND("-",H320)-1),H320),'Catalogo MINSAL'!A:E,5,FALSE),""),IF(I320&lt;&gt;"",IFERROR(VLOOKUP(IFERROR(LEFT(I320,FIND("-",I320)-1),I320),'Catalogo MINSAL'!A:E,5,FALSE),""),""))</f>
        <v/>
      </c>
      <c r="K320" s="2"/>
      <c r="L320" s="2"/>
      <c r="M320" s="2"/>
      <c r="N320" s="2"/>
      <c r="O320" s="2"/>
      <c r="P320" s="2"/>
      <c r="Q320" s="24"/>
      <c r="R320" s="2" t="str">
        <f t="shared" si="28"/>
        <v/>
      </c>
      <c r="S320" s="2"/>
      <c r="T320" s="2"/>
      <c r="U320" s="2" t="str">
        <f t="shared" si="29"/>
        <v/>
      </c>
      <c r="V320" s="10" t="str">
        <f t="shared" si="30"/>
        <v/>
      </c>
      <c r="W320" s="10" t="str">
        <f t="shared" si="31"/>
        <v/>
      </c>
      <c r="X320" s="38" t="str">
        <f t="shared" si="32"/>
        <v/>
      </c>
      <c r="Y320" s="10" t="str">
        <f t="shared" si="33"/>
        <v/>
      </c>
      <c r="Z320" s="2" t="str">
        <f t="shared" si="34"/>
        <v/>
      </c>
      <c r="AA320" s="2"/>
      <c r="AB320" s="2"/>
    </row>
    <row r="321" spans="1:28" ht="16">
      <c r="A321" s="31"/>
      <c r="B321" s="32"/>
      <c r="C321" s="32"/>
      <c r="D321" s="32"/>
      <c r="E321" s="32"/>
      <c r="F321" s="33"/>
      <c r="G321" s="2"/>
      <c r="H321" s="2"/>
      <c r="I321" s="2"/>
      <c r="J321" s="35" t="str">
        <f>IF(H321&lt;&gt;"",IFERROR(VLOOKUP(IFERROR(LEFT(H321,FIND("-",H321)-1),H321),'Catalogo MINSAL'!A:E,5,FALSE),""),IF(I321&lt;&gt;"",IFERROR(VLOOKUP(IFERROR(LEFT(I321,FIND("-",I321)-1),I321),'Catalogo MINSAL'!A:E,5,FALSE),""),""))</f>
        <v/>
      </c>
      <c r="K321" s="2"/>
      <c r="L321" s="2"/>
      <c r="M321" s="2"/>
      <c r="N321" s="2"/>
      <c r="O321" s="2"/>
      <c r="P321" s="2"/>
      <c r="Q321" s="24"/>
      <c r="R321" s="2" t="str">
        <f t="shared" si="28"/>
        <v/>
      </c>
      <c r="S321" s="2"/>
      <c r="T321" s="2"/>
      <c r="U321" s="2" t="str">
        <f t="shared" si="29"/>
        <v/>
      </c>
      <c r="V321" s="10" t="str">
        <f t="shared" si="30"/>
        <v/>
      </c>
      <c r="W321" s="10" t="str">
        <f t="shared" si="31"/>
        <v/>
      </c>
      <c r="X321" s="38" t="str">
        <f t="shared" si="32"/>
        <v/>
      </c>
      <c r="Y321" s="10" t="str">
        <f t="shared" si="33"/>
        <v/>
      </c>
      <c r="Z321" s="2" t="str">
        <f t="shared" si="34"/>
        <v/>
      </c>
      <c r="AA321" s="2"/>
      <c r="AB321" s="2"/>
    </row>
    <row r="322" spans="1:28" ht="16">
      <c r="A322" s="31"/>
      <c r="B322" s="32"/>
      <c r="C322" s="32"/>
      <c r="D322" s="32"/>
      <c r="E322" s="32"/>
      <c r="F322" s="33"/>
      <c r="G322" s="2"/>
      <c r="H322" s="2"/>
      <c r="I322" s="2"/>
      <c r="J322" s="35" t="str">
        <f>IF(H322&lt;&gt;"",IFERROR(VLOOKUP(IFERROR(LEFT(H322,FIND("-",H322)-1),H322),'Catalogo MINSAL'!A:E,5,FALSE),""),IF(I322&lt;&gt;"",IFERROR(VLOOKUP(IFERROR(LEFT(I322,FIND("-",I322)-1),I322),'Catalogo MINSAL'!A:E,5,FALSE),""),""))</f>
        <v/>
      </c>
      <c r="K322" s="2"/>
      <c r="L322" s="2"/>
      <c r="M322" s="2"/>
      <c r="N322" s="2"/>
      <c r="O322" s="2"/>
      <c r="P322" s="2"/>
      <c r="Q322" s="24"/>
      <c r="R322" s="2" t="str">
        <f t="shared" si="28"/>
        <v/>
      </c>
      <c r="S322" s="2"/>
      <c r="T322" s="2"/>
      <c r="U322" s="2" t="str">
        <f t="shared" si="29"/>
        <v/>
      </c>
      <c r="V322" s="10" t="str">
        <f t="shared" si="30"/>
        <v/>
      </c>
      <c r="W322" s="10" t="str">
        <f t="shared" si="31"/>
        <v/>
      </c>
      <c r="X322" s="38" t="str">
        <f t="shared" si="32"/>
        <v/>
      </c>
      <c r="Y322" s="10" t="str">
        <f t="shared" si="33"/>
        <v/>
      </c>
      <c r="Z322" s="2" t="str">
        <f t="shared" si="34"/>
        <v/>
      </c>
      <c r="AA322" s="2"/>
      <c r="AB322" s="2"/>
    </row>
    <row r="323" spans="1:28" ht="16">
      <c r="A323" s="31"/>
      <c r="B323" s="32"/>
      <c r="C323" s="32"/>
      <c r="D323" s="32"/>
      <c r="E323" s="32"/>
      <c r="F323" s="33"/>
      <c r="G323" s="2"/>
      <c r="H323" s="2"/>
      <c r="I323" s="2"/>
      <c r="J323" s="35" t="str">
        <f>IF(H323&lt;&gt;"",IFERROR(VLOOKUP(IFERROR(LEFT(H323,FIND("-",H323)-1),H323),'Catalogo MINSAL'!A:E,5,FALSE),""),IF(I323&lt;&gt;"",IFERROR(VLOOKUP(IFERROR(LEFT(I323,FIND("-",I323)-1),I323),'Catalogo MINSAL'!A:E,5,FALSE),""),""))</f>
        <v/>
      </c>
      <c r="K323" s="2"/>
      <c r="L323" s="2"/>
      <c r="M323" s="2"/>
      <c r="N323" s="2"/>
      <c r="O323" s="2"/>
      <c r="P323" s="2"/>
      <c r="Q323" s="24"/>
      <c r="R323" s="2" t="str">
        <f t="shared" si="28"/>
        <v/>
      </c>
      <c r="S323" s="2"/>
      <c r="T323" s="2"/>
      <c r="U323" s="2" t="str">
        <f t="shared" si="29"/>
        <v/>
      </c>
      <c r="V323" s="10" t="str">
        <f t="shared" si="30"/>
        <v/>
      </c>
      <c r="W323" s="10" t="str">
        <f t="shared" si="31"/>
        <v/>
      </c>
      <c r="X323" s="38" t="str">
        <f t="shared" si="32"/>
        <v/>
      </c>
      <c r="Y323" s="10" t="str">
        <f t="shared" si="33"/>
        <v/>
      </c>
      <c r="Z323" s="2" t="str">
        <f t="shared" si="34"/>
        <v/>
      </c>
      <c r="AA323" s="2"/>
      <c r="AB323" s="2"/>
    </row>
    <row r="324" spans="1:28" ht="16">
      <c r="A324" s="31"/>
      <c r="B324" s="32"/>
      <c r="C324" s="32"/>
      <c r="D324" s="32"/>
      <c r="E324" s="32"/>
      <c r="F324" s="33"/>
      <c r="G324" s="2"/>
      <c r="H324" s="2"/>
      <c r="I324" s="2"/>
      <c r="J324" s="35" t="str">
        <f>IF(H324&lt;&gt;"",IFERROR(VLOOKUP(IFERROR(LEFT(H324,FIND("-",H324)-1),H324),'Catalogo MINSAL'!A:E,5,FALSE),""),IF(I324&lt;&gt;"",IFERROR(VLOOKUP(IFERROR(LEFT(I324,FIND("-",I324)-1),I324),'Catalogo MINSAL'!A:E,5,FALSE),""),""))</f>
        <v/>
      </c>
      <c r="K324" s="2"/>
      <c r="L324" s="2"/>
      <c r="M324" s="2"/>
      <c r="N324" s="2"/>
      <c r="O324" s="2"/>
      <c r="P324" s="2"/>
      <c r="Q324" s="24"/>
      <c r="R324" s="2" t="str">
        <f t="shared" ref="R324:R387" si="35">IF(Q324="","",IF(IF(ISNUMBER(Q324),MOD(Q324,1),TIMEVALUE(Q324))&lt;=TIME(8,15,0),"Ingreso adecuado","Atraso"))</f>
        <v/>
      </c>
      <c r="S324" s="2"/>
      <c r="T324" s="2"/>
      <c r="U324" s="2" t="str">
        <f t="shared" ref="U324:U387" si="36">IFERROR(IF(OR(Q324="",R324=""),"",IF(TIMEVALUE(R324)&gt;=TIMEVALUE(Q324),(TIMEVALUE(R324)-TIMEVALUE(Q324))*1440,(TIMEVALUE(R324)+1-TIMEVALUE(Q324))*1440)),"")</f>
        <v/>
      </c>
      <c r="V324" s="10" t="str">
        <f t="shared" ref="V324:V387" si="37">IFERROR(IF(OR(Q324="",S324=""),"",IF(IF(ISNUMBER(S324),MOD(S324,1),TIMEVALUE(S324))&gt;=IF(ISNUMBER(Q324),MOD(Q324,1),TIMEVALUE(Q324)),(IF(ISNUMBER(S324),MOD(S324,1),TIMEVALUE(S324))-IF(ISNUMBER(Q324),MOD(Q324,1),TIMEVALUE(Q324)))*1440,(IF(ISNUMBER(S324),MOD(S324,1),TIMEVALUE(S324))+1-IF(ISNUMBER(Q324),MOD(Q324,1),TIMEVALUE(Q324)))*1440)),"")</f>
        <v/>
      </c>
      <c r="W324" s="10" t="str">
        <f t="shared" ref="W324:W387" si="38">IFERROR(IF(OR(S324="",T324=""),"",IF(IF(ISNUMBER(T324),MOD(T324,1),TIMEVALUE(T324))&gt;=IF(ISNUMBER(S324),MOD(S324,1),TIMEVALUE(S324)),(IF(ISNUMBER(T324),MOD(T324,1),TIMEVALUE(T324))-IF(ISNUMBER(S324),MOD(S324,1),TIMEVALUE(S324)))*1440,(IF(ISNUMBER(T324),MOD(T324,1),TIMEVALUE(T324))+1-IF(ISNUMBER(S324),MOD(S324,1),TIMEVALUE(S324)))*1440)),"")</f>
        <v/>
      </c>
      <c r="X324" s="38" t="str">
        <f t="shared" ref="X324:X387" si="39">IFERROR(IF(OR(V324="",W324=""),"",V324-W324),"")</f>
        <v/>
      </c>
      <c r="Y324" s="10" t="str">
        <f t="shared" ref="Y324:Y387" si="40">IFERROR(IF(OR(W324="",X324=""),"",W324-X324),"")</f>
        <v/>
      </c>
      <c r="Z324" s="2" t="str">
        <f t="shared" ref="Z324:Z387" si="41">IFERROR(IF(Y324="","",IF(Y324&gt;15,"Subestimacion",IF(Y324&lt;-15,"Sobrestimacion","Asertivo"))),"")</f>
        <v/>
      </c>
      <c r="AA324" s="2"/>
      <c r="AB324" s="2"/>
    </row>
    <row r="325" spans="1:28" ht="16">
      <c r="A325" s="31"/>
      <c r="B325" s="32"/>
      <c r="C325" s="32"/>
      <c r="D325" s="32"/>
      <c r="E325" s="32"/>
      <c r="F325" s="33"/>
      <c r="G325" s="2"/>
      <c r="H325" s="2"/>
      <c r="I325" s="2"/>
      <c r="J325" s="35" t="str">
        <f>IF(H325&lt;&gt;"",IFERROR(VLOOKUP(IFERROR(LEFT(H325,FIND("-",H325)-1),H325),'Catalogo MINSAL'!A:E,5,FALSE),""),IF(I325&lt;&gt;"",IFERROR(VLOOKUP(IFERROR(LEFT(I325,FIND("-",I325)-1),I325),'Catalogo MINSAL'!A:E,5,FALSE),""),""))</f>
        <v/>
      </c>
      <c r="K325" s="2"/>
      <c r="L325" s="2"/>
      <c r="M325" s="2"/>
      <c r="N325" s="2"/>
      <c r="O325" s="2"/>
      <c r="P325" s="2"/>
      <c r="Q325" s="24"/>
      <c r="R325" s="2" t="str">
        <f t="shared" si="35"/>
        <v/>
      </c>
      <c r="S325" s="2"/>
      <c r="T325" s="2"/>
      <c r="U325" s="2" t="str">
        <f t="shared" si="36"/>
        <v/>
      </c>
      <c r="V325" s="10" t="str">
        <f t="shared" si="37"/>
        <v/>
      </c>
      <c r="W325" s="10" t="str">
        <f t="shared" si="38"/>
        <v/>
      </c>
      <c r="X325" s="38" t="str">
        <f t="shared" si="39"/>
        <v/>
      </c>
      <c r="Y325" s="10" t="str">
        <f t="shared" si="40"/>
        <v/>
      </c>
      <c r="Z325" s="2" t="str">
        <f t="shared" si="41"/>
        <v/>
      </c>
      <c r="AA325" s="2"/>
      <c r="AB325" s="2"/>
    </row>
    <row r="326" spans="1:28" ht="16">
      <c r="A326" s="31"/>
      <c r="B326" s="32"/>
      <c r="C326" s="32"/>
      <c r="D326" s="32"/>
      <c r="E326" s="32"/>
      <c r="F326" s="33"/>
      <c r="G326" s="2"/>
      <c r="H326" s="2"/>
      <c r="I326" s="2"/>
      <c r="J326" s="35" t="str">
        <f>IF(H326&lt;&gt;"",IFERROR(VLOOKUP(IFERROR(LEFT(H326,FIND("-",H326)-1),H326),'Catalogo MINSAL'!A:E,5,FALSE),""),IF(I326&lt;&gt;"",IFERROR(VLOOKUP(IFERROR(LEFT(I326,FIND("-",I326)-1),I326),'Catalogo MINSAL'!A:E,5,FALSE),""),""))</f>
        <v/>
      </c>
      <c r="K326" s="2"/>
      <c r="L326" s="2"/>
      <c r="M326" s="2"/>
      <c r="N326" s="2"/>
      <c r="O326" s="2"/>
      <c r="P326" s="2"/>
      <c r="Q326" s="24"/>
      <c r="R326" s="2" t="str">
        <f t="shared" si="35"/>
        <v/>
      </c>
      <c r="S326" s="2"/>
      <c r="T326" s="2"/>
      <c r="U326" s="2" t="str">
        <f t="shared" si="36"/>
        <v/>
      </c>
      <c r="V326" s="10" t="str">
        <f t="shared" si="37"/>
        <v/>
      </c>
      <c r="W326" s="10" t="str">
        <f t="shared" si="38"/>
        <v/>
      </c>
      <c r="X326" s="38" t="str">
        <f t="shared" si="39"/>
        <v/>
      </c>
      <c r="Y326" s="10" t="str">
        <f t="shared" si="40"/>
        <v/>
      </c>
      <c r="Z326" s="2" t="str">
        <f t="shared" si="41"/>
        <v/>
      </c>
      <c r="AA326" s="2"/>
      <c r="AB326" s="2"/>
    </row>
    <row r="327" spans="1:28" ht="16">
      <c r="A327" s="31"/>
      <c r="B327" s="32"/>
      <c r="C327" s="32"/>
      <c r="D327" s="32"/>
      <c r="E327" s="32"/>
      <c r="F327" s="33"/>
      <c r="G327" s="2"/>
      <c r="H327" s="2"/>
      <c r="I327" s="2"/>
      <c r="J327" s="35" t="str">
        <f>IF(H327&lt;&gt;"",IFERROR(VLOOKUP(IFERROR(LEFT(H327,FIND("-",H327)-1),H327),'Catalogo MINSAL'!A:E,5,FALSE),""),IF(I327&lt;&gt;"",IFERROR(VLOOKUP(IFERROR(LEFT(I327,FIND("-",I327)-1),I327),'Catalogo MINSAL'!A:E,5,FALSE),""),""))</f>
        <v/>
      </c>
      <c r="K327" s="2"/>
      <c r="L327" s="2"/>
      <c r="M327" s="2"/>
      <c r="N327" s="2"/>
      <c r="O327" s="2"/>
      <c r="P327" s="2"/>
      <c r="Q327" s="24"/>
      <c r="R327" s="2" t="str">
        <f t="shared" si="35"/>
        <v/>
      </c>
      <c r="S327" s="2"/>
      <c r="T327" s="2"/>
      <c r="U327" s="2" t="str">
        <f t="shared" si="36"/>
        <v/>
      </c>
      <c r="V327" s="10" t="str">
        <f t="shared" si="37"/>
        <v/>
      </c>
      <c r="W327" s="10" t="str">
        <f t="shared" si="38"/>
        <v/>
      </c>
      <c r="X327" s="38" t="str">
        <f t="shared" si="39"/>
        <v/>
      </c>
      <c r="Y327" s="10" t="str">
        <f t="shared" si="40"/>
        <v/>
      </c>
      <c r="Z327" s="2" t="str">
        <f t="shared" si="41"/>
        <v/>
      </c>
      <c r="AA327" s="2"/>
      <c r="AB327" s="2"/>
    </row>
    <row r="328" spans="1:28" ht="16">
      <c r="A328" s="31"/>
      <c r="B328" s="32"/>
      <c r="C328" s="32"/>
      <c r="D328" s="32"/>
      <c r="E328" s="32"/>
      <c r="F328" s="33"/>
      <c r="G328" s="2"/>
      <c r="H328" s="2"/>
      <c r="I328" s="2"/>
      <c r="J328" s="35" t="str">
        <f>IF(H328&lt;&gt;"",IFERROR(VLOOKUP(IFERROR(LEFT(H328,FIND("-",H328)-1),H328),'Catalogo MINSAL'!A:E,5,FALSE),""),IF(I328&lt;&gt;"",IFERROR(VLOOKUP(IFERROR(LEFT(I328,FIND("-",I328)-1),I328),'Catalogo MINSAL'!A:E,5,FALSE),""),""))</f>
        <v/>
      </c>
      <c r="K328" s="2"/>
      <c r="L328" s="2"/>
      <c r="M328" s="2"/>
      <c r="N328" s="2"/>
      <c r="O328" s="2"/>
      <c r="P328" s="2"/>
      <c r="Q328" s="24"/>
      <c r="R328" s="2" t="str">
        <f t="shared" si="35"/>
        <v/>
      </c>
      <c r="S328" s="2"/>
      <c r="T328" s="2"/>
      <c r="U328" s="2" t="str">
        <f t="shared" si="36"/>
        <v/>
      </c>
      <c r="V328" s="10" t="str">
        <f t="shared" si="37"/>
        <v/>
      </c>
      <c r="W328" s="10" t="str">
        <f t="shared" si="38"/>
        <v/>
      </c>
      <c r="X328" s="38" t="str">
        <f t="shared" si="39"/>
        <v/>
      </c>
      <c r="Y328" s="10" t="str">
        <f t="shared" si="40"/>
        <v/>
      </c>
      <c r="Z328" s="2" t="str">
        <f t="shared" si="41"/>
        <v/>
      </c>
      <c r="AA328" s="2"/>
      <c r="AB328" s="2"/>
    </row>
    <row r="329" spans="1:28" ht="16">
      <c r="A329" s="31"/>
      <c r="B329" s="32"/>
      <c r="C329" s="32"/>
      <c r="D329" s="32"/>
      <c r="E329" s="32"/>
      <c r="F329" s="33"/>
      <c r="G329" s="2"/>
      <c r="H329" s="2"/>
      <c r="I329" s="2"/>
      <c r="J329" s="35" t="str">
        <f>IF(H329&lt;&gt;"",IFERROR(VLOOKUP(IFERROR(LEFT(H329,FIND("-",H329)-1),H329),'Catalogo MINSAL'!A:E,5,FALSE),""),IF(I329&lt;&gt;"",IFERROR(VLOOKUP(IFERROR(LEFT(I329,FIND("-",I329)-1),I329),'Catalogo MINSAL'!A:E,5,FALSE),""),""))</f>
        <v/>
      </c>
      <c r="K329" s="2"/>
      <c r="L329" s="2"/>
      <c r="M329" s="2"/>
      <c r="N329" s="2"/>
      <c r="O329" s="2"/>
      <c r="P329" s="2"/>
      <c r="Q329" s="24"/>
      <c r="R329" s="2" t="str">
        <f t="shared" si="35"/>
        <v/>
      </c>
      <c r="S329" s="2"/>
      <c r="T329" s="2"/>
      <c r="U329" s="2" t="str">
        <f t="shared" si="36"/>
        <v/>
      </c>
      <c r="V329" s="10" t="str">
        <f t="shared" si="37"/>
        <v/>
      </c>
      <c r="W329" s="10" t="str">
        <f t="shared" si="38"/>
        <v/>
      </c>
      <c r="X329" s="38" t="str">
        <f t="shared" si="39"/>
        <v/>
      </c>
      <c r="Y329" s="10" t="str">
        <f t="shared" si="40"/>
        <v/>
      </c>
      <c r="Z329" s="2" t="str">
        <f t="shared" si="41"/>
        <v/>
      </c>
      <c r="AA329" s="2"/>
      <c r="AB329" s="2"/>
    </row>
    <row r="330" spans="1:28" ht="16">
      <c r="A330" s="31"/>
      <c r="B330" s="32"/>
      <c r="C330" s="32"/>
      <c r="D330" s="32"/>
      <c r="E330" s="32"/>
      <c r="F330" s="33"/>
      <c r="G330" s="2"/>
      <c r="H330" s="2"/>
      <c r="I330" s="2"/>
      <c r="J330" s="35" t="str">
        <f>IF(H330&lt;&gt;"",IFERROR(VLOOKUP(IFERROR(LEFT(H330,FIND("-",H330)-1),H330),'Catalogo MINSAL'!A:E,5,FALSE),""),IF(I330&lt;&gt;"",IFERROR(VLOOKUP(IFERROR(LEFT(I330,FIND("-",I330)-1),I330),'Catalogo MINSAL'!A:E,5,FALSE),""),""))</f>
        <v/>
      </c>
      <c r="K330" s="2"/>
      <c r="L330" s="2"/>
      <c r="M330" s="2"/>
      <c r="N330" s="2"/>
      <c r="O330" s="2"/>
      <c r="P330" s="2"/>
      <c r="Q330" s="24"/>
      <c r="R330" s="2" t="str">
        <f t="shared" si="35"/>
        <v/>
      </c>
      <c r="S330" s="2"/>
      <c r="T330" s="2"/>
      <c r="U330" s="2" t="str">
        <f t="shared" si="36"/>
        <v/>
      </c>
      <c r="V330" s="10" t="str">
        <f t="shared" si="37"/>
        <v/>
      </c>
      <c r="W330" s="10" t="str">
        <f t="shared" si="38"/>
        <v/>
      </c>
      <c r="X330" s="38" t="str">
        <f t="shared" si="39"/>
        <v/>
      </c>
      <c r="Y330" s="10" t="str">
        <f t="shared" si="40"/>
        <v/>
      </c>
      <c r="Z330" s="2" t="str">
        <f t="shared" si="41"/>
        <v/>
      </c>
      <c r="AA330" s="2"/>
      <c r="AB330" s="2"/>
    </row>
    <row r="331" spans="1:28" ht="16">
      <c r="A331" s="31"/>
      <c r="B331" s="32"/>
      <c r="C331" s="32"/>
      <c r="D331" s="32"/>
      <c r="E331" s="32"/>
      <c r="F331" s="33"/>
      <c r="G331" s="2"/>
      <c r="H331" s="2"/>
      <c r="I331" s="2"/>
      <c r="J331" s="35" t="str">
        <f>IF(H331&lt;&gt;"",IFERROR(VLOOKUP(IFERROR(LEFT(H331,FIND("-",H331)-1),H331),'Catalogo MINSAL'!A:E,5,FALSE),""),IF(I331&lt;&gt;"",IFERROR(VLOOKUP(IFERROR(LEFT(I331,FIND("-",I331)-1),I331),'Catalogo MINSAL'!A:E,5,FALSE),""),""))</f>
        <v/>
      </c>
      <c r="K331" s="2"/>
      <c r="L331" s="2"/>
      <c r="M331" s="2"/>
      <c r="N331" s="2"/>
      <c r="O331" s="2"/>
      <c r="P331" s="2"/>
      <c r="Q331" s="24"/>
      <c r="R331" s="2" t="str">
        <f t="shared" si="35"/>
        <v/>
      </c>
      <c r="S331" s="2"/>
      <c r="T331" s="2"/>
      <c r="U331" s="2" t="str">
        <f t="shared" si="36"/>
        <v/>
      </c>
      <c r="V331" s="10" t="str">
        <f t="shared" si="37"/>
        <v/>
      </c>
      <c r="W331" s="10" t="str">
        <f t="shared" si="38"/>
        <v/>
      </c>
      <c r="X331" s="38" t="str">
        <f t="shared" si="39"/>
        <v/>
      </c>
      <c r="Y331" s="10" t="str">
        <f t="shared" si="40"/>
        <v/>
      </c>
      <c r="Z331" s="2" t="str">
        <f t="shared" si="41"/>
        <v/>
      </c>
      <c r="AA331" s="2"/>
      <c r="AB331" s="2"/>
    </row>
    <row r="332" spans="1:28" ht="16">
      <c r="A332" s="31"/>
      <c r="B332" s="32"/>
      <c r="C332" s="32"/>
      <c r="D332" s="32"/>
      <c r="E332" s="32"/>
      <c r="F332" s="33"/>
      <c r="G332" s="2"/>
      <c r="H332" s="2"/>
      <c r="I332" s="2"/>
      <c r="J332" s="35" t="str">
        <f>IF(H332&lt;&gt;"",IFERROR(VLOOKUP(IFERROR(LEFT(H332,FIND("-",H332)-1),H332),'Catalogo MINSAL'!A:E,5,FALSE),""),IF(I332&lt;&gt;"",IFERROR(VLOOKUP(IFERROR(LEFT(I332,FIND("-",I332)-1),I332),'Catalogo MINSAL'!A:E,5,FALSE),""),""))</f>
        <v/>
      </c>
      <c r="K332" s="2"/>
      <c r="L332" s="2"/>
      <c r="M332" s="2"/>
      <c r="N332" s="2"/>
      <c r="O332" s="2"/>
      <c r="P332" s="2"/>
      <c r="Q332" s="24"/>
      <c r="R332" s="2" t="str">
        <f t="shared" si="35"/>
        <v/>
      </c>
      <c r="S332" s="2"/>
      <c r="T332" s="2"/>
      <c r="U332" s="2" t="str">
        <f t="shared" si="36"/>
        <v/>
      </c>
      <c r="V332" s="10" t="str">
        <f t="shared" si="37"/>
        <v/>
      </c>
      <c r="W332" s="10" t="str">
        <f t="shared" si="38"/>
        <v/>
      </c>
      <c r="X332" s="38" t="str">
        <f t="shared" si="39"/>
        <v/>
      </c>
      <c r="Y332" s="10" t="str">
        <f t="shared" si="40"/>
        <v/>
      </c>
      <c r="Z332" s="2" t="str">
        <f t="shared" si="41"/>
        <v/>
      </c>
      <c r="AA332" s="2"/>
      <c r="AB332" s="2"/>
    </row>
    <row r="333" spans="1:28" ht="16">
      <c r="A333" s="31"/>
      <c r="B333" s="32"/>
      <c r="C333" s="32"/>
      <c r="D333" s="32"/>
      <c r="E333" s="32"/>
      <c r="F333" s="33"/>
      <c r="G333" s="2"/>
      <c r="H333" s="2"/>
      <c r="I333" s="2"/>
      <c r="J333" s="35" t="str">
        <f>IF(H333&lt;&gt;"",IFERROR(VLOOKUP(IFERROR(LEFT(H333,FIND("-",H333)-1),H333),'Catalogo MINSAL'!A:E,5,FALSE),""),IF(I333&lt;&gt;"",IFERROR(VLOOKUP(IFERROR(LEFT(I333,FIND("-",I333)-1),I333),'Catalogo MINSAL'!A:E,5,FALSE),""),""))</f>
        <v/>
      </c>
      <c r="K333" s="2"/>
      <c r="L333" s="2"/>
      <c r="M333" s="2"/>
      <c r="N333" s="2"/>
      <c r="O333" s="2"/>
      <c r="P333" s="2"/>
      <c r="Q333" s="24"/>
      <c r="R333" s="2" t="str">
        <f t="shared" si="35"/>
        <v/>
      </c>
      <c r="S333" s="2"/>
      <c r="T333" s="2"/>
      <c r="U333" s="2" t="str">
        <f t="shared" si="36"/>
        <v/>
      </c>
      <c r="V333" s="10" t="str">
        <f t="shared" si="37"/>
        <v/>
      </c>
      <c r="W333" s="10" t="str">
        <f t="shared" si="38"/>
        <v/>
      </c>
      <c r="X333" s="38" t="str">
        <f t="shared" si="39"/>
        <v/>
      </c>
      <c r="Y333" s="10" t="str">
        <f t="shared" si="40"/>
        <v/>
      </c>
      <c r="Z333" s="2" t="str">
        <f t="shared" si="41"/>
        <v/>
      </c>
      <c r="AA333" s="2"/>
      <c r="AB333" s="2"/>
    </row>
    <row r="334" spans="1:28" ht="16">
      <c r="A334" s="31"/>
      <c r="B334" s="32"/>
      <c r="C334" s="32"/>
      <c r="D334" s="32"/>
      <c r="E334" s="32"/>
      <c r="F334" s="33"/>
      <c r="G334" s="2"/>
      <c r="H334" s="2"/>
      <c r="I334" s="2"/>
      <c r="J334" s="35" t="str">
        <f>IF(H334&lt;&gt;"",IFERROR(VLOOKUP(IFERROR(LEFT(H334,FIND("-",H334)-1),H334),'Catalogo MINSAL'!A:E,5,FALSE),""),IF(I334&lt;&gt;"",IFERROR(VLOOKUP(IFERROR(LEFT(I334,FIND("-",I334)-1),I334),'Catalogo MINSAL'!A:E,5,FALSE),""),""))</f>
        <v/>
      </c>
      <c r="K334" s="2"/>
      <c r="L334" s="2"/>
      <c r="M334" s="2"/>
      <c r="N334" s="2"/>
      <c r="O334" s="2"/>
      <c r="P334" s="2"/>
      <c r="Q334" s="24"/>
      <c r="R334" s="2" t="str">
        <f t="shared" si="35"/>
        <v/>
      </c>
      <c r="S334" s="2"/>
      <c r="T334" s="2"/>
      <c r="U334" s="2" t="str">
        <f t="shared" si="36"/>
        <v/>
      </c>
      <c r="V334" s="10" t="str">
        <f t="shared" si="37"/>
        <v/>
      </c>
      <c r="W334" s="10" t="str">
        <f t="shared" si="38"/>
        <v/>
      </c>
      <c r="X334" s="38" t="str">
        <f t="shared" si="39"/>
        <v/>
      </c>
      <c r="Y334" s="10" t="str">
        <f t="shared" si="40"/>
        <v/>
      </c>
      <c r="Z334" s="2" t="str">
        <f t="shared" si="41"/>
        <v/>
      </c>
      <c r="AA334" s="2"/>
      <c r="AB334" s="2"/>
    </row>
    <row r="335" spans="1:28" ht="16">
      <c r="A335" s="31"/>
      <c r="B335" s="32"/>
      <c r="C335" s="32"/>
      <c r="D335" s="32"/>
      <c r="E335" s="32"/>
      <c r="F335" s="33"/>
      <c r="G335" s="2"/>
      <c r="H335" s="2"/>
      <c r="I335" s="2"/>
      <c r="J335" s="35" t="str">
        <f>IF(H335&lt;&gt;"",IFERROR(VLOOKUP(IFERROR(LEFT(H335,FIND("-",H335)-1),H335),'Catalogo MINSAL'!A:E,5,FALSE),""),IF(I335&lt;&gt;"",IFERROR(VLOOKUP(IFERROR(LEFT(I335,FIND("-",I335)-1),I335),'Catalogo MINSAL'!A:E,5,FALSE),""),""))</f>
        <v/>
      </c>
      <c r="K335" s="2"/>
      <c r="L335" s="2"/>
      <c r="M335" s="2"/>
      <c r="N335" s="2"/>
      <c r="O335" s="2"/>
      <c r="P335" s="2"/>
      <c r="Q335" s="24"/>
      <c r="R335" s="2" t="str">
        <f t="shared" si="35"/>
        <v/>
      </c>
      <c r="S335" s="2"/>
      <c r="T335" s="2"/>
      <c r="U335" s="2" t="str">
        <f t="shared" si="36"/>
        <v/>
      </c>
      <c r="V335" s="10" t="str">
        <f t="shared" si="37"/>
        <v/>
      </c>
      <c r="W335" s="10" t="str">
        <f t="shared" si="38"/>
        <v/>
      </c>
      <c r="X335" s="38" t="str">
        <f t="shared" si="39"/>
        <v/>
      </c>
      <c r="Y335" s="10" t="str">
        <f t="shared" si="40"/>
        <v/>
      </c>
      <c r="Z335" s="2" t="str">
        <f t="shared" si="41"/>
        <v/>
      </c>
      <c r="AA335" s="2"/>
      <c r="AB335" s="2"/>
    </row>
    <row r="336" spans="1:28" ht="16">
      <c r="A336" s="31"/>
      <c r="B336" s="32"/>
      <c r="C336" s="32"/>
      <c r="D336" s="32"/>
      <c r="E336" s="32"/>
      <c r="F336" s="33"/>
      <c r="G336" s="2"/>
      <c r="H336" s="2"/>
      <c r="I336" s="2"/>
      <c r="J336" s="35" t="str">
        <f>IF(H336&lt;&gt;"",IFERROR(VLOOKUP(IFERROR(LEFT(H336,FIND("-",H336)-1),H336),'Catalogo MINSAL'!A:E,5,FALSE),""),IF(I336&lt;&gt;"",IFERROR(VLOOKUP(IFERROR(LEFT(I336,FIND("-",I336)-1),I336),'Catalogo MINSAL'!A:E,5,FALSE),""),""))</f>
        <v/>
      </c>
      <c r="K336" s="2"/>
      <c r="L336" s="2"/>
      <c r="M336" s="2"/>
      <c r="N336" s="2"/>
      <c r="O336" s="2"/>
      <c r="P336" s="2"/>
      <c r="Q336" s="24"/>
      <c r="R336" s="2" t="str">
        <f t="shared" si="35"/>
        <v/>
      </c>
      <c r="S336" s="2"/>
      <c r="T336" s="2"/>
      <c r="U336" s="2" t="str">
        <f t="shared" si="36"/>
        <v/>
      </c>
      <c r="V336" s="10" t="str">
        <f t="shared" si="37"/>
        <v/>
      </c>
      <c r="W336" s="10" t="str">
        <f t="shared" si="38"/>
        <v/>
      </c>
      <c r="X336" s="38" t="str">
        <f t="shared" si="39"/>
        <v/>
      </c>
      <c r="Y336" s="10" t="str">
        <f t="shared" si="40"/>
        <v/>
      </c>
      <c r="Z336" s="2" t="str">
        <f t="shared" si="41"/>
        <v/>
      </c>
      <c r="AA336" s="2"/>
      <c r="AB336" s="2"/>
    </row>
    <row r="337" spans="1:28" ht="16">
      <c r="A337" s="31"/>
      <c r="B337" s="32"/>
      <c r="C337" s="32"/>
      <c r="D337" s="32"/>
      <c r="E337" s="32"/>
      <c r="F337" s="33"/>
      <c r="G337" s="2"/>
      <c r="H337" s="2"/>
      <c r="I337" s="2"/>
      <c r="J337" s="35" t="str">
        <f>IF(H337&lt;&gt;"",IFERROR(VLOOKUP(IFERROR(LEFT(H337,FIND("-",H337)-1),H337),'Catalogo MINSAL'!A:E,5,FALSE),""),IF(I337&lt;&gt;"",IFERROR(VLOOKUP(IFERROR(LEFT(I337,FIND("-",I337)-1),I337),'Catalogo MINSAL'!A:E,5,FALSE),""),""))</f>
        <v/>
      </c>
      <c r="K337" s="2"/>
      <c r="L337" s="2"/>
      <c r="M337" s="2"/>
      <c r="N337" s="2"/>
      <c r="O337" s="2"/>
      <c r="P337" s="2"/>
      <c r="Q337" s="24"/>
      <c r="R337" s="2" t="str">
        <f t="shared" si="35"/>
        <v/>
      </c>
      <c r="S337" s="2"/>
      <c r="T337" s="2"/>
      <c r="U337" s="2" t="str">
        <f t="shared" si="36"/>
        <v/>
      </c>
      <c r="V337" s="10" t="str">
        <f t="shared" si="37"/>
        <v/>
      </c>
      <c r="W337" s="10" t="str">
        <f t="shared" si="38"/>
        <v/>
      </c>
      <c r="X337" s="38" t="str">
        <f t="shared" si="39"/>
        <v/>
      </c>
      <c r="Y337" s="10" t="str">
        <f t="shared" si="40"/>
        <v/>
      </c>
      <c r="Z337" s="2" t="str">
        <f t="shared" si="41"/>
        <v/>
      </c>
      <c r="AA337" s="2"/>
      <c r="AB337" s="2"/>
    </row>
    <row r="338" spans="1:28" ht="16">
      <c r="A338" s="31"/>
      <c r="B338" s="32"/>
      <c r="C338" s="32"/>
      <c r="D338" s="32"/>
      <c r="E338" s="32"/>
      <c r="F338" s="33"/>
      <c r="G338" s="2"/>
      <c r="H338" s="2"/>
      <c r="I338" s="2"/>
      <c r="J338" s="35" t="str">
        <f>IF(H338&lt;&gt;"",IFERROR(VLOOKUP(IFERROR(LEFT(H338,FIND("-",H338)-1),H338),'Catalogo MINSAL'!A:E,5,FALSE),""),IF(I338&lt;&gt;"",IFERROR(VLOOKUP(IFERROR(LEFT(I338,FIND("-",I338)-1),I338),'Catalogo MINSAL'!A:E,5,FALSE),""),""))</f>
        <v/>
      </c>
      <c r="K338" s="2"/>
      <c r="L338" s="2"/>
      <c r="M338" s="2"/>
      <c r="N338" s="2"/>
      <c r="O338" s="2"/>
      <c r="P338" s="2"/>
      <c r="Q338" s="24"/>
      <c r="R338" s="2" t="str">
        <f t="shared" si="35"/>
        <v/>
      </c>
      <c r="S338" s="2"/>
      <c r="T338" s="2"/>
      <c r="U338" s="2" t="str">
        <f t="shared" si="36"/>
        <v/>
      </c>
      <c r="V338" s="10" t="str">
        <f t="shared" si="37"/>
        <v/>
      </c>
      <c r="W338" s="10" t="str">
        <f t="shared" si="38"/>
        <v/>
      </c>
      <c r="X338" s="38" t="str">
        <f t="shared" si="39"/>
        <v/>
      </c>
      <c r="Y338" s="10" t="str">
        <f t="shared" si="40"/>
        <v/>
      </c>
      <c r="Z338" s="2" t="str">
        <f t="shared" si="41"/>
        <v/>
      </c>
      <c r="AA338" s="2"/>
      <c r="AB338" s="2"/>
    </row>
    <row r="339" spans="1:28" ht="16">
      <c r="A339" s="31"/>
      <c r="B339" s="32"/>
      <c r="C339" s="32"/>
      <c r="D339" s="32"/>
      <c r="E339" s="32"/>
      <c r="F339" s="33"/>
      <c r="G339" s="2"/>
      <c r="H339" s="2"/>
      <c r="I339" s="2"/>
      <c r="J339" s="35" t="str">
        <f>IF(H339&lt;&gt;"",IFERROR(VLOOKUP(IFERROR(LEFT(H339,FIND("-",H339)-1),H339),'Catalogo MINSAL'!A:E,5,FALSE),""),IF(I339&lt;&gt;"",IFERROR(VLOOKUP(IFERROR(LEFT(I339,FIND("-",I339)-1),I339),'Catalogo MINSAL'!A:E,5,FALSE),""),""))</f>
        <v/>
      </c>
      <c r="K339" s="2"/>
      <c r="L339" s="2"/>
      <c r="M339" s="2"/>
      <c r="N339" s="2"/>
      <c r="O339" s="2"/>
      <c r="P339" s="2"/>
      <c r="Q339" s="24"/>
      <c r="R339" s="2" t="str">
        <f t="shared" si="35"/>
        <v/>
      </c>
      <c r="S339" s="2"/>
      <c r="T339" s="2"/>
      <c r="U339" s="2" t="str">
        <f t="shared" si="36"/>
        <v/>
      </c>
      <c r="V339" s="10" t="str">
        <f t="shared" si="37"/>
        <v/>
      </c>
      <c r="W339" s="10" t="str">
        <f t="shared" si="38"/>
        <v/>
      </c>
      <c r="X339" s="38" t="str">
        <f t="shared" si="39"/>
        <v/>
      </c>
      <c r="Y339" s="10" t="str">
        <f t="shared" si="40"/>
        <v/>
      </c>
      <c r="Z339" s="2" t="str">
        <f t="shared" si="41"/>
        <v/>
      </c>
      <c r="AA339" s="2"/>
      <c r="AB339" s="2"/>
    </row>
    <row r="340" spans="1:28" ht="16">
      <c r="A340" s="31"/>
      <c r="B340" s="32"/>
      <c r="C340" s="32"/>
      <c r="D340" s="32"/>
      <c r="E340" s="32"/>
      <c r="F340" s="33"/>
      <c r="G340" s="2"/>
      <c r="H340" s="2"/>
      <c r="I340" s="2"/>
      <c r="J340" s="35" t="str">
        <f>IF(H340&lt;&gt;"",IFERROR(VLOOKUP(IFERROR(LEFT(H340,FIND("-",H340)-1),H340),'Catalogo MINSAL'!A:E,5,FALSE),""),IF(I340&lt;&gt;"",IFERROR(VLOOKUP(IFERROR(LEFT(I340,FIND("-",I340)-1),I340),'Catalogo MINSAL'!A:E,5,FALSE),""),""))</f>
        <v/>
      </c>
      <c r="K340" s="2"/>
      <c r="L340" s="2"/>
      <c r="M340" s="2"/>
      <c r="N340" s="2"/>
      <c r="O340" s="2"/>
      <c r="P340" s="2"/>
      <c r="Q340" s="24"/>
      <c r="R340" s="2" t="str">
        <f t="shared" si="35"/>
        <v/>
      </c>
      <c r="S340" s="2"/>
      <c r="T340" s="2"/>
      <c r="U340" s="2" t="str">
        <f t="shared" si="36"/>
        <v/>
      </c>
      <c r="V340" s="10" t="str">
        <f t="shared" si="37"/>
        <v/>
      </c>
      <c r="W340" s="10" t="str">
        <f t="shared" si="38"/>
        <v/>
      </c>
      <c r="X340" s="38" t="str">
        <f t="shared" si="39"/>
        <v/>
      </c>
      <c r="Y340" s="10" t="str">
        <f t="shared" si="40"/>
        <v/>
      </c>
      <c r="Z340" s="2" t="str">
        <f t="shared" si="41"/>
        <v/>
      </c>
      <c r="AA340" s="2"/>
      <c r="AB340" s="2"/>
    </row>
    <row r="341" spans="1:28" ht="16">
      <c r="A341" s="31"/>
      <c r="B341" s="32"/>
      <c r="C341" s="32"/>
      <c r="D341" s="32"/>
      <c r="E341" s="32"/>
      <c r="F341" s="33"/>
      <c r="G341" s="2"/>
      <c r="H341" s="2"/>
      <c r="I341" s="2"/>
      <c r="J341" s="35" t="str">
        <f>IF(H341&lt;&gt;"",IFERROR(VLOOKUP(IFERROR(LEFT(H341,FIND("-",H341)-1),H341),'Catalogo MINSAL'!A:E,5,FALSE),""),IF(I341&lt;&gt;"",IFERROR(VLOOKUP(IFERROR(LEFT(I341,FIND("-",I341)-1),I341),'Catalogo MINSAL'!A:E,5,FALSE),""),""))</f>
        <v/>
      </c>
      <c r="K341" s="2"/>
      <c r="L341" s="2"/>
      <c r="M341" s="2"/>
      <c r="N341" s="2"/>
      <c r="O341" s="2"/>
      <c r="P341" s="2"/>
      <c r="Q341" s="24"/>
      <c r="R341" s="2" t="str">
        <f t="shared" si="35"/>
        <v/>
      </c>
      <c r="S341" s="2"/>
      <c r="T341" s="2"/>
      <c r="U341" s="2" t="str">
        <f t="shared" si="36"/>
        <v/>
      </c>
      <c r="V341" s="10" t="str">
        <f t="shared" si="37"/>
        <v/>
      </c>
      <c r="W341" s="10" t="str">
        <f t="shared" si="38"/>
        <v/>
      </c>
      <c r="X341" s="38" t="str">
        <f t="shared" si="39"/>
        <v/>
      </c>
      <c r="Y341" s="10" t="str">
        <f t="shared" si="40"/>
        <v/>
      </c>
      <c r="Z341" s="2" t="str">
        <f t="shared" si="41"/>
        <v/>
      </c>
      <c r="AA341" s="2"/>
      <c r="AB341" s="2"/>
    </row>
    <row r="342" spans="1:28" ht="16">
      <c r="A342" s="31"/>
      <c r="B342" s="32"/>
      <c r="C342" s="32"/>
      <c r="D342" s="32"/>
      <c r="E342" s="32"/>
      <c r="F342" s="33"/>
      <c r="G342" s="2"/>
      <c r="H342" s="2"/>
      <c r="I342" s="2"/>
      <c r="J342" s="35" t="str">
        <f>IF(H342&lt;&gt;"",IFERROR(VLOOKUP(IFERROR(LEFT(H342,FIND("-",H342)-1),H342),'Catalogo MINSAL'!A:E,5,FALSE),""),IF(I342&lt;&gt;"",IFERROR(VLOOKUP(IFERROR(LEFT(I342,FIND("-",I342)-1),I342),'Catalogo MINSAL'!A:E,5,FALSE),""),""))</f>
        <v/>
      </c>
      <c r="K342" s="2"/>
      <c r="L342" s="2"/>
      <c r="M342" s="2"/>
      <c r="N342" s="2"/>
      <c r="O342" s="2"/>
      <c r="P342" s="2"/>
      <c r="Q342" s="24"/>
      <c r="R342" s="2" t="str">
        <f t="shared" si="35"/>
        <v/>
      </c>
      <c r="S342" s="2"/>
      <c r="T342" s="2"/>
      <c r="U342" s="2" t="str">
        <f t="shared" si="36"/>
        <v/>
      </c>
      <c r="V342" s="10" t="str">
        <f t="shared" si="37"/>
        <v/>
      </c>
      <c r="W342" s="10" t="str">
        <f t="shared" si="38"/>
        <v/>
      </c>
      <c r="X342" s="38" t="str">
        <f t="shared" si="39"/>
        <v/>
      </c>
      <c r="Y342" s="10" t="str">
        <f t="shared" si="40"/>
        <v/>
      </c>
      <c r="Z342" s="2" t="str">
        <f t="shared" si="41"/>
        <v/>
      </c>
      <c r="AA342" s="2"/>
      <c r="AB342" s="2"/>
    </row>
    <row r="343" spans="1:28" ht="16">
      <c r="A343" s="31"/>
      <c r="B343" s="32"/>
      <c r="C343" s="32"/>
      <c r="D343" s="32"/>
      <c r="E343" s="32"/>
      <c r="F343" s="33"/>
      <c r="G343" s="2"/>
      <c r="H343" s="2"/>
      <c r="I343" s="2"/>
      <c r="J343" s="35" t="str">
        <f>IF(H343&lt;&gt;"",IFERROR(VLOOKUP(IFERROR(LEFT(H343,FIND("-",H343)-1),H343),'Catalogo MINSAL'!A:E,5,FALSE),""),IF(I343&lt;&gt;"",IFERROR(VLOOKUP(IFERROR(LEFT(I343,FIND("-",I343)-1),I343),'Catalogo MINSAL'!A:E,5,FALSE),""),""))</f>
        <v/>
      </c>
      <c r="K343" s="2"/>
      <c r="L343" s="2"/>
      <c r="M343" s="2"/>
      <c r="N343" s="2"/>
      <c r="O343" s="2"/>
      <c r="P343" s="2"/>
      <c r="Q343" s="24"/>
      <c r="R343" s="2" t="str">
        <f t="shared" si="35"/>
        <v/>
      </c>
      <c r="S343" s="2"/>
      <c r="T343" s="2"/>
      <c r="U343" s="2" t="str">
        <f t="shared" si="36"/>
        <v/>
      </c>
      <c r="V343" s="10" t="str">
        <f t="shared" si="37"/>
        <v/>
      </c>
      <c r="W343" s="10" t="str">
        <f t="shared" si="38"/>
        <v/>
      </c>
      <c r="X343" s="38" t="str">
        <f t="shared" si="39"/>
        <v/>
      </c>
      <c r="Y343" s="10" t="str">
        <f t="shared" si="40"/>
        <v/>
      </c>
      <c r="Z343" s="2" t="str">
        <f t="shared" si="41"/>
        <v/>
      </c>
      <c r="AA343" s="2"/>
      <c r="AB343" s="2"/>
    </row>
    <row r="344" spans="1:28" ht="16">
      <c r="A344" s="31"/>
      <c r="B344" s="32"/>
      <c r="C344" s="32"/>
      <c r="D344" s="32"/>
      <c r="E344" s="32"/>
      <c r="F344" s="33"/>
      <c r="G344" s="2"/>
      <c r="H344" s="2"/>
      <c r="I344" s="2"/>
      <c r="J344" s="35" t="str">
        <f>IF(H344&lt;&gt;"",IFERROR(VLOOKUP(IFERROR(LEFT(H344,FIND("-",H344)-1),H344),'Catalogo MINSAL'!A:E,5,FALSE),""),IF(I344&lt;&gt;"",IFERROR(VLOOKUP(IFERROR(LEFT(I344,FIND("-",I344)-1),I344),'Catalogo MINSAL'!A:E,5,FALSE),""),""))</f>
        <v/>
      </c>
      <c r="K344" s="2"/>
      <c r="L344" s="2"/>
      <c r="M344" s="2"/>
      <c r="N344" s="2"/>
      <c r="O344" s="2"/>
      <c r="P344" s="2"/>
      <c r="Q344" s="24"/>
      <c r="R344" s="2" t="str">
        <f t="shared" si="35"/>
        <v/>
      </c>
      <c r="S344" s="2"/>
      <c r="T344" s="2"/>
      <c r="U344" s="2" t="str">
        <f t="shared" si="36"/>
        <v/>
      </c>
      <c r="V344" s="10" t="str">
        <f t="shared" si="37"/>
        <v/>
      </c>
      <c r="W344" s="10" t="str">
        <f t="shared" si="38"/>
        <v/>
      </c>
      <c r="X344" s="38" t="str">
        <f t="shared" si="39"/>
        <v/>
      </c>
      <c r="Y344" s="10" t="str">
        <f t="shared" si="40"/>
        <v/>
      </c>
      <c r="Z344" s="2" t="str">
        <f t="shared" si="41"/>
        <v/>
      </c>
      <c r="AA344" s="2"/>
      <c r="AB344" s="2"/>
    </row>
    <row r="345" spans="1:28" ht="16">
      <c r="A345" s="31"/>
      <c r="B345" s="32"/>
      <c r="C345" s="32"/>
      <c r="D345" s="32"/>
      <c r="E345" s="32"/>
      <c r="F345" s="33"/>
      <c r="G345" s="2"/>
      <c r="H345" s="2"/>
      <c r="I345" s="2"/>
      <c r="J345" s="35" t="str">
        <f>IF(H345&lt;&gt;"",IFERROR(VLOOKUP(IFERROR(LEFT(H345,FIND("-",H345)-1),H345),'Catalogo MINSAL'!A:E,5,FALSE),""),IF(I345&lt;&gt;"",IFERROR(VLOOKUP(IFERROR(LEFT(I345,FIND("-",I345)-1),I345),'Catalogo MINSAL'!A:E,5,FALSE),""),""))</f>
        <v/>
      </c>
      <c r="K345" s="2"/>
      <c r="L345" s="2"/>
      <c r="M345" s="2"/>
      <c r="N345" s="2"/>
      <c r="O345" s="2"/>
      <c r="P345" s="2"/>
      <c r="Q345" s="24"/>
      <c r="R345" s="2" t="str">
        <f t="shared" si="35"/>
        <v/>
      </c>
      <c r="S345" s="2"/>
      <c r="T345" s="2"/>
      <c r="U345" s="2" t="str">
        <f t="shared" si="36"/>
        <v/>
      </c>
      <c r="V345" s="10" t="str">
        <f t="shared" si="37"/>
        <v/>
      </c>
      <c r="W345" s="10" t="str">
        <f t="shared" si="38"/>
        <v/>
      </c>
      <c r="X345" s="38" t="str">
        <f t="shared" si="39"/>
        <v/>
      </c>
      <c r="Y345" s="10" t="str">
        <f t="shared" si="40"/>
        <v/>
      </c>
      <c r="Z345" s="2" t="str">
        <f t="shared" si="41"/>
        <v/>
      </c>
      <c r="AA345" s="2"/>
      <c r="AB345" s="2"/>
    </row>
    <row r="346" spans="1:28" ht="16">
      <c r="A346" s="31"/>
      <c r="B346" s="32"/>
      <c r="C346" s="32"/>
      <c r="D346" s="32"/>
      <c r="E346" s="32"/>
      <c r="F346" s="33"/>
      <c r="G346" s="2"/>
      <c r="H346" s="2"/>
      <c r="I346" s="2"/>
      <c r="J346" s="35" t="str">
        <f>IF(H346&lt;&gt;"",IFERROR(VLOOKUP(IFERROR(LEFT(H346,FIND("-",H346)-1),H346),'Catalogo MINSAL'!A:E,5,FALSE),""),IF(I346&lt;&gt;"",IFERROR(VLOOKUP(IFERROR(LEFT(I346,FIND("-",I346)-1),I346),'Catalogo MINSAL'!A:E,5,FALSE),""),""))</f>
        <v/>
      </c>
      <c r="K346" s="2"/>
      <c r="L346" s="2"/>
      <c r="M346" s="2"/>
      <c r="N346" s="2"/>
      <c r="O346" s="2"/>
      <c r="P346" s="2"/>
      <c r="Q346" s="24"/>
      <c r="R346" s="2" t="str">
        <f t="shared" si="35"/>
        <v/>
      </c>
      <c r="S346" s="2"/>
      <c r="T346" s="2"/>
      <c r="U346" s="2" t="str">
        <f t="shared" si="36"/>
        <v/>
      </c>
      <c r="V346" s="10" t="str">
        <f t="shared" si="37"/>
        <v/>
      </c>
      <c r="W346" s="10" t="str">
        <f t="shared" si="38"/>
        <v/>
      </c>
      <c r="X346" s="38" t="str">
        <f t="shared" si="39"/>
        <v/>
      </c>
      <c r="Y346" s="10" t="str">
        <f t="shared" si="40"/>
        <v/>
      </c>
      <c r="Z346" s="2" t="str">
        <f t="shared" si="41"/>
        <v/>
      </c>
      <c r="AA346" s="2"/>
      <c r="AB346" s="2"/>
    </row>
    <row r="347" spans="1:28" ht="16">
      <c r="A347" s="31"/>
      <c r="B347" s="32"/>
      <c r="C347" s="32"/>
      <c r="D347" s="32"/>
      <c r="E347" s="32"/>
      <c r="F347" s="33"/>
      <c r="G347" s="2"/>
      <c r="H347" s="2"/>
      <c r="I347" s="2"/>
      <c r="J347" s="35" t="str">
        <f>IF(H347&lt;&gt;"",IFERROR(VLOOKUP(IFERROR(LEFT(H347,FIND("-",H347)-1),H347),'Catalogo MINSAL'!A:E,5,FALSE),""),IF(I347&lt;&gt;"",IFERROR(VLOOKUP(IFERROR(LEFT(I347,FIND("-",I347)-1),I347),'Catalogo MINSAL'!A:E,5,FALSE),""),""))</f>
        <v/>
      </c>
      <c r="K347" s="2"/>
      <c r="L347" s="2"/>
      <c r="M347" s="2"/>
      <c r="N347" s="2"/>
      <c r="O347" s="2"/>
      <c r="P347" s="2"/>
      <c r="Q347" s="24"/>
      <c r="R347" s="2" t="str">
        <f t="shared" si="35"/>
        <v/>
      </c>
      <c r="S347" s="2"/>
      <c r="T347" s="2"/>
      <c r="U347" s="2" t="str">
        <f t="shared" si="36"/>
        <v/>
      </c>
      <c r="V347" s="10" t="str">
        <f t="shared" si="37"/>
        <v/>
      </c>
      <c r="W347" s="10" t="str">
        <f t="shared" si="38"/>
        <v/>
      </c>
      <c r="X347" s="38" t="str">
        <f t="shared" si="39"/>
        <v/>
      </c>
      <c r="Y347" s="10" t="str">
        <f t="shared" si="40"/>
        <v/>
      </c>
      <c r="Z347" s="2" t="str">
        <f t="shared" si="41"/>
        <v/>
      </c>
      <c r="AA347" s="2"/>
      <c r="AB347" s="2"/>
    </row>
    <row r="348" spans="1:28" ht="16">
      <c r="A348" s="31"/>
      <c r="B348" s="32"/>
      <c r="C348" s="32"/>
      <c r="D348" s="32"/>
      <c r="E348" s="32"/>
      <c r="F348" s="33"/>
      <c r="G348" s="2"/>
      <c r="H348" s="2"/>
      <c r="I348" s="2"/>
      <c r="J348" s="35" t="str">
        <f>IF(H348&lt;&gt;"",IFERROR(VLOOKUP(IFERROR(LEFT(H348,FIND("-",H348)-1),H348),'Catalogo MINSAL'!A:E,5,FALSE),""),IF(I348&lt;&gt;"",IFERROR(VLOOKUP(IFERROR(LEFT(I348,FIND("-",I348)-1),I348),'Catalogo MINSAL'!A:E,5,FALSE),""),""))</f>
        <v/>
      </c>
      <c r="K348" s="2"/>
      <c r="L348" s="2"/>
      <c r="M348" s="2"/>
      <c r="N348" s="2"/>
      <c r="O348" s="2"/>
      <c r="P348" s="2"/>
      <c r="Q348" s="24"/>
      <c r="R348" s="2" t="str">
        <f t="shared" si="35"/>
        <v/>
      </c>
      <c r="S348" s="2"/>
      <c r="T348" s="2"/>
      <c r="U348" s="2" t="str">
        <f t="shared" si="36"/>
        <v/>
      </c>
      <c r="V348" s="10" t="str">
        <f t="shared" si="37"/>
        <v/>
      </c>
      <c r="W348" s="10" t="str">
        <f t="shared" si="38"/>
        <v/>
      </c>
      <c r="X348" s="38" t="str">
        <f t="shared" si="39"/>
        <v/>
      </c>
      <c r="Y348" s="10" t="str">
        <f t="shared" si="40"/>
        <v/>
      </c>
      <c r="Z348" s="2" t="str">
        <f t="shared" si="41"/>
        <v/>
      </c>
      <c r="AA348" s="2"/>
      <c r="AB348" s="2"/>
    </row>
    <row r="349" spans="1:28" ht="16">
      <c r="A349" s="31"/>
      <c r="B349" s="32"/>
      <c r="C349" s="32"/>
      <c r="D349" s="32"/>
      <c r="E349" s="32"/>
      <c r="F349" s="33"/>
      <c r="G349" s="2"/>
      <c r="H349" s="2"/>
      <c r="I349" s="2"/>
      <c r="J349" s="35" t="str">
        <f>IF(H349&lt;&gt;"",IFERROR(VLOOKUP(IFERROR(LEFT(H349,FIND("-",H349)-1),H349),'Catalogo MINSAL'!A:E,5,FALSE),""),IF(I349&lt;&gt;"",IFERROR(VLOOKUP(IFERROR(LEFT(I349,FIND("-",I349)-1),I349),'Catalogo MINSAL'!A:E,5,FALSE),""),""))</f>
        <v/>
      </c>
      <c r="K349" s="2"/>
      <c r="L349" s="2"/>
      <c r="M349" s="2"/>
      <c r="N349" s="2"/>
      <c r="O349" s="2"/>
      <c r="P349" s="2"/>
      <c r="Q349" s="24"/>
      <c r="R349" s="2" t="str">
        <f t="shared" si="35"/>
        <v/>
      </c>
      <c r="S349" s="2"/>
      <c r="T349" s="2"/>
      <c r="U349" s="2" t="str">
        <f t="shared" si="36"/>
        <v/>
      </c>
      <c r="V349" s="10" t="str">
        <f t="shared" si="37"/>
        <v/>
      </c>
      <c r="W349" s="10" t="str">
        <f t="shared" si="38"/>
        <v/>
      </c>
      <c r="X349" s="38" t="str">
        <f t="shared" si="39"/>
        <v/>
      </c>
      <c r="Y349" s="10" t="str">
        <f t="shared" si="40"/>
        <v/>
      </c>
      <c r="Z349" s="2" t="str">
        <f t="shared" si="41"/>
        <v/>
      </c>
      <c r="AA349" s="2"/>
      <c r="AB349" s="2"/>
    </row>
    <row r="350" spans="1:28" ht="16">
      <c r="A350" s="31"/>
      <c r="B350" s="32"/>
      <c r="C350" s="32"/>
      <c r="D350" s="32"/>
      <c r="E350" s="32"/>
      <c r="F350" s="33"/>
      <c r="G350" s="2"/>
      <c r="H350" s="2"/>
      <c r="I350" s="2"/>
      <c r="J350" s="35" t="str">
        <f>IF(H350&lt;&gt;"",IFERROR(VLOOKUP(IFERROR(LEFT(H350,FIND("-",H350)-1),H350),'Catalogo MINSAL'!A:E,5,FALSE),""),IF(I350&lt;&gt;"",IFERROR(VLOOKUP(IFERROR(LEFT(I350,FIND("-",I350)-1),I350),'Catalogo MINSAL'!A:E,5,FALSE),""),""))</f>
        <v/>
      </c>
      <c r="K350" s="2"/>
      <c r="L350" s="2"/>
      <c r="M350" s="2"/>
      <c r="N350" s="2"/>
      <c r="O350" s="2"/>
      <c r="P350" s="2"/>
      <c r="Q350" s="24"/>
      <c r="R350" s="2" t="str">
        <f t="shared" si="35"/>
        <v/>
      </c>
      <c r="S350" s="2"/>
      <c r="T350" s="2"/>
      <c r="U350" s="2" t="str">
        <f t="shared" si="36"/>
        <v/>
      </c>
      <c r="V350" s="10" t="str">
        <f t="shared" si="37"/>
        <v/>
      </c>
      <c r="W350" s="10" t="str">
        <f t="shared" si="38"/>
        <v/>
      </c>
      <c r="X350" s="38" t="str">
        <f t="shared" si="39"/>
        <v/>
      </c>
      <c r="Y350" s="10" t="str">
        <f t="shared" si="40"/>
        <v/>
      </c>
      <c r="Z350" s="2" t="str">
        <f t="shared" si="41"/>
        <v/>
      </c>
      <c r="AA350" s="2"/>
      <c r="AB350" s="2"/>
    </row>
    <row r="351" spans="1:28" ht="16">
      <c r="A351" s="31"/>
      <c r="B351" s="32"/>
      <c r="C351" s="32"/>
      <c r="D351" s="32"/>
      <c r="E351" s="32"/>
      <c r="F351" s="33"/>
      <c r="G351" s="2"/>
      <c r="H351" s="2"/>
      <c r="I351" s="2"/>
      <c r="J351" s="35" t="str">
        <f>IF(H351&lt;&gt;"",IFERROR(VLOOKUP(IFERROR(LEFT(H351,FIND("-",H351)-1),H351),'Catalogo MINSAL'!A:E,5,FALSE),""),IF(I351&lt;&gt;"",IFERROR(VLOOKUP(IFERROR(LEFT(I351,FIND("-",I351)-1),I351),'Catalogo MINSAL'!A:E,5,FALSE),""),""))</f>
        <v/>
      </c>
      <c r="K351" s="2"/>
      <c r="L351" s="2"/>
      <c r="M351" s="2"/>
      <c r="N351" s="2"/>
      <c r="O351" s="2"/>
      <c r="P351" s="2"/>
      <c r="Q351" s="24"/>
      <c r="R351" s="2" t="str">
        <f t="shared" si="35"/>
        <v/>
      </c>
      <c r="S351" s="2"/>
      <c r="T351" s="2"/>
      <c r="U351" s="2" t="str">
        <f t="shared" si="36"/>
        <v/>
      </c>
      <c r="V351" s="10" t="str">
        <f t="shared" si="37"/>
        <v/>
      </c>
      <c r="W351" s="10" t="str">
        <f t="shared" si="38"/>
        <v/>
      </c>
      <c r="X351" s="38" t="str">
        <f t="shared" si="39"/>
        <v/>
      </c>
      <c r="Y351" s="10" t="str">
        <f t="shared" si="40"/>
        <v/>
      </c>
      <c r="Z351" s="2" t="str">
        <f t="shared" si="41"/>
        <v/>
      </c>
      <c r="AA351" s="2"/>
      <c r="AB351" s="2"/>
    </row>
    <row r="352" spans="1:28" ht="16">
      <c r="A352" s="31"/>
      <c r="B352" s="32"/>
      <c r="C352" s="32"/>
      <c r="D352" s="32"/>
      <c r="E352" s="32"/>
      <c r="F352" s="33"/>
      <c r="G352" s="2"/>
      <c r="H352" s="2"/>
      <c r="I352" s="2"/>
      <c r="J352" s="35" t="str">
        <f>IF(H352&lt;&gt;"",IFERROR(VLOOKUP(IFERROR(LEFT(H352,FIND("-",H352)-1),H352),'Catalogo MINSAL'!A:E,5,FALSE),""),IF(I352&lt;&gt;"",IFERROR(VLOOKUP(IFERROR(LEFT(I352,FIND("-",I352)-1),I352),'Catalogo MINSAL'!A:E,5,FALSE),""),""))</f>
        <v/>
      </c>
      <c r="K352" s="2"/>
      <c r="L352" s="2"/>
      <c r="M352" s="2"/>
      <c r="N352" s="2"/>
      <c r="O352" s="2"/>
      <c r="P352" s="2"/>
      <c r="Q352" s="24"/>
      <c r="R352" s="2" t="str">
        <f t="shared" si="35"/>
        <v/>
      </c>
      <c r="S352" s="2"/>
      <c r="T352" s="2"/>
      <c r="U352" s="2" t="str">
        <f t="shared" si="36"/>
        <v/>
      </c>
      <c r="V352" s="10" t="str">
        <f t="shared" si="37"/>
        <v/>
      </c>
      <c r="W352" s="10" t="str">
        <f t="shared" si="38"/>
        <v/>
      </c>
      <c r="X352" s="38" t="str">
        <f t="shared" si="39"/>
        <v/>
      </c>
      <c r="Y352" s="10" t="str">
        <f t="shared" si="40"/>
        <v/>
      </c>
      <c r="Z352" s="2" t="str">
        <f t="shared" si="41"/>
        <v/>
      </c>
      <c r="AA352" s="2"/>
      <c r="AB352" s="2"/>
    </row>
    <row r="353" spans="1:28" ht="16">
      <c r="A353" s="31"/>
      <c r="B353" s="32"/>
      <c r="C353" s="32"/>
      <c r="D353" s="32"/>
      <c r="E353" s="32"/>
      <c r="F353" s="33"/>
      <c r="G353" s="2"/>
      <c r="H353" s="2"/>
      <c r="I353" s="2"/>
      <c r="J353" s="35" t="str">
        <f>IF(H353&lt;&gt;"",IFERROR(VLOOKUP(IFERROR(LEFT(H353,FIND("-",H353)-1),H353),'Catalogo MINSAL'!A:E,5,FALSE),""),IF(I353&lt;&gt;"",IFERROR(VLOOKUP(IFERROR(LEFT(I353,FIND("-",I353)-1),I353),'Catalogo MINSAL'!A:E,5,FALSE),""),""))</f>
        <v/>
      </c>
      <c r="K353" s="2"/>
      <c r="L353" s="2"/>
      <c r="M353" s="2"/>
      <c r="N353" s="2"/>
      <c r="O353" s="2"/>
      <c r="P353" s="2"/>
      <c r="Q353" s="24"/>
      <c r="R353" s="2" t="str">
        <f t="shared" si="35"/>
        <v/>
      </c>
      <c r="S353" s="2"/>
      <c r="T353" s="2"/>
      <c r="U353" s="2" t="str">
        <f t="shared" si="36"/>
        <v/>
      </c>
      <c r="V353" s="10" t="str">
        <f t="shared" si="37"/>
        <v/>
      </c>
      <c r="W353" s="10" t="str">
        <f t="shared" si="38"/>
        <v/>
      </c>
      <c r="X353" s="38" t="str">
        <f t="shared" si="39"/>
        <v/>
      </c>
      <c r="Y353" s="10" t="str">
        <f t="shared" si="40"/>
        <v/>
      </c>
      <c r="Z353" s="2" t="str">
        <f t="shared" si="41"/>
        <v/>
      </c>
      <c r="AA353" s="2"/>
      <c r="AB353" s="2"/>
    </row>
    <row r="354" spans="1:28" ht="16">
      <c r="A354" s="31"/>
      <c r="B354" s="32"/>
      <c r="C354" s="32"/>
      <c r="D354" s="32"/>
      <c r="E354" s="32"/>
      <c r="F354" s="33"/>
      <c r="G354" s="2"/>
      <c r="H354" s="2"/>
      <c r="I354" s="2"/>
      <c r="J354" s="35" t="str">
        <f>IF(H354&lt;&gt;"",IFERROR(VLOOKUP(IFERROR(LEFT(H354,FIND("-",H354)-1),H354),'Catalogo MINSAL'!A:E,5,FALSE),""),IF(I354&lt;&gt;"",IFERROR(VLOOKUP(IFERROR(LEFT(I354,FIND("-",I354)-1),I354),'Catalogo MINSAL'!A:E,5,FALSE),""),""))</f>
        <v/>
      </c>
      <c r="K354" s="2"/>
      <c r="L354" s="2"/>
      <c r="M354" s="2"/>
      <c r="N354" s="2"/>
      <c r="O354" s="2"/>
      <c r="P354" s="2"/>
      <c r="Q354" s="24"/>
      <c r="R354" s="2" t="str">
        <f t="shared" si="35"/>
        <v/>
      </c>
      <c r="S354" s="2"/>
      <c r="T354" s="2"/>
      <c r="U354" s="2" t="str">
        <f t="shared" si="36"/>
        <v/>
      </c>
      <c r="V354" s="10" t="str">
        <f t="shared" si="37"/>
        <v/>
      </c>
      <c r="W354" s="10" t="str">
        <f t="shared" si="38"/>
        <v/>
      </c>
      <c r="X354" s="38" t="str">
        <f t="shared" si="39"/>
        <v/>
      </c>
      <c r="Y354" s="10" t="str">
        <f t="shared" si="40"/>
        <v/>
      </c>
      <c r="Z354" s="2" t="str">
        <f t="shared" si="41"/>
        <v/>
      </c>
      <c r="AA354" s="2"/>
      <c r="AB354" s="2"/>
    </row>
    <row r="355" spans="1:28" ht="16">
      <c r="A355" s="31"/>
      <c r="B355" s="32"/>
      <c r="C355" s="32"/>
      <c r="D355" s="32"/>
      <c r="E355" s="32"/>
      <c r="F355" s="33"/>
      <c r="G355" s="2"/>
      <c r="H355" s="2"/>
      <c r="I355" s="2"/>
      <c r="J355" s="35" t="str">
        <f>IF(H355&lt;&gt;"",IFERROR(VLOOKUP(IFERROR(LEFT(H355,FIND("-",H355)-1),H355),'Catalogo MINSAL'!A:E,5,FALSE),""),IF(I355&lt;&gt;"",IFERROR(VLOOKUP(IFERROR(LEFT(I355,FIND("-",I355)-1),I355),'Catalogo MINSAL'!A:E,5,FALSE),""),""))</f>
        <v/>
      </c>
      <c r="K355" s="2"/>
      <c r="L355" s="2"/>
      <c r="M355" s="2"/>
      <c r="N355" s="2"/>
      <c r="O355" s="2"/>
      <c r="P355" s="2"/>
      <c r="Q355" s="24"/>
      <c r="R355" s="2" t="str">
        <f t="shared" si="35"/>
        <v/>
      </c>
      <c r="S355" s="2"/>
      <c r="T355" s="2"/>
      <c r="U355" s="2" t="str">
        <f t="shared" si="36"/>
        <v/>
      </c>
      <c r="V355" s="10" t="str">
        <f t="shared" si="37"/>
        <v/>
      </c>
      <c r="W355" s="10" t="str">
        <f t="shared" si="38"/>
        <v/>
      </c>
      <c r="X355" s="38" t="str">
        <f t="shared" si="39"/>
        <v/>
      </c>
      <c r="Y355" s="10" t="str">
        <f t="shared" si="40"/>
        <v/>
      </c>
      <c r="Z355" s="2" t="str">
        <f t="shared" si="41"/>
        <v/>
      </c>
      <c r="AA355" s="2"/>
      <c r="AB355" s="2"/>
    </row>
    <row r="356" spans="1:28" ht="16">
      <c r="A356" s="31"/>
      <c r="B356" s="32"/>
      <c r="C356" s="32"/>
      <c r="D356" s="32"/>
      <c r="E356" s="32"/>
      <c r="F356" s="33"/>
      <c r="G356" s="2"/>
      <c r="H356" s="2"/>
      <c r="I356" s="2"/>
      <c r="J356" s="35" t="str">
        <f>IF(H356&lt;&gt;"",IFERROR(VLOOKUP(IFERROR(LEFT(H356,FIND("-",H356)-1),H356),'Catalogo MINSAL'!A:E,5,FALSE),""),IF(I356&lt;&gt;"",IFERROR(VLOOKUP(IFERROR(LEFT(I356,FIND("-",I356)-1),I356),'Catalogo MINSAL'!A:E,5,FALSE),""),""))</f>
        <v/>
      </c>
      <c r="K356" s="2"/>
      <c r="L356" s="2"/>
      <c r="M356" s="2"/>
      <c r="N356" s="2"/>
      <c r="O356" s="2"/>
      <c r="P356" s="2"/>
      <c r="Q356" s="24"/>
      <c r="R356" s="2" t="str">
        <f t="shared" si="35"/>
        <v/>
      </c>
      <c r="S356" s="2"/>
      <c r="T356" s="2"/>
      <c r="U356" s="2" t="str">
        <f t="shared" si="36"/>
        <v/>
      </c>
      <c r="V356" s="10" t="str">
        <f t="shared" si="37"/>
        <v/>
      </c>
      <c r="W356" s="10" t="str">
        <f t="shared" si="38"/>
        <v/>
      </c>
      <c r="X356" s="38" t="str">
        <f t="shared" si="39"/>
        <v/>
      </c>
      <c r="Y356" s="10" t="str">
        <f t="shared" si="40"/>
        <v/>
      </c>
      <c r="Z356" s="2" t="str">
        <f t="shared" si="41"/>
        <v/>
      </c>
      <c r="AA356" s="2"/>
      <c r="AB356" s="2"/>
    </row>
    <row r="357" spans="1:28" ht="16">
      <c r="A357" s="31"/>
      <c r="B357" s="32"/>
      <c r="C357" s="32"/>
      <c r="D357" s="32"/>
      <c r="E357" s="32"/>
      <c r="F357" s="33"/>
      <c r="G357" s="2"/>
      <c r="H357" s="2"/>
      <c r="I357" s="2"/>
      <c r="J357" s="35" t="str">
        <f>IF(H357&lt;&gt;"",IFERROR(VLOOKUP(IFERROR(LEFT(H357,FIND("-",H357)-1),H357),'Catalogo MINSAL'!A:E,5,FALSE),""),IF(I357&lt;&gt;"",IFERROR(VLOOKUP(IFERROR(LEFT(I357,FIND("-",I357)-1),I357),'Catalogo MINSAL'!A:E,5,FALSE),""),""))</f>
        <v/>
      </c>
      <c r="K357" s="2"/>
      <c r="L357" s="2"/>
      <c r="M357" s="2"/>
      <c r="N357" s="2"/>
      <c r="O357" s="2"/>
      <c r="P357" s="2"/>
      <c r="Q357" s="24"/>
      <c r="R357" s="2" t="str">
        <f t="shared" si="35"/>
        <v/>
      </c>
      <c r="S357" s="2"/>
      <c r="T357" s="2"/>
      <c r="U357" s="2" t="str">
        <f t="shared" si="36"/>
        <v/>
      </c>
      <c r="V357" s="10" t="str">
        <f t="shared" si="37"/>
        <v/>
      </c>
      <c r="W357" s="10" t="str">
        <f t="shared" si="38"/>
        <v/>
      </c>
      <c r="X357" s="38" t="str">
        <f t="shared" si="39"/>
        <v/>
      </c>
      <c r="Y357" s="10" t="str">
        <f t="shared" si="40"/>
        <v/>
      </c>
      <c r="Z357" s="2" t="str">
        <f t="shared" si="41"/>
        <v/>
      </c>
      <c r="AA357" s="2"/>
      <c r="AB357" s="2"/>
    </row>
    <row r="358" spans="1:28" ht="16">
      <c r="A358" s="31"/>
      <c r="B358" s="32"/>
      <c r="C358" s="32"/>
      <c r="D358" s="32"/>
      <c r="E358" s="32"/>
      <c r="F358" s="33"/>
      <c r="G358" s="2"/>
      <c r="H358" s="2"/>
      <c r="I358" s="2"/>
      <c r="J358" s="35" t="str">
        <f>IF(H358&lt;&gt;"",IFERROR(VLOOKUP(IFERROR(LEFT(H358,FIND("-",H358)-1),H358),'Catalogo MINSAL'!A:E,5,FALSE),""),IF(I358&lt;&gt;"",IFERROR(VLOOKUP(IFERROR(LEFT(I358,FIND("-",I358)-1),I358),'Catalogo MINSAL'!A:E,5,FALSE),""),""))</f>
        <v/>
      </c>
      <c r="K358" s="2"/>
      <c r="L358" s="2"/>
      <c r="M358" s="2"/>
      <c r="N358" s="2"/>
      <c r="O358" s="2"/>
      <c r="P358" s="2"/>
      <c r="Q358" s="24"/>
      <c r="R358" s="2" t="str">
        <f t="shared" si="35"/>
        <v/>
      </c>
      <c r="S358" s="2"/>
      <c r="T358" s="2"/>
      <c r="U358" s="2" t="str">
        <f t="shared" si="36"/>
        <v/>
      </c>
      <c r="V358" s="10" t="str">
        <f t="shared" si="37"/>
        <v/>
      </c>
      <c r="W358" s="10" t="str">
        <f t="shared" si="38"/>
        <v/>
      </c>
      <c r="X358" s="38" t="str">
        <f t="shared" si="39"/>
        <v/>
      </c>
      <c r="Y358" s="10" t="str">
        <f t="shared" si="40"/>
        <v/>
      </c>
      <c r="Z358" s="2" t="str">
        <f t="shared" si="41"/>
        <v/>
      </c>
      <c r="AA358" s="2"/>
      <c r="AB358" s="2"/>
    </row>
    <row r="359" spans="1:28" ht="16">
      <c r="A359" s="31"/>
      <c r="B359" s="32"/>
      <c r="C359" s="32"/>
      <c r="D359" s="32"/>
      <c r="E359" s="32"/>
      <c r="F359" s="33"/>
      <c r="G359" s="2"/>
      <c r="H359" s="2"/>
      <c r="I359" s="2"/>
      <c r="J359" s="35" t="str">
        <f>IF(H359&lt;&gt;"",IFERROR(VLOOKUP(IFERROR(LEFT(H359,FIND("-",H359)-1),H359),'Catalogo MINSAL'!A:E,5,FALSE),""),IF(I359&lt;&gt;"",IFERROR(VLOOKUP(IFERROR(LEFT(I359,FIND("-",I359)-1),I359),'Catalogo MINSAL'!A:E,5,FALSE),""),""))</f>
        <v/>
      </c>
      <c r="K359" s="2"/>
      <c r="L359" s="2"/>
      <c r="M359" s="2"/>
      <c r="N359" s="2"/>
      <c r="O359" s="2"/>
      <c r="P359" s="2"/>
      <c r="Q359" s="24"/>
      <c r="R359" s="2" t="str">
        <f t="shared" si="35"/>
        <v/>
      </c>
      <c r="S359" s="2"/>
      <c r="T359" s="2"/>
      <c r="U359" s="2" t="str">
        <f t="shared" si="36"/>
        <v/>
      </c>
      <c r="V359" s="10" t="str">
        <f t="shared" si="37"/>
        <v/>
      </c>
      <c r="W359" s="10" t="str">
        <f t="shared" si="38"/>
        <v/>
      </c>
      <c r="X359" s="38" t="str">
        <f t="shared" si="39"/>
        <v/>
      </c>
      <c r="Y359" s="10" t="str">
        <f t="shared" si="40"/>
        <v/>
      </c>
      <c r="Z359" s="2" t="str">
        <f t="shared" si="41"/>
        <v/>
      </c>
      <c r="AA359" s="2"/>
      <c r="AB359" s="2"/>
    </row>
    <row r="360" spans="1:28" ht="16">
      <c r="A360" s="31"/>
      <c r="B360" s="32"/>
      <c r="C360" s="32"/>
      <c r="D360" s="32"/>
      <c r="E360" s="32"/>
      <c r="F360" s="33"/>
      <c r="G360" s="2"/>
      <c r="H360" s="2"/>
      <c r="I360" s="2"/>
      <c r="J360" s="35" t="str">
        <f>IF(H360&lt;&gt;"",IFERROR(VLOOKUP(IFERROR(LEFT(H360,FIND("-",H360)-1),H360),'Catalogo MINSAL'!A:E,5,FALSE),""),IF(I360&lt;&gt;"",IFERROR(VLOOKUP(IFERROR(LEFT(I360,FIND("-",I360)-1),I360),'Catalogo MINSAL'!A:E,5,FALSE),""),""))</f>
        <v/>
      </c>
      <c r="K360" s="2"/>
      <c r="L360" s="2"/>
      <c r="M360" s="2"/>
      <c r="N360" s="2"/>
      <c r="O360" s="2"/>
      <c r="P360" s="2"/>
      <c r="Q360" s="24"/>
      <c r="R360" s="2" t="str">
        <f t="shared" si="35"/>
        <v/>
      </c>
      <c r="S360" s="2"/>
      <c r="T360" s="2"/>
      <c r="U360" s="2" t="str">
        <f t="shared" si="36"/>
        <v/>
      </c>
      <c r="V360" s="10" t="str">
        <f t="shared" si="37"/>
        <v/>
      </c>
      <c r="W360" s="10" t="str">
        <f t="shared" si="38"/>
        <v/>
      </c>
      <c r="X360" s="38" t="str">
        <f t="shared" si="39"/>
        <v/>
      </c>
      <c r="Y360" s="10" t="str">
        <f t="shared" si="40"/>
        <v/>
      </c>
      <c r="Z360" s="2" t="str">
        <f t="shared" si="41"/>
        <v/>
      </c>
      <c r="AA360" s="2"/>
      <c r="AB360" s="2"/>
    </row>
    <row r="361" spans="1:28" ht="16">
      <c r="A361" s="31"/>
      <c r="B361" s="32"/>
      <c r="C361" s="32"/>
      <c r="D361" s="32"/>
      <c r="E361" s="32"/>
      <c r="F361" s="33"/>
      <c r="G361" s="2"/>
      <c r="H361" s="2"/>
      <c r="I361" s="2"/>
      <c r="J361" s="35" t="str">
        <f>IF(H361&lt;&gt;"",IFERROR(VLOOKUP(IFERROR(LEFT(H361,FIND("-",H361)-1),H361),'Catalogo MINSAL'!A:E,5,FALSE),""),IF(I361&lt;&gt;"",IFERROR(VLOOKUP(IFERROR(LEFT(I361,FIND("-",I361)-1),I361),'Catalogo MINSAL'!A:E,5,FALSE),""),""))</f>
        <v/>
      </c>
      <c r="K361" s="2"/>
      <c r="L361" s="2"/>
      <c r="M361" s="2"/>
      <c r="N361" s="2"/>
      <c r="O361" s="2"/>
      <c r="P361" s="2"/>
      <c r="Q361" s="24"/>
      <c r="R361" s="2" t="str">
        <f t="shared" si="35"/>
        <v/>
      </c>
      <c r="S361" s="2"/>
      <c r="T361" s="2"/>
      <c r="U361" s="2" t="str">
        <f t="shared" si="36"/>
        <v/>
      </c>
      <c r="V361" s="10" t="str">
        <f t="shared" si="37"/>
        <v/>
      </c>
      <c r="W361" s="10" t="str">
        <f t="shared" si="38"/>
        <v/>
      </c>
      <c r="X361" s="38" t="str">
        <f t="shared" si="39"/>
        <v/>
      </c>
      <c r="Y361" s="10" t="str">
        <f t="shared" si="40"/>
        <v/>
      </c>
      <c r="Z361" s="2" t="str">
        <f t="shared" si="41"/>
        <v/>
      </c>
      <c r="AA361" s="2"/>
      <c r="AB361" s="2"/>
    </row>
    <row r="362" spans="1:28" ht="16">
      <c r="A362" s="31"/>
      <c r="B362" s="32"/>
      <c r="C362" s="32"/>
      <c r="D362" s="32"/>
      <c r="E362" s="32"/>
      <c r="F362" s="33"/>
      <c r="G362" s="2"/>
      <c r="H362" s="2"/>
      <c r="I362" s="2"/>
      <c r="J362" s="35" t="str">
        <f>IF(H362&lt;&gt;"",IFERROR(VLOOKUP(IFERROR(LEFT(H362,FIND("-",H362)-1),H362),'Catalogo MINSAL'!A:E,5,FALSE),""),IF(I362&lt;&gt;"",IFERROR(VLOOKUP(IFERROR(LEFT(I362,FIND("-",I362)-1),I362),'Catalogo MINSAL'!A:E,5,FALSE),""),""))</f>
        <v/>
      </c>
      <c r="K362" s="2"/>
      <c r="L362" s="2"/>
      <c r="M362" s="2"/>
      <c r="N362" s="2"/>
      <c r="O362" s="2"/>
      <c r="P362" s="2"/>
      <c r="Q362" s="24"/>
      <c r="R362" s="2" t="str">
        <f t="shared" si="35"/>
        <v/>
      </c>
      <c r="S362" s="2"/>
      <c r="T362" s="2"/>
      <c r="U362" s="2" t="str">
        <f t="shared" si="36"/>
        <v/>
      </c>
      <c r="V362" s="10" t="str">
        <f t="shared" si="37"/>
        <v/>
      </c>
      <c r="W362" s="10" t="str">
        <f t="shared" si="38"/>
        <v/>
      </c>
      <c r="X362" s="38" t="str">
        <f t="shared" si="39"/>
        <v/>
      </c>
      <c r="Y362" s="10" t="str">
        <f t="shared" si="40"/>
        <v/>
      </c>
      <c r="Z362" s="2" t="str">
        <f t="shared" si="41"/>
        <v/>
      </c>
      <c r="AA362" s="2"/>
      <c r="AB362" s="2"/>
    </row>
    <row r="363" spans="1:28" ht="16">
      <c r="A363" s="31"/>
      <c r="B363" s="32"/>
      <c r="C363" s="32"/>
      <c r="D363" s="32"/>
      <c r="E363" s="32"/>
      <c r="F363" s="33"/>
      <c r="G363" s="2"/>
      <c r="H363" s="2"/>
      <c r="I363" s="2"/>
      <c r="J363" s="35" t="str">
        <f>IF(H363&lt;&gt;"",IFERROR(VLOOKUP(IFERROR(LEFT(H363,FIND("-",H363)-1),H363),'Catalogo MINSAL'!A:E,5,FALSE),""),IF(I363&lt;&gt;"",IFERROR(VLOOKUP(IFERROR(LEFT(I363,FIND("-",I363)-1),I363),'Catalogo MINSAL'!A:E,5,FALSE),""),""))</f>
        <v/>
      </c>
      <c r="K363" s="2"/>
      <c r="L363" s="2"/>
      <c r="M363" s="2"/>
      <c r="N363" s="2"/>
      <c r="O363" s="2"/>
      <c r="P363" s="2"/>
      <c r="Q363" s="24"/>
      <c r="R363" s="2" t="str">
        <f t="shared" si="35"/>
        <v/>
      </c>
      <c r="S363" s="2"/>
      <c r="T363" s="2"/>
      <c r="U363" s="2" t="str">
        <f t="shared" si="36"/>
        <v/>
      </c>
      <c r="V363" s="10" t="str">
        <f t="shared" si="37"/>
        <v/>
      </c>
      <c r="W363" s="10" t="str">
        <f t="shared" si="38"/>
        <v/>
      </c>
      <c r="X363" s="38" t="str">
        <f t="shared" si="39"/>
        <v/>
      </c>
      <c r="Y363" s="10" t="str">
        <f t="shared" si="40"/>
        <v/>
      </c>
      <c r="Z363" s="2" t="str">
        <f t="shared" si="41"/>
        <v/>
      </c>
      <c r="AA363" s="2"/>
      <c r="AB363" s="2"/>
    </row>
    <row r="364" spans="1:28" ht="16">
      <c r="A364" s="31"/>
      <c r="B364" s="32"/>
      <c r="C364" s="32"/>
      <c r="D364" s="32"/>
      <c r="E364" s="32"/>
      <c r="F364" s="33"/>
      <c r="G364" s="2"/>
      <c r="H364" s="2"/>
      <c r="I364" s="2"/>
      <c r="J364" s="35" t="str">
        <f>IF(H364&lt;&gt;"",IFERROR(VLOOKUP(IFERROR(LEFT(H364,FIND("-",H364)-1),H364),'Catalogo MINSAL'!A:E,5,FALSE),""),IF(I364&lt;&gt;"",IFERROR(VLOOKUP(IFERROR(LEFT(I364,FIND("-",I364)-1),I364),'Catalogo MINSAL'!A:E,5,FALSE),""),""))</f>
        <v/>
      </c>
      <c r="K364" s="2"/>
      <c r="L364" s="2"/>
      <c r="M364" s="2"/>
      <c r="N364" s="2"/>
      <c r="O364" s="2"/>
      <c r="P364" s="2"/>
      <c r="Q364" s="24"/>
      <c r="R364" s="2" t="str">
        <f t="shared" si="35"/>
        <v/>
      </c>
      <c r="S364" s="2"/>
      <c r="T364" s="2"/>
      <c r="U364" s="2" t="str">
        <f t="shared" si="36"/>
        <v/>
      </c>
      <c r="V364" s="10" t="str">
        <f t="shared" si="37"/>
        <v/>
      </c>
      <c r="W364" s="10" t="str">
        <f t="shared" si="38"/>
        <v/>
      </c>
      <c r="X364" s="38" t="str">
        <f t="shared" si="39"/>
        <v/>
      </c>
      <c r="Y364" s="10" t="str">
        <f t="shared" si="40"/>
        <v/>
      </c>
      <c r="Z364" s="2" t="str">
        <f t="shared" si="41"/>
        <v/>
      </c>
      <c r="AA364" s="2"/>
      <c r="AB364" s="2"/>
    </row>
    <row r="365" spans="1:28" ht="16">
      <c r="A365" s="31"/>
      <c r="B365" s="32"/>
      <c r="C365" s="32"/>
      <c r="D365" s="32"/>
      <c r="E365" s="32"/>
      <c r="F365" s="33"/>
      <c r="G365" s="2"/>
      <c r="H365" s="2"/>
      <c r="I365" s="2"/>
      <c r="J365" s="35" t="str">
        <f>IF(H365&lt;&gt;"",IFERROR(VLOOKUP(IFERROR(LEFT(H365,FIND("-",H365)-1),H365),'Catalogo MINSAL'!A:E,5,FALSE),""),IF(I365&lt;&gt;"",IFERROR(VLOOKUP(IFERROR(LEFT(I365,FIND("-",I365)-1),I365),'Catalogo MINSAL'!A:E,5,FALSE),""),""))</f>
        <v/>
      </c>
      <c r="K365" s="2"/>
      <c r="L365" s="2"/>
      <c r="M365" s="2"/>
      <c r="N365" s="2"/>
      <c r="O365" s="2"/>
      <c r="P365" s="2"/>
      <c r="Q365" s="24"/>
      <c r="R365" s="2" t="str">
        <f t="shared" si="35"/>
        <v/>
      </c>
      <c r="S365" s="2"/>
      <c r="T365" s="2"/>
      <c r="U365" s="2" t="str">
        <f t="shared" si="36"/>
        <v/>
      </c>
      <c r="V365" s="10" t="str">
        <f t="shared" si="37"/>
        <v/>
      </c>
      <c r="W365" s="10" t="str">
        <f t="shared" si="38"/>
        <v/>
      </c>
      <c r="X365" s="38" t="str">
        <f t="shared" si="39"/>
        <v/>
      </c>
      <c r="Y365" s="10" t="str">
        <f t="shared" si="40"/>
        <v/>
      </c>
      <c r="Z365" s="2" t="str">
        <f t="shared" si="41"/>
        <v/>
      </c>
      <c r="AA365" s="2"/>
      <c r="AB365" s="2"/>
    </row>
    <row r="366" spans="1:28" ht="16">
      <c r="A366" s="31"/>
      <c r="B366" s="32"/>
      <c r="C366" s="32"/>
      <c r="D366" s="32"/>
      <c r="E366" s="32"/>
      <c r="F366" s="33"/>
      <c r="G366" s="2"/>
      <c r="H366" s="2"/>
      <c r="I366" s="2"/>
      <c r="J366" s="35" t="str">
        <f>IF(H366&lt;&gt;"",IFERROR(VLOOKUP(IFERROR(LEFT(H366,FIND("-",H366)-1),H366),'Catalogo MINSAL'!A:E,5,FALSE),""),IF(I366&lt;&gt;"",IFERROR(VLOOKUP(IFERROR(LEFT(I366,FIND("-",I366)-1),I366),'Catalogo MINSAL'!A:E,5,FALSE),""),""))</f>
        <v/>
      </c>
      <c r="K366" s="2"/>
      <c r="L366" s="2"/>
      <c r="M366" s="2"/>
      <c r="N366" s="2"/>
      <c r="O366" s="2"/>
      <c r="P366" s="2"/>
      <c r="Q366" s="24"/>
      <c r="R366" s="2" t="str">
        <f t="shared" si="35"/>
        <v/>
      </c>
      <c r="S366" s="2"/>
      <c r="T366" s="2"/>
      <c r="U366" s="2" t="str">
        <f t="shared" si="36"/>
        <v/>
      </c>
      <c r="V366" s="10" t="str">
        <f t="shared" si="37"/>
        <v/>
      </c>
      <c r="W366" s="10" t="str">
        <f t="shared" si="38"/>
        <v/>
      </c>
      <c r="X366" s="38" t="str">
        <f t="shared" si="39"/>
        <v/>
      </c>
      <c r="Y366" s="10" t="str">
        <f t="shared" si="40"/>
        <v/>
      </c>
      <c r="Z366" s="2" t="str">
        <f t="shared" si="41"/>
        <v/>
      </c>
      <c r="AA366" s="2"/>
      <c r="AB366" s="2"/>
    </row>
    <row r="367" spans="1:28" ht="16">
      <c r="A367" s="31"/>
      <c r="B367" s="32"/>
      <c r="C367" s="32"/>
      <c r="D367" s="32"/>
      <c r="E367" s="32"/>
      <c r="F367" s="33"/>
      <c r="G367" s="2"/>
      <c r="H367" s="2"/>
      <c r="I367" s="2"/>
      <c r="J367" s="35" t="str">
        <f>IF(H367&lt;&gt;"",IFERROR(VLOOKUP(IFERROR(LEFT(H367,FIND("-",H367)-1),H367),'Catalogo MINSAL'!A:E,5,FALSE),""),IF(I367&lt;&gt;"",IFERROR(VLOOKUP(IFERROR(LEFT(I367,FIND("-",I367)-1),I367),'Catalogo MINSAL'!A:E,5,FALSE),""),""))</f>
        <v/>
      </c>
      <c r="K367" s="2"/>
      <c r="L367" s="2"/>
      <c r="M367" s="2"/>
      <c r="N367" s="2"/>
      <c r="O367" s="2"/>
      <c r="P367" s="2"/>
      <c r="Q367" s="24"/>
      <c r="R367" s="2" t="str">
        <f t="shared" si="35"/>
        <v/>
      </c>
      <c r="S367" s="2"/>
      <c r="T367" s="2"/>
      <c r="U367" s="2" t="str">
        <f t="shared" si="36"/>
        <v/>
      </c>
      <c r="V367" s="10" t="str">
        <f t="shared" si="37"/>
        <v/>
      </c>
      <c r="W367" s="10" t="str">
        <f t="shared" si="38"/>
        <v/>
      </c>
      <c r="X367" s="38" t="str">
        <f t="shared" si="39"/>
        <v/>
      </c>
      <c r="Y367" s="10" t="str">
        <f t="shared" si="40"/>
        <v/>
      </c>
      <c r="Z367" s="2" t="str">
        <f t="shared" si="41"/>
        <v/>
      </c>
      <c r="AA367" s="2"/>
      <c r="AB367" s="2"/>
    </row>
    <row r="368" spans="1:28" ht="16">
      <c r="A368" s="31"/>
      <c r="B368" s="32"/>
      <c r="C368" s="32"/>
      <c r="D368" s="32"/>
      <c r="E368" s="32"/>
      <c r="F368" s="33"/>
      <c r="G368" s="2"/>
      <c r="H368" s="2"/>
      <c r="I368" s="2"/>
      <c r="J368" s="35" t="str">
        <f>IF(H368&lt;&gt;"",IFERROR(VLOOKUP(IFERROR(LEFT(H368,FIND("-",H368)-1),H368),'Catalogo MINSAL'!A:E,5,FALSE),""),IF(I368&lt;&gt;"",IFERROR(VLOOKUP(IFERROR(LEFT(I368,FIND("-",I368)-1),I368),'Catalogo MINSAL'!A:E,5,FALSE),""),""))</f>
        <v/>
      </c>
      <c r="K368" s="2"/>
      <c r="L368" s="2"/>
      <c r="M368" s="2"/>
      <c r="N368" s="2"/>
      <c r="O368" s="2"/>
      <c r="P368" s="2"/>
      <c r="Q368" s="24"/>
      <c r="R368" s="2" t="str">
        <f t="shared" si="35"/>
        <v/>
      </c>
      <c r="S368" s="2"/>
      <c r="T368" s="2"/>
      <c r="U368" s="2" t="str">
        <f t="shared" si="36"/>
        <v/>
      </c>
      <c r="V368" s="10" t="str">
        <f t="shared" si="37"/>
        <v/>
      </c>
      <c r="W368" s="10" t="str">
        <f t="shared" si="38"/>
        <v/>
      </c>
      <c r="X368" s="38" t="str">
        <f t="shared" si="39"/>
        <v/>
      </c>
      <c r="Y368" s="10" t="str">
        <f t="shared" si="40"/>
        <v/>
      </c>
      <c r="Z368" s="2" t="str">
        <f t="shared" si="41"/>
        <v/>
      </c>
      <c r="AA368" s="2"/>
      <c r="AB368" s="2"/>
    </row>
    <row r="369" spans="1:28" ht="16">
      <c r="A369" s="31"/>
      <c r="B369" s="32"/>
      <c r="C369" s="32"/>
      <c r="D369" s="32"/>
      <c r="E369" s="32"/>
      <c r="F369" s="33"/>
      <c r="G369" s="2"/>
      <c r="H369" s="2"/>
      <c r="I369" s="2"/>
      <c r="J369" s="35" t="str">
        <f>IF(H369&lt;&gt;"",IFERROR(VLOOKUP(IFERROR(LEFT(H369,FIND("-",H369)-1),H369),'Catalogo MINSAL'!A:E,5,FALSE),""),IF(I369&lt;&gt;"",IFERROR(VLOOKUP(IFERROR(LEFT(I369,FIND("-",I369)-1),I369),'Catalogo MINSAL'!A:E,5,FALSE),""),""))</f>
        <v/>
      </c>
      <c r="K369" s="2"/>
      <c r="L369" s="2"/>
      <c r="M369" s="2"/>
      <c r="N369" s="2"/>
      <c r="O369" s="2"/>
      <c r="P369" s="2"/>
      <c r="Q369" s="24"/>
      <c r="R369" s="2" t="str">
        <f t="shared" si="35"/>
        <v/>
      </c>
      <c r="S369" s="2"/>
      <c r="T369" s="2"/>
      <c r="U369" s="2" t="str">
        <f t="shared" si="36"/>
        <v/>
      </c>
      <c r="V369" s="10" t="str">
        <f t="shared" si="37"/>
        <v/>
      </c>
      <c r="W369" s="10" t="str">
        <f t="shared" si="38"/>
        <v/>
      </c>
      <c r="X369" s="38" t="str">
        <f t="shared" si="39"/>
        <v/>
      </c>
      <c r="Y369" s="10" t="str">
        <f t="shared" si="40"/>
        <v/>
      </c>
      <c r="Z369" s="2" t="str">
        <f t="shared" si="41"/>
        <v/>
      </c>
      <c r="AA369" s="2"/>
      <c r="AB369" s="2"/>
    </row>
    <row r="370" spans="1:28" ht="16">
      <c r="A370" s="31"/>
      <c r="B370" s="32"/>
      <c r="C370" s="32"/>
      <c r="D370" s="32"/>
      <c r="E370" s="32"/>
      <c r="F370" s="33"/>
      <c r="G370" s="2"/>
      <c r="H370" s="2"/>
      <c r="I370" s="2"/>
      <c r="J370" s="35" t="str">
        <f>IF(H370&lt;&gt;"",IFERROR(VLOOKUP(IFERROR(LEFT(H370,FIND("-",H370)-1),H370),'Catalogo MINSAL'!A:E,5,FALSE),""),IF(I370&lt;&gt;"",IFERROR(VLOOKUP(IFERROR(LEFT(I370,FIND("-",I370)-1),I370),'Catalogo MINSAL'!A:E,5,FALSE),""),""))</f>
        <v/>
      </c>
      <c r="K370" s="2"/>
      <c r="L370" s="2"/>
      <c r="M370" s="2"/>
      <c r="N370" s="2"/>
      <c r="O370" s="2"/>
      <c r="P370" s="2"/>
      <c r="Q370" s="24"/>
      <c r="R370" s="2" t="str">
        <f t="shared" si="35"/>
        <v/>
      </c>
      <c r="S370" s="2"/>
      <c r="T370" s="2"/>
      <c r="U370" s="2" t="str">
        <f t="shared" si="36"/>
        <v/>
      </c>
      <c r="V370" s="10" t="str">
        <f t="shared" si="37"/>
        <v/>
      </c>
      <c r="W370" s="10" t="str">
        <f t="shared" si="38"/>
        <v/>
      </c>
      <c r="X370" s="38" t="str">
        <f t="shared" si="39"/>
        <v/>
      </c>
      <c r="Y370" s="10" t="str">
        <f t="shared" si="40"/>
        <v/>
      </c>
      <c r="Z370" s="2" t="str">
        <f t="shared" si="41"/>
        <v/>
      </c>
      <c r="AA370" s="2"/>
      <c r="AB370" s="2"/>
    </row>
    <row r="371" spans="1:28" ht="16">
      <c r="A371" s="31"/>
      <c r="B371" s="32"/>
      <c r="C371" s="32"/>
      <c r="D371" s="32"/>
      <c r="E371" s="32"/>
      <c r="F371" s="33"/>
      <c r="G371" s="2"/>
      <c r="H371" s="2"/>
      <c r="I371" s="2"/>
      <c r="J371" s="35" t="str">
        <f>IF(H371&lt;&gt;"",IFERROR(VLOOKUP(IFERROR(LEFT(H371,FIND("-",H371)-1),H371),'Catalogo MINSAL'!A:E,5,FALSE),""),IF(I371&lt;&gt;"",IFERROR(VLOOKUP(IFERROR(LEFT(I371,FIND("-",I371)-1),I371),'Catalogo MINSAL'!A:E,5,FALSE),""),""))</f>
        <v/>
      </c>
      <c r="K371" s="2"/>
      <c r="L371" s="2"/>
      <c r="M371" s="2"/>
      <c r="N371" s="2"/>
      <c r="O371" s="2"/>
      <c r="P371" s="2"/>
      <c r="Q371" s="24"/>
      <c r="R371" s="2" t="str">
        <f t="shared" si="35"/>
        <v/>
      </c>
      <c r="S371" s="2"/>
      <c r="T371" s="2"/>
      <c r="U371" s="2" t="str">
        <f t="shared" si="36"/>
        <v/>
      </c>
      <c r="V371" s="10" t="str">
        <f t="shared" si="37"/>
        <v/>
      </c>
      <c r="W371" s="10" t="str">
        <f t="shared" si="38"/>
        <v/>
      </c>
      <c r="X371" s="38" t="str">
        <f t="shared" si="39"/>
        <v/>
      </c>
      <c r="Y371" s="10" t="str">
        <f t="shared" si="40"/>
        <v/>
      </c>
      <c r="Z371" s="2" t="str">
        <f t="shared" si="41"/>
        <v/>
      </c>
      <c r="AA371" s="2"/>
      <c r="AB371" s="2"/>
    </row>
    <row r="372" spans="1:28" ht="16">
      <c r="A372" s="31"/>
      <c r="B372" s="32"/>
      <c r="C372" s="32"/>
      <c r="D372" s="32"/>
      <c r="E372" s="32"/>
      <c r="F372" s="33"/>
      <c r="G372" s="2"/>
      <c r="H372" s="2"/>
      <c r="I372" s="2"/>
      <c r="J372" s="35" t="str">
        <f>IF(H372&lt;&gt;"",IFERROR(VLOOKUP(IFERROR(LEFT(H372,FIND("-",H372)-1),H372),'Catalogo MINSAL'!A:E,5,FALSE),""),IF(I372&lt;&gt;"",IFERROR(VLOOKUP(IFERROR(LEFT(I372,FIND("-",I372)-1),I372),'Catalogo MINSAL'!A:E,5,FALSE),""),""))</f>
        <v/>
      </c>
      <c r="K372" s="2"/>
      <c r="L372" s="2"/>
      <c r="M372" s="2"/>
      <c r="N372" s="2"/>
      <c r="O372" s="2"/>
      <c r="P372" s="2"/>
      <c r="Q372" s="24"/>
      <c r="R372" s="2" t="str">
        <f t="shared" si="35"/>
        <v/>
      </c>
      <c r="S372" s="2"/>
      <c r="T372" s="2"/>
      <c r="U372" s="2" t="str">
        <f t="shared" si="36"/>
        <v/>
      </c>
      <c r="V372" s="10" t="str">
        <f t="shared" si="37"/>
        <v/>
      </c>
      <c r="W372" s="10" t="str">
        <f t="shared" si="38"/>
        <v/>
      </c>
      <c r="X372" s="38" t="str">
        <f t="shared" si="39"/>
        <v/>
      </c>
      <c r="Y372" s="10" t="str">
        <f t="shared" si="40"/>
        <v/>
      </c>
      <c r="Z372" s="2" t="str">
        <f t="shared" si="41"/>
        <v/>
      </c>
      <c r="AA372" s="2"/>
      <c r="AB372" s="2"/>
    </row>
    <row r="373" spans="1:28" ht="16">
      <c r="A373" s="31"/>
      <c r="B373" s="32"/>
      <c r="C373" s="32"/>
      <c r="D373" s="32"/>
      <c r="E373" s="32"/>
      <c r="F373" s="33"/>
      <c r="G373" s="2"/>
      <c r="H373" s="2"/>
      <c r="I373" s="2"/>
      <c r="J373" s="35" t="str">
        <f>IF(H373&lt;&gt;"",IFERROR(VLOOKUP(IFERROR(LEFT(H373,FIND("-",H373)-1),H373),'Catalogo MINSAL'!A:E,5,FALSE),""),IF(I373&lt;&gt;"",IFERROR(VLOOKUP(IFERROR(LEFT(I373,FIND("-",I373)-1),I373),'Catalogo MINSAL'!A:E,5,FALSE),""),""))</f>
        <v/>
      </c>
      <c r="K373" s="2"/>
      <c r="L373" s="2"/>
      <c r="M373" s="2"/>
      <c r="N373" s="2"/>
      <c r="O373" s="2"/>
      <c r="P373" s="2"/>
      <c r="Q373" s="24"/>
      <c r="R373" s="2" t="str">
        <f t="shared" si="35"/>
        <v/>
      </c>
      <c r="S373" s="2"/>
      <c r="T373" s="2"/>
      <c r="U373" s="2" t="str">
        <f t="shared" si="36"/>
        <v/>
      </c>
      <c r="V373" s="10" t="str">
        <f t="shared" si="37"/>
        <v/>
      </c>
      <c r="W373" s="10" t="str">
        <f t="shared" si="38"/>
        <v/>
      </c>
      <c r="X373" s="38" t="str">
        <f t="shared" si="39"/>
        <v/>
      </c>
      <c r="Y373" s="10" t="str">
        <f t="shared" si="40"/>
        <v/>
      </c>
      <c r="Z373" s="2" t="str">
        <f t="shared" si="41"/>
        <v/>
      </c>
      <c r="AA373" s="2"/>
      <c r="AB373" s="2"/>
    </row>
    <row r="374" spans="1:28" ht="16">
      <c r="A374" s="31"/>
      <c r="B374" s="32"/>
      <c r="C374" s="32"/>
      <c r="D374" s="32"/>
      <c r="E374" s="32"/>
      <c r="F374" s="33"/>
      <c r="G374" s="2"/>
      <c r="H374" s="2"/>
      <c r="I374" s="2"/>
      <c r="J374" s="35" t="str">
        <f>IF(H374&lt;&gt;"",IFERROR(VLOOKUP(IFERROR(LEFT(H374,FIND("-",H374)-1),H374),'Catalogo MINSAL'!A:E,5,FALSE),""),IF(I374&lt;&gt;"",IFERROR(VLOOKUP(IFERROR(LEFT(I374,FIND("-",I374)-1),I374),'Catalogo MINSAL'!A:E,5,FALSE),""),""))</f>
        <v/>
      </c>
      <c r="K374" s="2"/>
      <c r="L374" s="2"/>
      <c r="M374" s="2"/>
      <c r="N374" s="2"/>
      <c r="O374" s="2"/>
      <c r="P374" s="2"/>
      <c r="Q374" s="24"/>
      <c r="R374" s="2" t="str">
        <f t="shared" si="35"/>
        <v/>
      </c>
      <c r="S374" s="2"/>
      <c r="T374" s="2"/>
      <c r="U374" s="2" t="str">
        <f t="shared" si="36"/>
        <v/>
      </c>
      <c r="V374" s="10" t="str">
        <f t="shared" si="37"/>
        <v/>
      </c>
      <c r="W374" s="10" t="str">
        <f t="shared" si="38"/>
        <v/>
      </c>
      <c r="X374" s="38" t="str">
        <f t="shared" si="39"/>
        <v/>
      </c>
      <c r="Y374" s="10" t="str">
        <f t="shared" si="40"/>
        <v/>
      </c>
      <c r="Z374" s="2" t="str">
        <f t="shared" si="41"/>
        <v/>
      </c>
      <c r="AA374" s="2"/>
      <c r="AB374" s="2"/>
    </row>
    <row r="375" spans="1:28" ht="16">
      <c r="A375" s="31"/>
      <c r="B375" s="32"/>
      <c r="C375" s="32"/>
      <c r="D375" s="32"/>
      <c r="E375" s="32"/>
      <c r="F375" s="33"/>
      <c r="G375" s="2"/>
      <c r="H375" s="2"/>
      <c r="I375" s="2"/>
      <c r="J375" s="35" t="str">
        <f>IF(H375&lt;&gt;"",IFERROR(VLOOKUP(IFERROR(LEFT(H375,FIND("-",H375)-1),H375),'Catalogo MINSAL'!A:E,5,FALSE),""),IF(I375&lt;&gt;"",IFERROR(VLOOKUP(IFERROR(LEFT(I375,FIND("-",I375)-1),I375),'Catalogo MINSAL'!A:E,5,FALSE),""),""))</f>
        <v/>
      </c>
      <c r="K375" s="2"/>
      <c r="L375" s="2"/>
      <c r="M375" s="2"/>
      <c r="N375" s="2"/>
      <c r="O375" s="2"/>
      <c r="P375" s="2"/>
      <c r="Q375" s="24"/>
      <c r="R375" s="2" t="str">
        <f t="shared" si="35"/>
        <v/>
      </c>
      <c r="S375" s="2"/>
      <c r="T375" s="2"/>
      <c r="U375" s="2" t="str">
        <f t="shared" si="36"/>
        <v/>
      </c>
      <c r="V375" s="10" t="str">
        <f t="shared" si="37"/>
        <v/>
      </c>
      <c r="W375" s="10" t="str">
        <f t="shared" si="38"/>
        <v/>
      </c>
      <c r="X375" s="38" t="str">
        <f t="shared" si="39"/>
        <v/>
      </c>
      <c r="Y375" s="10" t="str">
        <f t="shared" si="40"/>
        <v/>
      </c>
      <c r="Z375" s="2" t="str">
        <f t="shared" si="41"/>
        <v/>
      </c>
      <c r="AA375" s="2"/>
      <c r="AB375" s="2"/>
    </row>
    <row r="376" spans="1:28" ht="16">
      <c r="A376" s="31"/>
      <c r="B376" s="32"/>
      <c r="C376" s="32"/>
      <c r="D376" s="32"/>
      <c r="E376" s="32"/>
      <c r="F376" s="33"/>
      <c r="G376" s="2"/>
      <c r="H376" s="2"/>
      <c r="I376" s="2"/>
      <c r="J376" s="35" t="str">
        <f>IF(H376&lt;&gt;"",IFERROR(VLOOKUP(IFERROR(LEFT(H376,FIND("-",H376)-1),H376),'Catalogo MINSAL'!A:E,5,FALSE),""),IF(I376&lt;&gt;"",IFERROR(VLOOKUP(IFERROR(LEFT(I376,FIND("-",I376)-1),I376),'Catalogo MINSAL'!A:E,5,FALSE),""),""))</f>
        <v/>
      </c>
      <c r="K376" s="2"/>
      <c r="L376" s="2"/>
      <c r="M376" s="2"/>
      <c r="N376" s="2"/>
      <c r="O376" s="2"/>
      <c r="P376" s="2"/>
      <c r="Q376" s="24"/>
      <c r="R376" s="2" t="str">
        <f t="shared" si="35"/>
        <v/>
      </c>
      <c r="S376" s="2"/>
      <c r="T376" s="2"/>
      <c r="U376" s="2" t="str">
        <f t="shared" si="36"/>
        <v/>
      </c>
      <c r="V376" s="10" t="str">
        <f t="shared" si="37"/>
        <v/>
      </c>
      <c r="W376" s="10" t="str">
        <f t="shared" si="38"/>
        <v/>
      </c>
      <c r="X376" s="38" t="str">
        <f t="shared" si="39"/>
        <v/>
      </c>
      <c r="Y376" s="10" t="str">
        <f t="shared" si="40"/>
        <v/>
      </c>
      <c r="Z376" s="2" t="str">
        <f t="shared" si="41"/>
        <v/>
      </c>
      <c r="AA376" s="2"/>
      <c r="AB376" s="2"/>
    </row>
    <row r="377" spans="1:28" ht="16">
      <c r="A377" s="31"/>
      <c r="B377" s="32"/>
      <c r="C377" s="32"/>
      <c r="D377" s="32"/>
      <c r="E377" s="32"/>
      <c r="F377" s="33"/>
      <c r="G377" s="2"/>
      <c r="H377" s="2"/>
      <c r="I377" s="2"/>
      <c r="J377" s="35" t="str">
        <f>IF(H377&lt;&gt;"",IFERROR(VLOOKUP(IFERROR(LEFT(H377,FIND("-",H377)-1),H377),'Catalogo MINSAL'!A:E,5,FALSE),""),IF(I377&lt;&gt;"",IFERROR(VLOOKUP(IFERROR(LEFT(I377,FIND("-",I377)-1),I377),'Catalogo MINSAL'!A:E,5,FALSE),""),""))</f>
        <v/>
      </c>
      <c r="K377" s="2"/>
      <c r="L377" s="2"/>
      <c r="M377" s="2"/>
      <c r="N377" s="2"/>
      <c r="O377" s="2"/>
      <c r="P377" s="2"/>
      <c r="Q377" s="24"/>
      <c r="R377" s="2" t="str">
        <f t="shared" si="35"/>
        <v/>
      </c>
      <c r="S377" s="2"/>
      <c r="T377" s="2"/>
      <c r="U377" s="2" t="str">
        <f t="shared" si="36"/>
        <v/>
      </c>
      <c r="V377" s="10" t="str">
        <f t="shared" si="37"/>
        <v/>
      </c>
      <c r="W377" s="10" t="str">
        <f t="shared" si="38"/>
        <v/>
      </c>
      <c r="X377" s="38" t="str">
        <f t="shared" si="39"/>
        <v/>
      </c>
      <c r="Y377" s="10" t="str">
        <f t="shared" si="40"/>
        <v/>
      </c>
      <c r="Z377" s="2" t="str">
        <f t="shared" si="41"/>
        <v/>
      </c>
      <c r="AA377" s="2"/>
      <c r="AB377" s="2"/>
    </row>
    <row r="378" spans="1:28" ht="16">
      <c r="A378" s="31"/>
      <c r="B378" s="32"/>
      <c r="C378" s="32"/>
      <c r="D378" s="32"/>
      <c r="E378" s="32"/>
      <c r="F378" s="33"/>
      <c r="G378" s="2"/>
      <c r="H378" s="2"/>
      <c r="I378" s="2"/>
      <c r="J378" s="35" t="str">
        <f>IF(H378&lt;&gt;"",IFERROR(VLOOKUP(IFERROR(LEFT(H378,FIND("-",H378)-1),H378),'Catalogo MINSAL'!A:E,5,FALSE),""),IF(I378&lt;&gt;"",IFERROR(VLOOKUP(IFERROR(LEFT(I378,FIND("-",I378)-1),I378),'Catalogo MINSAL'!A:E,5,FALSE),""),""))</f>
        <v/>
      </c>
      <c r="K378" s="2"/>
      <c r="L378" s="2"/>
      <c r="M378" s="2"/>
      <c r="N378" s="2"/>
      <c r="O378" s="2"/>
      <c r="P378" s="2"/>
      <c r="Q378" s="24"/>
      <c r="R378" s="2" t="str">
        <f t="shared" si="35"/>
        <v/>
      </c>
      <c r="S378" s="2"/>
      <c r="T378" s="2"/>
      <c r="U378" s="2" t="str">
        <f t="shared" si="36"/>
        <v/>
      </c>
      <c r="V378" s="10" t="str">
        <f t="shared" si="37"/>
        <v/>
      </c>
      <c r="W378" s="10" t="str">
        <f t="shared" si="38"/>
        <v/>
      </c>
      <c r="X378" s="38" t="str">
        <f t="shared" si="39"/>
        <v/>
      </c>
      <c r="Y378" s="10" t="str">
        <f t="shared" si="40"/>
        <v/>
      </c>
      <c r="Z378" s="2" t="str">
        <f t="shared" si="41"/>
        <v/>
      </c>
      <c r="AA378" s="2"/>
      <c r="AB378" s="2"/>
    </row>
    <row r="379" spans="1:28" ht="16">
      <c r="A379" s="31"/>
      <c r="B379" s="32"/>
      <c r="C379" s="32"/>
      <c r="D379" s="32"/>
      <c r="E379" s="32"/>
      <c r="F379" s="33"/>
      <c r="G379" s="2"/>
      <c r="H379" s="2"/>
      <c r="I379" s="2"/>
      <c r="J379" s="35" t="str">
        <f>IF(H379&lt;&gt;"",IFERROR(VLOOKUP(IFERROR(LEFT(H379,FIND("-",H379)-1),H379),'Catalogo MINSAL'!A:E,5,FALSE),""),IF(I379&lt;&gt;"",IFERROR(VLOOKUP(IFERROR(LEFT(I379,FIND("-",I379)-1),I379),'Catalogo MINSAL'!A:E,5,FALSE),""),""))</f>
        <v/>
      </c>
      <c r="K379" s="2"/>
      <c r="L379" s="2"/>
      <c r="M379" s="2"/>
      <c r="N379" s="2"/>
      <c r="O379" s="2"/>
      <c r="P379" s="2"/>
      <c r="Q379" s="24"/>
      <c r="R379" s="2" t="str">
        <f t="shared" si="35"/>
        <v/>
      </c>
      <c r="S379" s="2"/>
      <c r="T379" s="2"/>
      <c r="U379" s="2" t="str">
        <f t="shared" si="36"/>
        <v/>
      </c>
      <c r="V379" s="10" t="str">
        <f t="shared" si="37"/>
        <v/>
      </c>
      <c r="W379" s="10" t="str">
        <f t="shared" si="38"/>
        <v/>
      </c>
      <c r="X379" s="38" t="str">
        <f t="shared" si="39"/>
        <v/>
      </c>
      <c r="Y379" s="10" t="str">
        <f t="shared" si="40"/>
        <v/>
      </c>
      <c r="Z379" s="2" t="str">
        <f t="shared" si="41"/>
        <v/>
      </c>
      <c r="AA379" s="2"/>
      <c r="AB379" s="2"/>
    </row>
    <row r="380" spans="1:28" ht="16">
      <c r="A380" s="31"/>
      <c r="B380" s="32"/>
      <c r="C380" s="32"/>
      <c r="D380" s="32"/>
      <c r="E380" s="32"/>
      <c r="F380" s="33"/>
      <c r="G380" s="2"/>
      <c r="H380" s="2"/>
      <c r="I380" s="2"/>
      <c r="J380" s="35" t="str">
        <f>IF(H380&lt;&gt;"",IFERROR(VLOOKUP(IFERROR(LEFT(H380,FIND("-",H380)-1),H380),'Catalogo MINSAL'!A:E,5,FALSE),""),IF(I380&lt;&gt;"",IFERROR(VLOOKUP(IFERROR(LEFT(I380,FIND("-",I380)-1),I380),'Catalogo MINSAL'!A:E,5,FALSE),""),""))</f>
        <v/>
      </c>
      <c r="K380" s="2"/>
      <c r="L380" s="2"/>
      <c r="M380" s="2"/>
      <c r="N380" s="2"/>
      <c r="O380" s="2"/>
      <c r="P380" s="2"/>
      <c r="Q380" s="24"/>
      <c r="R380" s="2" t="str">
        <f t="shared" si="35"/>
        <v/>
      </c>
      <c r="S380" s="2"/>
      <c r="T380" s="2"/>
      <c r="U380" s="2" t="str">
        <f t="shared" si="36"/>
        <v/>
      </c>
      <c r="V380" s="10" t="str">
        <f t="shared" si="37"/>
        <v/>
      </c>
      <c r="W380" s="10" t="str">
        <f t="shared" si="38"/>
        <v/>
      </c>
      <c r="X380" s="38" t="str">
        <f t="shared" si="39"/>
        <v/>
      </c>
      <c r="Y380" s="10" t="str">
        <f t="shared" si="40"/>
        <v/>
      </c>
      <c r="Z380" s="2" t="str">
        <f t="shared" si="41"/>
        <v/>
      </c>
      <c r="AA380" s="2"/>
      <c r="AB380" s="2"/>
    </row>
    <row r="381" spans="1:28" ht="16">
      <c r="A381" s="31"/>
      <c r="B381" s="32"/>
      <c r="C381" s="32"/>
      <c r="D381" s="32"/>
      <c r="E381" s="32"/>
      <c r="F381" s="33"/>
      <c r="G381" s="2"/>
      <c r="H381" s="2"/>
      <c r="I381" s="2"/>
      <c r="J381" s="35" t="str">
        <f>IF(H381&lt;&gt;"",IFERROR(VLOOKUP(IFERROR(LEFT(H381,FIND("-",H381)-1),H381),'Catalogo MINSAL'!A:E,5,FALSE),""),IF(I381&lt;&gt;"",IFERROR(VLOOKUP(IFERROR(LEFT(I381,FIND("-",I381)-1),I381),'Catalogo MINSAL'!A:E,5,FALSE),""),""))</f>
        <v/>
      </c>
      <c r="K381" s="2"/>
      <c r="L381" s="2"/>
      <c r="M381" s="2"/>
      <c r="N381" s="2"/>
      <c r="O381" s="2"/>
      <c r="P381" s="2"/>
      <c r="Q381" s="24"/>
      <c r="R381" s="2" t="str">
        <f t="shared" si="35"/>
        <v/>
      </c>
      <c r="S381" s="2"/>
      <c r="T381" s="2"/>
      <c r="U381" s="2" t="str">
        <f t="shared" si="36"/>
        <v/>
      </c>
      <c r="V381" s="10" t="str">
        <f t="shared" si="37"/>
        <v/>
      </c>
      <c r="W381" s="10" t="str">
        <f t="shared" si="38"/>
        <v/>
      </c>
      <c r="X381" s="38" t="str">
        <f t="shared" si="39"/>
        <v/>
      </c>
      <c r="Y381" s="10" t="str">
        <f t="shared" si="40"/>
        <v/>
      </c>
      <c r="Z381" s="2" t="str">
        <f t="shared" si="41"/>
        <v/>
      </c>
      <c r="AA381" s="2"/>
      <c r="AB381" s="2"/>
    </row>
    <row r="382" spans="1:28" ht="16">
      <c r="A382" s="31"/>
      <c r="B382" s="32"/>
      <c r="C382" s="32"/>
      <c r="D382" s="32"/>
      <c r="E382" s="32"/>
      <c r="F382" s="33"/>
      <c r="G382" s="2"/>
      <c r="H382" s="2"/>
      <c r="I382" s="2"/>
      <c r="J382" s="35" t="str">
        <f>IF(H382&lt;&gt;"",IFERROR(VLOOKUP(IFERROR(LEFT(H382,FIND("-",H382)-1),H382),'Catalogo MINSAL'!A:E,5,FALSE),""),IF(I382&lt;&gt;"",IFERROR(VLOOKUP(IFERROR(LEFT(I382,FIND("-",I382)-1),I382),'Catalogo MINSAL'!A:E,5,FALSE),""),""))</f>
        <v/>
      </c>
      <c r="K382" s="2"/>
      <c r="L382" s="2"/>
      <c r="M382" s="2"/>
      <c r="N382" s="2"/>
      <c r="O382" s="2"/>
      <c r="P382" s="2"/>
      <c r="Q382" s="24"/>
      <c r="R382" s="2" t="str">
        <f t="shared" si="35"/>
        <v/>
      </c>
      <c r="S382" s="2"/>
      <c r="T382" s="2"/>
      <c r="U382" s="2" t="str">
        <f t="shared" si="36"/>
        <v/>
      </c>
      <c r="V382" s="10" t="str">
        <f t="shared" si="37"/>
        <v/>
      </c>
      <c r="W382" s="10" t="str">
        <f t="shared" si="38"/>
        <v/>
      </c>
      <c r="X382" s="38" t="str">
        <f t="shared" si="39"/>
        <v/>
      </c>
      <c r="Y382" s="10" t="str">
        <f t="shared" si="40"/>
        <v/>
      </c>
      <c r="Z382" s="2" t="str">
        <f t="shared" si="41"/>
        <v/>
      </c>
      <c r="AA382" s="2"/>
      <c r="AB382" s="2"/>
    </row>
    <row r="383" spans="1:28" ht="16">
      <c r="A383" s="31"/>
      <c r="B383" s="32"/>
      <c r="C383" s="32"/>
      <c r="D383" s="32"/>
      <c r="E383" s="32"/>
      <c r="F383" s="33"/>
      <c r="G383" s="2"/>
      <c r="H383" s="2"/>
      <c r="I383" s="2"/>
      <c r="J383" s="35" t="str">
        <f>IF(H383&lt;&gt;"",IFERROR(VLOOKUP(IFERROR(LEFT(H383,FIND("-",H383)-1),H383),'Catalogo MINSAL'!A:E,5,FALSE),""),IF(I383&lt;&gt;"",IFERROR(VLOOKUP(IFERROR(LEFT(I383,FIND("-",I383)-1),I383),'Catalogo MINSAL'!A:E,5,FALSE),""),""))</f>
        <v/>
      </c>
      <c r="K383" s="2"/>
      <c r="L383" s="2"/>
      <c r="M383" s="2"/>
      <c r="N383" s="2"/>
      <c r="O383" s="2"/>
      <c r="P383" s="2"/>
      <c r="Q383" s="24"/>
      <c r="R383" s="2" t="str">
        <f t="shared" si="35"/>
        <v/>
      </c>
      <c r="S383" s="2"/>
      <c r="T383" s="2"/>
      <c r="U383" s="2" t="str">
        <f t="shared" si="36"/>
        <v/>
      </c>
      <c r="V383" s="10" t="str">
        <f t="shared" si="37"/>
        <v/>
      </c>
      <c r="W383" s="10" t="str">
        <f t="shared" si="38"/>
        <v/>
      </c>
      <c r="X383" s="38" t="str">
        <f t="shared" si="39"/>
        <v/>
      </c>
      <c r="Y383" s="10" t="str">
        <f t="shared" si="40"/>
        <v/>
      </c>
      <c r="Z383" s="2" t="str">
        <f t="shared" si="41"/>
        <v/>
      </c>
      <c r="AA383" s="2"/>
      <c r="AB383" s="2"/>
    </row>
    <row r="384" spans="1:28" ht="16">
      <c r="A384" s="31"/>
      <c r="B384" s="32"/>
      <c r="C384" s="32"/>
      <c r="D384" s="32"/>
      <c r="E384" s="32"/>
      <c r="F384" s="33"/>
      <c r="G384" s="2"/>
      <c r="H384" s="2"/>
      <c r="I384" s="2"/>
      <c r="J384" s="35" t="str">
        <f>IF(H384&lt;&gt;"",IFERROR(VLOOKUP(IFERROR(LEFT(H384,FIND("-",H384)-1),H384),'Catalogo MINSAL'!A:E,5,FALSE),""),IF(I384&lt;&gt;"",IFERROR(VLOOKUP(IFERROR(LEFT(I384,FIND("-",I384)-1),I384),'Catalogo MINSAL'!A:E,5,FALSE),""),""))</f>
        <v/>
      </c>
      <c r="K384" s="2"/>
      <c r="L384" s="2"/>
      <c r="M384" s="2"/>
      <c r="N384" s="2"/>
      <c r="O384" s="2"/>
      <c r="P384" s="2"/>
      <c r="Q384" s="24"/>
      <c r="R384" s="2" t="str">
        <f t="shared" si="35"/>
        <v/>
      </c>
      <c r="S384" s="2"/>
      <c r="T384" s="2"/>
      <c r="U384" s="2" t="str">
        <f t="shared" si="36"/>
        <v/>
      </c>
      <c r="V384" s="10" t="str">
        <f t="shared" si="37"/>
        <v/>
      </c>
      <c r="W384" s="10" t="str">
        <f t="shared" si="38"/>
        <v/>
      </c>
      <c r="X384" s="38" t="str">
        <f t="shared" si="39"/>
        <v/>
      </c>
      <c r="Y384" s="10" t="str">
        <f t="shared" si="40"/>
        <v/>
      </c>
      <c r="Z384" s="2" t="str">
        <f t="shared" si="41"/>
        <v/>
      </c>
      <c r="AA384" s="2"/>
      <c r="AB384" s="2"/>
    </row>
    <row r="385" spans="1:28" ht="16">
      <c r="A385" s="31"/>
      <c r="B385" s="32"/>
      <c r="C385" s="32"/>
      <c r="D385" s="32"/>
      <c r="E385" s="32"/>
      <c r="F385" s="33"/>
      <c r="G385" s="2"/>
      <c r="H385" s="2"/>
      <c r="I385" s="2"/>
      <c r="J385" s="35" t="str">
        <f>IF(H385&lt;&gt;"",IFERROR(VLOOKUP(IFERROR(LEFT(H385,FIND("-",H385)-1),H385),'Catalogo MINSAL'!A:E,5,FALSE),""),IF(I385&lt;&gt;"",IFERROR(VLOOKUP(IFERROR(LEFT(I385,FIND("-",I385)-1),I385),'Catalogo MINSAL'!A:E,5,FALSE),""),""))</f>
        <v/>
      </c>
      <c r="K385" s="2"/>
      <c r="L385" s="2"/>
      <c r="M385" s="2"/>
      <c r="N385" s="2"/>
      <c r="O385" s="2"/>
      <c r="P385" s="2"/>
      <c r="Q385" s="24"/>
      <c r="R385" s="2" t="str">
        <f t="shared" si="35"/>
        <v/>
      </c>
      <c r="S385" s="2"/>
      <c r="T385" s="2"/>
      <c r="U385" s="2" t="str">
        <f t="shared" si="36"/>
        <v/>
      </c>
      <c r="V385" s="10" t="str">
        <f t="shared" si="37"/>
        <v/>
      </c>
      <c r="W385" s="10" t="str">
        <f t="shared" si="38"/>
        <v/>
      </c>
      <c r="X385" s="38" t="str">
        <f t="shared" si="39"/>
        <v/>
      </c>
      <c r="Y385" s="10" t="str">
        <f t="shared" si="40"/>
        <v/>
      </c>
      <c r="Z385" s="2" t="str">
        <f t="shared" si="41"/>
        <v/>
      </c>
      <c r="AA385" s="2"/>
      <c r="AB385" s="2"/>
    </row>
    <row r="386" spans="1:28" ht="16">
      <c r="A386" s="31"/>
      <c r="B386" s="32"/>
      <c r="C386" s="32"/>
      <c r="D386" s="32"/>
      <c r="E386" s="32"/>
      <c r="F386" s="33"/>
      <c r="G386" s="2"/>
      <c r="H386" s="2"/>
      <c r="I386" s="2"/>
      <c r="J386" s="35" t="str">
        <f>IF(H386&lt;&gt;"",IFERROR(VLOOKUP(IFERROR(LEFT(H386,FIND("-",H386)-1),H386),'Catalogo MINSAL'!A:E,5,FALSE),""),IF(I386&lt;&gt;"",IFERROR(VLOOKUP(IFERROR(LEFT(I386,FIND("-",I386)-1),I386),'Catalogo MINSAL'!A:E,5,FALSE),""),""))</f>
        <v/>
      </c>
      <c r="K386" s="2"/>
      <c r="L386" s="2"/>
      <c r="M386" s="2"/>
      <c r="N386" s="2"/>
      <c r="O386" s="2"/>
      <c r="P386" s="2"/>
      <c r="Q386" s="24"/>
      <c r="R386" s="2" t="str">
        <f t="shared" si="35"/>
        <v/>
      </c>
      <c r="S386" s="2"/>
      <c r="T386" s="2"/>
      <c r="U386" s="2" t="str">
        <f t="shared" si="36"/>
        <v/>
      </c>
      <c r="V386" s="10" t="str">
        <f t="shared" si="37"/>
        <v/>
      </c>
      <c r="W386" s="10" t="str">
        <f t="shared" si="38"/>
        <v/>
      </c>
      <c r="X386" s="38" t="str">
        <f t="shared" si="39"/>
        <v/>
      </c>
      <c r="Y386" s="10" t="str">
        <f t="shared" si="40"/>
        <v/>
      </c>
      <c r="Z386" s="2" t="str">
        <f t="shared" si="41"/>
        <v/>
      </c>
      <c r="AA386" s="2"/>
      <c r="AB386" s="2"/>
    </row>
    <row r="387" spans="1:28" ht="16">
      <c r="A387" s="31"/>
      <c r="B387" s="32"/>
      <c r="C387" s="32"/>
      <c r="D387" s="32"/>
      <c r="E387" s="32"/>
      <c r="F387" s="33"/>
      <c r="G387" s="2"/>
      <c r="H387" s="2"/>
      <c r="I387" s="2"/>
      <c r="J387" s="35" t="str">
        <f>IF(H387&lt;&gt;"",IFERROR(VLOOKUP(IFERROR(LEFT(H387,FIND("-",H387)-1),H387),'Catalogo MINSAL'!A:E,5,FALSE),""),IF(I387&lt;&gt;"",IFERROR(VLOOKUP(IFERROR(LEFT(I387,FIND("-",I387)-1),I387),'Catalogo MINSAL'!A:E,5,FALSE),""),""))</f>
        <v/>
      </c>
      <c r="K387" s="2"/>
      <c r="L387" s="2"/>
      <c r="M387" s="2"/>
      <c r="N387" s="2"/>
      <c r="O387" s="2"/>
      <c r="P387" s="2"/>
      <c r="Q387" s="24"/>
      <c r="R387" s="2" t="str">
        <f t="shared" si="35"/>
        <v/>
      </c>
      <c r="S387" s="2"/>
      <c r="T387" s="2"/>
      <c r="U387" s="2" t="str">
        <f t="shared" si="36"/>
        <v/>
      </c>
      <c r="V387" s="10" t="str">
        <f t="shared" si="37"/>
        <v/>
      </c>
      <c r="W387" s="10" t="str">
        <f t="shared" si="38"/>
        <v/>
      </c>
      <c r="X387" s="38" t="str">
        <f t="shared" si="39"/>
        <v/>
      </c>
      <c r="Y387" s="10" t="str">
        <f t="shared" si="40"/>
        <v/>
      </c>
      <c r="Z387" s="2" t="str">
        <f t="shared" si="41"/>
        <v/>
      </c>
      <c r="AA387" s="2"/>
      <c r="AB387" s="2"/>
    </row>
    <row r="388" spans="1:28" ht="16">
      <c r="A388" s="31"/>
      <c r="B388" s="32"/>
      <c r="C388" s="32"/>
      <c r="D388" s="32"/>
      <c r="E388" s="32"/>
      <c r="F388" s="33"/>
      <c r="G388" s="2"/>
      <c r="H388" s="2"/>
      <c r="I388" s="2"/>
      <c r="J388" s="35" t="str">
        <f>IF(H388&lt;&gt;"",IFERROR(VLOOKUP(IFERROR(LEFT(H388,FIND("-",H388)-1),H388),'Catalogo MINSAL'!A:E,5,FALSE),""),IF(I388&lt;&gt;"",IFERROR(VLOOKUP(IFERROR(LEFT(I388,FIND("-",I388)-1),I388),'Catalogo MINSAL'!A:E,5,FALSE),""),""))</f>
        <v/>
      </c>
      <c r="K388" s="2"/>
      <c r="L388" s="2"/>
      <c r="M388" s="2"/>
      <c r="N388" s="2"/>
      <c r="O388" s="2"/>
      <c r="P388" s="2"/>
      <c r="Q388" s="24"/>
      <c r="R388" s="2" t="str">
        <f t="shared" ref="R388:R451" si="42">IF(Q388="","",IF(IF(ISNUMBER(Q388),MOD(Q388,1),TIMEVALUE(Q388))&lt;=TIME(8,15,0),"Ingreso adecuado","Atraso"))</f>
        <v/>
      </c>
      <c r="S388" s="2"/>
      <c r="T388" s="2"/>
      <c r="U388" s="2" t="str">
        <f t="shared" ref="U388:U451" si="43">IFERROR(IF(OR(Q388="",R388=""),"",IF(TIMEVALUE(R388)&gt;=TIMEVALUE(Q388),(TIMEVALUE(R388)-TIMEVALUE(Q388))*1440,(TIMEVALUE(R388)+1-TIMEVALUE(Q388))*1440)),"")</f>
        <v/>
      </c>
      <c r="V388" s="10" t="str">
        <f t="shared" ref="V388:V451" si="44">IFERROR(IF(OR(Q388="",S388=""),"",IF(IF(ISNUMBER(S388),MOD(S388,1),TIMEVALUE(S388))&gt;=IF(ISNUMBER(Q388),MOD(Q388,1),TIMEVALUE(Q388)),(IF(ISNUMBER(S388),MOD(S388,1),TIMEVALUE(S388))-IF(ISNUMBER(Q388),MOD(Q388,1),TIMEVALUE(Q388)))*1440,(IF(ISNUMBER(S388),MOD(S388,1),TIMEVALUE(S388))+1-IF(ISNUMBER(Q388),MOD(Q388,1),TIMEVALUE(Q388)))*1440)),"")</f>
        <v/>
      </c>
      <c r="W388" s="10" t="str">
        <f t="shared" ref="W388:W451" si="45">IFERROR(IF(OR(S388="",T388=""),"",IF(IF(ISNUMBER(T388),MOD(T388,1),TIMEVALUE(T388))&gt;=IF(ISNUMBER(S388),MOD(S388,1),TIMEVALUE(S388)),(IF(ISNUMBER(T388),MOD(T388,1),TIMEVALUE(T388))-IF(ISNUMBER(S388),MOD(S388,1),TIMEVALUE(S388)))*1440,(IF(ISNUMBER(T388),MOD(T388,1),TIMEVALUE(T388))+1-IF(ISNUMBER(S388),MOD(S388,1),TIMEVALUE(S388)))*1440)),"")</f>
        <v/>
      </c>
      <c r="X388" s="38" t="str">
        <f t="shared" ref="X388:X451" si="46">IFERROR(IF(OR(V388="",W388=""),"",V388-W388),"")</f>
        <v/>
      </c>
      <c r="Y388" s="10" t="str">
        <f t="shared" ref="Y388:Y451" si="47">IFERROR(IF(OR(W388="",X388=""),"",W388-X388),"")</f>
        <v/>
      </c>
      <c r="Z388" s="2" t="str">
        <f t="shared" ref="Z388:Z451" si="48">IFERROR(IF(Y388="","",IF(Y388&gt;15,"Subestimacion",IF(Y388&lt;-15,"Sobrestimacion","Asertivo"))),"")</f>
        <v/>
      </c>
      <c r="AA388" s="2"/>
      <c r="AB388" s="2"/>
    </row>
    <row r="389" spans="1:28" ht="16">
      <c r="A389" s="31"/>
      <c r="B389" s="32"/>
      <c r="C389" s="32"/>
      <c r="D389" s="32"/>
      <c r="E389" s="32"/>
      <c r="F389" s="33"/>
      <c r="G389" s="2"/>
      <c r="H389" s="2"/>
      <c r="I389" s="2"/>
      <c r="J389" s="35" t="str">
        <f>IF(H389&lt;&gt;"",IFERROR(VLOOKUP(IFERROR(LEFT(H389,FIND("-",H389)-1),H389),'Catalogo MINSAL'!A:E,5,FALSE),""),IF(I389&lt;&gt;"",IFERROR(VLOOKUP(IFERROR(LEFT(I389,FIND("-",I389)-1),I389),'Catalogo MINSAL'!A:E,5,FALSE),""),""))</f>
        <v/>
      </c>
      <c r="K389" s="2"/>
      <c r="L389" s="2"/>
      <c r="M389" s="2"/>
      <c r="N389" s="2"/>
      <c r="O389" s="2"/>
      <c r="P389" s="2"/>
      <c r="Q389" s="24"/>
      <c r="R389" s="2" t="str">
        <f t="shared" si="42"/>
        <v/>
      </c>
      <c r="S389" s="2"/>
      <c r="T389" s="2"/>
      <c r="U389" s="2" t="str">
        <f t="shared" si="43"/>
        <v/>
      </c>
      <c r="V389" s="10" t="str">
        <f t="shared" si="44"/>
        <v/>
      </c>
      <c r="W389" s="10" t="str">
        <f t="shared" si="45"/>
        <v/>
      </c>
      <c r="X389" s="38" t="str">
        <f t="shared" si="46"/>
        <v/>
      </c>
      <c r="Y389" s="10" t="str">
        <f t="shared" si="47"/>
        <v/>
      </c>
      <c r="Z389" s="2" t="str">
        <f t="shared" si="48"/>
        <v/>
      </c>
      <c r="AA389" s="2"/>
      <c r="AB389" s="2"/>
    </row>
    <row r="390" spans="1:28" ht="16">
      <c r="A390" s="31"/>
      <c r="B390" s="32"/>
      <c r="C390" s="32"/>
      <c r="D390" s="32"/>
      <c r="E390" s="32"/>
      <c r="F390" s="33"/>
      <c r="G390" s="2"/>
      <c r="H390" s="2"/>
      <c r="I390" s="2"/>
      <c r="J390" s="35" t="str">
        <f>IF(H390&lt;&gt;"",IFERROR(VLOOKUP(IFERROR(LEFT(H390,FIND("-",H390)-1),H390),'Catalogo MINSAL'!A:E,5,FALSE),""),IF(I390&lt;&gt;"",IFERROR(VLOOKUP(IFERROR(LEFT(I390,FIND("-",I390)-1),I390),'Catalogo MINSAL'!A:E,5,FALSE),""),""))</f>
        <v/>
      </c>
      <c r="K390" s="2"/>
      <c r="L390" s="2"/>
      <c r="M390" s="2"/>
      <c r="N390" s="2"/>
      <c r="O390" s="2"/>
      <c r="P390" s="2"/>
      <c r="Q390" s="24"/>
      <c r="R390" s="2" t="str">
        <f t="shared" si="42"/>
        <v/>
      </c>
      <c r="S390" s="2"/>
      <c r="T390" s="2"/>
      <c r="U390" s="2" t="str">
        <f t="shared" si="43"/>
        <v/>
      </c>
      <c r="V390" s="10" t="str">
        <f t="shared" si="44"/>
        <v/>
      </c>
      <c r="W390" s="10" t="str">
        <f t="shared" si="45"/>
        <v/>
      </c>
      <c r="X390" s="38" t="str">
        <f t="shared" si="46"/>
        <v/>
      </c>
      <c r="Y390" s="10" t="str">
        <f t="shared" si="47"/>
        <v/>
      </c>
      <c r="Z390" s="2" t="str">
        <f t="shared" si="48"/>
        <v/>
      </c>
      <c r="AA390" s="2"/>
      <c r="AB390" s="2"/>
    </row>
    <row r="391" spans="1:28" ht="16">
      <c r="A391" s="31"/>
      <c r="B391" s="32"/>
      <c r="C391" s="32"/>
      <c r="D391" s="32"/>
      <c r="E391" s="32"/>
      <c r="F391" s="33"/>
      <c r="G391" s="2"/>
      <c r="H391" s="2"/>
      <c r="I391" s="2"/>
      <c r="J391" s="35" t="str">
        <f>IF(H391&lt;&gt;"",IFERROR(VLOOKUP(IFERROR(LEFT(H391,FIND("-",H391)-1),H391),'Catalogo MINSAL'!A:E,5,FALSE),""),IF(I391&lt;&gt;"",IFERROR(VLOOKUP(IFERROR(LEFT(I391,FIND("-",I391)-1),I391),'Catalogo MINSAL'!A:E,5,FALSE),""),""))</f>
        <v/>
      </c>
      <c r="K391" s="2"/>
      <c r="L391" s="2"/>
      <c r="M391" s="2"/>
      <c r="N391" s="2"/>
      <c r="O391" s="2"/>
      <c r="P391" s="2"/>
      <c r="Q391" s="24"/>
      <c r="R391" s="2" t="str">
        <f t="shared" si="42"/>
        <v/>
      </c>
      <c r="S391" s="2"/>
      <c r="T391" s="2"/>
      <c r="U391" s="2" t="str">
        <f t="shared" si="43"/>
        <v/>
      </c>
      <c r="V391" s="10" t="str">
        <f t="shared" si="44"/>
        <v/>
      </c>
      <c r="W391" s="10" t="str">
        <f t="shared" si="45"/>
        <v/>
      </c>
      <c r="X391" s="38" t="str">
        <f t="shared" si="46"/>
        <v/>
      </c>
      <c r="Y391" s="10" t="str">
        <f t="shared" si="47"/>
        <v/>
      </c>
      <c r="Z391" s="2" t="str">
        <f t="shared" si="48"/>
        <v/>
      </c>
      <c r="AA391" s="2"/>
      <c r="AB391" s="2"/>
    </row>
    <row r="392" spans="1:28" ht="16">
      <c r="A392" s="31"/>
      <c r="B392" s="32"/>
      <c r="C392" s="32"/>
      <c r="D392" s="32"/>
      <c r="E392" s="32"/>
      <c r="F392" s="33"/>
      <c r="G392" s="2"/>
      <c r="H392" s="2"/>
      <c r="I392" s="2"/>
      <c r="J392" s="35" t="str">
        <f>IF(H392&lt;&gt;"",IFERROR(VLOOKUP(IFERROR(LEFT(H392,FIND("-",H392)-1),H392),'Catalogo MINSAL'!A:E,5,FALSE),""),IF(I392&lt;&gt;"",IFERROR(VLOOKUP(IFERROR(LEFT(I392,FIND("-",I392)-1),I392),'Catalogo MINSAL'!A:E,5,FALSE),""),""))</f>
        <v/>
      </c>
      <c r="K392" s="2"/>
      <c r="L392" s="2"/>
      <c r="M392" s="2"/>
      <c r="N392" s="2"/>
      <c r="O392" s="2"/>
      <c r="P392" s="2"/>
      <c r="Q392" s="24"/>
      <c r="R392" s="2" t="str">
        <f t="shared" si="42"/>
        <v/>
      </c>
      <c r="S392" s="2"/>
      <c r="T392" s="2"/>
      <c r="U392" s="2" t="str">
        <f t="shared" si="43"/>
        <v/>
      </c>
      <c r="V392" s="10" t="str">
        <f t="shared" si="44"/>
        <v/>
      </c>
      <c r="W392" s="10" t="str">
        <f t="shared" si="45"/>
        <v/>
      </c>
      <c r="X392" s="38" t="str">
        <f t="shared" si="46"/>
        <v/>
      </c>
      <c r="Y392" s="10" t="str">
        <f t="shared" si="47"/>
        <v/>
      </c>
      <c r="Z392" s="2" t="str">
        <f t="shared" si="48"/>
        <v/>
      </c>
      <c r="AA392" s="2"/>
      <c r="AB392" s="2"/>
    </row>
    <row r="393" spans="1:28" ht="16">
      <c r="A393" s="31"/>
      <c r="B393" s="32"/>
      <c r="C393" s="32"/>
      <c r="D393" s="32"/>
      <c r="E393" s="32"/>
      <c r="F393" s="33"/>
      <c r="G393" s="2"/>
      <c r="H393" s="2"/>
      <c r="I393" s="2"/>
      <c r="J393" s="35" t="str">
        <f>IF(H393&lt;&gt;"",IFERROR(VLOOKUP(IFERROR(LEFT(H393,FIND("-",H393)-1),H393),'Catalogo MINSAL'!A:E,5,FALSE),""),IF(I393&lt;&gt;"",IFERROR(VLOOKUP(IFERROR(LEFT(I393,FIND("-",I393)-1),I393),'Catalogo MINSAL'!A:E,5,FALSE),""),""))</f>
        <v/>
      </c>
      <c r="K393" s="2"/>
      <c r="L393" s="2"/>
      <c r="M393" s="2"/>
      <c r="N393" s="2"/>
      <c r="O393" s="2"/>
      <c r="P393" s="2"/>
      <c r="Q393" s="24"/>
      <c r="R393" s="2" t="str">
        <f t="shared" si="42"/>
        <v/>
      </c>
      <c r="S393" s="2"/>
      <c r="T393" s="2"/>
      <c r="U393" s="2" t="str">
        <f t="shared" si="43"/>
        <v/>
      </c>
      <c r="V393" s="10" t="str">
        <f t="shared" si="44"/>
        <v/>
      </c>
      <c r="W393" s="10" t="str">
        <f t="shared" si="45"/>
        <v/>
      </c>
      <c r="X393" s="38" t="str">
        <f t="shared" si="46"/>
        <v/>
      </c>
      <c r="Y393" s="10" t="str">
        <f t="shared" si="47"/>
        <v/>
      </c>
      <c r="Z393" s="2" t="str">
        <f t="shared" si="48"/>
        <v/>
      </c>
      <c r="AA393" s="2"/>
      <c r="AB393" s="2"/>
    </row>
    <row r="394" spans="1:28" ht="16">
      <c r="A394" s="31"/>
      <c r="B394" s="32"/>
      <c r="C394" s="32"/>
      <c r="D394" s="32"/>
      <c r="E394" s="32"/>
      <c r="F394" s="33"/>
      <c r="G394" s="2"/>
      <c r="H394" s="2"/>
      <c r="I394" s="2"/>
      <c r="J394" s="35" t="str">
        <f>IF(H394&lt;&gt;"",IFERROR(VLOOKUP(IFERROR(LEFT(H394,FIND("-",H394)-1),H394),'Catalogo MINSAL'!A:E,5,FALSE),""),IF(I394&lt;&gt;"",IFERROR(VLOOKUP(IFERROR(LEFT(I394,FIND("-",I394)-1),I394),'Catalogo MINSAL'!A:E,5,FALSE),""),""))</f>
        <v/>
      </c>
      <c r="K394" s="2"/>
      <c r="L394" s="2"/>
      <c r="M394" s="2"/>
      <c r="N394" s="2"/>
      <c r="O394" s="2"/>
      <c r="P394" s="2"/>
      <c r="Q394" s="24"/>
      <c r="R394" s="2" t="str">
        <f t="shared" si="42"/>
        <v/>
      </c>
      <c r="S394" s="2"/>
      <c r="T394" s="2"/>
      <c r="U394" s="2" t="str">
        <f t="shared" si="43"/>
        <v/>
      </c>
      <c r="V394" s="10" t="str">
        <f t="shared" si="44"/>
        <v/>
      </c>
      <c r="W394" s="10" t="str">
        <f t="shared" si="45"/>
        <v/>
      </c>
      <c r="X394" s="38" t="str">
        <f t="shared" si="46"/>
        <v/>
      </c>
      <c r="Y394" s="10" t="str">
        <f t="shared" si="47"/>
        <v/>
      </c>
      <c r="Z394" s="2" t="str">
        <f t="shared" si="48"/>
        <v/>
      </c>
      <c r="AA394" s="2"/>
      <c r="AB394" s="2"/>
    </row>
    <row r="395" spans="1:28" ht="16">
      <c r="A395" s="31"/>
      <c r="B395" s="32"/>
      <c r="C395" s="32"/>
      <c r="D395" s="32"/>
      <c r="E395" s="32"/>
      <c r="F395" s="33"/>
      <c r="G395" s="2"/>
      <c r="H395" s="2"/>
      <c r="I395" s="2"/>
      <c r="J395" s="35" t="str">
        <f>IF(H395&lt;&gt;"",IFERROR(VLOOKUP(IFERROR(LEFT(H395,FIND("-",H395)-1),H395),'Catalogo MINSAL'!A:E,5,FALSE),""),IF(I395&lt;&gt;"",IFERROR(VLOOKUP(IFERROR(LEFT(I395,FIND("-",I395)-1),I395),'Catalogo MINSAL'!A:E,5,FALSE),""),""))</f>
        <v/>
      </c>
      <c r="K395" s="2"/>
      <c r="L395" s="2"/>
      <c r="M395" s="2"/>
      <c r="N395" s="2"/>
      <c r="O395" s="2"/>
      <c r="P395" s="2"/>
      <c r="Q395" s="24"/>
      <c r="R395" s="2" t="str">
        <f t="shared" si="42"/>
        <v/>
      </c>
      <c r="S395" s="2"/>
      <c r="T395" s="2"/>
      <c r="U395" s="2" t="str">
        <f t="shared" si="43"/>
        <v/>
      </c>
      <c r="V395" s="10" t="str">
        <f t="shared" si="44"/>
        <v/>
      </c>
      <c r="W395" s="10" t="str">
        <f t="shared" si="45"/>
        <v/>
      </c>
      <c r="X395" s="38" t="str">
        <f t="shared" si="46"/>
        <v/>
      </c>
      <c r="Y395" s="10" t="str">
        <f t="shared" si="47"/>
        <v/>
      </c>
      <c r="Z395" s="2" t="str">
        <f t="shared" si="48"/>
        <v/>
      </c>
      <c r="AA395" s="2"/>
      <c r="AB395" s="2"/>
    </row>
    <row r="396" spans="1:28" ht="16">
      <c r="A396" s="31"/>
      <c r="B396" s="32"/>
      <c r="C396" s="32"/>
      <c r="D396" s="32"/>
      <c r="E396" s="32"/>
      <c r="F396" s="33"/>
      <c r="G396" s="2"/>
      <c r="H396" s="2"/>
      <c r="I396" s="2"/>
      <c r="J396" s="35" t="str">
        <f>IF(H396&lt;&gt;"",IFERROR(VLOOKUP(IFERROR(LEFT(H396,FIND("-",H396)-1),H396),'Catalogo MINSAL'!A:E,5,FALSE),""),IF(I396&lt;&gt;"",IFERROR(VLOOKUP(IFERROR(LEFT(I396,FIND("-",I396)-1),I396),'Catalogo MINSAL'!A:E,5,FALSE),""),""))</f>
        <v/>
      </c>
      <c r="K396" s="2"/>
      <c r="L396" s="2"/>
      <c r="M396" s="2"/>
      <c r="N396" s="2"/>
      <c r="O396" s="2"/>
      <c r="P396" s="2"/>
      <c r="Q396" s="24"/>
      <c r="R396" s="2" t="str">
        <f t="shared" si="42"/>
        <v/>
      </c>
      <c r="S396" s="2"/>
      <c r="T396" s="2"/>
      <c r="U396" s="2" t="str">
        <f t="shared" si="43"/>
        <v/>
      </c>
      <c r="V396" s="10" t="str">
        <f t="shared" si="44"/>
        <v/>
      </c>
      <c r="W396" s="10" t="str">
        <f t="shared" si="45"/>
        <v/>
      </c>
      <c r="X396" s="38" t="str">
        <f t="shared" si="46"/>
        <v/>
      </c>
      <c r="Y396" s="10" t="str">
        <f t="shared" si="47"/>
        <v/>
      </c>
      <c r="Z396" s="2" t="str">
        <f t="shared" si="48"/>
        <v/>
      </c>
      <c r="AA396" s="2"/>
      <c r="AB396" s="2"/>
    </row>
    <row r="397" spans="1:28" ht="16">
      <c r="A397" s="31"/>
      <c r="B397" s="32"/>
      <c r="C397" s="32"/>
      <c r="D397" s="32"/>
      <c r="E397" s="32"/>
      <c r="F397" s="33"/>
      <c r="G397" s="2"/>
      <c r="H397" s="2"/>
      <c r="I397" s="2"/>
      <c r="J397" s="35" t="str">
        <f>IF(H397&lt;&gt;"",IFERROR(VLOOKUP(IFERROR(LEFT(H397,FIND("-",H397)-1),H397),'Catalogo MINSAL'!A:E,5,FALSE),""),IF(I397&lt;&gt;"",IFERROR(VLOOKUP(IFERROR(LEFT(I397,FIND("-",I397)-1),I397),'Catalogo MINSAL'!A:E,5,FALSE),""),""))</f>
        <v/>
      </c>
      <c r="K397" s="2"/>
      <c r="L397" s="2"/>
      <c r="M397" s="2"/>
      <c r="N397" s="2"/>
      <c r="O397" s="2"/>
      <c r="P397" s="2"/>
      <c r="Q397" s="24"/>
      <c r="R397" s="2" t="str">
        <f t="shared" si="42"/>
        <v/>
      </c>
      <c r="S397" s="2"/>
      <c r="T397" s="2"/>
      <c r="U397" s="2" t="str">
        <f t="shared" si="43"/>
        <v/>
      </c>
      <c r="V397" s="10" t="str">
        <f t="shared" si="44"/>
        <v/>
      </c>
      <c r="W397" s="10" t="str">
        <f t="shared" si="45"/>
        <v/>
      </c>
      <c r="X397" s="38" t="str">
        <f t="shared" si="46"/>
        <v/>
      </c>
      <c r="Y397" s="10" t="str">
        <f t="shared" si="47"/>
        <v/>
      </c>
      <c r="Z397" s="2" t="str">
        <f t="shared" si="48"/>
        <v/>
      </c>
      <c r="AA397" s="2"/>
      <c r="AB397" s="2"/>
    </row>
    <row r="398" spans="1:28" ht="16">
      <c r="A398" s="31"/>
      <c r="B398" s="32"/>
      <c r="C398" s="32"/>
      <c r="D398" s="32"/>
      <c r="E398" s="32"/>
      <c r="F398" s="33"/>
      <c r="G398" s="2"/>
      <c r="H398" s="2"/>
      <c r="I398" s="2"/>
      <c r="J398" s="35" t="str">
        <f>IF(H398&lt;&gt;"",IFERROR(VLOOKUP(IFERROR(LEFT(H398,FIND("-",H398)-1),H398),'Catalogo MINSAL'!A:E,5,FALSE),""),IF(I398&lt;&gt;"",IFERROR(VLOOKUP(IFERROR(LEFT(I398,FIND("-",I398)-1),I398),'Catalogo MINSAL'!A:E,5,FALSE),""),""))</f>
        <v/>
      </c>
      <c r="K398" s="2"/>
      <c r="L398" s="2"/>
      <c r="M398" s="2"/>
      <c r="N398" s="2"/>
      <c r="O398" s="2"/>
      <c r="P398" s="2"/>
      <c r="Q398" s="24"/>
      <c r="R398" s="2" t="str">
        <f t="shared" si="42"/>
        <v/>
      </c>
      <c r="S398" s="2"/>
      <c r="T398" s="2"/>
      <c r="U398" s="2" t="str">
        <f t="shared" si="43"/>
        <v/>
      </c>
      <c r="V398" s="10" t="str">
        <f t="shared" si="44"/>
        <v/>
      </c>
      <c r="W398" s="10" t="str">
        <f t="shared" si="45"/>
        <v/>
      </c>
      <c r="X398" s="38" t="str">
        <f t="shared" si="46"/>
        <v/>
      </c>
      <c r="Y398" s="10" t="str">
        <f t="shared" si="47"/>
        <v/>
      </c>
      <c r="Z398" s="2" t="str">
        <f t="shared" si="48"/>
        <v/>
      </c>
      <c r="AA398" s="2"/>
      <c r="AB398" s="2"/>
    </row>
    <row r="399" spans="1:28" ht="16">
      <c r="A399" s="31"/>
      <c r="B399" s="32"/>
      <c r="C399" s="32"/>
      <c r="D399" s="32"/>
      <c r="E399" s="32"/>
      <c r="F399" s="33"/>
      <c r="G399" s="2"/>
      <c r="H399" s="2"/>
      <c r="I399" s="2"/>
      <c r="J399" s="35" t="str">
        <f>IF(H399&lt;&gt;"",IFERROR(VLOOKUP(IFERROR(LEFT(H399,FIND("-",H399)-1),H399),'Catalogo MINSAL'!A:E,5,FALSE),""),IF(I399&lt;&gt;"",IFERROR(VLOOKUP(IFERROR(LEFT(I399,FIND("-",I399)-1),I399),'Catalogo MINSAL'!A:E,5,FALSE),""),""))</f>
        <v/>
      </c>
      <c r="K399" s="2"/>
      <c r="L399" s="2"/>
      <c r="M399" s="2"/>
      <c r="N399" s="2"/>
      <c r="O399" s="2"/>
      <c r="P399" s="2"/>
      <c r="Q399" s="24"/>
      <c r="R399" s="2" t="str">
        <f t="shared" si="42"/>
        <v/>
      </c>
      <c r="S399" s="2"/>
      <c r="T399" s="2"/>
      <c r="U399" s="2" t="str">
        <f t="shared" si="43"/>
        <v/>
      </c>
      <c r="V399" s="10" t="str">
        <f t="shared" si="44"/>
        <v/>
      </c>
      <c r="W399" s="10" t="str">
        <f t="shared" si="45"/>
        <v/>
      </c>
      <c r="X399" s="38" t="str">
        <f t="shared" si="46"/>
        <v/>
      </c>
      <c r="Y399" s="10" t="str">
        <f t="shared" si="47"/>
        <v/>
      </c>
      <c r="Z399" s="2" t="str">
        <f t="shared" si="48"/>
        <v/>
      </c>
      <c r="AA399" s="2"/>
      <c r="AB399" s="2"/>
    </row>
    <row r="400" spans="1:28" ht="16">
      <c r="A400" s="31"/>
      <c r="B400" s="32"/>
      <c r="C400" s="32"/>
      <c r="D400" s="32"/>
      <c r="E400" s="32"/>
      <c r="F400" s="33"/>
      <c r="G400" s="2"/>
      <c r="H400" s="2"/>
      <c r="I400" s="2"/>
      <c r="J400" s="35" t="str">
        <f>IF(H400&lt;&gt;"",IFERROR(VLOOKUP(IFERROR(LEFT(H400,FIND("-",H400)-1),H400),'Catalogo MINSAL'!A:E,5,FALSE),""),IF(I400&lt;&gt;"",IFERROR(VLOOKUP(IFERROR(LEFT(I400,FIND("-",I400)-1),I400),'Catalogo MINSAL'!A:E,5,FALSE),""),""))</f>
        <v/>
      </c>
      <c r="K400" s="2"/>
      <c r="L400" s="2"/>
      <c r="M400" s="2"/>
      <c r="N400" s="2"/>
      <c r="O400" s="2"/>
      <c r="P400" s="2"/>
      <c r="Q400" s="24"/>
      <c r="R400" s="2" t="str">
        <f t="shared" si="42"/>
        <v/>
      </c>
      <c r="S400" s="2"/>
      <c r="T400" s="2"/>
      <c r="U400" s="2" t="str">
        <f t="shared" si="43"/>
        <v/>
      </c>
      <c r="V400" s="10" t="str">
        <f t="shared" si="44"/>
        <v/>
      </c>
      <c r="W400" s="10" t="str">
        <f t="shared" si="45"/>
        <v/>
      </c>
      <c r="X400" s="38" t="str">
        <f t="shared" si="46"/>
        <v/>
      </c>
      <c r="Y400" s="10" t="str">
        <f t="shared" si="47"/>
        <v/>
      </c>
      <c r="Z400" s="2" t="str">
        <f t="shared" si="48"/>
        <v/>
      </c>
      <c r="AA400" s="2"/>
      <c r="AB400" s="2"/>
    </row>
    <row r="401" spans="1:28" ht="16">
      <c r="A401" s="31"/>
      <c r="B401" s="32"/>
      <c r="C401" s="32"/>
      <c r="D401" s="32"/>
      <c r="E401" s="32"/>
      <c r="F401" s="33"/>
      <c r="G401" s="2"/>
      <c r="H401" s="2"/>
      <c r="I401" s="2"/>
      <c r="J401" s="35" t="str">
        <f>IF(H401&lt;&gt;"",IFERROR(VLOOKUP(IFERROR(LEFT(H401,FIND("-",H401)-1),H401),'Catalogo MINSAL'!A:E,5,FALSE),""),IF(I401&lt;&gt;"",IFERROR(VLOOKUP(IFERROR(LEFT(I401,FIND("-",I401)-1),I401),'Catalogo MINSAL'!A:E,5,FALSE),""),""))</f>
        <v/>
      </c>
      <c r="K401" s="2"/>
      <c r="L401" s="2"/>
      <c r="M401" s="2"/>
      <c r="N401" s="2"/>
      <c r="O401" s="2"/>
      <c r="P401" s="2"/>
      <c r="Q401" s="24"/>
      <c r="R401" s="2" t="str">
        <f t="shared" si="42"/>
        <v/>
      </c>
      <c r="S401" s="2"/>
      <c r="T401" s="2"/>
      <c r="U401" s="2" t="str">
        <f t="shared" si="43"/>
        <v/>
      </c>
      <c r="V401" s="10" t="str">
        <f t="shared" si="44"/>
        <v/>
      </c>
      <c r="W401" s="10" t="str">
        <f t="shared" si="45"/>
        <v/>
      </c>
      <c r="X401" s="38" t="str">
        <f t="shared" si="46"/>
        <v/>
      </c>
      <c r="Y401" s="10" t="str">
        <f t="shared" si="47"/>
        <v/>
      </c>
      <c r="Z401" s="2" t="str">
        <f t="shared" si="48"/>
        <v/>
      </c>
      <c r="AA401" s="2"/>
      <c r="AB401" s="2"/>
    </row>
    <row r="402" spans="1:28" ht="16">
      <c r="A402" s="31"/>
      <c r="B402" s="32"/>
      <c r="C402" s="32"/>
      <c r="D402" s="32"/>
      <c r="E402" s="32"/>
      <c r="F402" s="33"/>
      <c r="G402" s="2"/>
      <c r="H402" s="2"/>
      <c r="I402" s="2"/>
      <c r="J402" s="35" t="str">
        <f>IF(H402&lt;&gt;"",IFERROR(VLOOKUP(IFERROR(LEFT(H402,FIND("-",H402)-1),H402),'Catalogo MINSAL'!A:E,5,FALSE),""),IF(I402&lt;&gt;"",IFERROR(VLOOKUP(IFERROR(LEFT(I402,FIND("-",I402)-1),I402),'Catalogo MINSAL'!A:E,5,FALSE),""),""))</f>
        <v/>
      </c>
      <c r="K402" s="2"/>
      <c r="L402" s="2"/>
      <c r="M402" s="2"/>
      <c r="N402" s="2"/>
      <c r="O402" s="2"/>
      <c r="P402" s="2"/>
      <c r="Q402" s="24"/>
      <c r="R402" s="2" t="str">
        <f t="shared" si="42"/>
        <v/>
      </c>
      <c r="S402" s="2"/>
      <c r="T402" s="2"/>
      <c r="U402" s="2" t="str">
        <f t="shared" si="43"/>
        <v/>
      </c>
      <c r="V402" s="10" t="str">
        <f t="shared" si="44"/>
        <v/>
      </c>
      <c r="W402" s="10" t="str">
        <f t="shared" si="45"/>
        <v/>
      </c>
      <c r="X402" s="38" t="str">
        <f t="shared" si="46"/>
        <v/>
      </c>
      <c r="Y402" s="10" t="str">
        <f t="shared" si="47"/>
        <v/>
      </c>
      <c r="Z402" s="2" t="str">
        <f t="shared" si="48"/>
        <v/>
      </c>
      <c r="AA402" s="2"/>
      <c r="AB402" s="2"/>
    </row>
    <row r="403" spans="1:28" ht="16">
      <c r="A403" s="31"/>
      <c r="B403" s="32"/>
      <c r="C403" s="32"/>
      <c r="D403" s="32"/>
      <c r="E403" s="32"/>
      <c r="F403" s="33"/>
      <c r="G403" s="2"/>
      <c r="H403" s="2"/>
      <c r="I403" s="2"/>
      <c r="J403" s="35" t="str">
        <f>IF(H403&lt;&gt;"",IFERROR(VLOOKUP(IFERROR(LEFT(H403,FIND("-",H403)-1),H403),'Catalogo MINSAL'!A:E,5,FALSE),""),IF(I403&lt;&gt;"",IFERROR(VLOOKUP(IFERROR(LEFT(I403,FIND("-",I403)-1),I403),'Catalogo MINSAL'!A:E,5,FALSE),""),""))</f>
        <v/>
      </c>
      <c r="K403" s="2"/>
      <c r="L403" s="2"/>
      <c r="M403" s="2"/>
      <c r="N403" s="2"/>
      <c r="O403" s="2"/>
      <c r="P403" s="2"/>
      <c r="Q403" s="24"/>
      <c r="R403" s="2" t="str">
        <f t="shared" si="42"/>
        <v/>
      </c>
      <c r="S403" s="2"/>
      <c r="T403" s="2"/>
      <c r="U403" s="2" t="str">
        <f t="shared" si="43"/>
        <v/>
      </c>
      <c r="V403" s="10" t="str">
        <f t="shared" si="44"/>
        <v/>
      </c>
      <c r="W403" s="10" t="str">
        <f t="shared" si="45"/>
        <v/>
      </c>
      <c r="X403" s="38" t="str">
        <f t="shared" si="46"/>
        <v/>
      </c>
      <c r="Y403" s="10" t="str">
        <f t="shared" si="47"/>
        <v/>
      </c>
      <c r="Z403" s="2" t="str">
        <f t="shared" si="48"/>
        <v/>
      </c>
      <c r="AA403" s="2"/>
      <c r="AB403" s="2"/>
    </row>
    <row r="404" spans="1:28" ht="16">
      <c r="A404" s="31"/>
      <c r="B404" s="32"/>
      <c r="C404" s="32"/>
      <c r="D404" s="32"/>
      <c r="E404" s="32"/>
      <c r="F404" s="33"/>
      <c r="G404" s="2"/>
      <c r="H404" s="2"/>
      <c r="I404" s="2"/>
      <c r="J404" s="35" t="str">
        <f>IF(H404&lt;&gt;"",IFERROR(VLOOKUP(IFERROR(LEFT(H404,FIND("-",H404)-1),H404),'Catalogo MINSAL'!A:E,5,FALSE),""),IF(I404&lt;&gt;"",IFERROR(VLOOKUP(IFERROR(LEFT(I404,FIND("-",I404)-1),I404),'Catalogo MINSAL'!A:E,5,FALSE),""),""))</f>
        <v/>
      </c>
      <c r="K404" s="2"/>
      <c r="L404" s="2"/>
      <c r="M404" s="2"/>
      <c r="N404" s="2"/>
      <c r="O404" s="2"/>
      <c r="P404" s="2"/>
      <c r="Q404" s="24"/>
      <c r="R404" s="2" t="str">
        <f t="shared" si="42"/>
        <v/>
      </c>
      <c r="S404" s="2"/>
      <c r="T404" s="2"/>
      <c r="U404" s="2" t="str">
        <f t="shared" si="43"/>
        <v/>
      </c>
      <c r="V404" s="10" t="str">
        <f t="shared" si="44"/>
        <v/>
      </c>
      <c r="W404" s="10" t="str">
        <f t="shared" si="45"/>
        <v/>
      </c>
      <c r="X404" s="38" t="str">
        <f t="shared" si="46"/>
        <v/>
      </c>
      <c r="Y404" s="10" t="str">
        <f t="shared" si="47"/>
        <v/>
      </c>
      <c r="Z404" s="2" t="str">
        <f t="shared" si="48"/>
        <v/>
      </c>
      <c r="AA404" s="2"/>
      <c r="AB404" s="2"/>
    </row>
    <row r="405" spans="1:28" ht="16">
      <c r="A405" s="31"/>
      <c r="B405" s="32"/>
      <c r="C405" s="32"/>
      <c r="D405" s="32"/>
      <c r="E405" s="32"/>
      <c r="F405" s="33"/>
      <c r="G405" s="2"/>
      <c r="H405" s="2"/>
      <c r="I405" s="2"/>
      <c r="J405" s="35" t="str">
        <f>IF(H405&lt;&gt;"",IFERROR(VLOOKUP(IFERROR(LEFT(H405,FIND("-",H405)-1),H405),'Catalogo MINSAL'!A:E,5,FALSE),""),IF(I405&lt;&gt;"",IFERROR(VLOOKUP(IFERROR(LEFT(I405,FIND("-",I405)-1),I405),'Catalogo MINSAL'!A:E,5,FALSE),""),""))</f>
        <v/>
      </c>
      <c r="K405" s="2"/>
      <c r="L405" s="2"/>
      <c r="M405" s="2"/>
      <c r="N405" s="2"/>
      <c r="O405" s="2"/>
      <c r="P405" s="2"/>
      <c r="Q405" s="24"/>
      <c r="R405" s="2" t="str">
        <f t="shared" si="42"/>
        <v/>
      </c>
      <c r="S405" s="2"/>
      <c r="T405" s="2"/>
      <c r="U405" s="2" t="str">
        <f t="shared" si="43"/>
        <v/>
      </c>
      <c r="V405" s="10" t="str">
        <f t="shared" si="44"/>
        <v/>
      </c>
      <c r="W405" s="10" t="str">
        <f t="shared" si="45"/>
        <v/>
      </c>
      <c r="X405" s="38" t="str">
        <f t="shared" si="46"/>
        <v/>
      </c>
      <c r="Y405" s="10" t="str">
        <f t="shared" si="47"/>
        <v/>
      </c>
      <c r="Z405" s="2" t="str">
        <f t="shared" si="48"/>
        <v/>
      </c>
      <c r="AA405" s="2"/>
      <c r="AB405" s="2"/>
    </row>
    <row r="406" spans="1:28" ht="16">
      <c r="A406" s="31"/>
      <c r="B406" s="32"/>
      <c r="C406" s="32"/>
      <c r="D406" s="32"/>
      <c r="E406" s="32"/>
      <c r="F406" s="33"/>
      <c r="G406" s="2"/>
      <c r="H406" s="2"/>
      <c r="I406" s="2"/>
      <c r="J406" s="35" t="str">
        <f>IF(H406&lt;&gt;"",IFERROR(VLOOKUP(IFERROR(LEFT(H406,FIND("-",H406)-1),H406),'Catalogo MINSAL'!A:E,5,FALSE),""),IF(I406&lt;&gt;"",IFERROR(VLOOKUP(IFERROR(LEFT(I406,FIND("-",I406)-1),I406),'Catalogo MINSAL'!A:E,5,FALSE),""),""))</f>
        <v/>
      </c>
      <c r="K406" s="2"/>
      <c r="L406" s="2"/>
      <c r="M406" s="2"/>
      <c r="N406" s="2"/>
      <c r="O406" s="2"/>
      <c r="P406" s="2"/>
      <c r="Q406" s="24"/>
      <c r="R406" s="2" t="str">
        <f t="shared" si="42"/>
        <v/>
      </c>
      <c r="S406" s="2"/>
      <c r="T406" s="2"/>
      <c r="U406" s="2" t="str">
        <f t="shared" si="43"/>
        <v/>
      </c>
      <c r="V406" s="10" t="str">
        <f t="shared" si="44"/>
        <v/>
      </c>
      <c r="W406" s="10" t="str">
        <f t="shared" si="45"/>
        <v/>
      </c>
      <c r="X406" s="38" t="str">
        <f t="shared" si="46"/>
        <v/>
      </c>
      <c r="Y406" s="10" t="str">
        <f t="shared" si="47"/>
        <v/>
      </c>
      <c r="Z406" s="2" t="str">
        <f t="shared" si="48"/>
        <v/>
      </c>
      <c r="AA406" s="2"/>
      <c r="AB406" s="2"/>
    </row>
    <row r="407" spans="1:28" ht="16">
      <c r="A407" s="31"/>
      <c r="B407" s="32"/>
      <c r="C407" s="32"/>
      <c r="D407" s="32"/>
      <c r="E407" s="32"/>
      <c r="F407" s="33"/>
      <c r="G407" s="2"/>
      <c r="H407" s="2"/>
      <c r="I407" s="2"/>
      <c r="J407" s="35" t="str">
        <f>IF(H407&lt;&gt;"",IFERROR(VLOOKUP(IFERROR(LEFT(H407,FIND("-",H407)-1),H407),'Catalogo MINSAL'!A:E,5,FALSE),""),IF(I407&lt;&gt;"",IFERROR(VLOOKUP(IFERROR(LEFT(I407,FIND("-",I407)-1),I407),'Catalogo MINSAL'!A:E,5,FALSE),""),""))</f>
        <v/>
      </c>
      <c r="K407" s="2"/>
      <c r="L407" s="2"/>
      <c r="M407" s="2"/>
      <c r="N407" s="2"/>
      <c r="O407" s="2"/>
      <c r="P407" s="2"/>
      <c r="Q407" s="24"/>
      <c r="R407" s="2" t="str">
        <f t="shared" si="42"/>
        <v/>
      </c>
      <c r="S407" s="2"/>
      <c r="T407" s="2"/>
      <c r="U407" s="2" t="str">
        <f t="shared" si="43"/>
        <v/>
      </c>
      <c r="V407" s="10" t="str">
        <f t="shared" si="44"/>
        <v/>
      </c>
      <c r="W407" s="10" t="str">
        <f t="shared" si="45"/>
        <v/>
      </c>
      <c r="X407" s="38" t="str">
        <f t="shared" si="46"/>
        <v/>
      </c>
      <c r="Y407" s="10" t="str">
        <f t="shared" si="47"/>
        <v/>
      </c>
      <c r="Z407" s="2" t="str">
        <f t="shared" si="48"/>
        <v/>
      </c>
      <c r="AA407" s="2"/>
      <c r="AB407" s="2"/>
    </row>
    <row r="408" spans="1:28" ht="16">
      <c r="A408" s="31"/>
      <c r="B408" s="32"/>
      <c r="C408" s="32"/>
      <c r="D408" s="32"/>
      <c r="E408" s="32"/>
      <c r="F408" s="33"/>
      <c r="G408" s="2"/>
      <c r="H408" s="2"/>
      <c r="I408" s="2"/>
      <c r="J408" s="35" t="str">
        <f>IF(H408&lt;&gt;"",IFERROR(VLOOKUP(IFERROR(LEFT(H408,FIND("-",H408)-1),H408),'Catalogo MINSAL'!A:E,5,FALSE),""),IF(I408&lt;&gt;"",IFERROR(VLOOKUP(IFERROR(LEFT(I408,FIND("-",I408)-1),I408),'Catalogo MINSAL'!A:E,5,FALSE),""),""))</f>
        <v/>
      </c>
      <c r="K408" s="2"/>
      <c r="L408" s="2"/>
      <c r="M408" s="2"/>
      <c r="N408" s="2"/>
      <c r="O408" s="2"/>
      <c r="P408" s="2"/>
      <c r="Q408" s="24"/>
      <c r="R408" s="2" t="str">
        <f t="shared" si="42"/>
        <v/>
      </c>
      <c r="S408" s="2"/>
      <c r="T408" s="2"/>
      <c r="U408" s="2" t="str">
        <f t="shared" si="43"/>
        <v/>
      </c>
      <c r="V408" s="10" t="str">
        <f t="shared" si="44"/>
        <v/>
      </c>
      <c r="W408" s="10" t="str">
        <f t="shared" si="45"/>
        <v/>
      </c>
      <c r="X408" s="38" t="str">
        <f t="shared" si="46"/>
        <v/>
      </c>
      <c r="Y408" s="10" t="str">
        <f t="shared" si="47"/>
        <v/>
      </c>
      <c r="Z408" s="2" t="str">
        <f t="shared" si="48"/>
        <v/>
      </c>
      <c r="AA408" s="2"/>
      <c r="AB408" s="2"/>
    </row>
    <row r="409" spans="1:28" ht="16">
      <c r="A409" s="31"/>
      <c r="B409" s="32"/>
      <c r="C409" s="32"/>
      <c r="D409" s="32"/>
      <c r="E409" s="32"/>
      <c r="F409" s="33"/>
      <c r="G409" s="2"/>
      <c r="H409" s="2"/>
      <c r="I409" s="2"/>
      <c r="J409" s="35" t="str">
        <f>IF(H409&lt;&gt;"",IFERROR(VLOOKUP(IFERROR(LEFT(H409,FIND("-",H409)-1),H409),'Catalogo MINSAL'!A:E,5,FALSE),""),IF(I409&lt;&gt;"",IFERROR(VLOOKUP(IFERROR(LEFT(I409,FIND("-",I409)-1),I409),'Catalogo MINSAL'!A:E,5,FALSE),""),""))</f>
        <v/>
      </c>
      <c r="K409" s="2"/>
      <c r="L409" s="2"/>
      <c r="M409" s="2"/>
      <c r="N409" s="2"/>
      <c r="O409" s="2"/>
      <c r="P409" s="2"/>
      <c r="Q409" s="24"/>
      <c r="R409" s="2" t="str">
        <f t="shared" si="42"/>
        <v/>
      </c>
      <c r="S409" s="2"/>
      <c r="T409" s="2"/>
      <c r="U409" s="2" t="str">
        <f t="shared" si="43"/>
        <v/>
      </c>
      <c r="V409" s="10" t="str">
        <f t="shared" si="44"/>
        <v/>
      </c>
      <c r="W409" s="10" t="str">
        <f t="shared" si="45"/>
        <v/>
      </c>
      <c r="X409" s="38" t="str">
        <f t="shared" si="46"/>
        <v/>
      </c>
      <c r="Y409" s="10" t="str">
        <f t="shared" si="47"/>
        <v/>
      </c>
      <c r="Z409" s="2" t="str">
        <f t="shared" si="48"/>
        <v/>
      </c>
      <c r="AA409" s="2"/>
      <c r="AB409" s="2"/>
    </row>
    <row r="410" spans="1:28" ht="16">
      <c r="A410" s="31"/>
      <c r="B410" s="32"/>
      <c r="C410" s="32"/>
      <c r="D410" s="32"/>
      <c r="E410" s="32"/>
      <c r="F410" s="33"/>
      <c r="G410" s="2"/>
      <c r="H410" s="2"/>
      <c r="I410" s="2"/>
      <c r="J410" s="35" t="str">
        <f>IF(H410&lt;&gt;"",IFERROR(VLOOKUP(IFERROR(LEFT(H410,FIND("-",H410)-1),H410),'Catalogo MINSAL'!A:E,5,FALSE),""),IF(I410&lt;&gt;"",IFERROR(VLOOKUP(IFERROR(LEFT(I410,FIND("-",I410)-1),I410),'Catalogo MINSAL'!A:E,5,FALSE),""),""))</f>
        <v/>
      </c>
      <c r="K410" s="2"/>
      <c r="L410" s="2"/>
      <c r="M410" s="2"/>
      <c r="N410" s="2"/>
      <c r="O410" s="2"/>
      <c r="P410" s="2"/>
      <c r="Q410" s="24"/>
      <c r="R410" s="2" t="str">
        <f t="shared" si="42"/>
        <v/>
      </c>
      <c r="S410" s="2"/>
      <c r="T410" s="2"/>
      <c r="U410" s="2" t="str">
        <f t="shared" si="43"/>
        <v/>
      </c>
      <c r="V410" s="10" t="str">
        <f t="shared" si="44"/>
        <v/>
      </c>
      <c r="W410" s="10" t="str">
        <f t="shared" si="45"/>
        <v/>
      </c>
      <c r="X410" s="38" t="str">
        <f t="shared" si="46"/>
        <v/>
      </c>
      <c r="Y410" s="10" t="str">
        <f t="shared" si="47"/>
        <v/>
      </c>
      <c r="Z410" s="2" t="str">
        <f t="shared" si="48"/>
        <v/>
      </c>
      <c r="AA410" s="2"/>
      <c r="AB410" s="2"/>
    </row>
    <row r="411" spans="1:28" ht="16">
      <c r="A411" s="31"/>
      <c r="B411" s="32"/>
      <c r="C411" s="32"/>
      <c r="D411" s="32"/>
      <c r="E411" s="32"/>
      <c r="F411" s="33"/>
      <c r="G411" s="2"/>
      <c r="H411" s="2"/>
      <c r="I411" s="2"/>
      <c r="J411" s="35" t="str">
        <f>IF(H411&lt;&gt;"",IFERROR(VLOOKUP(IFERROR(LEFT(H411,FIND("-",H411)-1),H411),'Catalogo MINSAL'!A:E,5,FALSE),""),IF(I411&lt;&gt;"",IFERROR(VLOOKUP(IFERROR(LEFT(I411,FIND("-",I411)-1),I411),'Catalogo MINSAL'!A:E,5,FALSE),""),""))</f>
        <v/>
      </c>
      <c r="K411" s="2"/>
      <c r="L411" s="2"/>
      <c r="M411" s="2"/>
      <c r="N411" s="2"/>
      <c r="O411" s="2"/>
      <c r="P411" s="2"/>
      <c r="Q411" s="24"/>
      <c r="R411" s="2" t="str">
        <f t="shared" si="42"/>
        <v/>
      </c>
      <c r="S411" s="2"/>
      <c r="T411" s="2"/>
      <c r="U411" s="2" t="str">
        <f t="shared" si="43"/>
        <v/>
      </c>
      <c r="V411" s="10" t="str">
        <f t="shared" si="44"/>
        <v/>
      </c>
      <c r="W411" s="10" t="str">
        <f t="shared" si="45"/>
        <v/>
      </c>
      <c r="X411" s="38" t="str">
        <f t="shared" si="46"/>
        <v/>
      </c>
      <c r="Y411" s="10" t="str">
        <f t="shared" si="47"/>
        <v/>
      </c>
      <c r="Z411" s="2" t="str">
        <f t="shared" si="48"/>
        <v/>
      </c>
      <c r="AA411" s="2"/>
      <c r="AB411" s="2"/>
    </row>
    <row r="412" spans="1:28" ht="16">
      <c r="A412" s="31"/>
      <c r="B412" s="32"/>
      <c r="C412" s="32"/>
      <c r="D412" s="32"/>
      <c r="E412" s="32"/>
      <c r="F412" s="33"/>
      <c r="G412" s="2"/>
      <c r="H412" s="2"/>
      <c r="I412" s="2"/>
      <c r="J412" s="35" t="str">
        <f>IF(H412&lt;&gt;"",IFERROR(VLOOKUP(IFERROR(LEFT(H412,FIND("-",H412)-1),H412),'Catalogo MINSAL'!A:E,5,FALSE),""),IF(I412&lt;&gt;"",IFERROR(VLOOKUP(IFERROR(LEFT(I412,FIND("-",I412)-1),I412),'Catalogo MINSAL'!A:E,5,FALSE),""),""))</f>
        <v/>
      </c>
      <c r="K412" s="2"/>
      <c r="L412" s="2"/>
      <c r="M412" s="2"/>
      <c r="N412" s="2"/>
      <c r="O412" s="2"/>
      <c r="P412" s="2"/>
      <c r="Q412" s="24"/>
      <c r="R412" s="2" t="str">
        <f t="shared" si="42"/>
        <v/>
      </c>
      <c r="S412" s="2"/>
      <c r="T412" s="2"/>
      <c r="U412" s="2" t="str">
        <f t="shared" si="43"/>
        <v/>
      </c>
      <c r="V412" s="10" t="str">
        <f t="shared" si="44"/>
        <v/>
      </c>
      <c r="W412" s="10" t="str">
        <f t="shared" si="45"/>
        <v/>
      </c>
      <c r="X412" s="38" t="str">
        <f t="shared" si="46"/>
        <v/>
      </c>
      <c r="Y412" s="10" t="str">
        <f t="shared" si="47"/>
        <v/>
      </c>
      <c r="Z412" s="2" t="str">
        <f t="shared" si="48"/>
        <v/>
      </c>
      <c r="AA412" s="2"/>
      <c r="AB412" s="2"/>
    </row>
    <row r="413" spans="1:28" ht="16">
      <c r="A413" s="31"/>
      <c r="B413" s="32"/>
      <c r="C413" s="32"/>
      <c r="D413" s="32"/>
      <c r="E413" s="32"/>
      <c r="F413" s="33"/>
      <c r="G413" s="2"/>
      <c r="H413" s="2"/>
      <c r="I413" s="2"/>
      <c r="J413" s="35" t="str">
        <f>IF(H413&lt;&gt;"",IFERROR(VLOOKUP(IFERROR(LEFT(H413,FIND("-",H413)-1),H413),'Catalogo MINSAL'!A:E,5,FALSE),""),IF(I413&lt;&gt;"",IFERROR(VLOOKUP(IFERROR(LEFT(I413,FIND("-",I413)-1),I413),'Catalogo MINSAL'!A:E,5,FALSE),""),""))</f>
        <v/>
      </c>
      <c r="K413" s="2"/>
      <c r="L413" s="2"/>
      <c r="M413" s="2"/>
      <c r="N413" s="2"/>
      <c r="O413" s="2"/>
      <c r="P413" s="2"/>
      <c r="Q413" s="24"/>
      <c r="R413" s="2" t="str">
        <f t="shared" si="42"/>
        <v/>
      </c>
      <c r="S413" s="2"/>
      <c r="T413" s="2"/>
      <c r="U413" s="2" t="str">
        <f t="shared" si="43"/>
        <v/>
      </c>
      <c r="V413" s="10" t="str">
        <f t="shared" si="44"/>
        <v/>
      </c>
      <c r="W413" s="10" t="str">
        <f t="shared" si="45"/>
        <v/>
      </c>
      <c r="X413" s="38" t="str">
        <f t="shared" si="46"/>
        <v/>
      </c>
      <c r="Y413" s="10" t="str">
        <f t="shared" si="47"/>
        <v/>
      </c>
      <c r="Z413" s="2" t="str">
        <f t="shared" si="48"/>
        <v/>
      </c>
      <c r="AA413" s="2"/>
      <c r="AB413" s="2"/>
    </row>
    <row r="414" spans="1:28" ht="16">
      <c r="A414" s="31"/>
      <c r="B414" s="32"/>
      <c r="C414" s="32"/>
      <c r="D414" s="32"/>
      <c r="E414" s="32"/>
      <c r="F414" s="33"/>
      <c r="G414" s="2"/>
      <c r="H414" s="2"/>
      <c r="I414" s="2"/>
      <c r="J414" s="35" t="str">
        <f>IF(H414&lt;&gt;"",IFERROR(VLOOKUP(IFERROR(LEFT(H414,FIND("-",H414)-1),H414),'Catalogo MINSAL'!A:E,5,FALSE),""),IF(I414&lt;&gt;"",IFERROR(VLOOKUP(IFERROR(LEFT(I414,FIND("-",I414)-1),I414),'Catalogo MINSAL'!A:E,5,FALSE),""),""))</f>
        <v/>
      </c>
      <c r="K414" s="2"/>
      <c r="L414" s="2"/>
      <c r="M414" s="2"/>
      <c r="N414" s="2"/>
      <c r="O414" s="2"/>
      <c r="P414" s="2"/>
      <c r="Q414" s="24"/>
      <c r="R414" s="2" t="str">
        <f t="shared" si="42"/>
        <v/>
      </c>
      <c r="S414" s="2"/>
      <c r="T414" s="2"/>
      <c r="U414" s="2" t="str">
        <f t="shared" si="43"/>
        <v/>
      </c>
      <c r="V414" s="10" t="str">
        <f t="shared" si="44"/>
        <v/>
      </c>
      <c r="W414" s="10" t="str">
        <f t="shared" si="45"/>
        <v/>
      </c>
      <c r="X414" s="38" t="str">
        <f t="shared" si="46"/>
        <v/>
      </c>
      <c r="Y414" s="10" t="str">
        <f t="shared" si="47"/>
        <v/>
      </c>
      <c r="Z414" s="2" t="str">
        <f t="shared" si="48"/>
        <v/>
      </c>
      <c r="AA414" s="2"/>
      <c r="AB414" s="2"/>
    </row>
    <row r="415" spans="1:28" ht="16">
      <c r="A415" s="31"/>
      <c r="B415" s="32"/>
      <c r="C415" s="32"/>
      <c r="D415" s="32"/>
      <c r="E415" s="32"/>
      <c r="F415" s="33"/>
      <c r="G415" s="2"/>
      <c r="H415" s="2"/>
      <c r="I415" s="2"/>
      <c r="J415" s="35" t="str">
        <f>IF(H415&lt;&gt;"",IFERROR(VLOOKUP(IFERROR(LEFT(H415,FIND("-",H415)-1),H415),'Catalogo MINSAL'!A:E,5,FALSE),""),IF(I415&lt;&gt;"",IFERROR(VLOOKUP(IFERROR(LEFT(I415,FIND("-",I415)-1),I415),'Catalogo MINSAL'!A:E,5,FALSE),""),""))</f>
        <v/>
      </c>
      <c r="K415" s="2"/>
      <c r="L415" s="2"/>
      <c r="M415" s="2"/>
      <c r="N415" s="2"/>
      <c r="O415" s="2"/>
      <c r="P415" s="2"/>
      <c r="Q415" s="24"/>
      <c r="R415" s="2" t="str">
        <f t="shared" si="42"/>
        <v/>
      </c>
      <c r="S415" s="2"/>
      <c r="T415" s="2"/>
      <c r="U415" s="2" t="str">
        <f t="shared" si="43"/>
        <v/>
      </c>
      <c r="V415" s="10" t="str">
        <f t="shared" si="44"/>
        <v/>
      </c>
      <c r="W415" s="10" t="str">
        <f t="shared" si="45"/>
        <v/>
      </c>
      <c r="X415" s="38" t="str">
        <f t="shared" si="46"/>
        <v/>
      </c>
      <c r="Y415" s="10" t="str">
        <f t="shared" si="47"/>
        <v/>
      </c>
      <c r="Z415" s="2" t="str">
        <f t="shared" si="48"/>
        <v/>
      </c>
      <c r="AA415" s="2"/>
      <c r="AB415" s="2"/>
    </row>
    <row r="416" spans="1:28" ht="16">
      <c r="A416" s="31"/>
      <c r="B416" s="32"/>
      <c r="C416" s="32"/>
      <c r="D416" s="32"/>
      <c r="E416" s="32"/>
      <c r="F416" s="33"/>
      <c r="G416" s="2"/>
      <c r="H416" s="2"/>
      <c r="I416" s="2"/>
      <c r="J416" s="35" t="str">
        <f>IF(H416&lt;&gt;"",IFERROR(VLOOKUP(IFERROR(LEFT(H416,FIND("-",H416)-1),H416),'Catalogo MINSAL'!A:E,5,FALSE),""),IF(I416&lt;&gt;"",IFERROR(VLOOKUP(IFERROR(LEFT(I416,FIND("-",I416)-1),I416),'Catalogo MINSAL'!A:E,5,FALSE),""),""))</f>
        <v/>
      </c>
      <c r="K416" s="2"/>
      <c r="L416" s="2"/>
      <c r="M416" s="2"/>
      <c r="N416" s="2"/>
      <c r="O416" s="2"/>
      <c r="P416" s="2"/>
      <c r="Q416" s="24"/>
      <c r="R416" s="2" t="str">
        <f t="shared" si="42"/>
        <v/>
      </c>
      <c r="S416" s="2"/>
      <c r="T416" s="2"/>
      <c r="U416" s="2" t="str">
        <f t="shared" si="43"/>
        <v/>
      </c>
      <c r="V416" s="10" t="str">
        <f t="shared" si="44"/>
        <v/>
      </c>
      <c r="W416" s="10" t="str">
        <f t="shared" si="45"/>
        <v/>
      </c>
      <c r="X416" s="38" t="str">
        <f t="shared" si="46"/>
        <v/>
      </c>
      <c r="Y416" s="10" t="str">
        <f t="shared" si="47"/>
        <v/>
      </c>
      <c r="Z416" s="2" t="str">
        <f t="shared" si="48"/>
        <v/>
      </c>
      <c r="AA416" s="2"/>
      <c r="AB416" s="2"/>
    </row>
    <row r="417" spans="1:28" ht="16">
      <c r="A417" s="31"/>
      <c r="B417" s="32"/>
      <c r="C417" s="32"/>
      <c r="D417" s="32"/>
      <c r="E417" s="32"/>
      <c r="F417" s="33"/>
      <c r="G417" s="2"/>
      <c r="H417" s="2"/>
      <c r="I417" s="2"/>
      <c r="J417" s="35" t="str">
        <f>IF(H417&lt;&gt;"",IFERROR(VLOOKUP(IFERROR(LEFT(H417,FIND("-",H417)-1),H417),'Catalogo MINSAL'!A:E,5,FALSE),""),IF(I417&lt;&gt;"",IFERROR(VLOOKUP(IFERROR(LEFT(I417,FIND("-",I417)-1),I417),'Catalogo MINSAL'!A:E,5,FALSE),""),""))</f>
        <v/>
      </c>
      <c r="K417" s="2"/>
      <c r="L417" s="2"/>
      <c r="M417" s="2"/>
      <c r="N417" s="2"/>
      <c r="O417" s="2"/>
      <c r="P417" s="2"/>
      <c r="Q417" s="24"/>
      <c r="R417" s="2" t="str">
        <f t="shared" si="42"/>
        <v/>
      </c>
      <c r="S417" s="2"/>
      <c r="T417" s="2"/>
      <c r="U417" s="2" t="str">
        <f t="shared" si="43"/>
        <v/>
      </c>
      <c r="V417" s="10" t="str">
        <f t="shared" si="44"/>
        <v/>
      </c>
      <c r="W417" s="10" t="str">
        <f t="shared" si="45"/>
        <v/>
      </c>
      <c r="X417" s="38" t="str">
        <f t="shared" si="46"/>
        <v/>
      </c>
      <c r="Y417" s="10" t="str">
        <f t="shared" si="47"/>
        <v/>
      </c>
      <c r="Z417" s="2" t="str">
        <f t="shared" si="48"/>
        <v/>
      </c>
      <c r="AA417" s="2"/>
      <c r="AB417" s="2"/>
    </row>
    <row r="418" spans="1:28" ht="16">
      <c r="A418" s="31"/>
      <c r="B418" s="32"/>
      <c r="C418" s="32"/>
      <c r="D418" s="32"/>
      <c r="E418" s="32"/>
      <c r="F418" s="33"/>
      <c r="G418" s="2"/>
      <c r="H418" s="2"/>
      <c r="I418" s="2"/>
      <c r="J418" s="35" t="str">
        <f>IF(H418&lt;&gt;"",IFERROR(VLOOKUP(IFERROR(LEFT(H418,FIND("-",H418)-1),H418),'Catalogo MINSAL'!A:E,5,FALSE),""),IF(I418&lt;&gt;"",IFERROR(VLOOKUP(IFERROR(LEFT(I418,FIND("-",I418)-1),I418),'Catalogo MINSAL'!A:E,5,FALSE),""),""))</f>
        <v/>
      </c>
      <c r="K418" s="2"/>
      <c r="L418" s="2"/>
      <c r="M418" s="2"/>
      <c r="N418" s="2"/>
      <c r="O418" s="2"/>
      <c r="P418" s="2"/>
      <c r="Q418" s="24"/>
      <c r="R418" s="2" t="str">
        <f t="shared" si="42"/>
        <v/>
      </c>
      <c r="S418" s="2"/>
      <c r="T418" s="2"/>
      <c r="U418" s="2" t="str">
        <f t="shared" si="43"/>
        <v/>
      </c>
      <c r="V418" s="10" t="str">
        <f t="shared" si="44"/>
        <v/>
      </c>
      <c r="W418" s="10" t="str">
        <f t="shared" si="45"/>
        <v/>
      </c>
      <c r="X418" s="38" t="str">
        <f t="shared" si="46"/>
        <v/>
      </c>
      <c r="Y418" s="10" t="str">
        <f t="shared" si="47"/>
        <v/>
      </c>
      <c r="Z418" s="2" t="str">
        <f t="shared" si="48"/>
        <v/>
      </c>
      <c r="AA418" s="2"/>
      <c r="AB418" s="2"/>
    </row>
    <row r="419" spans="1:28" ht="16">
      <c r="A419" s="31"/>
      <c r="B419" s="32"/>
      <c r="C419" s="32"/>
      <c r="D419" s="32"/>
      <c r="E419" s="32"/>
      <c r="F419" s="33"/>
      <c r="G419" s="2"/>
      <c r="H419" s="2"/>
      <c r="I419" s="2"/>
      <c r="J419" s="35" t="str">
        <f>IF(H419&lt;&gt;"",IFERROR(VLOOKUP(IFERROR(LEFT(H419,FIND("-",H419)-1),H419),'Catalogo MINSAL'!A:E,5,FALSE),""),IF(I419&lt;&gt;"",IFERROR(VLOOKUP(IFERROR(LEFT(I419,FIND("-",I419)-1),I419),'Catalogo MINSAL'!A:E,5,FALSE),""),""))</f>
        <v/>
      </c>
      <c r="K419" s="2"/>
      <c r="L419" s="2"/>
      <c r="M419" s="2"/>
      <c r="N419" s="2"/>
      <c r="O419" s="2"/>
      <c r="P419" s="2"/>
      <c r="Q419" s="24"/>
      <c r="R419" s="2" t="str">
        <f t="shared" si="42"/>
        <v/>
      </c>
      <c r="S419" s="2"/>
      <c r="T419" s="2"/>
      <c r="U419" s="2" t="str">
        <f t="shared" si="43"/>
        <v/>
      </c>
      <c r="V419" s="10" t="str">
        <f t="shared" si="44"/>
        <v/>
      </c>
      <c r="W419" s="10" t="str">
        <f t="shared" si="45"/>
        <v/>
      </c>
      <c r="X419" s="38" t="str">
        <f t="shared" si="46"/>
        <v/>
      </c>
      <c r="Y419" s="10" t="str">
        <f t="shared" si="47"/>
        <v/>
      </c>
      <c r="Z419" s="2" t="str">
        <f t="shared" si="48"/>
        <v/>
      </c>
      <c r="AA419" s="2"/>
      <c r="AB419" s="2"/>
    </row>
    <row r="420" spans="1:28" ht="16">
      <c r="A420" s="31"/>
      <c r="B420" s="32"/>
      <c r="C420" s="32"/>
      <c r="D420" s="32"/>
      <c r="E420" s="32"/>
      <c r="F420" s="33"/>
      <c r="G420" s="2"/>
      <c r="H420" s="2"/>
      <c r="I420" s="2"/>
      <c r="J420" s="35" t="str">
        <f>IF(H420&lt;&gt;"",IFERROR(VLOOKUP(IFERROR(LEFT(H420,FIND("-",H420)-1),H420),'Catalogo MINSAL'!A:E,5,FALSE),""),IF(I420&lt;&gt;"",IFERROR(VLOOKUP(IFERROR(LEFT(I420,FIND("-",I420)-1),I420),'Catalogo MINSAL'!A:E,5,FALSE),""),""))</f>
        <v/>
      </c>
      <c r="K420" s="2"/>
      <c r="L420" s="2"/>
      <c r="M420" s="2"/>
      <c r="N420" s="2"/>
      <c r="O420" s="2"/>
      <c r="P420" s="2"/>
      <c r="Q420" s="24"/>
      <c r="R420" s="2" t="str">
        <f t="shared" si="42"/>
        <v/>
      </c>
      <c r="S420" s="2"/>
      <c r="T420" s="2"/>
      <c r="U420" s="2" t="str">
        <f t="shared" si="43"/>
        <v/>
      </c>
      <c r="V420" s="10" t="str">
        <f t="shared" si="44"/>
        <v/>
      </c>
      <c r="W420" s="10" t="str">
        <f t="shared" si="45"/>
        <v/>
      </c>
      <c r="X420" s="38" t="str">
        <f t="shared" si="46"/>
        <v/>
      </c>
      <c r="Y420" s="10" t="str">
        <f t="shared" si="47"/>
        <v/>
      </c>
      <c r="Z420" s="2" t="str">
        <f t="shared" si="48"/>
        <v/>
      </c>
      <c r="AA420" s="2"/>
      <c r="AB420" s="2"/>
    </row>
    <row r="421" spans="1:28" ht="16">
      <c r="A421" s="31"/>
      <c r="B421" s="32"/>
      <c r="C421" s="32"/>
      <c r="D421" s="32"/>
      <c r="E421" s="32"/>
      <c r="F421" s="33"/>
      <c r="G421" s="2"/>
      <c r="H421" s="2"/>
      <c r="I421" s="2"/>
      <c r="J421" s="35" t="str">
        <f>IF(H421&lt;&gt;"",IFERROR(VLOOKUP(IFERROR(LEFT(H421,FIND("-",H421)-1),H421),'Catalogo MINSAL'!A:E,5,FALSE),""),IF(I421&lt;&gt;"",IFERROR(VLOOKUP(IFERROR(LEFT(I421,FIND("-",I421)-1),I421),'Catalogo MINSAL'!A:E,5,FALSE),""),""))</f>
        <v/>
      </c>
      <c r="K421" s="2"/>
      <c r="L421" s="2"/>
      <c r="M421" s="2"/>
      <c r="N421" s="2"/>
      <c r="O421" s="2"/>
      <c r="P421" s="2"/>
      <c r="Q421" s="24"/>
      <c r="R421" s="2" t="str">
        <f t="shared" si="42"/>
        <v/>
      </c>
      <c r="S421" s="2"/>
      <c r="T421" s="2"/>
      <c r="U421" s="2" t="str">
        <f t="shared" si="43"/>
        <v/>
      </c>
      <c r="V421" s="10" t="str">
        <f t="shared" si="44"/>
        <v/>
      </c>
      <c r="W421" s="10" t="str">
        <f t="shared" si="45"/>
        <v/>
      </c>
      <c r="X421" s="38" t="str">
        <f t="shared" si="46"/>
        <v/>
      </c>
      <c r="Y421" s="10" t="str">
        <f t="shared" si="47"/>
        <v/>
      </c>
      <c r="Z421" s="2" t="str">
        <f t="shared" si="48"/>
        <v/>
      </c>
      <c r="AA421" s="2"/>
      <c r="AB421" s="2"/>
    </row>
    <row r="422" spans="1:28" ht="16">
      <c r="A422" s="31"/>
      <c r="B422" s="32"/>
      <c r="C422" s="32"/>
      <c r="D422" s="32"/>
      <c r="E422" s="32"/>
      <c r="F422" s="33"/>
      <c r="G422" s="2"/>
      <c r="H422" s="2"/>
      <c r="I422" s="2"/>
      <c r="J422" s="35" t="str">
        <f>IF(H422&lt;&gt;"",IFERROR(VLOOKUP(IFERROR(LEFT(H422,FIND("-",H422)-1),H422),'Catalogo MINSAL'!A:E,5,FALSE),""),IF(I422&lt;&gt;"",IFERROR(VLOOKUP(IFERROR(LEFT(I422,FIND("-",I422)-1),I422),'Catalogo MINSAL'!A:E,5,FALSE),""),""))</f>
        <v/>
      </c>
      <c r="K422" s="2"/>
      <c r="L422" s="2"/>
      <c r="M422" s="2"/>
      <c r="N422" s="2"/>
      <c r="O422" s="2"/>
      <c r="P422" s="2"/>
      <c r="Q422" s="24"/>
      <c r="R422" s="2" t="str">
        <f t="shared" si="42"/>
        <v/>
      </c>
      <c r="S422" s="2"/>
      <c r="T422" s="2"/>
      <c r="U422" s="2" t="str">
        <f t="shared" si="43"/>
        <v/>
      </c>
      <c r="V422" s="10" t="str">
        <f t="shared" si="44"/>
        <v/>
      </c>
      <c r="W422" s="10" t="str">
        <f t="shared" si="45"/>
        <v/>
      </c>
      <c r="X422" s="38" t="str">
        <f t="shared" si="46"/>
        <v/>
      </c>
      <c r="Y422" s="10" t="str">
        <f t="shared" si="47"/>
        <v/>
      </c>
      <c r="Z422" s="2" t="str">
        <f t="shared" si="48"/>
        <v/>
      </c>
      <c r="AA422" s="2"/>
      <c r="AB422" s="2"/>
    </row>
    <row r="423" spans="1:28" ht="16">
      <c r="A423" s="31"/>
      <c r="B423" s="32"/>
      <c r="C423" s="32"/>
      <c r="D423" s="32"/>
      <c r="E423" s="32"/>
      <c r="F423" s="33"/>
      <c r="G423" s="2"/>
      <c r="H423" s="2"/>
      <c r="I423" s="2"/>
      <c r="J423" s="35" t="str">
        <f>IF(H423&lt;&gt;"",IFERROR(VLOOKUP(IFERROR(LEFT(H423,FIND("-",H423)-1),H423),'Catalogo MINSAL'!A:E,5,FALSE),""),IF(I423&lt;&gt;"",IFERROR(VLOOKUP(IFERROR(LEFT(I423,FIND("-",I423)-1),I423),'Catalogo MINSAL'!A:E,5,FALSE),""),""))</f>
        <v/>
      </c>
      <c r="K423" s="2"/>
      <c r="L423" s="2"/>
      <c r="M423" s="2"/>
      <c r="N423" s="2"/>
      <c r="O423" s="2"/>
      <c r="P423" s="2"/>
      <c r="Q423" s="24"/>
      <c r="R423" s="2" t="str">
        <f t="shared" si="42"/>
        <v/>
      </c>
      <c r="S423" s="2"/>
      <c r="T423" s="2"/>
      <c r="U423" s="2" t="str">
        <f t="shared" si="43"/>
        <v/>
      </c>
      <c r="V423" s="10" t="str">
        <f t="shared" si="44"/>
        <v/>
      </c>
      <c r="W423" s="10" t="str">
        <f t="shared" si="45"/>
        <v/>
      </c>
      <c r="X423" s="38" t="str">
        <f t="shared" si="46"/>
        <v/>
      </c>
      <c r="Y423" s="10" t="str">
        <f t="shared" si="47"/>
        <v/>
      </c>
      <c r="Z423" s="2" t="str">
        <f t="shared" si="48"/>
        <v/>
      </c>
      <c r="AA423" s="2"/>
      <c r="AB423" s="2"/>
    </row>
    <row r="424" spans="1:28" ht="16">
      <c r="A424" s="31"/>
      <c r="B424" s="32"/>
      <c r="C424" s="32"/>
      <c r="D424" s="32"/>
      <c r="E424" s="32"/>
      <c r="F424" s="33"/>
      <c r="G424" s="2"/>
      <c r="H424" s="2"/>
      <c r="I424" s="2"/>
      <c r="J424" s="35" t="str">
        <f>IF(H424&lt;&gt;"",IFERROR(VLOOKUP(IFERROR(LEFT(H424,FIND("-",H424)-1),H424),'Catalogo MINSAL'!A:E,5,FALSE),""),IF(I424&lt;&gt;"",IFERROR(VLOOKUP(IFERROR(LEFT(I424,FIND("-",I424)-1),I424),'Catalogo MINSAL'!A:E,5,FALSE),""),""))</f>
        <v/>
      </c>
      <c r="K424" s="2"/>
      <c r="L424" s="2"/>
      <c r="M424" s="2"/>
      <c r="N424" s="2"/>
      <c r="O424" s="2"/>
      <c r="P424" s="2"/>
      <c r="Q424" s="24"/>
      <c r="R424" s="2" t="str">
        <f t="shared" si="42"/>
        <v/>
      </c>
      <c r="S424" s="2"/>
      <c r="T424" s="2"/>
      <c r="U424" s="2" t="str">
        <f t="shared" si="43"/>
        <v/>
      </c>
      <c r="V424" s="10" t="str">
        <f t="shared" si="44"/>
        <v/>
      </c>
      <c r="W424" s="10" t="str">
        <f t="shared" si="45"/>
        <v/>
      </c>
      <c r="X424" s="38" t="str">
        <f t="shared" si="46"/>
        <v/>
      </c>
      <c r="Y424" s="10" t="str">
        <f t="shared" si="47"/>
        <v/>
      </c>
      <c r="Z424" s="2" t="str">
        <f t="shared" si="48"/>
        <v/>
      </c>
      <c r="AA424" s="2"/>
      <c r="AB424" s="2"/>
    </row>
    <row r="425" spans="1:28" ht="16">
      <c r="A425" s="31"/>
      <c r="B425" s="32"/>
      <c r="C425" s="32"/>
      <c r="D425" s="32"/>
      <c r="E425" s="32"/>
      <c r="F425" s="33"/>
      <c r="G425" s="2"/>
      <c r="H425" s="2"/>
      <c r="I425" s="2"/>
      <c r="J425" s="35" t="str">
        <f>IF(H425&lt;&gt;"",IFERROR(VLOOKUP(IFERROR(LEFT(H425,FIND("-",H425)-1),H425),'Catalogo MINSAL'!A:E,5,FALSE),""),IF(I425&lt;&gt;"",IFERROR(VLOOKUP(IFERROR(LEFT(I425,FIND("-",I425)-1),I425),'Catalogo MINSAL'!A:E,5,FALSE),""),""))</f>
        <v/>
      </c>
      <c r="K425" s="2"/>
      <c r="L425" s="2"/>
      <c r="M425" s="2"/>
      <c r="N425" s="2"/>
      <c r="O425" s="2"/>
      <c r="P425" s="2"/>
      <c r="Q425" s="24"/>
      <c r="R425" s="2" t="str">
        <f t="shared" si="42"/>
        <v/>
      </c>
      <c r="S425" s="2"/>
      <c r="T425" s="2"/>
      <c r="U425" s="2" t="str">
        <f t="shared" si="43"/>
        <v/>
      </c>
      <c r="V425" s="10" t="str">
        <f t="shared" si="44"/>
        <v/>
      </c>
      <c r="W425" s="10" t="str">
        <f t="shared" si="45"/>
        <v/>
      </c>
      <c r="X425" s="38" t="str">
        <f t="shared" si="46"/>
        <v/>
      </c>
      <c r="Y425" s="10" t="str">
        <f t="shared" si="47"/>
        <v/>
      </c>
      <c r="Z425" s="2" t="str">
        <f t="shared" si="48"/>
        <v/>
      </c>
      <c r="AA425" s="2"/>
      <c r="AB425" s="2"/>
    </row>
    <row r="426" spans="1:28" ht="16">
      <c r="A426" s="31"/>
      <c r="B426" s="32"/>
      <c r="C426" s="32"/>
      <c r="D426" s="32"/>
      <c r="E426" s="32"/>
      <c r="F426" s="33"/>
      <c r="G426" s="2"/>
      <c r="H426" s="2"/>
      <c r="I426" s="2"/>
      <c r="J426" s="35" t="str">
        <f>IF(H426&lt;&gt;"",IFERROR(VLOOKUP(IFERROR(LEFT(H426,FIND("-",H426)-1),H426),'Catalogo MINSAL'!A:E,5,FALSE),""),IF(I426&lt;&gt;"",IFERROR(VLOOKUP(IFERROR(LEFT(I426,FIND("-",I426)-1),I426),'Catalogo MINSAL'!A:E,5,FALSE),""),""))</f>
        <v/>
      </c>
      <c r="K426" s="2"/>
      <c r="L426" s="2"/>
      <c r="M426" s="2"/>
      <c r="N426" s="2"/>
      <c r="O426" s="2"/>
      <c r="P426" s="2"/>
      <c r="Q426" s="24"/>
      <c r="R426" s="2" t="str">
        <f t="shared" si="42"/>
        <v/>
      </c>
      <c r="S426" s="2"/>
      <c r="T426" s="2"/>
      <c r="U426" s="2" t="str">
        <f t="shared" si="43"/>
        <v/>
      </c>
      <c r="V426" s="10" t="str">
        <f t="shared" si="44"/>
        <v/>
      </c>
      <c r="W426" s="10" t="str">
        <f t="shared" si="45"/>
        <v/>
      </c>
      <c r="X426" s="38" t="str">
        <f t="shared" si="46"/>
        <v/>
      </c>
      <c r="Y426" s="10" t="str">
        <f t="shared" si="47"/>
        <v/>
      </c>
      <c r="Z426" s="2" t="str">
        <f t="shared" si="48"/>
        <v/>
      </c>
      <c r="AA426" s="2"/>
      <c r="AB426" s="2"/>
    </row>
    <row r="427" spans="1:28" ht="16">
      <c r="A427" s="31"/>
      <c r="B427" s="32"/>
      <c r="C427" s="32"/>
      <c r="D427" s="32"/>
      <c r="E427" s="32"/>
      <c r="F427" s="33"/>
      <c r="G427" s="2"/>
      <c r="H427" s="2"/>
      <c r="I427" s="2"/>
      <c r="J427" s="35" t="str">
        <f>IF(H427&lt;&gt;"",IFERROR(VLOOKUP(IFERROR(LEFT(H427,FIND("-",H427)-1),H427),'Catalogo MINSAL'!A:E,5,FALSE),""),IF(I427&lt;&gt;"",IFERROR(VLOOKUP(IFERROR(LEFT(I427,FIND("-",I427)-1),I427),'Catalogo MINSAL'!A:E,5,FALSE),""),""))</f>
        <v/>
      </c>
      <c r="K427" s="2"/>
      <c r="L427" s="2"/>
      <c r="M427" s="2"/>
      <c r="N427" s="2"/>
      <c r="O427" s="2"/>
      <c r="P427" s="2"/>
      <c r="Q427" s="24"/>
      <c r="R427" s="2" t="str">
        <f t="shared" si="42"/>
        <v/>
      </c>
      <c r="S427" s="2"/>
      <c r="T427" s="2"/>
      <c r="U427" s="2" t="str">
        <f t="shared" si="43"/>
        <v/>
      </c>
      <c r="V427" s="10" t="str">
        <f t="shared" si="44"/>
        <v/>
      </c>
      <c r="W427" s="10" t="str">
        <f t="shared" si="45"/>
        <v/>
      </c>
      <c r="X427" s="38" t="str">
        <f t="shared" si="46"/>
        <v/>
      </c>
      <c r="Y427" s="10" t="str">
        <f t="shared" si="47"/>
        <v/>
      </c>
      <c r="Z427" s="2" t="str">
        <f t="shared" si="48"/>
        <v/>
      </c>
      <c r="AA427" s="2"/>
      <c r="AB427" s="2"/>
    </row>
    <row r="428" spans="1:28" ht="16">
      <c r="A428" s="31"/>
      <c r="B428" s="32"/>
      <c r="C428" s="32"/>
      <c r="D428" s="32"/>
      <c r="E428" s="32"/>
      <c r="F428" s="33"/>
      <c r="G428" s="2"/>
      <c r="H428" s="2"/>
      <c r="I428" s="2"/>
      <c r="J428" s="35" t="str">
        <f>IF(H428&lt;&gt;"",IFERROR(VLOOKUP(IFERROR(LEFT(H428,FIND("-",H428)-1),H428),'Catalogo MINSAL'!A:E,5,FALSE),""),IF(I428&lt;&gt;"",IFERROR(VLOOKUP(IFERROR(LEFT(I428,FIND("-",I428)-1),I428),'Catalogo MINSAL'!A:E,5,FALSE),""),""))</f>
        <v/>
      </c>
      <c r="K428" s="2"/>
      <c r="L428" s="2"/>
      <c r="M428" s="2"/>
      <c r="N428" s="2"/>
      <c r="O428" s="2"/>
      <c r="P428" s="2"/>
      <c r="Q428" s="24"/>
      <c r="R428" s="2" t="str">
        <f t="shared" si="42"/>
        <v/>
      </c>
      <c r="S428" s="2"/>
      <c r="T428" s="2"/>
      <c r="U428" s="2" t="str">
        <f t="shared" si="43"/>
        <v/>
      </c>
      <c r="V428" s="10" t="str">
        <f t="shared" si="44"/>
        <v/>
      </c>
      <c r="W428" s="10" t="str">
        <f t="shared" si="45"/>
        <v/>
      </c>
      <c r="X428" s="38" t="str">
        <f t="shared" si="46"/>
        <v/>
      </c>
      <c r="Y428" s="10" t="str">
        <f t="shared" si="47"/>
        <v/>
      </c>
      <c r="Z428" s="2" t="str">
        <f t="shared" si="48"/>
        <v/>
      </c>
      <c r="AA428" s="2"/>
      <c r="AB428" s="2"/>
    </row>
    <row r="429" spans="1:28" ht="16">
      <c r="A429" s="31"/>
      <c r="B429" s="32"/>
      <c r="C429" s="32"/>
      <c r="D429" s="32"/>
      <c r="E429" s="32"/>
      <c r="F429" s="33"/>
      <c r="G429" s="2"/>
      <c r="H429" s="2"/>
      <c r="I429" s="2"/>
      <c r="J429" s="35" t="str">
        <f>IF(H429&lt;&gt;"",IFERROR(VLOOKUP(IFERROR(LEFT(H429,FIND("-",H429)-1),H429),'Catalogo MINSAL'!A:E,5,FALSE),""),IF(I429&lt;&gt;"",IFERROR(VLOOKUP(IFERROR(LEFT(I429,FIND("-",I429)-1),I429),'Catalogo MINSAL'!A:E,5,FALSE),""),""))</f>
        <v/>
      </c>
      <c r="K429" s="2"/>
      <c r="L429" s="2"/>
      <c r="M429" s="2"/>
      <c r="N429" s="2"/>
      <c r="O429" s="2"/>
      <c r="P429" s="2"/>
      <c r="Q429" s="24"/>
      <c r="R429" s="2" t="str">
        <f t="shared" si="42"/>
        <v/>
      </c>
      <c r="S429" s="2"/>
      <c r="T429" s="2"/>
      <c r="U429" s="2" t="str">
        <f t="shared" si="43"/>
        <v/>
      </c>
      <c r="V429" s="10" t="str">
        <f t="shared" si="44"/>
        <v/>
      </c>
      <c r="W429" s="10" t="str">
        <f t="shared" si="45"/>
        <v/>
      </c>
      <c r="X429" s="38" t="str">
        <f t="shared" si="46"/>
        <v/>
      </c>
      <c r="Y429" s="10" t="str">
        <f t="shared" si="47"/>
        <v/>
      </c>
      <c r="Z429" s="2" t="str">
        <f t="shared" si="48"/>
        <v/>
      </c>
      <c r="AA429" s="2"/>
      <c r="AB429" s="2"/>
    </row>
    <row r="430" spans="1:28" ht="16">
      <c r="A430" s="31"/>
      <c r="B430" s="32"/>
      <c r="C430" s="32"/>
      <c r="D430" s="32"/>
      <c r="E430" s="32"/>
      <c r="F430" s="33"/>
      <c r="G430" s="2"/>
      <c r="H430" s="2"/>
      <c r="I430" s="2"/>
      <c r="J430" s="35" t="str">
        <f>IF(H430&lt;&gt;"",IFERROR(VLOOKUP(IFERROR(LEFT(H430,FIND("-",H430)-1),H430),'Catalogo MINSAL'!A:E,5,FALSE),""),IF(I430&lt;&gt;"",IFERROR(VLOOKUP(IFERROR(LEFT(I430,FIND("-",I430)-1),I430),'Catalogo MINSAL'!A:E,5,FALSE),""),""))</f>
        <v/>
      </c>
      <c r="K430" s="2"/>
      <c r="L430" s="2"/>
      <c r="M430" s="2"/>
      <c r="N430" s="2"/>
      <c r="O430" s="2"/>
      <c r="P430" s="2"/>
      <c r="Q430" s="24"/>
      <c r="R430" s="2" t="str">
        <f t="shared" si="42"/>
        <v/>
      </c>
      <c r="S430" s="2"/>
      <c r="T430" s="2"/>
      <c r="U430" s="2" t="str">
        <f t="shared" si="43"/>
        <v/>
      </c>
      <c r="V430" s="10" t="str">
        <f t="shared" si="44"/>
        <v/>
      </c>
      <c r="W430" s="10" t="str">
        <f t="shared" si="45"/>
        <v/>
      </c>
      <c r="X430" s="38" t="str">
        <f t="shared" si="46"/>
        <v/>
      </c>
      <c r="Y430" s="10" t="str">
        <f t="shared" si="47"/>
        <v/>
      </c>
      <c r="Z430" s="2" t="str">
        <f t="shared" si="48"/>
        <v/>
      </c>
      <c r="AA430" s="2"/>
      <c r="AB430" s="2"/>
    </row>
    <row r="431" spans="1:28" ht="16">
      <c r="A431" s="31"/>
      <c r="B431" s="32"/>
      <c r="C431" s="32"/>
      <c r="D431" s="32"/>
      <c r="E431" s="32"/>
      <c r="F431" s="33"/>
      <c r="G431" s="2"/>
      <c r="H431" s="2"/>
      <c r="I431" s="2"/>
      <c r="J431" s="35" t="str">
        <f>IF(H431&lt;&gt;"",IFERROR(VLOOKUP(IFERROR(LEFT(H431,FIND("-",H431)-1),H431),'Catalogo MINSAL'!A:E,5,FALSE),""),IF(I431&lt;&gt;"",IFERROR(VLOOKUP(IFERROR(LEFT(I431,FIND("-",I431)-1),I431),'Catalogo MINSAL'!A:E,5,FALSE),""),""))</f>
        <v/>
      </c>
      <c r="K431" s="2"/>
      <c r="L431" s="2"/>
      <c r="M431" s="2"/>
      <c r="N431" s="2"/>
      <c r="O431" s="2"/>
      <c r="P431" s="2"/>
      <c r="Q431" s="24"/>
      <c r="R431" s="2" t="str">
        <f t="shared" si="42"/>
        <v/>
      </c>
      <c r="S431" s="2"/>
      <c r="T431" s="2"/>
      <c r="U431" s="2" t="str">
        <f t="shared" si="43"/>
        <v/>
      </c>
      <c r="V431" s="10" t="str">
        <f t="shared" si="44"/>
        <v/>
      </c>
      <c r="W431" s="10" t="str">
        <f t="shared" si="45"/>
        <v/>
      </c>
      <c r="X431" s="38" t="str">
        <f t="shared" si="46"/>
        <v/>
      </c>
      <c r="Y431" s="10" t="str">
        <f t="shared" si="47"/>
        <v/>
      </c>
      <c r="Z431" s="2" t="str">
        <f t="shared" si="48"/>
        <v/>
      </c>
      <c r="AA431" s="2"/>
      <c r="AB431" s="2"/>
    </row>
    <row r="432" spans="1:28" ht="16">
      <c r="A432" s="31"/>
      <c r="B432" s="32"/>
      <c r="C432" s="32"/>
      <c r="D432" s="32"/>
      <c r="E432" s="32"/>
      <c r="F432" s="33"/>
      <c r="G432" s="2"/>
      <c r="H432" s="2"/>
      <c r="I432" s="2"/>
      <c r="J432" s="35" t="str">
        <f>IF(H432&lt;&gt;"",IFERROR(VLOOKUP(IFERROR(LEFT(H432,FIND("-",H432)-1),H432),'Catalogo MINSAL'!A:E,5,FALSE),""),IF(I432&lt;&gt;"",IFERROR(VLOOKUP(IFERROR(LEFT(I432,FIND("-",I432)-1),I432),'Catalogo MINSAL'!A:E,5,FALSE),""),""))</f>
        <v/>
      </c>
      <c r="K432" s="2"/>
      <c r="L432" s="2"/>
      <c r="M432" s="2"/>
      <c r="N432" s="2"/>
      <c r="O432" s="2"/>
      <c r="P432" s="2"/>
      <c r="Q432" s="24"/>
      <c r="R432" s="2" t="str">
        <f t="shared" si="42"/>
        <v/>
      </c>
      <c r="S432" s="2"/>
      <c r="T432" s="2"/>
      <c r="U432" s="2" t="str">
        <f t="shared" si="43"/>
        <v/>
      </c>
      <c r="V432" s="10" t="str">
        <f t="shared" si="44"/>
        <v/>
      </c>
      <c r="W432" s="10" t="str">
        <f t="shared" si="45"/>
        <v/>
      </c>
      <c r="X432" s="38" t="str">
        <f t="shared" si="46"/>
        <v/>
      </c>
      <c r="Y432" s="10" t="str">
        <f t="shared" si="47"/>
        <v/>
      </c>
      <c r="Z432" s="2" t="str">
        <f t="shared" si="48"/>
        <v/>
      </c>
      <c r="AA432" s="2"/>
      <c r="AB432" s="2"/>
    </row>
    <row r="433" spans="1:28" ht="16">
      <c r="A433" s="31"/>
      <c r="B433" s="32"/>
      <c r="C433" s="32"/>
      <c r="D433" s="32"/>
      <c r="E433" s="32"/>
      <c r="F433" s="33"/>
      <c r="G433" s="2"/>
      <c r="H433" s="2"/>
      <c r="I433" s="2"/>
      <c r="J433" s="35" t="str">
        <f>IF(H433&lt;&gt;"",IFERROR(VLOOKUP(IFERROR(LEFT(H433,FIND("-",H433)-1),H433),'Catalogo MINSAL'!A:E,5,FALSE),""),IF(I433&lt;&gt;"",IFERROR(VLOOKUP(IFERROR(LEFT(I433,FIND("-",I433)-1),I433),'Catalogo MINSAL'!A:E,5,FALSE),""),""))</f>
        <v/>
      </c>
      <c r="K433" s="2"/>
      <c r="L433" s="2"/>
      <c r="M433" s="2"/>
      <c r="N433" s="2"/>
      <c r="O433" s="2"/>
      <c r="P433" s="2"/>
      <c r="Q433" s="24"/>
      <c r="R433" s="2" t="str">
        <f t="shared" si="42"/>
        <v/>
      </c>
      <c r="S433" s="2"/>
      <c r="T433" s="2"/>
      <c r="U433" s="2" t="str">
        <f t="shared" si="43"/>
        <v/>
      </c>
      <c r="V433" s="10" t="str">
        <f t="shared" si="44"/>
        <v/>
      </c>
      <c r="W433" s="10" t="str">
        <f t="shared" si="45"/>
        <v/>
      </c>
      <c r="X433" s="38" t="str">
        <f t="shared" si="46"/>
        <v/>
      </c>
      <c r="Y433" s="10" t="str">
        <f t="shared" si="47"/>
        <v/>
      </c>
      <c r="Z433" s="2" t="str">
        <f t="shared" si="48"/>
        <v/>
      </c>
      <c r="AA433" s="2"/>
      <c r="AB433" s="2"/>
    </row>
    <row r="434" spans="1:28" ht="16">
      <c r="A434" s="31"/>
      <c r="B434" s="32"/>
      <c r="C434" s="32"/>
      <c r="D434" s="32"/>
      <c r="E434" s="32"/>
      <c r="F434" s="33"/>
      <c r="G434" s="2"/>
      <c r="H434" s="2"/>
      <c r="I434" s="2"/>
      <c r="J434" s="35" t="str">
        <f>IF(H434&lt;&gt;"",IFERROR(VLOOKUP(IFERROR(LEFT(H434,FIND("-",H434)-1),H434),'Catalogo MINSAL'!A:E,5,FALSE),""),IF(I434&lt;&gt;"",IFERROR(VLOOKUP(IFERROR(LEFT(I434,FIND("-",I434)-1),I434),'Catalogo MINSAL'!A:E,5,FALSE),""),""))</f>
        <v/>
      </c>
      <c r="K434" s="2"/>
      <c r="L434" s="2"/>
      <c r="M434" s="2"/>
      <c r="N434" s="2"/>
      <c r="O434" s="2"/>
      <c r="P434" s="2"/>
      <c r="Q434" s="24"/>
      <c r="R434" s="2" t="str">
        <f t="shared" si="42"/>
        <v/>
      </c>
      <c r="S434" s="2"/>
      <c r="T434" s="2"/>
      <c r="U434" s="2" t="str">
        <f t="shared" si="43"/>
        <v/>
      </c>
      <c r="V434" s="10" t="str">
        <f t="shared" si="44"/>
        <v/>
      </c>
      <c r="W434" s="10" t="str">
        <f t="shared" si="45"/>
        <v/>
      </c>
      <c r="X434" s="38" t="str">
        <f t="shared" si="46"/>
        <v/>
      </c>
      <c r="Y434" s="10" t="str">
        <f t="shared" si="47"/>
        <v/>
      </c>
      <c r="Z434" s="2" t="str">
        <f t="shared" si="48"/>
        <v/>
      </c>
      <c r="AA434" s="2"/>
      <c r="AB434" s="2"/>
    </row>
    <row r="435" spans="1:28" ht="16">
      <c r="A435" s="31"/>
      <c r="B435" s="32"/>
      <c r="C435" s="32"/>
      <c r="D435" s="32"/>
      <c r="E435" s="32"/>
      <c r="F435" s="33"/>
      <c r="G435" s="2"/>
      <c r="H435" s="2"/>
      <c r="I435" s="2"/>
      <c r="J435" s="35" t="str">
        <f>IF(H435&lt;&gt;"",IFERROR(VLOOKUP(IFERROR(LEFT(H435,FIND("-",H435)-1),H435),'Catalogo MINSAL'!A:E,5,FALSE),""),IF(I435&lt;&gt;"",IFERROR(VLOOKUP(IFERROR(LEFT(I435,FIND("-",I435)-1),I435),'Catalogo MINSAL'!A:E,5,FALSE),""),""))</f>
        <v/>
      </c>
      <c r="K435" s="2"/>
      <c r="L435" s="2"/>
      <c r="M435" s="2"/>
      <c r="N435" s="2"/>
      <c r="O435" s="2"/>
      <c r="P435" s="2"/>
      <c r="Q435" s="24"/>
      <c r="R435" s="2" t="str">
        <f t="shared" si="42"/>
        <v/>
      </c>
      <c r="S435" s="2"/>
      <c r="T435" s="2"/>
      <c r="U435" s="2" t="str">
        <f t="shared" si="43"/>
        <v/>
      </c>
      <c r="V435" s="10" t="str">
        <f t="shared" si="44"/>
        <v/>
      </c>
      <c r="W435" s="10" t="str">
        <f t="shared" si="45"/>
        <v/>
      </c>
      <c r="X435" s="38" t="str">
        <f t="shared" si="46"/>
        <v/>
      </c>
      <c r="Y435" s="10" t="str">
        <f t="shared" si="47"/>
        <v/>
      </c>
      <c r="Z435" s="2" t="str">
        <f t="shared" si="48"/>
        <v/>
      </c>
      <c r="AA435" s="2"/>
      <c r="AB435" s="2"/>
    </row>
    <row r="436" spans="1:28" ht="16">
      <c r="A436" s="31"/>
      <c r="B436" s="32"/>
      <c r="C436" s="32"/>
      <c r="D436" s="32"/>
      <c r="E436" s="32"/>
      <c r="F436" s="33"/>
      <c r="G436" s="2"/>
      <c r="H436" s="2"/>
      <c r="I436" s="2"/>
      <c r="J436" s="35" t="str">
        <f>IF(H436&lt;&gt;"",IFERROR(VLOOKUP(IFERROR(LEFT(H436,FIND("-",H436)-1),H436),'Catalogo MINSAL'!A:E,5,FALSE),""),IF(I436&lt;&gt;"",IFERROR(VLOOKUP(IFERROR(LEFT(I436,FIND("-",I436)-1),I436),'Catalogo MINSAL'!A:E,5,FALSE),""),""))</f>
        <v/>
      </c>
      <c r="K436" s="2"/>
      <c r="L436" s="2"/>
      <c r="M436" s="2"/>
      <c r="N436" s="2"/>
      <c r="O436" s="2"/>
      <c r="P436" s="2"/>
      <c r="Q436" s="24"/>
      <c r="R436" s="2" t="str">
        <f t="shared" si="42"/>
        <v/>
      </c>
      <c r="S436" s="2"/>
      <c r="T436" s="2"/>
      <c r="U436" s="2" t="str">
        <f t="shared" si="43"/>
        <v/>
      </c>
      <c r="V436" s="10" t="str">
        <f t="shared" si="44"/>
        <v/>
      </c>
      <c r="W436" s="10" t="str">
        <f t="shared" si="45"/>
        <v/>
      </c>
      <c r="X436" s="38" t="str">
        <f t="shared" si="46"/>
        <v/>
      </c>
      <c r="Y436" s="10" t="str">
        <f t="shared" si="47"/>
        <v/>
      </c>
      <c r="Z436" s="2" t="str">
        <f t="shared" si="48"/>
        <v/>
      </c>
      <c r="AA436" s="2"/>
      <c r="AB436" s="2"/>
    </row>
    <row r="437" spans="1:28" ht="16">
      <c r="A437" s="31"/>
      <c r="B437" s="32"/>
      <c r="C437" s="32"/>
      <c r="D437" s="32"/>
      <c r="E437" s="32"/>
      <c r="F437" s="33"/>
      <c r="G437" s="2"/>
      <c r="H437" s="2"/>
      <c r="I437" s="2"/>
      <c r="J437" s="35" t="str">
        <f>IF(H437&lt;&gt;"",IFERROR(VLOOKUP(IFERROR(LEFT(H437,FIND("-",H437)-1),H437),'Catalogo MINSAL'!A:E,5,FALSE),""),IF(I437&lt;&gt;"",IFERROR(VLOOKUP(IFERROR(LEFT(I437,FIND("-",I437)-1),I437),'Catalogo MINSAL'!A:E,5,FALSE),""),""))</f>
        <v/>
      </c>
      <c r="K437" s="2"/>
      <c r="L437" s="2"/>
      <c r="M437" s="2"/>
      <c r="N437" s="2"/>
      <c r="O437" s="2"/>
      <c r="P437" s="2"/>
      <c r="Q437" s="24"/>
      <c r="R437" s="2" t="str">
        <f t="shared" si="42"/>
        <v/>
      </c>
      <c r="S437" s="2"/>
      <c r="T437" s="2"/>
      <c r="U437" s="2" t="str">
        <f t="shared" si="43"/>
        <v/>
      </c>
      <c r="V437" s="10" t="str">
        <f t="shared" si="44"/>
        <v/>
      </c>
      <c r="W437" s="10" t="str">
        <f t="shared" si="45"/>
        <v/>
      </c>
      <c r="X437" s="38" t="str">
        <f t="shared" si="46"/>
        <v/>
      </c>
      <c r="Y437" s="10" t="str">
        <f t="shared" si="47"/>
        <v/>
      </c>
      <c r="Z437" s="2" t="str">
        <f t="shared" si="48"/>
        <v/>
      </c>
      <c r="AA437" s="2"/>
      <c r="AB437" s="2"/>
    </row>
    <row r="438" spans="1:28" ht="16">
      <c r="A438" s="31"/>
      <c r="B438" s="32"/>
      <c r="C438" s="32"/>
      <c r="D438" s="32"/>
      <c r="E438" s="32"/>
      <c r="F438" s="33"/>
      <c r="G438" s="2"/>
      <c r="H438" s="2"/>
      <c r="I438" s="2"/>
      <c r="J438" s="35" t="str">
        <f>IF(H438&lt;&gt;"",IFERROR(VLOOKUP(IFERROR(LEFT(H438,FIND("-",H438)-1),H438),'Catalogo MINSAL'!A:E,5,FALSE),""),IF(I438&lt;&gt;"",IFERROR(VLOOKUP(IFERROR(LEFT(I438,FIND("-",I438)-1),I438),'Catalogo MINSAL'!A:E,5,FALSE),""),""))</f>
        <v/>
      </c>
      <c r="K438" s="2"/>
      <c r="L438" s="2"/>
      <c r="M438" s="2"/>
      <c r="N438" s="2"/>
      <c r="O438" s="2"/>
      <c r="P438" s="2"/>
      <c r="Q438" s="24"/>
      <c r="R438" s="2" t="str">
        <f t="shared" si="42"/>
        <v/>
      </c>
      <c r="S438" s="2"/>
      <c r="T438" s="2"/>
      <c r="U438" s="2" t="str">
        <f t="shared" si="43"/>
        <v/>
      </c>
      <c r="V438" s="10" t="str">
        <f t="shared" si="44"/>
        <v/>
      </c>
      <c r="W438" s="10" t="str">
        <f t="shared" si="45"/>
        <v/>
      </c>
      <c r="X438" s="38" t="str">
        <f t="shared" si="46"/>
        <v/>
      </c>
      <c r="Y438" s="10" t="str">
        <f t="shared" si="47"/>
        <v/>
      </c>
      <c r="Z438" s="2" t="str">
        <f t="shared" si="48"/>
        <v/>
      </c>
      <c r="AA438" s="2"/>
      <c r="AB438" s="2"/>
    </row>
    <row r="439" spans="1:28" ht="16">
      <c r="A439" s="31"/>
      <c r="B439" s="32"/>
      <c r="C439" s="32"/>
      <c r="D439" s="32"/>
      <c r="E439" s="32"/>
      <c r="F439" s="33"/>
      <c r="G439" s="2"/>
      <c r="H439" s="2"/>
      <c r="I439" s="2"/>
      <c r="J439" s="35" t="str">
        <f>IF(H439&lt;&gt;"",IFERROR(VLOOKUP(IFERROR(LEFT(H439,FIND("-",H439)-1),H439),'Catalogo MINSAL'!A:E,5,FALSE),""),IF(I439&lt;&gt;"",IFERROR(VLOOKUP(IFERROR(LEFT(I439,FIND("-",I439)-1),I439),'Catalogo MINSAL'!A:E,5,FALSE),""),""))</f>
        <v/>
      </c>
      <c r="K439" s="2"/>
      <c r="L439" s="2"/>
      <c r="M439" s="2"/>
      <c r="N439" s="2"/>
      <c r="O439" s="2"/>
      <c r="P439" s="2"/>
      <c r="Q439" s="24"/>
      <c r="R439" s="2" t="str">
        <f t="shared" si="42"/>
        <v/>
      </c>
      <c r="S439" s="2"/>
      <c r="T439" s="2"/>
      <c r="U439" s="2" t="str">
        <f t="shared" si="43"/>
        <v/>
      </c>
      <c r="V439" s="10" t="str">
        <f t="shared" si="44"/>
        <v/>
      </c>
      <c r="W439" s="10" t="str">
        <f t="shared" si="45"/>
        <v/>
      </c>
      <c r="X439" s="38" t="str">
        <f t="shared" si="46"/>
        <v/>
      </c>
      <c r="Y439" s="10" t="str">
        <f t="shared" si="47"/>
        <v/>
      </c>
      <c r="Z439" s="2" t="str">
        <f t="shared" si="48"/>
        <v/>
      </c>
      <c r="AA439" s="2"/>
      <c r="AB439" s="2"/>
    </row>
    <row r="440" spans="1:28" ht="16">
      <c r="A440" s="31"/>
      <c r="B440" s="32"/>
      <c r="C440" s="32"/>
      <c r="D440" s="32"/>
      <c r="E440" s="32"/>
      <c r="F440" s="33"/>
      <c r="G440" s="2"/>
      <c r="H440" s="2"/>
      <c r="I440" s="2"/>
      <c r="J440" s="35" t="str">
        <f>IF(H440&lt;&gt;"",IFERROR(VLOOKUP(IFERROR(LEFT(H440,FIND("-",H440)-1),H440),'Catalogo MINSAL'!A:E,5,FALSE),""),IF(I440&lt;&gt;"",IFERROR(VLOOKUP(IFERROR(LEFT(I440,FIND("-",I440)-1),I440),'Catalogo MINSAL'!A:E,5,FALSE),""),""))</f>
        <v/>
      </c>
      <c r="K440" s="2"/>
      <c r="L440" s="2"/>
      <c r="M440" s="2"/>
      <c r="N440" s="2"/>
      <c r="O440" s="2"/>
      <c r="P440" s="2"/>
      <c r="Q440" s="24"/>
      <c r="R440" s="2" t="str">
        <f t="shared" si="42"/>
        <v/>
      </c>
      <c r="S440" s="2"/>
      <c r="T440" s="2"/>
      <c r="U440" s="2" t="str">
        <f t="shared" si="43"/>
        <v/>
      </c>
      <c r="V440" s="10" t="str">
        <f t="shared" si="44"/>
        <v/>
      </c>
      <c r="W440" s="10" t="str">
        <f t="shared" si="45"/>
        <v/>
      </c>
      <c r="X440" s="38" t="str">
        <f t="shared" si="46"/>
        <v/>
      </c>
      <c r="Y440" s="10" t="str">
        <f t="shared" si="47"/>
        <v/>
      </c>
      <c r="Z440" s="2" t="str">
        <f t="shared" si="48"/>
        <v/>
      </c>
      <c r="AA440" s="2"/>
      <c r="AB440" s="2"/>
    </row>
    <row r="441" spans="1:28" ht="16">
      <c r="A441" s="31"/>
      <c r="B441" s="32"/>
      <c r="C441" s="32"/>
      <c r="D441" s="32"/>
      <c r="E441" s="32"/>
      <c r="F441" s="33"/>
      <c r="G441" s="2"/>
      <c r="H441" s="2"/>
      <c r="I441" s="2"/>
      <c r="J441" s="35" t="str">
        <f>IF(H441&lt;&gt;"",IFERROR(VLOOKUP(IFERROR(LEFT(H441,FIND("-",H441)-1),H441),'Catalogo MINSAL'!A:E,5,FALSE),""),IF(I441&lt;&gt;"",IFERROR(VLOOKUP(IFERROR(LEFT(I441,FIND("-",I441)-1),I441),'Catalogo MINSAL'!A:E,5,FALSE),""),""))</f>
        <v/>
      </c>
      <c r="K441" s="2"/>
      <c r="L441" s="2"/>
      <c r="M441" s="2"/>
      <c r="N441" s="2"/>
      <c r="O441" s="2"/>
      <c r="P441" s="2"/>
      <c r="Q441" s="24"/>
      <c r="R441" s="2" t="str">
        <f t="shared" si="42"/>
        <v/>
      </c>
      <c r="S441" s="2"/>
      <c r="T441" s="2"/>
      <c r="U441" s="2" t="str">
        <f t="shared" si="43"/>
        <v/>
      </c>
      <c r="V441" s="10" t="str">
        <f t="shared" si="44"/>
        <v/>
      </c>
      <c r="W441" s="10" t="str">
        <f t="shared" si="45"/>
        <v/>
      </c>
      <c r="X441" s="38" t="str">
        <f t="shared" si="46"/>
        <v/>
      </c>
      <c r="Y441" s="10" t="str">
        <f t="shared" si="47"/>
        <v/>
      </c>
      <c r="Z441" s="2" t="str">
        <f t="shared" si="48"/>
        <v/>
      </c>
      <c r="AA441" s="2"/>
      <c r="AB441" s="2"/>
    </row>
    <row r="442" spans="1:28" ht="16">
      <c r="A442" s="31"/>
      <c r="B442" s="32"/>
      <c r="C442" s="32"/>
      <c r="D442" s="32"/>
      <c r="E442" s="32"/>
      <c r="F442" s="33"/>
      <c r="G442" s="2"/>
      <c r="H442" s="2"/>
      <c r="I442" s="2"/>
      <c r="J442" s="35" t="str">
        <f>IF(H442&lt;&gt;"",IFERROR(VLOOKUP(IFERROR(LEFT(H442,FIND("-",H442)-1),H442),'Catalogo MINSAL'!A:E,5,FALSE),""),IF(I442&lt;&gt;"",IFERROR(VLOOKUP(IFERROR(LEFT(I442,FIND("-",I442)-1),I442),'Catalogo MINSAL'!A:E,5,FALSE),""),""))</f>
        <v/>
      </c>
      <c r="K442" s="2"/>
      <c r="L442" s="2"/>
      <c r="M442" s="2"/>
      <c r="N442" s="2"/>
      <c r="O442" s="2"/>
      <c r="P442" s="2"/>
      <c r="Q442" s="24"/>
      <c r="R442" s="2" t="str">
        <f t="shared" si="42"/>
        <v/>
      </c>
      <c r="S442" s="2"/>
      <c r="T442" s="2"/>
      <c r="U442" s="2" t="str">
        <f t="shared" si="43"/>
        <v/>
      </c>
      <c r="V442" s="10" t="str">
        <f t="shared" si="44"/>
        <v/>
      </c>
      <c r="W442" s="10" t="str">
        <f t="shared" si="45"/>
        <v/>
      </c>
      <c r="X442" s="38" t="str">
        <f t="shared" si="46"/>
        <v/>
      </c>
      <c r="Y442" s="10" t="str">
        <f t="shared" si="47"/>
        <v/>
      </c>
      <c r="Z442" s="2" t="str">
        <f t="shared" si="48"/>
        <v/>
      </c>
      <c r="AA442" s="2"/>
      <c r="AB442" s="2"/>
    </row>
    <row r="443" spans="1:28" ht="16">
      <c r="A443" s="31"/>
      <c r="B443" s="32"/>
      <c r="C443" s="32"/>
      <c r="D443" s="32"/>
      <c r="E443" s="32"/>
      <c r="F443" s="33"/>
      <c r="G443" s="2"/>
      <c r="H443" s="2"/>
      <c r="I443" s="2"/>
      <c r="J443" s="35" t="str">
        <f>IF(H443&lt;&gt;"",IFERROR(VLOOKUP(IFERROR(LEFT(H443,FIND("-",H443)-1),H443),'Catalogo MINSAL'!A:E,5,FALSE),""),IF(I443&lt;&gt;"",IFERROR(VLOOKUP(IFERROR(LEFT(I443,FIND("-",I443)-1),I443),'Catalogo MINSAL'!A:E,5,FALSE),""),""))</f>
        <v/>
      </c>
      <c r="K443" s="2"/>
      <c r="L443" s="2"/>
      <c r="M443" s="2"/>
      <c r="N443" s="2"/>
      <c r="O443" s="2"/>
      <c r="P443" s="2"/>
      <c r="Q443" s="24"/>
      <c r="R443" s="2" t="str">
        <f t="shared" si="42"/>
        <v/>
      </c>
      <c r="S443" s="2"/>
      <c r="T443" s="2"/>
      <c r="U443" s="2" t="str">
        <f t="shared" si="43"/>
        <v/>
      </c>
      <c r="V443" s="10" t="str">
        <f t="shared" si="44"/>
        <v/>
      </c>
      <c r="W443" s="10" t="str">
        <f t="shared" si="45"/>
        <v/>
      </c>
      <c r="X443" s="38" t="str">
        <f t="shared" si="46"/>
        <v/>
      </c>
      <c r="Y443" s="10" t="str">
        <f t="shared" si="47"/>
        <v/>
      </c>
      <c r="Z443" s="2" t="str">
        <f t="shared" si="48"/>
        <v/>
      </c>
      <c r="AA443" s="2"/>
      <c r="AB443" s="2"/>
    </row>
    <row r="444" spans="1:28" ht="16">
      <c r="A444" s="31"/>
      <c r="B444" s="32"/>
      <c r="C444" s="32"/>
      <c r="D444" s="32"/>
      <c r="E444" s="32"/>
      <c r="F444" s="33"/>
      <c r="G444" s="2"/>
      <c r="H444" s="2"/>
      <c r="I444" s="2"/>
      <c r="J444" s="35" t="str">
        <f>IF(H444&lt;&gt;"",IFERROR(VLOOKUP(IFERROR(LEFT(H444,FIND("-",H444)-1),H444),'Catalogo MINSAL'!A:E,5,FALSE),""),IF(I444&lt;&gt;"",IFERROR(VLOOKUP(IFERROR(LEFT(I444,FIND("-",I444)-1),I444),'Catalogo MINSAL'!A:E,5,FALSE),""),""))</f>
        <v/>
      </c>
      <c r="K444" s="2"/>
      <c r="L444" s="2"/>
      <c r="M444" s="2"/>
      <c r="N444" s="2"/>
      <c r="O444" s="2"/>
      <c r="P444" s="2"/>
      <c r="Q444" s="24"/>
      <c r="R444" s="2" t="str">
        <f t="shared" si="42"/>
        <v/>
      </c>
      <c r="S444" s="2"/>
      <c r="T444" s="2"/>
      <c r="U444" s="2" t="str">
        <f t="shared" si="43"/>
        <v/>
      </c>
      <c r="V444" s="10" t="str">
        <f t="shared" si="44"/>
        <v/>
      </c>
      <c r="W444" s="10" t="str">
        <f t="shared" si="45"/>
        <v/>
      </c>
      <c r="X444" s="38" t="str">
        <f t="shared" si="46"/>
        <v/>
      </c>
      <c r="Y444" s="10" t="str">
        <f t="shared" si="47"/>
        <v/>
      </c>
      <c r="Z444" s="2" t="str">
        <f t="shared" si="48"/>
        <v/>
      </c>
      <c r="AA444" s="2"/>
      <c r="AB444" s="2"/>
    </row>
    <row r="445" spans="1:28" ht="16">
      <c r="A445" s="31"/>
      <c r="B445" s="32"/>
      <c r="C445" s="32"/>
      <c r="D445" s="32"/>
      <c r="E445" s="32"/>
      <c r="F445" s="33"/>
      <c r="G445" s="2"/>
      <c r="H445" s="2"/>
      <c r="I445" s="2"/>
      <c r="J445" s="35" t="str">
        <f>IF(H445&lt;&gt;"",IFERROR(VLOOKUP(IFERROR(LEFT(H445,FIND("-",H445)-1),H445),'Catalogo MINSAL'!A:E,5,FALSE),""),IF(I445&lt;&gt;"",IFERROR(VLOOKUP(IFERROR(LEFT(I445,FIND("-",I445)-1),I445),'Catalogo MINSAL'!A:E,5,FALSE),""),""))</f>
        <v/>
      </c>
      <c r="K445" s="2"/>
      <c r="L445" s="2"/>
      <c r="M445" s="2"/>
      <c r="N445" s="2"/>
      <c r="O445" s="2"/>
      <c r="P445" s="2"/>
      <c r="Q445" s="24"/>
      <c r="R445" s="2" t="str">
        <f t="shared" si="42"/>
        <v/>
      </c>
      <c r="S445" s="2"/>
      <c r="T445" s="2"/>
      <c r="U445" s="2" t="str">
        <f t="shared" si="43"/>
        <v/>
      </c>
      <c r="V445" s="10" t="str">
        <f t="shared" si="44"/>
        <v/>
      </c>
      <c r="W445" s="10" t="str">
        <f t="shared" si="45"/>
        <v/>
      </c>
      <c r="X445" s="38" t="str">
        <f t="shared" si="46"/>
        <v/>
      </c>
      <c r="Y445" s="10" t="str">
        <f t="shared" si="47"/>
        <v/>
      </c>
      <c r="Z445" s="2" t="str">
        <f t="shared" si="48"/>
        <v/>
      </c>
      <c r="AA445" s="2"/>
      <c r="AB445" s="2"/>
    </row>
    <row r="446" spans="1:28" ht="16">
      <c r="A446" s="31"/>
      <c r="B446" s="32"/>
      <c r="C446" s="32"/>
      <c r="D446" s="32"/>
      <c r="E446" s="32"/>
      <c r="F446" s="33"/>
      <c r="G446" s="2"/>
      <c r="H446" s="2"/>
      <c r="I446" s="2"/>
      <c r="J446" s="35" t="str">
        <f>IF(H446&lt;&gt;"",IFERROR(VLOOKUP(IFERROR(LEFT(H446,FIND("-",H446)-1),H446),'Catalogo MINSAL'!A:E,5,FALSE),""),IF(I446&lt;&gt;"",IFERROR(VLOOKUP(IFERROR(LEFT(I446,FIND("-",I446)-1),I446),'Catalogo MINSAL'!A:E,5,FALSE),""),""))</f>
        <v/>
      </c>
      <c r="K446" s="2"/>
      <c r="L446" s="2"/>
      <c r="M446" s="2"/>
      <c r="N446" s="2"/>
      <c r="O446" s="2"/>
      <c r="P446" s="2"/>
      <c r="Q446" s="24"/>
      <c r="R446" s="2" t="str">
        <f t="shared" si="42"/>
        <v/>
      </c>
      <c r="S446" s="2"/>
      <c r="T446" s="2"/>
      <c r="U446" s="2" t="str">
        <f t="shared" si="43"/>
        <v/>
      </c>
      <c r="V446" s="10" t="str">
        <f t="shared" si="44"/>
        <v/>
      </c>
      <c r="W446" s="10" t="str">
        <f t="shared" si="45"/>
        <v/>
      </c>
      <c r="X446" s="38" t="str">
        <f t="shared" si="46"/>
        <v/>
      </c>
      <c r="Y446" s="10" t="str">
        <f t="shared" si="47"/>
        <v/>
      </c>
      <c r="Z446" s="2" t="str">
        <f t="shared" si="48"/>
        <v/>
      </c>
      <c r="AA446" s="2"/>
      <c r="AB446" s="2"/>
    </row>
    <row r="447" spans="1:28" ht="16">
      <c r="A447" s="31"/>
      <c r="B447" s="32"/>
      <c r="C447" s="32"/>
      <c r="D447" s="32"/>
      <c r="E447" s="32"/>
      <c r="F447" s="33"/>
      <c r="G447" s="2"/>
      <c r="H447" s="2"/>
      <c r="I447" s="2"/>
      <c r="J447" s="35" t="str">
        <f>IF(H447&lt;&gt;"",IFERROR(VLOOKUP(IFERROR(LEFT(H447,FIND("-",H447)-1),H447),'Catalogo MINSAL'!A:E,5,FALSE),""),IF(I447&lt;&gt;"",IFERROR(VLOOKUP(IFERROR(LEFT(I447,FIND("-",I447)-1),I447),'Catalogo MINSAL'!A:E,5,FALSE),""),""))</f>
        <v/>
      </c>
      <c r="K447" s="2"/>
      <c r="L447" s="2"/>
      <c r="M447" s="2"/>
      <c r="N447" s="2"/>
      <c r="O447" s="2"/>
      <c r="P447" s="2"/>
      <c r="Q447" s="24"/>
      <c r="R447" s="2" t="str">
        <f t="shared" si="42"/>
        <v/>
      </c>
      <c r="S447" s="2"/>
      <c r="T447" s="2"/>
      <c r="U447" s="2" t="str">
        <f t="shared" si="43"/>
        <v/>
      </c>
      <c r="V447" s="10" t="str">
        <f t="shared" si="44"/>
        <v/>
      </c>
      <c r="W447" s="10" t="str">
        <f t="shared" si="45"/>
        <v/>
      </c>
      <c r="X447" s="38" t="str">
        <f t="shared" si="46"/>
        <v/>
      </c>
      <c r="Y447" s="10" t="str">
        <f t="shared" si="47"/>
        <v/>
      </c>
      <c r="Z447" s="2" t="str">
        <f t="shared" si="48"/>
        <v/>
      </c>
      <c r="AA447" s="2"/>
      <c r="AB447" s="2"/>
    </row>
    <row r="448" spans="1:28" ht="16">
      <c r="A448" s="31"/>
      <c r="B448" s="32"/>
      <c r="C448" s="32"/>
      <c r="D448" s="32"/>
      <c r="E448" s="32"/>
      <c r="F448" s="33"/>
      <c r="G448" s="2"/>
      <c r="H448" s="2"/>
      <c r="I448" s="2"/>
      <c r="J448" s="35" t="str">
        <f>IF(H448&lt;&gt;"",IFERROR(VLOOKUP(IFERROR(LEFT(H448,FIND("-",H448)-1),H448),'Catalogo MINSAL'!A:E,5,FALSE),""),IF(I448&lt;&gt;"",IFERROR(VLOOKUP(IFERROR(LEFT(I448,FIND("-",I448)-1),I448),'Catalogo MINSAL'!A:E,5,FALSE),""),""))</f>
        <v/>
      </c>
      <c r="K448" s="2"/>
      <c r="L448" s="2"/>
      <c r="M448" s="2"/>
      <c r="N448" s="2"/>
      <c r="O448" s="2"/>
      <c r="P448" s="2"/>
      <c r="Q448" s="24"/>
      <c r="R448" s="2" t="str">
        <f t="shared" si="42"/>
        <v/>
      </c>
      <c r="S448" s="2"/>
      <c r="T448" s="2"/>
      <c r="U448" s="2" t="str">
        <f t="shared" si="43"/>
        <v/>
      </c>
      <c r="V448" s="10" t="str">
        <f t="shared" si="44"/>
        <v/>
      </c>
      <c r="W448" s="10" t="str">
        <f t="shared" si="45"/>
        <v/>
      </c>
      <c r="X448" s="38" t="str">
        <f t="shared" si="46"/>
        <v/>
      </c>
      <c r="Y448" s="10" t="str">
        <f t="shared" si="47"/>
        <v/>
      </c>
      <c r="Z448" s="2" t="str">
        <f t="shared" si="48"/>
        <v/>
      </c>
      <c r="AA448" s="2"/>
      <c r="AB448" s="2"/>
    </row>
    <row r="449" spans="1:28" ht="16">
      <c r="A449" s="31"/>
      <c r="B449" s="32"/>
      <c r="C449" s="32"/>
      <c r="D449" s="32"/>
      <c r="E449" s="32"/>
      <c r="F449" s="33"/>
      <c r="G449" s="2"/>
      <c r="H449" s="2"/>
      <c r="I449" s="2"/>
      <c r="J449" s="35" t="str">
        <f>IF(H449&lt;&gt;"",IFERROR(VLOOKUP(IFERROR(LEFT(H449,FIND("-",H449)-1),H449),'Catalogo MINSAL'!A:E,5,FALSE),""),IF(I449&lt;&gt;"",IFERROR(VLOOKUP(IFERROR(LEFT(I449,FIND("-",I449)-1),I449),'Catalogo MINSAL'!A:E,5,FALSE),""),""))</f>
        <v/>
      </c>
      <c r="K449" s="2"/>
      <c r="L449" s="2"/>
      <c r="M449" s="2"/>
      <c r="N449" s="2"/>
      <c r="O449" s="2"/>
      <c r="P449" s="2"/>
      <c r="Q449" s="24"/>
      <c r="R449" s="2" t="str">
        <f t="shared" si="42"/>
        <v/>
      </c>
      <c r="S449" s="2"/>
      <c r="T449" s="2"/>
      <c r="U449" s="2" t="str">
        <f t="shared" si="43"/>
        <v/>
      </c>
      <c r="V449" s="10" t="str">
        <f t="shared" si="44"/>
        <v/>
      </c>
      <c r="W449" s="10" t="str">
        <f t="shared" si="45"/>
        <v/>
      </c>
      <c r="X449" s="38" t="str">
        <f t="shared" si="46"/>
        <v/>
      </c>
      <c r="Y449" s="10" t="str">
        <f t="shared" si="47"/>
        <v/>
      </c>
      <c r="Z449" s="2" t="str">
        <f t="shared" si="48"/>
        <v/>
      </c>
      <c r="AA449" s="2"/>
      <c r="AB449" s="2"/>
    </row>
    <row r="450" spans="1:28" ht="16">
      <c r="A450" s="31"/>
      <c r="B450" s="32"/>
      <c r="C450" s="32"/>
      <c r="D450" s="32"/>
      <c r="E450" s="32"/>
      <c r="F450" s="33"/>
      <c r="G450" s="2"/>
      <c r="H450" s="2"/>
      <c r="I450" s="2"/>
      <c r="J450" s="35" t="str">
        <f>IF(H450&lt;&gt;"",IFERROR(VLOOKUP(IFERROR(LEFT(H450,FIND("-",H450)-1),H450),'Catalogo MINSAL'!A:E,5,FALSE),""),IF(I450&lt;&gt;"",IFERROR(VLOOKUP(IFERROR(LEFT(I450,FIND("-",I450)-1),I450),'Catalogo MINSAL'!A:E,5,FALSE),""),""))</f>
        <v/>
      </c>
      <c r="K450" s="2"/>
      <c r="L450" s="2"/>
      <c r="M450" s="2"/>
      <c r="N450" s="2"/>
      <c r="O450" s="2"/>
      <c r="P450" s="2"/>
      <c r="Q450" s="24"/>
      <c r="R450" s="2" t="str">
        <f t="shared" si="42"/>
        <v/>
      </c>
      <c r="S450" s="2"/>
      <c r="T450" s="2"/>
      <c r="U450" s="2" t="str">
        <f t="shared" si="43"/>
        <v/>
      </c>
      <c r="V450" s="10" t="str">
        <f t="shared" si="44"/>
        <v/>
      </c>
      <c r="W450" s="10" t="str">
        <f t="shared" si="45"/>
        <v/>
      </c>
      <c r="X450" s="38" t="str">
        <f t="shared" si="46"/>
        <v/>
      </c>
      <c r="Y450" s="10" t="str">
        <f t="shared" si="47"/>
        <v/>
      </c>
      <c r="Z450" s="2" t="str">
        <f t="shared" si="48"/>
        <v/>
      </c>
      <c r="AA450" s="2"/>
      <c r="AB450" s="2"/>
    </row>
    <row r="451" spans="1:28" ht="16">
      <c r="A451" s="31"/>
      <c r="B451" s="32"/>
      <c r="C451" s="32"/>
      <c r="D451" s="32"/>
      <c r="E451" s="32"/>
      <c r="F451" s="33"/>
      <c r="G451" s="2"/>
      <c r="H451" s="2"/>
      <c r="I451" s="2"/>
      <c r="J451" s="35" t="str">
        <f>IF(H451&lt;&gt;"",IFERROR(VLOOKUP(IFERROR(LEFT(H451,FIND("-",H451)-1),H451),'Catalogo MINSAL'!A:E,5,FALSE),""),IF(I451&lt;&gt;"",IFERROR(VLOOKUP(IFERROR(LEFT(I451,FIND("-",I451)-1),I451),'Catalogo MINSAL'!A:E,5,FALSE),""),""))</f>
        <v/>
      </c>
      <c r="K451" s="2"/>
      <c r="L451" s="2"/>
      <c r="M451" s="2"/>
      <c r="N451" s="2"/>
      <c r="O451" s="2"/>
      <c r="P451" s="2"/>
      <c r="Q451" s="24"/>
      <c r="R451" s="2" t="str">
        <f t="shared" si="42"/>
        <v/>
      </c>
      <c r="S451" s="2"/>
      <c r="T451" s="2"/>
      <c r="U451" s="2" t="str">
        <f t="shared" si="43"/>
        <v/>
      </c>
      <c r="V451" s="10" t="str">
        <f t="shared" si="44"/>
        <v/>
      </c>
      <c r="W451" s="10" t="str">
        <f t="shared" si="45"/>
        <v/>
      </c>
      <c r="X451" s="38" t="str">
        <f t="shared" si="46"/>
        <v/>
      </c>
      <c r="Y451" s="10" t="str">
        <f t="shared" si="47"/>
        <v/>
      </c>
      <c r="Z451" s="2" t="str">
        <f t="shared" si="48"/>
        <v/>
      </c>
      <c r="AA451" s="2"/>
      <c r="AB451" s="2"/>
    </row>
    <row r="452" spans="1:28" ht="16">
      <c r="A452" s="31"/>
      <c r="B452" s="32"/>
      <c r="C452" s="32"/>
      <c r="D452" s="32"/>
      <c r="E452" s="32"/>
      <c r="F452" s="33"/>
      <c r="G452" s="2"/>
      <c r="H452" s="2"/>
      <c r="I452" s="2"/>
      <c r="J452" s="35" t="str">
        <f>IF(H452&lt;&gt;"",IFERROR(VLOOKUP(IFERROR(LEFT(H452,FIND("-",H452)-1),H452),'Catalogo MINSAL'!A:E,5,FALSE),""),IF(I452&lt;&gt;"",IFERROR(VLOOKUP(IFERROR(LEFT(I452,FIND("-",I452)-1),I452),'Catalogo MINSAL'!A:E,5,FALSE),""),""))</f>
        <v/>
      </c>
      <c r="K452" s="2"/>
      <c r="L452" s="2"/>
      <c r="M452" s="2"/>
      <c r="N452" s="2"/>
      <c r="O452" s="2"/>
      <c r="P452" s="2"/>
      <c r="Q452" s="24"/>
      <c r="R452" s="2" t="str">
        <f t="shared" ref="R452:R500" si="49">IF(Q452="","",IF(IF(ISNUMBER(Q452),MOD(Q452,1),TIMEVALUE(Q452))&lt;=TIME(8,15,0),"Ingreso adecuado","Atraso"))</f>
        <v/>
      </c>
      <c r="S452" s="2"/>
      <c r="T452" s="2"/>
      <c r="U452" s="2" t="str">
        <f t="shared" ref="U452:U500" si="50">IFERROR(IF(OR(Q452="",R452=""),"",IF(TIMEVALUE(R452)&gt;=TIMEVALUE(Q452),(TIMEVALUE(R452)-TIMEVALUE(Q452))*1440,(TIMEVALUE(R452)+1-TIMEVALUE(Q452))*1440)),"")</f>
        <v/>
      </c>
      <c r="V452" s="10" t="str">
        <f t="shared" ref="V452:V500" si="51">IFERROR(IF(OR(Q452="",S452=""),"",IF(IF(ISNUMBER(S452),MOD(S452,1),TIMEVALUE(S452))&gt;=IF(ISNUMBER(Q452),MOD(Q452,1),TIMEVALUE(Q452)),(IF(ISNUMBER(S452),MOD(S452,1),TIMEVALUE(S452))-IF(ISNUMBER(Q452),MOD(Q452,1),TIMEVALUE(Q452)))*1440,(IF(ISNUMBER(S452),MOD(S452,1),TIMEVALUE(S452))+1-IF(ISNUMBER(Q452),MOD(Q452,1),TIMEVALUE(Q452)))*1440)),"")</f>
        <v/>
      </c>
      <c r="W452" s="10" t="str">
        <f t="shared" ref="W452:W500" si="52">IFERROR(IF(OR(S452="",T452=""),"",IF(IF(ISNUMBER(T452),MOD(T452,1),TIMEVALUE(T452))&gt;=IF(ISNUMBER(S452),MOD(S452,1),TIMEVALUE(S452)),(IF(ISNUMBER(T452),MOD(T452,1),TIMEVALUE(T452))-IF(ISNUMBER(S452),MOD(S452,1),TIMEVALUE(S452)))*1440,(IF(ISNUMBER(T452),MOD(T452,1),TIMEVALUE(T452))+1-IF(ISNUMBER(S452),MOD(S452,1),TIMEVALUE(S452)))*1440)),"")</f>
        <v/>
      </c>
      <c r="X452" s="38" t="str">
        <f t="shared" ref="X452:X500" si="53">IFERROR(IF(OR(V452="",W452=""),"",V452-W452),"")</f>
        <v/>
      </c>
      <c r="Y452" s="10" t="str">
        <f t="shared" ref="Y452:Y500" si="54">IFERROR(IF(OR(W452="",X452=""),"",W452-X452),"")</f>
        <v/>
      </c>
      <c r="Z452" s="2" t="str">
        <f t="shared" ref="Z452:Z500" si="55">IFERROR(IF(Y452="","",IF(Y452&gt;15,"Subestimacion",IF(Y452&lt;-15,"Sobrestimacion","Asertivo"))),"")</f>
        <v/>
      </c>
      <c r="AA452" s="2"/>
      <c r="AB452" s="2"/>
    </row>
    <row r="453" spans="1:28" ht="16">
      <c r="A453" s="31"/>
      <c r="B453" s="32"/>
      <c r="C453" s="32"/>
      <c r="D453" s="32"/>
      <c r="E453" s="32"/>
      <c r="F453" s="33"/>
      <c r="G453" s="2"/>
      <c r="H453" s="2"/>
      <c r="I453" s="2"/>
      <c r="J453" s="35" t="str">
        <f>IF(H453&lt;&gt;"",IFERROR(VLOOKUP(IFERROR(LEFT(H453,FIND("-",H453)-1),H453),'Catalogo MINSAL'!A:E,5,FALSE),""),IF(I453&lt;&gt;"",IFERROR(VLOOKUP(IFERROR(LEFT(I453,FIND("-",I453)-1),I453),'Catalogo MINSAL'!A:E,5,FALSE),""),""))</f>
        <v/>
      </c>
      <c r="K453" s="2"/>
      <c r="L453" s="2"/>
      <c r="M453" s="2"/>
      <c r="N453" s="2"/>
      <c r="O453" s="2"/>
      <c r="P453" s="2"/>
      <c r="Q453" s="24"/>
      <c r="R453" s="2" t="str">
        <f t="shared" si="49"/>
        <v/>
      </c>
      <c r="S453" s="2"/>
      <c r="T453" s="2"/>
      <c r="U453" s="2" t="str">
        <f t="shared" si="50"/>
        <v/>
      </c>
      <c r="V453" s="10" t="str">
        <f t="shared" si="51"/>
        <v/>
      </c>
      <c r="W453" s="10" t="str">
        <f t="shared" si="52"/>
        <v/>
      </c>
      <c r="X453" s="38" t="str">
        <f t="shared" si="53"/>
        <v/>
      </c>
      <c r="Y453" s="10" t="str">
        <f t="shared" si="54"/>
        <v/>
      </c>
      <c r="Z453" s="2" t="str">
        <f t="shared" si="55"/>
        <v/>
      </c>
      <c r="AA453" s="2"/>
      <c r="AB453" s="2"/>
    </row>
    <row r="454" spans="1:28" ht="16">
      <c r="A454" s="31"/>
      <c r="B454" s="32"/>
      <c r="C454" s="32"/>
      <c r="D454" s="32"/>
      <c r="E454" s="32"/>
      <c r="F454" s="33"/>
      <c r="G454" s="2"/>
      <c r="H454" s="2"/>
      <c r="I454" s="2"/>
      <c r="J454" s="35" t="str">
        <f>IF(H454&lt;&gt;"",IFERROR(VLOOKUP(IFERROR(LEFT(H454,FIND("-",H454)-1),H454),'Catalogo MINSAL'!A:E,5,FALSE),""),IF(I454&lt;&gt;"",IFERROR(VLOOKUP(IFERROR(LEFT(I454,FIND("-",I454)-1),I454),'Catalogo MINSAL'!A:E,5,FALSE),""),""))</f>
        <v/>
      </c>
      <c r="K454" s="2"/>
      <c r="L454" s="2"/>
      <c r="M454" s="2"/>
      <c r="N454" s="2"/>
      <c r="O454" s="2"/>
      <c r="P454" s="2"/>
      <c r="Q454" s="24"/>
      <c r="R454" s="2" t="str">
        <f t="shared" si="49"/>
        <v/>
      </c>
      <c r="S454" s="2"/>
      <c r="T454" s="2"/>
      <c r="U454" s="2" t="str">
        <f t="shared" si="50"/>
        <v/>
      </c>
      <c r="V454" s="10" t="str">
        <f t="shared" si="51"/>
        <v/>
      </c>
      <c r="W454" s="10" t="str">
        <f t="shared" si="52"/>
        <v/>
      </c>
      <c r="X454" s="38" t="str">
        <f t="shared" si="53"/>
        <v/>
      </c>
      <c r="Y454" s="10" t="str">
        <f t="shared" si="54"/>
        <v/>
      </c>
      <c r="Z454" s="2" t="str">
        <f t="shared" si="55"/>
        <v/>
      </c>
      <c r="AA454" s="2"/>
      <c r="AB454" s="2"/>
    </row>
    <row r="455" spans="1:28" ht="16">
      <c r="A455" s="31"/>
      <c r="B455" s="32"/>
      <c r="C455" s="32"/>
      <c r="D455" s="32"/>
      <c r="E455" s="32"/>
      <c r="F455" s="33"/>
      <c r="G455" s="2"/>
      <c r="H455" s="2"/>
      <c r="I455" s="2"/>
      <c r="J455" s="35" t="str">
        <f>IF(H455&lt;&gt;"",IFERROR(VLOOKUP(IFERROR(LEFT(H455,FIND("-",H455)-1),H455),'Catalogo MINSAL'!A:E,5,FALSE),""),IF(I455&lt;&gt;"",IFERROR(VLOOKUP(IFERROR(LEFT(I455,FIND("-",I455)-1),I455),'Catalogo MINSAL'!A:E,5,FALSE),""),""))</f>
        <v/>
      </c>
      <c r="K455" s="2"/>
      <c r="L455" s="2"/>
      <c r="M455" s="2"/>
      <c r="N455" s="2"/>
      <c r="O455" s="2"/>
      <c r="P455" s="2"/>
      <c r="Q455" s="24"/>
      <c r="R455" s="2" t="str">
        <f t="shared" si="49"/>
        <v/>
      </c>
      <c r="S455" s="2"/>
      <c r="T455" s="2"/>
      <c r="U455" s="2" t="str">
        <f t="shared" si="50"/>
        <v/>
      </c>
      <c r="V455" s="10" t="str">
        <f t="shared" si="51"/>
        <v/>
      </c>
      <c r="W455" s="10" t="str">
        <f t="shared" si="52"/>
        <v/>
      </c>
      <c r="X455" s="38" t="str">
        <f t="shared" si="53"/>
        <v/>
      </c>
      <c r="Y455" s="10" t="str">
        <f t="shared" si="54"/>
        <v/>
      </c>
      <c r="Z455" s="2" t="str">
        <f t="shared" si="55"/>
        <v/>
      </c>
      <c r="AA455" s="2"/>
      <c r="AB455" s="2"/>
    </row>
    <row r="456" spans="1:28" ht="16">
      <c r="A456" s="31"/>
      <c r="B456" s="32"/>
      <c r="C456" s="32"/>
      <c r="D456" s="32"/>
      <c r="E456" s="32"/>
      <c r="F456" s="33"/>
      <c r="G456" s="2"/>
      <c r="H456" s="2"/>
      <c r="I456" s="2"/>
      <c r="J456" s="35" t="str">
        <f>IF(H456&lt;&gt;"",IFERROR(VLOOKUP(IFERROR(LEFT(H456,FIND("-",H456)-1),H456),'Catalogo MINSAL'!A:E,5,FALSE),""),IF(I456&lt;&gt;"",IFERROR(VLOOKUP(IFERROR(LEFT(I456,FIND("-",I456)-1),I456),'Catalogo MINSAL'!A:E,5,FALSE),""),""))</f>
        <v/>
      </c>
      <c r="K456" s="2"/>
      <c r="L456" s="2"/>
      <c r="M456" s="2"/>
      <c r="N456" s="2"/>
      <c r="O456" s="2"/>
      <c r="P456" s="2"/>
      <c r="Q456" s="24"/>
      <c r="R456" s="2" t="str">
        <f t="shared" si="49"/>
        <v/>
      </c>
      <c r="S456" s="2"/>
      <c r="T456" s="2"/>
      <c r="U456" s="2" t="str">
        <f t="shared" si="50"/>
        <v/>
      </c>
      <c r="V456" s="10" t="str">
        <f t="shared" si="51"/>
        <v/>
      </c>
      <c r="W456" s="10" t="str">
        <f t="shared" si="52"/>
        <v/>
      </c>
      <c r="X456" s="38" t="str">
        <f t="shared" si="53"/>
        <v/>
      </c>
      <c r="Y456" s="10" t="str">
        <f t="shared" si="54"/>
        <v/>
      </c>
      <c r="Z456" s="2" t="str">
        <f t="shared" si="55"/>
        <v/>
      </c>
      <c r="AA456" s="2"/>
      <c r="AB456" s="2"/>
    </row>
    <row r="457" spans="1:28" ht="16">
      <c r="A457" s="31"/>
      <c r="B457" s="32"/>
      <c r="C457" s="32"/>
      <c r="D457" s="32"/>
      <c r="E457" s="32"/>
      <c r="F457" s="33"/>
      <c r="G457" s="2"/>
      <c r="H457" s="2"/>
      <c r="I457" s="2"/>
      <c r="J457" s="35" t="str">
        <f>IF(H457&lt;&gt;"",IFERROR(VLOOKUP(IFERROR(LEFT(H457,FIND("-",H457)-1),H457),'Catalogo MINSAL'!A:E,5,FALSE),""),IF(I457&lt;&gt;"",IFERROR(VLOOKUP(IFERROR(LEFT(I457,FIND("-",I457)-1),I457),'Catalogo MINSAL'!A:E,5,FALSE),""),""))</f>
        <v/>
      </c>
      <c r="K457" s="2"/>
      <c r="L457" s="2"/>
      <c r="M457" s="2"/>
      <c r="N457" s="2"/>
      <c r="O457" s="2"/>
      <c r="P457" s="2"/>
      <c r="Q457" s="24"/>
      <c r="R457" s="2" t="str">
        <f t="shared" si="49"/>
        <v/>
      </c>
      <c r="S457" s="2"/>
      <c r="T457" s="2"/>
      <c r="U457" s="2" t="str">
        <f t="shared" si="50"/>
        <v/>
      </c>
      <c r="V457" s="10" t="str">
        <f t="shared" si="51"/>
        <v/>
      </c>
      <c r="W457" s="10" t="str">
        <f t="shared" si="52"/>
        <v/>
      </c>
      <c r="X457" s="38" t="str">
        <f t="shared" si="53"/>
        <v/>
      </c>
      <c r="Y457" s="10" t="str">
        <f t="shared" si="54"/>
        <v/>
      </c>
      <c r="Z457" s="2" t="str">
        <f t="shared" si="55"/>
        <v/>
      </c>
      <c r="AA457" s="2"/>
      <c r="AB457" s="2"/>
    </row>
    <row r="458" spans="1:28" ht="16">
      <c r="A458" s="31"/>
      <c r="B458" s="32"/>
      <c r="C458" s="32"/>
      <c r="D458" s="32"/>
      <c r="E458" s="32"/>
      <c r="F458" s="33"/>
      <c r="G458" s="2"/>
      <c r="H458" s="2"/>
      <c r="I458" s="2"/>
      <c r="J458" s="35" t="str">
        <f>IF(H458&lt;&gt;"",IFERROR(VLOOKUP(IFERROR(LEFT(H458,FIND("-",H458)-1),H458),'Catalogo MINSAL'!A:E,5,FALSE),""),IF(I458&lt;&gt;"",IFERROR(VLOOKUP(IFERROR(LEFT(I458,FIND("-",I458)-1),I458),'Catalogo MINSAL'!A:E,5,FALSE),""),""))</f>
        <v/>
      </c>
      <c r="K458" s="2"/>
      <c r="L458" s="2"/>
      <c r="M458" s="2"/>
      <c r="N458" s="2"/>
      <c r="O458" s="2"/>
      <c r="P458" s="2"/>
      <c r="Q458" s="24"/>
      <c r="R458" s="2" t="str">
        <f t="shared" si="49"/>
        <v/>
      </c>
      <c r="S458" s="2"/>
      <c r="T458" s="2"/>
      <c r="U458" s="2" t="str">
        <f t="shared" si="50"/>
        <v/>
      </c>
      <c r="V458" s="10" t="str">
        <f t="shared" si="51"/>
        <v/>
      </c>
      <c r="W458" s="10" t="str">
        <f t="shared" si="52"/>
        <v/>
      </c>
      <c r="X458" s="38" t="str">
        <f t="shared" si="53"/>
        <v/>
      </c>
      <c r="Y458" s="10" t="str">
        <f t="shared" si="54"/>
        <v/>
      </c>
      <c r="Z458" s="2" t="str">
        <f t="shared" si="55"/>
        <v/>
      </c>
      <c r="AA458" s="2"/>
      <c r="AB458" s="2"/>
    </row>
    <row r="459" spans="1:28" ht="16">
      <c r="A459" s="31"/>
      <c r="B459" s="32"/>
      <c r="C459" s="32"/>
      <c r="D459" s="32"/>
      <c r="E459" s="32"/>
      <c r="F459" s="33"/>
      <c r="G459" s="2"/>
      <c r="H459" s="2"/>
      <c r="I459" s="2"/>
      <c r="J459" s="35" t="str">
        <f>IF(H459&lt;&gt;"",IFERROR(VLOOKUP(IFERROR(LEFT(H459,FIND("-",H459)-1),H459),'Catalogo MINSAL'!A:E,5,FALSE),""),IF(I459&lt;&gt;"",IFERROR(VLOOKUP(IFERROR(LEFT(I459,FIND("-",I459)-1),I459),'Catalogo MINSAL'!A:E,5,FALSE),""),""))</f>
        <v/>
      </c>
      <c r="K459" s="2"/>
      <c r="L459" s="2"/>
      <c r="M459" s="2"/>
      <c r="N459" s="2"/>
      <c r="O459" s="2"/>
      <c r="P459" s="2"/>
      <c r="Q459" s="24"/>
      <c r="R459" s="2" t="str">
        <f t="shared" si="49"/>
        <v/>
      </c>
      <c r="S459" s="2"/>
      <c r="T459" s="2"/>
      <c r="U459" s="2" t="str">
        <f t="shared" si="50"/>
        <v/>
      </c>
      <c r="V459" s="10" t="str">
        <f t="shared" si="51"/>
        <v/>
      </c>
      <c r="W459" s="10" t="str">
        <f t="shared" si="52"/>
        <v/>
      </c>
      <c r="X459" s="38" t="str">
        <f t="shared" si="53"/>
        <v/>
      </c>
      <c r="Y459" s="10" t="str">
        <f t="shared" si="54"/>
        <v/>
      </c>
      <c r="Z459" s="2" t="str">
        <f t="shared" si="55"/>
        <v/>
      </c>
      <c r="AA459" s="2"/>
      <c r="AB459" s="2"/>
    </row>
    <row r="460" spans="1:28" ht="16">
      <c r="A460" s="31"/>
      <c r="B460" s="32"/>
      <c r="C460" s="32"/>
      <c r="D460" s="32"/>
      <c r="E460" s="32"/>
      <c r="F460" s="33"/>
      <c r="G460" s="2"/>
      <c r="H460" s="2"/>
      <c r="I460" s="2"/>
      <c r="J460" s="35" t="str">
        <f>IF(H460&lt;&gt;"",IFERROR(VLOOKUP(IFERROR(LEFT(H460,FIND("-",H460)-1),H460),'Catalogo MINSAL'!A:E,5,FALSE),""),IF(I460&lt;&gt;"",IFERROR(VLOOKUP(IFERROR(LEFT(I460,FIND("-",I460)-1),I460),'Catalogo MINSAL'!A:E,5,FALSE),""),""))</f>
        <v/>
      </c>
      <c r="K460" s="2"/>
      <c r="L460" s="2"/>
      <c r="M460" s="2"/>
      <c r="N460" s="2"/>
      <c r="O460" s="2"/>
      <c r="P460" s="2"/>
      <c r="Q460" s="24"/>
      <c r="R460" s="2" t="str">
        <f t="shared" si="49"/>
        <v/>
      </c>
      <c r="S460" s="2"/>
      <c r="T460" s="2"/>
      <c r="U460" s="2" t="str">
        <f t="shared" si="50"/>
        <v/>
      </c>
      <c r="V460" s="10" t="str">
        <f t="shared" si="51"/>
        <v/>
      </c>
      <c r="W460" s="10" t="str">
        <f t="shared" si="52"/>
        <v/>
      </c>
      <c r="X460" s="38" t="str">
        <f t="shared" si="53"/>
        <v/>
      </c>
      <c r="Y460" s="10" t="str">
        <f t="shared" si="54"/>
        <v/>
      </c>
      <c r="Z460" s="2" t="str">
        <f t="shared" si="55"/>
        <v/>
      </c>
      <c r="AA460" s="2"/>
      <c r="AB460" s="2"/>
    </row>
    <row r="461" spans="1:28" ht="16">
      <c r="A461" s="31"/>
      <c r="B461" s="32"/>
      <c r="C461" s="32"/>
      <c r="D461" s="32"/>
      <c r="E461" s="32"/>
      <c r="F461" s="33"/>
      <c r="G461" s="2"/>
      <c r="H461" s="2"/>
      <c r="I461" s="2"/>
      <c r="J461" s="35" t="str">
        <f>IF(H461&lt;&gt;"",IFERROR(VLOOKUP(IFERROR(LEFT(H461,FIND("-",H461)-1),H461),'Catalogo MINSAL'!A:E,5,FALSE),""),IF(I461&lt;&gt;"",IFERROR(VLOOKUP(IFERROR(LEFT(I461,FIND("-",I461)-1),I461),'Catalogo MINSAL'!A:E,5,FALSE),""),""))</f>
        <v/>
      </c>
      <c r="K461" s="2"/>
      <c r="L461" s="2"/>
      <c r="M461" s="2"/>
      <c r="N461" s="2"/>
      <c r="O461" s="2"/>
      <c r="P461" s="2"/>
      <c r="Q461" s="24"/>
      <c r="R461" s="2" t="str">
        <f t="shared" si="49"/>
        <v/>
      </c>
      <c r="S461" s="2"/>
      <c r="T461" s="2"/>
      <c r="U461" s="2" t="str">
        <f t="shared" si="50"/>
        <v/>
      </c>
      <c r="V461" s="10" t="str">
        <f t="shared" si="51"/>
        <v/>
      </c>
      <c r="W461" s="10" t="str">
        <f t="shared" si="52"/>
        <v/>
      </c>
      <c r="X461" s="38" t="str">
        <f t="shared" si="53"/>
        <v/>
      </c>
      <c r="Y461" s="10" t="str">
        <f t="shared" si="54"/>
        <v/>
      </c>
      <c r="Z461" s="2" t="str">
        <f t="shared" si="55"/>
        <v/>
      </c>
      <c r="AA461" s="2"/>
      <c r="AB461" s="2"/>
    </row>
    <row r="462" spans="1:28" ht="16">
      <c r="A462" s="31"/>
      <c r="B462" s="32"/>
      <c r="C462" s="32"/>
      <c r="D462" s="32"/>
      <c r="E462" s="32"/>
      <c r="F462" s="33"/>
      <c r="G462" s="2"/>
      <c r="H462" s="2"/>
      <c r="I462" s="2"/>
      <c r="J462" s="35" t="str">
        <f>IF(H462&lt;&gt;"",IFERROR(VLOOKUP(IFERROR(LEFT(H462,FIND("-",H462)-1),H462),'Catalogo MINSAL'!A:E,5,FALSE),""),IF(I462&lt;&gt;"",IFERROR(VLOOKUP(IFERROR(LEFT(I462,FIND("-",I462)-1),I462),'Catalogo MINSAL'!A:E,5,FALSE),""),""))</f>
        <v/>
      </c>
      <c r="K462" s="2"/>
      <c r="L462" s="2"/>
      <c r="M462" s="2"/>
      <c r="N462" s="2"/>
      <c r="O462" s="2"/>
      <c r="P462" s="2"/>
      <c r="Q462" s="24"/>
      <c r="R462" s="2" t="str">
        <f t="shared" si="49"/>
        <v/>
      </c>
      <c r="S462" s="2"/>
      <c r="T462" s="2"/>
      <c r="U462" s="2" t="str">
        <f t="shared" si="50"/>
        <v/>
      </c>
      <c r="V462" s="10" t="str">
        <f t="shared" si="51"/>
        <v/>
      </c>
      <c r="W462" s="10" t="str">
        <f t="shared" si="52"/>
        <v/>
      </c>
      <c r="X462" s="38" t="str">
        <f t="shared" si="53"/>
        <v/>
      </c>
      <c r="Y462" s="10" t="str">
        <f t="shared" si="54"/>
        <v/>
      </c>
      <c r="Z462" s="2" t="str">
        <f t="shared" si="55"/>
        <v/>
      </c>
      <c r="AA462" s="2"/>
      <c r="AB462" s="2"/>
    </row>
    <row r="463" spans="1:28" ht="16">
      <c r="A463" s="31"/>
      <c r="B463" s="32"/>
      <c r="C463" s="32"/>
      <c r="D463" s="32"/>
      <c r="E463" s="32"/>
      <c r="F463" s="33"/>
      <c r="G463" s="2"/>
      <c r="H463" s="2"/>
      <c r="I463" s="2"/>
      <c r="J463" s="35" t="str">
        <f>IF(H463&lt;&gt;"",IFERROR(VLOOKUP(IFERROR(LEFT(H463,FIND("-",H463)-1),H463),'Catalogo MINSAL'!A:E,5,FALSE),""),IF(I463&lt;&gt;"",IFERROR(VLOOKUP(IFERROR(LEFT(I463,FIND("-",I463)-1),I463),'Catalogo MINSAL'!A:E,5,FALSE),""),""))</f>
        <v/>
      </c>
      <c r="K463" s="2"/>
      <c r="L463" s="2"/>
      <c r="M463" s="2"/>
      <c r="N463" s="2"/>
      <c r="O463" s="2"/>
      <c r="P463" s="2"/>
      <c r="Q463" s="24"/>
      <c r="R463" s="2" t="str">
        <f t="shared" si="49"/>
        <v/>
      </c>
      <c r="S463" s="2"/>
      <c r="T463" s="2"/>
      <c r="U463" s="2" t="str">
        <f t="shared" si="50"/>
        <v/>
      </c>
      <c r="V463" s="10" t="str">
        <f t="shared" si="51"/>
        <v/>
      </c>
      <c r="W463" s="10" t="str">
        <f t="shared" si="52"/>
        <v/>
      </c>
      <c r="X463" s="38" t="str">
        <f t="shared" si="53"/>
        <v/>
      </c>
      <c r="Y463" s="10" t="str">
        <f t="shared" si="54"/>
        <v/>
      </c>
      <c r="Z463" s="2" t="str">
        <f t="shared" si="55"/>
        <v/>
      </c>
      <c r="AA463" s="2"/>
      <c r="AB463" s="2"/>
    </row>
    <row r="464" spans="1:28" ht="16">
      <c r="A464" s="31"/>
      <c r="B464" s="32"/>
      <c r="C464" s="32"/>
      <c r="D464" s="32"/>
      <c r="E464" s="32"/>
      <c r="F464" s="33"/>
      <c r="G464" s="2"/>
      <c r="H464" s="2"/>
      <c r="I464" s="2"/>
      <c r="J464" s="35" t="str">
        <f>IF(H464&lt;&gt;"",IFERROR(VLOOKUP(IFERROR(LEFT(H464,FIND("-",H464)-1),H464),'Catalogo MINSAL'!A:E,5,FALSE),""),IF(I464&lt;&gt;"",IFERROR(VLOOKUP(IFERROR(LEFT(I464,FIND("-",I464)-1),I464),'Catalogo MINSAL'!A:E,5,FALSE),""),""))</f>
        <v/>
      </c>
      <c r="K464" s="2"/>
      <c r="L464" s="2"/>
      <c r="M464" s="2"/>
      <c r="N464" s="2"/>
      <c r="O464" s="2"/>
      <c r="P464" s="2"/>
      <c r="Q464" s="24"/>
      <c r="R464" s="2" t="str">
        <f t="shared" si="49"/>
        <v/>
      </c>
      <c r="S464" s="2"/>
      <c r="T464" s="2"/>
      <c r="U464" s="2" t="str">
        <f t="shared" si="50"/>
        <v/>
      </c>
      <c r="V464" s="10" t="str">
        <f t="shared" si="51"/>
        <v/>
      </c>
      <c r="W464" s="10" t="str">
        <f t="shared" si="52"/>
        <v/>
      </c>
      <c r="X464" s="38" t="str">
        <f t="shared" si="53"/>
        <v/>
      </c>
      <c r="Y464" s="10" t="str">
        <f t="shared" si="54"/>
        <v/>
      </c>
      <c r="Z464" s="2" t="str">
        <f t="shared" si="55"/>
        <v/>
      </c>
      <c r="AA464" s="2"/>
      <c r="AB464" s="2"/>
    </row>
    <row r="465" spans="1:28" ht="16">
      <c r="A465" s="31"/>
      <c r="B465" s="32"/>
      <c r="C465" s="32"/>
      <c r="D465" s="32"/>
      <c r="E465" s="32"/>
      <c r="F465" s="33"/>
      <c r="G465" s="2"/>
      <c r="H465" s="2"/>
      <c r="I465" s="2"/>
      <c r="J465" s="35" t="str">
        <f>IF(H465&lt;&gt;"",IFERROR(VLOOKUP(IFERROR(LEFT(H465,FIND("-",H465)-1),H465),'Catalogo MINSAL'!A:E,5,FALSE),""),IF(I465&lt;&gt;"",IFERROR(VLOOKUP(IFERROR(LEFT(I465,FIND("-",I465)-1),I465),'Catalogo MINSAL'!A:E,5,FALSE),""),""))</f>
        <v/>
      </c>
      <c r="K465" s="2"/>
      <c r="L465" s="2"/>
      <c r="M465" s="2"/>
      <c r="N465" s="2"/>
      <c r="O465" s="2"/>
      <c r="P465" s="2"/>
      <c r="Q465" s="24"/>
      <c r="R465" s="2" t="str">
        <f t="shared" si="49"/>
        <v/>
      </c>
      <c r="S465" s="2"/>
      <c r="T465" s="2"/>
      <c r="U465" s="2" t="str">
        <f t="shared" si="50"/>
        <v/>
      </c>
      <c r="V465" s="10" t="str">
        <f t="shared" si="51"/>
        <v/>
      </c>
      <c r="W465" s="10" t="str">
        <f t="shared" si="52"/>
        <v/>
      </c>
      <c r="X465" s="38" t="str">
        <f t="shared" si="53"/>
        <v/>
      </c>
      <c r="Y465" s="10" t="str">
        <f t="shared" si="54"/>
        <v/>
      </c>
      <c r="Z465" s="2" t="str">
        <f t="shared" si="55"/>
        <v/>
      </c>
      <c r="AA465" s="2"/>
      <c r="AB465" s="2"/>
    </row>
    <row r="466" spans="1:28" ht="16">
      <c r="A466" s="31"/>
      <c r="B466" s="32"/>
      <c r="C466" s="32"/>
      <c r="D466" s="32"/>
      <c r="E466" s="32"/>
      <c r="F466" s="33"/>
      <c r="G466" s="2"/>
      <c r="H466" s="2"/>
      <c r="I466" s="2"/>
      <c r="J466" s="35" t="str">
        <f>IF(H466&lt;&gt;"",IFERROR(VLOOKUP(IFERROR(LEFT(H466,FIND("-",H466)-1),H466),'Catalogo MINSAL'!A:E,5,FALSE),""),IF(I466&lt;&gt;"",IFERROR(VLOOKUP(IFERROR(LEFT(I466,FIND("-",I466)-1),I466),'Catalogo MINSAL'!A:E,5,FALSE),""),""))</f>
        <v/>
      </c>
      <c r="K466" s="2"/>
      <c r="L466" s="2"/>
      <c r="M466" s="2"/>
      <c r="N466" s="2"/>
      <c r="O466" s="2"/>
      <c r="P466" s="2"/>
      <c r="Q466" s="24"/>
      <c r="R466" s="2" t="str">
        <f t="shared" si="49"/>
        <v/>
      </c>
      <c r="S466" s="2"/>
      <c r="T466" s="2"/>
      <c r="U466" s="2" t="str">
        <f t="shared" si="50"/>
        <v/>
      </c>
      <c r="V466" s="10" t="str">
        <f t="shared" si="51"/>
        <v/>
      </c>
      <c r="W466" s="10" t="str">
        <f t="shared" si="52"/>
        <v/>
      </c>
      <c r="X466" s="38" t="str">
        <f t="shared" si="53"/>
        <v/>
      </c>
      <c r="Y466" s="10" t="str">
        <f t="shared" si="54"/>
        <v/>
      </c>
      <c r="Z466" s="2" t="str">
        <f t="shared" si="55"/>
        <v/>
      </c>
      <c r="AA466" s="2"/>
      <c r="AB466" s="2"/>
    </row>
    <row r="467" spans="1:28" ht="16">
      <c r="A467" s="31"/>
      <c r="B467" s="32"/>
      <c r="C467" s="32"/>
      <c r="D467" s="32"/>
      <c r="E467" s="32"/>
      <c r="F467" s="33"/>
      <c r="G467" s="2"/>
      <c r="H467" s="2"/>
      <c r="I467" s="2"/>
      <c r="J467" s="35" t="str">
        <f>IF(H467&lt;&gt;"",IFERROR(VLOOKUP(IFERROR(LEFT(H467,FIND("-",H467)-1),H467),'Catalogo MINSAL'!A:E,5,FALSE),""),IF(I467&lt;&gt;"",IFERROR(VLOOKUP(IFERROR(LEFT(I467,FIND("-",I467)-1),I467),'Catalogo MINSAL'!A:E,5,FALSE),""),""))</f>
        <v/>
      </c>
      <c r="K467" s="2"/>
      <c r="L467" s="2"/>
      <c r="M467" s="2"/>
      <c r="N467" s="2"/>
      <c r="O467" s="2"/>
      <c r="P467" s="2"/>
      <c r="Q467" s="24"/>
      <c r="R467" s="2" t="str">
        <f t="shared" si="49"/>
        <v/>
      </c>
      <c r="S467" s="2"/>
      <c r="T467" s="2"/>
      <c r="U467" s="2" t="str">
        <f t="shared" si="50"/>
        <v/>
      </c>
      <c r="V467" s="10" t="str">
        <f t="shared" si="51"/>
        <v/>
      </c>
      <c r="W467" s="10" t="str">
        <f t="shared" si="52"/>
        <v/>
      </c>
      <c r="X467" s="38" t="str">
        <f t="shared" si="53"/>
        <v/>
      </c>
      <c r="Y467" s="10" t="str">
        <f t="shared" si="54"/>
        <v/>
      </c>
      <c r="Z467" s="2" t="str">
        <f t="shared" si="55"/>
        <v/>
      </c>
      <c r="AA467" s="2"/>
      <c r="AB467" s="2"/>
    </row>
    <row r="468" spans="1:28" ht="16">
      <c r="A468" s="31"/>
      <c r="B468" s="32"/>
      <c r="C468" s="32"/>
      <c r="D468" s="32"/>
      <c r="E468" s="32"/>
      <c r="F468" s="33"/>
      <c r="G468" s="2"/>
      <c r="H468" s="2"/>
      <c r="I468" s="2"/>
      <c r="J468" s="35" t="str">
        <f>IF(H468&lt;&gt;"",IFERROR(VLOOKUP(IFERROR(LEFT(H468,FIND("-",H468)-1),H468),'Catalogo MINSAL'!A:E,5,FALSE),""),IF(I468&lt;&gt;"",IFERROR(VLOOKUP(IFERROR(LEFT(I468,FIND("-",I468)-1),I468),'Catalogo MINSAL'!A:E,5,FALSE),""),""))</f>
        <v/>
      </c>
      <c r="K468" s="2"/>
      <c r="L468" s="2"/>
      <c r="M468" s="2"/>
      <c r="N468" s="2"/>
      <c r="O468" s="2"/>
      <c r="P468" s="2"/>
      <c r="Q468" s="24"/>
      <c r="R468" s="2" t="str">
        <f t="shared" si="49"/>
        <v/>
      </c>
      <c r="S468" s="2"/>
      <c r="T468" s="2"/>
      <c r="U468" s="2" t="str">
        <f t="shared" si="50"/>
        <v/>
      </c>
      <c r="V468" s="10" t="str">
        <f t="shared" si="51"/>
        <v/>
      </c>
      <c r="W468" s="10" t="str">
        <f t="shared" si="52"/>
        <v/>
      </c>
      <c r="X468" s="38" t="str">
        <f t="shared" si="53"/>
        <v/>
      </c>
      <c r="Y468" s="10" t="str">
        <f t="shared" si="54"/>
        <v/>
      </c>
      <c r="Z468" s="2" t="str">
        <f t="shared" si="55"/>
        <v/>
      </c>
      <c r="AA468" s="2"/>
      <c r="AB468" s="2"/>
    </row>
    <row r="469" spans="1:28" ht="16">
      <c r="A469" s="31"/>
      <c r="B469" s="32"/>
      <c r="C469" s="32"/>
      <c r="D469" s="32"/>
      <c r="E469" s="32"/>
      <c r="F469" s="33"/>
      <c r="G469" s="2"/>
      <c r="H469" s="2"/>
      <c r="I469" s="2"/>
      <c r="J469" s="35" t="str">
        <f>IF(H469&lt;&gt;"",IFERROR(VLOOKUP(IFERROR(LEFT(H469,FIND("-",H469)-1),H469),'Catalogo MINSAL'!A:E,5,FALSE),""),IF(I469&lt;&gt;"",IFERROR(VLOOKUP(IFERROR(LEFT(I469,FIND("-",I469)-1),I469),'Catalogo MINSAL'!A:E,5,FALSE),""),""))</f>
        <v/>
      </c>
      <c r="K469" s="2"/>
      <c r="L469" s="2"/>
      <c r="M469" s="2"/>
      <c r="N469" s="2"/>
      <c r="O469" s="2"/>
      <c r="P469" s="2"/>
      <c r="Q469" s="24"/>
      <c r="R469" s="2" t="str">
        <f t="shared" si="49"/>
        <v/>
      </c>
      <c r="S469" s="2"/>
      <c r="T469" s="2"/>
      <c r="U469" s="2" t="str">
        <f t="shared" si="50"/>
        <v/>
      </c>
      <c r="V469" s="10" t="str">
        <f t="shared" si="51"/>
        <v/>
      </c>
      <c r="W469" s="10" t="str">
        <f t="shared" si="52"/>
        <v/>
      </c>
      <c r="X469" s="38" t="str">
        <f t="shared" si="53"/>
        <v/>
      </c>
      <c r="Y469" s="10" t="str">
        <f t="shared" si="54"/>
        <v/>
      </c>
      <c r="Z469" s="2" t="str">
        <f t="shared" si="55"/>
        <v/>
      </c>
      <c r="AA469" s="2"/>
      <c r="AB469" s="2"/>
    </row>
    <row r="470" spans="1:28" ht="16">
      <c r="A470" s="31"/>
      <c r="B470" s="32"/>
      <c r="C470" s="32"/>
      <c r="D470" s="32"/>
      <c r="E470" s="32"/>
      <c r="F470" s="33"/>
      <c r="G470" s="2"/>
      <c r="H470" s="2"/>
      <c r="I470" s="2"/>
      <c r="J470" s="35" t="str">
        <f>IF(H470&lt;&gt;"",IFERROR(VLOOKUP(IFERROR(LEFT(H470,FIND("-",H470)-1),H470),'Catalogo MINSAL'!A:E,5,FALSE),""),IF(I470&lt;&gt;"",IFERROR(VLOOKUP(IFERROR(LEFT(I470,FIND("-",I470)-1),I470),'Catalogo MINSAL'!A:E,5,FALSE),""),""))</f>
        <v/>
      </c>
      <c r="K470" s="2"/>
      <c r="L470" s="2"/>
      <c r="M470" s="2"/>
      <c r="N470" s="2"/>
      <c r="O470" s="2"/>
      <c r="P470" s="2"/>
      <c r="Q470" s="24"/>
      <c r="R470" s="2" t="str">
        <f t="shared" si="49"/>
        <v/>
      </c>
      <c r="S470" s="2"/>
      <c r="T470" s="2"/>
      <c r="U470" s="2" t="str">
        <f t="shared" si="50"/>
        <v/>
      </c>
      <c r="V470" s="10" t="str">
        <f t="shared" si="51"/>
        <v/>
      </c>
      <c r="W470" s="10" t="str">
        <f t="shared" si="52"/>
        <v/>
      </c>
      <c r="X470" s="38" t="str">
        <f t="shared" si="53"/>
        <v/>
      </c>
      <c r="Y470" s="10" t="str">
        <f t="shared" si="54"/>
        <v/>
      </c>
      <c r="Z470" s="2" t="str">
        <f t="shared" si="55"/>
        <v/>
      </c>
      <c r="AA470" s="2"/>
      <c r="AB470" s="2"/>
    </row>
    <row r="471" spans="1:28" ht="16">
      <c r="A471" s="31"/>
      <c r="B471" s="32"/>
      <c r="C471" s="32"/>
      <c r="D471" s="32"/>
      <c r="E471" s="32"/>
      <c r="F471" s="33"/>
      <c r="G471" s="2"/>
      <c r="H471" s="2"/>
      <c r="I471" s="2"/>
      <c r="J471" s="35" t="str">
        <f>IF(H471&lt;&gt;"",IFERROR(VLOOKUP(IFERROR(LEFT(H471,FIND("-",H471)-1),H471),'Catalogo MINSAL'!A:E,5,FALSE),""),IF(I471&lt;&gt;"",IFERROR(VLOOKUP(IFERROR(LEFT(I471,FIND("-",I471)-1),I471),'Catalogo MINSAL'!A:E,5,FALSE),""),""))</f>
        <v/>
      </c>
      <c r="K471" s="2"/>
      <c r="L471" s="2"/>
      <c r="M471" s="2"/>
      <c r="N471" s="2"/>
      <c r="O471" s="2"/>
      <c r="P471" s="2"/>
      <c r="Q471" s="24"/>
      <c r="R471" s="2" t="str">
        <f t="shared" si="49"/>
        <v/>
      </c>
      <c r="S471" s="2"/>
      <c r="T471" s="2"/>
      <c r="U471" s="2" t="str">
        <f t="shared" si="50"/>
        <v/>
      </c>
      <c r="V471" s="10" t="str">
        <f t="shared" si="51"/>
        <v/>
      </c>
      <c r="W471" s="10" t="str">
        <f t="shared" si="52"/>
        <v/>
      </c>
      <c r="X471" s="38" t="str">
        <f t="shared" si="53"/>
        <v/>
      </c>
      <c r="Y471" s="10" t="str">
        <f t="shared" si="54"/>
        <v/>
      </c>
      <c r="Z471" s="2" t="str">
        <f t="shared" si="55"/>
        <v/>
      </c>
      <c r="AA471" s="2"/>
      <c r="AB471" s="2"/>
    </row>
    <row r="472" spans="1:28" ht="16">
      <c r="A472" s="31"/>
      <c r="B472" s="32"/>
      <c r="C472" s="32"/>
      <c r="D472" s="32"/>
      <c r="E472" s="32"/>
      <c r="F472" s="33"/>
      <c r="G472" s="2"/>
      <c r="H472" s="2"/>
      <c r="I472" s="2"/>
      <c r="J472" s="35" t="str">
        <f>IF(H472&lt;&gt;"",IFERROR(VLOOKUP(IFERROR(LEFT(H472,FIND("-",H472)-1),H472),'Catalogo MINSAL'!A:E,5,FALSE),""),IF(I472&lt;&gt;"",IFERROR(VLOOKUP(IFERROR(LEFT(I472,FIND("-",I472)-1),I472),'Catalogo MINSAL'!A:E,5,FALSE),""),""))</f>
        <v/>
      </c>
      <c r="K472" s="2"/>
      <c r="L472" s="2"/>
      <c r="M472" s="2"/>
      <c r="N472" s="2"/>
      <c r="O472" s="2"/>
      <c r="P472" s="2"/>
      <c r="Q472" s="24"/>
      <c r="R472" s="2" t="str">
        <f t="shared" si="49"/>
        <v/>
      </c>
      <c r="S472" s="2"/>
      <c r="T472" s="2"/>
      <c r="U472" s="2" t="str">
        <f t="shared" si="50"/>
        <v/>
      </c>
      <c r="V472" s="10" t="str">
        <f t="shared" si="51"/>
        <v/>
      </c>
      <c r="W472" s="10" t="str">
        <f t="shared" si="52"/>
        <v/>
      </c>
      <c r="X472" s="38" t="str">
        <f t="shared" si="53"/>
        <v/>
      </c>
      <c r="Y472" s="10" t="str">
        <f t="shared" si="54"/>
        <v/>
      </c>
      <c r="Z472" s="2" t="str">
        <f t="shared" si="55"/>
        <v/>
      </c>
      <c r="AA472" s="2"/>
      <c r="AB472" s="2"/>
    </row>
    <row r="473" spans="1:28" ht="16">
      <c r="A473" s="31"/>
      <c r="B473" s="32"/>
      <c r="C473" s="32"/>
      <c r="D473" s="32"/>
      <c r="E473" s="32"/>
      <c r="F473" s="33"/>
      <c r="G473" s="2"/>
      <c r="H473" s="2"/>
      <c r="I473" s="2"/>
      <c r="J473" s="35" t="str">
        <f>IF(H473&lt;&gt;"",IFERROR(VLOOKUP(IFERROR(LEFT(H473,FIND("-",H473)-1),H473),'Catalogo MINSAL'!A:E,5,FALSE),""),IF(I473&lt;&gt;"",IFERROR(VLOOKUP(IFERROR(LEFT(I473,FIND("-",I473)-1),I473),'Catalogo MINSAL'!A:E,5,FALSE),""),""))</f>
        <v/>
      </c>
      <c r="K473" s="2"/>
      <c r="L473" s="2"/>
      <c r="M473" s="2"/>
      <c r="N473" s="2"/>
      <c r="O473" s="2"/>
      <c r="P473" s="2"/>
      <c r="Q473" s="24"/>
      <c r="R473" s="2" t="str">
        <f t="shared" si="49"/>
        <v/>
      </c>
      <c r="S473" s="2"/>
      <c r="T473" s="2"/>
      <c r="U473" s="2" t="str">
        <f t="shared" si="50"/>
        <v/>
      </c>
      <c r="V473" s="10" t="str">
        <f t="shared" si="51"/>
        <v/>
      </c>
      <c r="W473" s="10" t="str">
        <f t="shared" si="52"/>
        <v/>
      </c>
      <c r="X473" s="38" t="str">
        <f t="shared" si="53"/>
        <v/>
      </c>
      <c r="Y473" s="10" t="str">
        <f t="shared" si="54"/>
        <v/>
      </c>
      <c r="Z473" s="2" t="str">
        <f t="shared" si="55"/>
        <v/>
      </c>
      <c r="AA473" s="2"/>
      <c r="AB473" s="2"/>
    </row>
    <row r="474" spans="1:28" ht="16">
      <c r="A474" s="31"/>
      <c r="B474" s="32"/>
      <c r="C474" s="32"/>
      <c r="D474" s="32"/>
      <c r="E474" s="32"/>
      <c r="F474" s="33"/>
      <c r="G474" s="2"/>
      <c r="H474" s="2"/>
      <c r="I474" s="2"/>
      <c r="J474" s="35" t="str">
        <f>IF(H474&lt;&gt;"",IFERROR(VLOOKUP(IFERROR(LEFT(H474,FIND("-",H474)-1),H474),'Catalogo MINSAL'!A:E,5,FALSE),""),IF(I474&lt;&gt;"",IFERROR(VLOOKUP(IFERROR(LEFT(I474,FIND("-",I474)-1),I474),'Catalogo MINSAL'!A:E,5,FALSE),""),""))</f>
        <v/>
      </c>
      <c r="K474" s="2"/>
      <c r="L474" s="2"/>
      <c r="M474" s="2"/>
      <c r="N474" s="2"/>
      <c r="O474" s="2"/>
      <c r="P474" s="2"/>
      <c r="Q474" s="24"/>
      <c r="R474" s="2" t="str">
        <f t="shared" si="49"/>
        <v/>
      </c>
      <c r="S474" s="2"/>
      <c r="T474" s="2"/>
      <c r="U474" s="2" t="str">
        <f t="shared" si="50"/>
        <v/>
      </c>
      <c r="V474" s="10" t="str">
        <f t="shared" si="51"/>
        <v/>
      </c>
      <c r="W474" s="10" t="str">
        <f t="shared" si="52"/>
        <v/>
      </c>
      <c r="X474" s="38" t="str">
        <f t="shared" si="53"/>
        <v/>
      </c>
      <c r="Y474" s="10" t="str">
        <f t="shared" si="54"/>
        <v/>
      </c>
      <c r="Z474" s="2" t="str">
        <f t="shared" si="55"/>
        <v/>
      </c>
      <c r="AA474" s="2"/>
      <c r="AB474" s="2"/>
    </row>
    <row r="475" spans="1:28" ht="16">
      <c r="A475" s="31"/>
      <c r="B475" s="32"/>
      <c r="C475" s="32"/>
      <c r="D475" s="32"/>
      <c r="E475" s="32"/>
      <c r="F475" s="33"/>
      <c r="G475" s="2"/>
      <c r="H475" s="2"/>
      <c r="I475" s="2"/>
      <c r="J475" s="35" t="str">
        <f>IF(H475&lt;&gt;"",IFERROR(VLOOKUP(IFERROR(LEFT(H475,FIND("-",H475)-1),H475),'Catalogo MINSAL'!A:E,5,FALSE),""),IF(I475&lt;&gt;"",IFERROR(VLOOKUP(IFERROR(LEFT(I475,FIND("-",I475)-1),I475),'Catalogo MINSAL'!A:E,5,FALSE),""),""))</f>
        <v/>
      </c>
      <c r="K475" s="2"/>
      <c r="L475" s="2"/>
      <c r="M475" s="2"/>
      <c r="N475" s="2"/>
      <c r="O475" s="2"/>
      <c r="P475" s="2"/>
      <c r="Q475" s="24"/>
      <c r="R475" s="2" t="str">
        <f t="shared" si="49"/>
        <v/>
      </c>
      <c r="S475" s="2"/>
      <c r="T475" s="2"/>
      <c r="U475" s="2" t="str">
        <f t="shared" si="50"/>
        <v/>
      </c>
      <c r="V475" s="10" t="str">
        <f t="shared" si="51"/>
        <v/>
      </c>
      <c r="W475" s="10" t="str">
        <f t="shared" si="52"/>
        <v/>
      </c>
      <c r="X475" s="38" t="str">
        <f t="shared" si="53"/>
        <v/>
      </c>
      <c r="Y475" s="10" t="str">
        <f t="shared" si="54"/>
        <v/>
      </c>
      <c r="Z475" s="2" t="str">
        <f t="shared" si="55"/>
        <v/>
      </c>
      <c r="AA475" s="2"/>
      <c r="AB475" s="2"/>
    </row>
    <row r="476" spans="1:28" ht="16">
      <c r="A476" s="31"/>
      <c r="B476" s="32"/>
      <c r="C476" s="32"/>
      <c r="D476" s="32"/>
      <c r="E476" s="32"/>
      <c r="F476" s="33"/>
      <c r="G476" s="2"/>
      <c r="H476" s="2"/>
      <c r="I476" s="2"/>
      <c r="J476" s="35" t="str">
        <f>IF(H476&lt;&gt;"",IFERROR(VLOOKUP(IFERROR(LEFT(H476,FIND("-",H476)-1),H476),'Catalogo MINSAL'!A:E,5,FALSE),""),IF(I476&lt;&gt;"",IFERROR(VLOOKUP(IFERROR(LEFT(I476,FIND("-",I476)-1),I476),'Catalogo MINSAL'!A:E,5,FALSE),""),""))</f>
        <v/>
      </c>
      <c r="K476" s="2"/>
      <c r="L476" s="2"/>
      <c r="M476" s="2"/>
      <c r="N476" s="2"/>
      <c r="O476" s="2"/>
      <c r="P476" s="2"/>
      <c r="Q476" s="24"/>
      <c r="R476" s="2" t="str">
        <f t="shared" si="49"/>
        <v/>
      </c>
      <c r="S476" s="2"/>
      <c r="T476" s="2"/>
      <c r="U476" s="2" t="str">
        <f t="shared" si="50"/>
        <v/>
      </c>
      <c r="V476" s="10" t="str">
        <f t="shared" si="51"/>
        <v/>
      </c>
      <c r="W476" s="10" t="str">
        <f t="shared" si="52"/>
        <v/>
      </c>
      <c r="X476" s="38" t="str">
        <f t="shared" si="53"/>
        <v/>
      </c>
      <c r="Y476" s="10" t="str">
        <f t="shared" si="54"/>
        <v/>
      </c>
      <c r="Z476" s="2" t="str">
        <f t="shared" si="55"/>
        <v/>
      </c>
      <c r="AA476" s="2"/>
      <c r="AB476" s="2"/>
    </row>
    <row r="477" spans="1:28" ht="16">
      <c r="A477" s="31"/>
      <c r="B477" s="32"/>
      <c r="C477" s="32"/>
      <c r="D477" s="32"/>
      <c r="E477" s="32"/>
      <c r="F477" s="33"/>
      <c r="G477" s="2"/>
      <c r="H477" s="2"/>
      <c r="I477" s="2"/>
      <c r="J477" s="35" t="str">
        <f>IF(H477&lt;&gt;"",IFERROR(VLOOKUP(IFERROR(LEFT(H477,FIND("-",H477)-1),H477),'Catalogo MINSAL'!A:E,5,FALSE),""),IF(I477&lt;&gt;"",IFERROR(VLOOKUP(IFERROR(LEFT(I477,FIND("-",I477)-1),I477),'Catalogo MINSAL'!A:E,5,FALSE),""),""))</f>
        <v/>
      </c>
      <c r="K477" s="2"/>
      <c r="L477" s="2"/>
      <c r="M477" s="2"/>
      <c r="N477" s="2"/>
      <c r="O477" s="2"/>
      <c r="P477" s="2"/>
      <c r="Q477" s="24"/>
      <c r="R477" s="2" t="str">
        <f t="shared" si="49"/>
        <v/>
      </c>
      <c r="S477" s="2"/>
      <c r="T477" s="2"/>
      <c r="U477" s="2" t="str">
        <f t="shared" si="50"/>
        <v/>
      </c>
      <c r="V477" s="10" t="str">
        <f t="shared" si="51"/>
        <v/>
      </c>
      <c r="W477" s="10" t="str">
        <f t="shared" si="52"/>
        <v/>
      </c>
      <c r="X477" s="38" t="str">
        <f t="shared" si="53"/>
        <v/>
      </c>
      <c r="Y477" s="10" t="str">
        <f t="shared" si="54"/>
        <v/>
      </c>
      <c r="Z477" s="2" t="str">
        <f t="shared" si="55"/>
        <v/>
      </c>
      <c r="AA477" s="2"/>
      <c r="AB477" s="2"/>
    </row>
    <row r="478" spans="1:28" ht="16">
      <c r="A478" s="31"/>
      <c r="B478" s="32"/>
      <c r="C478" s="32"/>
      <c r="D478" s="32"/>
      <c r="E478" s="32"/>
      <c r="F478" s="33"/>
      <c r="G478" s="2"/>
      <c r="H478" s="2"/>
      <c r="I478" s="2"/>
      <c r="J478" s="35" t="str">
        <f>IF(H478&lt;&gt;"",IFERROR(VLOOKUP(IFERROR(LEFT(H478,FIND("-",H478)-1),H478),'Catalogo MINSAL'!A:E,5,FALSE),""),IF(I478&lt;&gt;"",IFERROR(VLOOKUP(IFERROR(LEFT(I478,FIND("-",I478)-1),I478),'Catalogo MINSAL'!A:E,5,FALSE),""),""))</f>
        <v/>
      </c>
      <c r="K478" s="2"/>
      <c r="L478" s="2"/>
      <c r="M478" s="2"/>
      <c r="N478" s="2"/>
      <c r="O478" s="2"/>
      <c r="P478" s="2"/>
      <c r="Q478" s="24"/>
      <c r="R478" s="2" t="str">
        <f t="shared" si="49"/>
        <v/>
      </c>
      <c r="S478" s="2"/>
      <c r="T478" s="2"/>
      <c r="U478" s="2" t="str">
        <f t="shared" si="50"/>
        <v/>
      </c>
      <c r="V478" s="10" t="str">
        <f t="shared" si="51"/>
        <v/>
      </c>
      <c r="W478" s="10" t="str">
        <f t="shared" si="52"/>
        <v/>
      </c>
      <c r="X478" s="38" t="str">
        <f t="shared" si="53"/>
        <v/>
      </c>
      <c r="Y478" s="10" t="str">
        <f t="shared" si="54"/>
        <v/>
      </c>
      <c r="Z478" s="2" t="str">
        <f t="shared" si="55"/>
        <v/>
      </c>
      <c r="AA478" s="2"/>
      <c r="AB478" s="2"/>
    </row>
    <row r="479" spans="1:28" ht="16">
      <c r="A479" s="31"/>
      <c r="B479" s="32"/>
      <c r="C479" s="32"/>
      <c r="D479" s="32"/>
      <c r="E479" s="32"/>
      <c r="F479" s="33"/>
      <c r="G479" s="2"/>
      <c r="H479" s="2"/>
      <c r="I479" s="2"/>
      <c r="J479" s="35" t="str">
        <f>IF(H479&lt;&gt;"",IFERROR(VLOOKUP(IFERROR(LEFT(H479,FIND("-",H479)-1),H479),'Catalogo MINSAL'!A:E,5,FALSE),""),IF(I479&lt;&gt;"",IFERROR(VLOOKUP(IFERROR(LEFT(I479,FIND("-",I479)-1),I479),'Catalogo MINSAL'!A:E,5,FALSE),""),""))</f>
        <v/>
      </c>
      <c r="K479" s="2"/>
      <c r="L479" s="2"/>
      <c r="M479" s="2"/>
      <c r="N479" s="2"/>
      <c r="O479" s="2"/>
      <c r="P479" s="2"/>
      <c r="Q479" s="24"/>
      <c r="R479" s="2" t="str">
        <f t="shared" si="49"/>
        <v/>
      </c>
      <c r="S479" s="2"/>
      <c r="T479" s="2"/>
      <c r="U479" s="2" t="str">
        <f t="shared" si="50"/>
        <v/>
      </c>
      <c r="V479" s="10" t="str">
        <f t="shared" si="51"/>
        <v/>
      </c>
      <c r="W479" s="10" t="str">
        <f t="shared" si="52"/>
        <v/>
      </c>
      <c r="X479" s="38" t="str">
        <f t="shared" si="53"/>
        <v/>
      </c>
      <c r="Y479" s="10" t="str">
        <f t="shared" si="54"/>
        <v/>
      </c>
      <c r="Z479" s="2" t="str">
        <f t="shared" si="55"/>
        <v/>
      </c>
      <c r="AA479" s="2"/>
      <c r="AB479" s="2"/>
    </row>
    <row r="480" spans="1:28" ht="16">
      <c r="A480" s="31"/>
      <c r="B480" s="32"/>
      <c r="C480" s="32"/>
      <c r="D480" s="32"/>
      <c r="E480" s="32"/>
      <c r="F480" s="33"/>
      <c r="G480" s="2"/>
      <c r="H480" s="2"/>
      <c r="I480" s="2"/>
      <c r="J480" s="35" t="str">
        <f>IF(H480&lt;&gt;"",IFERROR(VLOOKUP(IFERROR(LEFT(H480,FIND("-",H480)-1),H480),'Catalogo MINSAL'!A:E,5,FALSE),""),IF(I480&lt;&gt;"",IFERROR(VLOOKUP(IFERROR(LEFT(I480,FIND("-",I480)-1),I480),'Catalogo MINSAL'!A:E,5,FALSE),""),""))</f>
        <v/>
      </c>
      <c r="K480" s="2"/>
      <c r="L480" s="2"/>
      <c r="M480" s="2"/>
      <c r="N480" s="2"/>
      <c r="O480" s="2"/>
      <c r="P480" s="2"/>
      <c r="Q480" s="24"/>
      <c r="R480" s="2" t="str">
        <f t="shared" si="49"/>
        <v/>
      </c>
      <c r="S480" s="2"/>
      <c r="T480" s="2"/>
      <c r="U480" s="2" t="str">
        <f t="shared" si="50"/>
        <v/>
      </c>
      <c r="V480" s="10" t="str">
        <f t="shared" si="51"/>
        <v/>
      </c>
      <c r="W480" s="10" t="str">
        <f t="shared" si="52"/>
        <v/>
      </c>
      <c r="X480" s="38" t="str">
        <f t="shared" si="53"/>
        <v/>
      </c>
      <c r="Y480" s="10" t="str">
        <f t="shared" si="54"/>
        <v/>
      </c>
      <c r="Z480" s="2" t="str">
        <f t="shared" si="55"/>
        <v/>
      </c>
      <c r="AA480" s="2"/>
      <c r="AB480" s="2"/>
    </row>
    <row r="481" spans="1:28" ht="16">
      <c r="A481" s="31"/>
      <c r="B481" s="32"/>
      <c r="C481" s="32"/>
      <c r="D481" s="32"/>
      <c r="E481" s="32"/>
      <c r="F481" s="33"/>
      <c r="G481" s="2"/>
      <c r="H481" s="2"/>
      <c r="I481" s="2"/>
      <c r="J481" s="35" t="str">
        <f>IF(H481&lt;&gt;"",IFERROR(VLOOKUP(IFERROR(LEFT(H481,FIND("-",H481)-1),H481),'Catalogo MINSAL'!A:E,5,FALSE),""),IF(I481&lt;&gt;"",IFERROR(VLOOKUP(IFERROR(LEFT(I481,FIND("-",I481)-1),I481),'Catalogo MINSAL'!A:E,5,FALSE),""),""))</f>
        <v/>
      </c>
      <c r="K481" s="2"/>
      <c r="L481" s="2"/>
      <c r="M481" s="2"/>
      <c r="N481" s="2"/>
      <c r="O481" s="2"/>
      <c r="P481" s="2"/>
      <c r="Q481" s="24"/>
      <c r="R481" s="2" t="str">
        <f t="shared" si="49"/>
        <v/>
      </c>
      <c r="S481" s="2"/>
      <c r="T481" s="2"/>
      <c r="U481" s="2" t="str">
        <f t="shared" si="50"/>
        <v/>
      </c>
      <c r="V481" s="10" t="str">
        <f t="shared" si="51"/>
        <v/>
      </c>
      <c r="W481" s="10" t="str">
        <f t="shared" si="52"/>
        <v/>
      </c>
      <c r="X481" s="38" t="str">
        <f t="shared" si="53"/>
        <v/>
      </c>
      <c r="Y481" s="10" t="str">
        <f t="shared" si="54"/>
        <v/>
      </c>
      <c r="Z481" s="2" t="str">
        <f t="shared" si="55"/>
        <v/>
      </c>
      <c r="AA481" s="2"/>
      <c r="AB481" s="2"/>
    </row>
    <row r="482" spans="1:28" ht="16">
      <c r="A482" s="31"/>
      <c r="B482" s="32"/>
      <c r="C482" s="32"/>
      <c r="D482" s="32"/>
      <c r="E482" s="32"/>
      <c r="F482" s="33"/>
      <c r="G482" s="2"/>
      <c r="H482" s="2"/>
      <c r="I482" s="2"/>
      <c r="J482" s="35" t="str">
        <f>IF(H482&lt;&gt;"",IFERROR(VLOOKUP(IFERROR(LEFT(H482,FIND("-",H482)-1),H482),'Catalogo MINSAL'!A:E,5,FALSE),""),IF(I482&lt;&gt;"",IFERROR(VLOOKUP(IFERROR(LEFT(I482,FIND("-",I482)-1),I482),'Catalogo MINSAL'!A:E,5,FALSE),""),""))</f>
        <v/>
      </c>
      <c r="K482" s="2"/>
      <c r="L482" s="2"/>
      <c r="M482" s="2"/>
      <c r="N482" s="2"/>
      <c r="O482" s="2"/>
      <c r="P482" s="2"/>
      <c r="Q482" s="24"/>
      <c r="R482" s="2" t="str">
        <f t="shared" si="49"/>
        <v/>
      </c>
      <c r="S482" s="2"/>
      <c r="T482" s="2"/>
      <c r="U482" s="2" t="str">
        <f t="shared" si="50"/>
        <v/>
      </c>
      <c r="V482" s="10" t="str">
        <f t="shared" si="51"/>
        <v/>
      </c>
      <c r="W482" s="10" t="str">
        <f t="shared" si="52"/>
        <v/>
      </c>
      <c r="X482" s="38" t="str">
        <f t="shared" si="53"/>
        <v/>
      </c>
      <c r="Y482" s="10" t="str">
        <f t="shared" si="54"/>
        <v/>
      </c>
      <c r="Z482" s="2" t="str">
        <f t="shared" si="55"/>
        <v/>
      </c>
      <c r="AA482" s="2"/>
      <c r="AB482" s="2"/>
    </row>
    <row r="483" spans="1:28" ht="16">
      <c r="A483" s="31"/>
      <c r="B483" s="32"/>
      <c r="C483" s="32"/>
      <c r="D483" s="32"/>
      <c r="E483" s="32"/>
      <c r="F483" s="33"/>
      <c r="G483" s="2"/>
      <c r="H483" s="2"/>
      <c r="I483" s="2"/>
      <c r="J483" s="35" t="str">
        <f>IF(H483&lt;&gt;"",IFERROR(VLOOKUP(IFERROR(LEFT(H483,FIND("-",H483)-1),H483),'Catalogo MINSAL'!A:E,5,FALSE),""),IF(I483&lt;&gt;"",IFERROR(VLOOKUP(IFERROR(LEFT(I483,FIND("-",I483)-1),I483),'Catalogo MINSAL'!A:E,5,FALSE),""),""))</f>
        <v/>
      </c>
      <c r="K483" s="2"/>
      <c r="L483" s="2"/>
      <c r="M483" s="2"/>
      <c r="N483" s="2"/>
      <c r="O483" s="2"/>
      <c r="P483" s="2"/>
      <c r="Q483" s="24"/>
      <c r="R483" s="2" t="str">
        <f t="shared" si="49"/>
        <v/>
      </c>
      <c r="S483" s="2"/>
      <c r="T483" s="2"/>
      <c r="U483" s="2" t="str">
        <f t="shared" si="50"/>
        <v/>
      </c>
      <c r="V483" s="10" t="str">
        <f t="shared" si="51"/>
        <v/>
      </c>
      <c r="W483" s="10" t="str">
        <f t="shared" si="52"/>
        <v/>
      </c>
      <c r="X483" s="38" t="str">
        <f t="shared" si="53"/>
        <v/>
      </c>
      <c r="Y483" s="10" t="str">
        <f t="shared" si="54"/>
        <v/>
      </c>
      <c r="Z483" s="2" t="str">
        <f t="shared" si="55"/>
        <v/>
      </c>
      <c r="AA483" s="2"/>
      <c r="AB483" s="2"/>
    </row>
    <row r="484" spans="1:28" ht="16">
      <c r="A484" s="31"/>
      <c r="B484" s="32"/>
      <c r="C484" s="32"/>
      <c r="D484" s="32"/>
      <c r="E484" s="32"/>
      <c r="F484" s="33"/>
      <c r="G484" s="2"/>
      <c r="H484" s="2"/>
      <c r="I484" s="2"/>
      <c r="J484" s="35" t="str">
        <f>IF(H484&lt;&gt;"",IFERROR(VLOOKUP(IFERROR(LEFT(H484,FIND("-",H484)-1),H484),'Catalogo MINSAL'!A:E,5,FALSE),""),IF(I484&lt;&gt;"",IFERROR(VLOOKUP(IFERROR(LEFT(I484,FIND("-",I484)-1),I484),'Catalogo MINSAL'!A:E,5,FALSE),""),""))</f>
        <v/>
      </c>
      <c r="K484" s="2"/>
      <c r="L484" s="2"/>
      <c r="M484" s="2"/>
      <c r="N484" s="2"/>
      <c r="O484" s="2"/>
      <c r="P484" s="2"/>
      <c r="Q484" s="24"/>
      <c r="R484" s="2" t="str">
        <f t="shared" si="49"/>
        <v/>
      </c>
      <c r="S484" s="2"/>
      <c r="T484" s="2"/>
      <c r="U484" s="2" t="str">
        <f t="shared" si="50"/>
        <v/>
      </c>
      <c r="V484" s="10" t="str">
        <f t="shared" si="51"/>
        <v/>
      </c>
      <c r="W484" s="10" t="str">
        <f t="shared" si="52"/>
        <v/>
      </c>
      <c r="X484" s="38" t="str">
        <f t="shared" si="53"/>
        <v/>
      </c>
      <c r="Y484" s="10" t="str">
        <f t="shared" si="54"/>
        <v/>
      </c>
      <c r="Z484" s="2" t="str">
        <f t="shared" si="55"/>
        <v/>
      </c>
      <c r="AA484" s="2"/>
      <c r="AB484" s="2"/>
    </row>
    <row r="485" spans="1:28" ht="16">
      <c r="A485" s="31"/>
      <c r="B485" s="32"/>
      <c r="C485" s="32"/>
      <c r="D485" s="32"/>
      <c r="E485" s="32"/>
      <c r="F485" s="33"/>
      <c r="G485" s="2"/>
      <c r="H485" s="2"/>
      <c r="I485" s="2"/>
      <c r="J485" s="35" t="str">
        <f>IF(H485&lt;&gt;"",IFERROR(VLOOKUP(IFERROR(LEFT(H485,FIND("-",H485)-1),H485),'Catalogo MINSAL'!A:E,5,FALSE),""),IF(I485&lt;&gt;"",IFERROR(VLOOKUP(IFERROR(LEFT(I485,FIND("-",I485)-1),I485),'Catalogo MINSAL'!A:E,5,FALSE),""),""))</f>
        <v/>
      </c>
      <c r="K485" s="2"/>
      <c r="L485" s="2"/>
      <c r="M485" s="2"/>
      <c r="N485" s="2"/>
      <c r="O485" s="2"/>
      <c r="P485" s="2"/>
      <c r="Q485" s="24"/>
      <c r="R485" s="2" t="str">
        <f t="shared" si="49"/>
        <v/>
      </c>
      <c r="S485" s="2"/>
      <c r="T485" s="2"/>
      <c r="U485" s="2" t="str">
        <f t="shared" si="50"/>
        <v/>
      </c>
      <c r="V485" s="10" t="str">
        <f t="shared" si="51"/>
        <v/>
      </c>
      <c r="W485" s="10" t="str">
        <f t="shared" si="52"/>
        <v/>
      </c>
      <c r="X485" s="38" t="str">
        <f t="shared" si="53"/>
        <v/>
      </c>
      <c r="Y485" s="10" t="str">
        <f t="shared" si="54"/>
        <v/>
      </c>
      <c r="Z485" s="2" t="str">
        <f t="shared" si="55"/>
        <v/>
      </c>
      <c r="AA485" s="2"/>
      <c r="AB485" s="2"/>
    </row>
    <row r="486" spans="1:28" ht="16">
      <c r="A486" s="31"/>
      <c r="B486" s="32"/>
      <c r="C486" s="32"/>
      <c r="D486" s="32"/>
      <c r="E486" s="32"/>
      <c r="F486" s="33"/>
      <c r="G486" s="2"/>
      <c r="H486" s="2"/>
      <c r="I486" s="2"/>
      <c r="J486" s="35" t="str">
        <f>IF(H486&lt;&gt;"",IFERROR(VLOOKUP(IFERROR(LEFT(H486,FIND("-",H486)-1),H486),'Catalogo MINSAL'!A:E,5,FALSE),""),IF(I486&lt;&gt;"",IFERROR(VLOOKUP(IFERROR(LEFT(I486,FIND("-",I486)-1),I486),'Catalogo MINSAL'!A:E,5,FALSE),""),""))</f>
        <v/>
      </c>
      <c r="K486" s="2"/>
      <c r="L486" s="2"/>
      <c r="M486" s="2"/>
      <c r="N486" s="2"/>
      <c r="O486" s="2"/>
      <c r="P486" s="2"/>
      <c r="Q486" s="24"/>
      <c r="R486" s="2" t="str">
        <f t="shared" si="49"/>
        <v/>
      </c>
      <c r="S486" s="2"/>
      <c r="T486" s="2"/>
      <c r="U486" s="2" t="str">
        <f t="shared" si="50"/>
        <v/>
      </c>
      <c r="V486" s="10" t="str">
        <f t="shared" si="51"/>
        <v/>
      </c>
      <c r="W486" s="10" t="str">
        <f t="shared" si="52"/>
        <v/>
      </c>
      <c r="X486" s="38" t="str">
        <f t="shared" si="53"/>
        <v/>
      </c>
      <c r="Y486" s="10" t="str">
        <f t="shared" si="54"/>
        <v/>
      </c>
      <c r="Z486" s="2" t="str">
        <f t="shared" si="55"/>
        <v/>
      </c>
      <c r="AA486" s="2"/>
      <c r="AB486" s="2"/>
    </row>
    <row r="487" spans="1:28" ht="16">
      <c r="A487" s="31"/>
      <c r="B487" s="32"/>
      <c r="C487" s="32"/>
      <c r="D487" s="32"/>
      <c r="E487" s="32"/>
      <c r="F487" s="33"/>
      <c r="G487" s="2"/>
      <c r="H487" s="2"/>
      <c r="I487" s="2"/>
      <c r="J487" s="35" t="str">
        <f>IF(H487&lt;&gt;"",IFERROR(VLOOKUP(IFERROR(LEFT(H487,FIND("-",H487)-1),H487),'Catalogo MINSAL'!A:E,5,FALSE),""),IF(I487&lt;&gt;"",IFERROR(VLOOKUP(IFERROR(LEFT(I487,FIND("-",I487)-1),I487),'Catalogo MINSAL'!A:E,5,FALSE),""),""))</f>
        <v/>
      </c>
      <c r="K487" s="2"/>
      <c r="L487" s="2"/>
      <c r="M487" s="2"/>
      <c r="N487" s="2"/>
      <c r="O487" s="2"/>
      <c r="P487" s="2"/>
      <c r="Q487" s="24"/>
      <c r="R487" s="2" t="str">
        <f t="shared" si="49"/>
        <v/>
      </c>
      <c r="S487" s="2"/>
      <c r="T487" s="2"/>
      <c r="U487" s="2" t="str">
        <f t="shared" si="50"/>
        <v/>
      </c>
      <c r="V487" s="10" t="str">
        <f t="shared" si="51"/>
        <v/>
      </c>
      <c r="W487" s="10" t="str">
        <f t="shared" si="52"/>
        <v/>
      </c>
      <c r="X487" s="38" t="str">
        <f t="shared" si="53"/>
        <v/>
      </c>
      <c r="Y487" s="10" t="str">
        <f t="shared" si="54"/>
        <v/>
      </c>
      <c r="Z487" s="2" t="str">
        <f t="shared" si="55"/>
        <v/>
      </c>
      <c r="AA487" s="2"/>
      <c r="AB487" s="2"/>
    </row>
    <row r="488" spans="1:28" ht="16">
      <c r="A488" s="31"/>
      <c r="B488" s="32"/>
      <c r="C488" s="32"/>
      <c r="D488" s="32"/>
      <c r="E488" s="32"/>
      <c r="F488" s="33"/>
      <c r="G488" s="2"/>
      <c r="H488" s="2"/>
      <c r="I488" s="2"/>
      <c r="J488" s="35" t="str">
        <f>IF(H488&lt;&gt;"",IFERROR(VLOOKUP(IFERROR(LEFT(H488,FIND("-",H488)-1),H488),'Catalogo MINSAL'!A:E,5,FALSE),""),IF(I488&lt;&gt;"",IFERROR(VLOOKUP(IFERROR(LEFT(I488,FIND("-",I488)-1),I488),'Catalogo MINSAL'!A:E,5,FALSE),""),""))</f>
        <v/>
      </c>
      <c r="K488" s="2"/>
      <c r="L488" s="2"/>
      <c r="M488" s="2"/>
      <c r="N488" s="2"/>
      <c r="O488" s="2"/>
      <c r="P488" s="2"/>
      <c r="Q488" s="24"/>
      <c r="R488" s="2" t="str">
        <f t="shared" si="49"/>
        <v/>
      </c>
      <c r="S488" s="2"/>
      <c r="T488" s="2"/>
      <c r="U488" s="2" t="str">
        <f t="shared" si="50"/>
        <v/>
      </c>
      <c r="V488" s="10" t="str">
        <f t="shared" si="51"/>
        <v/>
      </c>
      <c r="W488" s="10" t="str">
        <f t="shared" si="52"/>
        <v/>
      </c>
      <c r="X488" s="38" t="str">
        <f t="shared" si="53"/>
        <v/>
      </c>
      <c r="Y488" s="10" t="str">
        <f t="shared" si="54"/>
        <v/>
      </c>
      <c r="Z488" s="2" t="str">
        <f t="shared" si="55"/>
        <v/>
      </c>
      <c r="AA488" s="2"/>
      <c r="AB488" s="2"/>
    </row>
    <row r="489" spans="1:28" ht="16">
      <c r="A489" s="31"/>
      <c r="B489" s="32"/>
      <c r="C489" s="32"/>
      <c r="D489" s="32"/>
      <c r="E489" s="32"/>
      <c r="F489" s="33"/>
      <c r="G489" s="2"/>
      <c r="H489" s="2"/>
      <c r="I489" s="2"/>
      <c r="J489" s="35" t="str">
        <f>IF(H489&lt;&gt;"",IFERROR(VLOOKUP(IFERROR(LEFT(H489,FIND("-",H489)-1),H489),'Catalogo MINSAL'!A:E,5,FALSE),""),IF(I489&lt;&gt;"",IFERROR(VLOOKUP(IFERROR(LEFT(I489,FIND("-",I489)-1),I489),'Catalogo MINSAL'!A:E,5,FALSE),""),""))</f>
        <v/>
      </c>
      <c r="K489" s="2"/>
      <c r="L489" s="2"/>
      <c r="M489" s="2"/>
      <c r="N489" s="2"/>
      <c r="O489" s="2"/>
      <c r="P489" s="2"/>
      <c r="Q489" s="24"/>
      <c r="R489" s="2" t="str">
        <f t="shared" si="49"/>
        <v/>
      </c>
      <c r="S489" s="2"/>
      <c r="T489" s="2"/>
      <c r="U489" s="2" t="str">
        <f t="shared" si="50"/>
        <v/>
      </c>
      <c r="V489" s="10" t="str">
        <f t="shared" si="51"/>
        <v/>
      </c>
      <c r="W489" s="10" t="str">
        <f t="shared" si="52"/>
        <v/>
      </c>
      <c r="X489" s="38" t="str">
        <f t="shared" si="53"/>
        <v/>
      </c>
      <c r="Y489" s="10" t="str">
        <f t="shared" si="54"/>
        <v/>
      </c>
      <c r="Z489" s="2" t="str">
        <f t="shared" si="55"/>
        <v/>
      </c>
      <c r="AA489" s="2"/>
      <c r="AB489" s="2"/>
    </row>
    <row r="490" spans="1:28" ht="16">
      <c r="A490" s="31"/>
      <c r="B490" s="32"/>
      <c r="C490" s="32"/>
      <c r="D490" s="32"/>
      <c r="E490" s="32"/>
      <c r="F490" s="33"/>
      <c r="G490" s="2"/>
      <c r="H490" s="2"/>
      <c r="I490" s="2"/>
      <c r="J490" s="35" t="str">
        <f>IF(H490&lt;&gt;"",IFERROR(VLOOKUP(IFERROR(LEFT(H490,FIND("-",H490)-1),H490),'Catalogo MINSAL'!A:E,5,FALSE),""),IF(I490&lt;&gt;"",IFERROR(VLOOKUP(IFERROR(LEFT(I490,FIND("-",I490)-1),I490),'Catalogo MINSAL'!A:E,5,FALSE),""),""))</f>
        <v/>
      </c>
      <c r="K490" s="2"/>
      <c r="L490" s="2"/>
      <c r="M490" s="2"/>
      <c r="N490" s="2"/>
      <c r="O490" s="2"/>
      <c r="P490" s="2"/>
      <c r="Q490" s="24"/>
      <c r="R490" s="2" t="str">
        <f t="shared" si="49"/>
        <v/>
      </c>
      <c r="S490" s="2"/>
      <c r="T490" s="2"/>
      <c r="U490" s="2" t="str">
        <f t="shared" si="50"/>
        <v/>
      </c>
      <c r="V490" s="10" t="str">
        <f t="shared" si="51"/>
        <v/>
      </c>
      <c r="W490" s="10" t="str">
        <f t="shared" si="52"/>
        <v/>
      </c>
      <c r="X490" s="38" t="str">
        <f t="shared" si="53"/>
        <v/>
      </c>
      <c r="Y490" s="10" t="str">
        <f t="shared" si="54"/>
        <v/>
      </c>
      <c r="Z490" s="2" t="str">
        <f t="shared" si="55"/>
        <v/>
      </c>
      <c r="AA490" s="2"/>
      <c r="AB490" s="2"/>
    </row>
    <row r="491" spans="1:28" ht="16">
      <c r="A491" s="31"/>
      <c r="B491" s="32"/>
      <c r="C491" s="32"/>
      <c r="D491" s="32"/>
      <c r="E491" s="32"/>
      <c r="F491" s="33"/>
      <c r="G491" s="2"/>
      <c r="H491" s="2"/>
      <c r="I491" s="2"/>
      <c r="J491" s="35" t="str">
        <f>IF(H491&lt;&gt;"",IFERROR(VLOOKUP(IFERROR(LEFT(H491,FIND("-",H491)-1),H491),'Catalogo MINSAL'!A:E,5,FALSE),""),IF(I491&lt;&gt;"",IFERROR(VLOOKUP(IFERROR(LEFT(I491,FIND("-",I491)-1),I491),'Catalogo MINSAL'!A:E,5,FALSE),""),""))</f>
        <v/>
      </c>
      <c r="K491" s="2"/>
      <c r="L491" s="2"/>
      <c r="M491" s="2"/>
      <c r="N491" s="2"/>
      <c r="O491" s="2"/>
      <c r="P491" s="2"/>
      <c r="Q491" s="24"/>
      <c r="R491" s="2" t="str">
        <f t="shared" si="49"/>
        <v/>
      </c>
      <c r="S491" s="2"/>
      <c r="T491" s="2"/>
      <c r="U491" s="2" t="str">
        <f t="shared" si="50"/>
        <v/>
      </c>
      <c r="V491" s="10" t="str">
        <f t="shared" si="51"/>
        <v/>
      </c>
      <c r="W491" s="10" t="str">
        <f t="shared" si="52"/>
        <v/>
      </c>
      <c r="X491" s="38" t="str">
        <f t="shared" si="53"/>
        <v/>
      </c>
      <c r="Y491" s="10" t="str">
        <f t="shared" si="54"/>
        <v/>
      </c>
      <c r="Z491" s="2" t="str">
        <f t="shared" si="55"/>
        <v/>
      </c>
      <c r="AA491" s="2"/>
      <c r="AB491" s="2"/>
    </row>
    <row r="492" spans="1:28" ht="16">
      <c r="A492" s="31"/>
      <c r="B492" s="32"/>
      <c r="C492" s="32"/>
      <c r="D492" s="32"/>
      <c r="E492" s="32"/>
      <c r="F492" s="33"/>
      <c r="G492" s="2"/>
      <c r="H492" s="2"/>
      <c r="I492" s="2"/>
      <c r="J492" s="35" t="str">
        <f>IF(H492&lt;&gt;"",IFERROR(VLOOKUP(IFERROR(LEFT(H492,FIND("-",H492)-1),H492),'Catalogo MINSAL'!A:E,5,FALSE),""),IF(I492&lt;&gt;"",IFERROR(VLOOKUP(IFERROR(LEFT(I492,FIND("-",I492)-1),I492),'Catalogo MINSAL'!A:E,5,FALSE),""),""))</f>
        <v/>
      </c>
      <c r="K492" s="2"/>
      <c r="L492" s="2"/>
      <c r="M492" s="2"/>
      <c r="N492" s="2"/>
      <c r="O492" s="2"/>
      <c r="P492" s="2"/>
      <c r="Q492" s="24"/>
      <c r="R492" s="2" t="str">
        <f t="shared" si="49"/>
        <v/>
      </c>
      <c r="S492" s="2"/>
      <c r="T492" s="2"/>
      <c r="U492" s="2" t="str">
        <f t="shared" si="50"/>
        <v/>
      </c>
      <c r="V492" s="10" t="str">
        <f t="shared" si="51"/>
        <v/>
      </c>
      <c r="W492" s="10" t="str">
        <f t="shared" si="52"/>
        <v/>
      </c>
      <c r="X492" s="38" t="str">
        <f t="shared" si="53"/>
        <v/>
      </c>
      <c r="Y492" s="10" t="str">
        <f t="shared" si="54"/>
        <v/>
      </c>
      <c r="Z492" s="2" t="str">
        <f t="shared" si="55"/>
        <v/>
      </c>
      <c r="AA492" s="2"/>
      <c r="AB492" s="2"/>
    </row>
    <row r="493" spans="1:28" ht="16">
      <c r="A493" s="31"/>
      <c r="B493" s="32"/>
      <c r="C493" s="32"/>
      <c r="D493" s="32"/>
      <c r="E493" s="32"/>
      <c r="F493" s="33"/>
      <c r="G493" s="2"/>
      <c r="H493" s="2"/>
      <c r="I493" s="2"/>
      <c r="J493" s="35" t="str">
        <f>IF(H493&lt;&gt;"",IFERROR(VLOOKUP(IFERROR(LEFT(H493,FIND("-",H493)-1),H493),'Catalogo MINSAL'!A:E,5,FALSE),""),IF(I493&lt;&gt;"",IFERROR(VLOOKUP(IFERROR(LEFT(I493,FIND("-",I493)-1),I493),'Catalogo MINSAL'!A:E,5,FALSE),""),""))</f>
        <v/>
      </c>
      <c r="K493" s="2"/>
      <c r="L493" s="2"/>
      <c r="M493" s="2"/>
      <c r="N493" s="2"/>
      <c r="O493" s="2"/>
      <c r="P493" s="2"/>
      <c r="Q493" s="24"/>
      <c r="R493" s="2" t="str">
        <f t="shared" si="49"/>
        <v/>
      </c>
      <c r="S493" s="2"/>
      <c r="T493" s="2"/>
      <c r="U493" s="2" t="str">
        <f t="shared" si="50"/>
        <v/>
      </c>
      <c r="V493" s="10" t="str">
        <f t="shared" si="51"/>
        <v/>
      </c>
      <c r="W493" s="10" t="str">
        <f t="shared" si="52"/>
        <v/>
      </c>
      <c r="X493" s="38" t="str">
        <f t="shared" si="53"/>
        <v/>
      </c>
      <c r="Y493" s="10" t="str">
        <f t="shared" si="54"/>
        <v/>
      </c>
      <c r="Z493" s="2" t="str">
        <f t="shared" si="55"/>
        <v/>
      </c>
      <c r="AA493" s="2"/>
      <c r="AB493" s="2"/>
    </row>
    <row r="494" spans="1:28" ht="16">
      <c r="A494" s="31"/>
      <c r="B494" s="32"/>
      <c r="C494" s="32"/>
      <c r="D494" s="32"/>
      <c r="E494" s="32"/>
      <c r="F494" s="33"/>
      <c r="G494" s="2"/>
      <c r="H494" s="2"/>
      <c r="I494" s="2"/>
      <c r="J494" s="35" t="str">
        <f>IF(H494&lt;&gt;"",IFERROR(VLOOKUP(IFERROR(LEFT(H494,FIND("-",H494)-1),H494),'Catalogo MINSAL'!A:E,5,FALSE),""),IF(I494&lt;&gt;"",IFERROR(VLOOKUP(IFERROR(LEFT(I494,FIND("-",I494)-1),I494),'Catalogo MINSAL'!A:E,5,FALSE),""),""))</f>
        <v/>
      </c>
      <c r="K494" s="2"/>
      <c r="L494" s="2"/>
      <c r="M494" s="2"/>
      <c r="N494" s="2"/>
      <c r="O494" s="2"/>
      <c r="P494" s="2"/>
      <c r="Q494" s="24"/>
      <c r="R494" s="2" t="str">
        <f t="shared" si="49"/>
        <v/>
      </c>
      <c r="S494" s="2"/>
      <c r="T494" s="2"/>
      <c r="U494" s="2" t="str">
        <f t="shared" si="50"/>
        <v/>
      </c>
      <c r="V494" s="10" t="str">
        <f t="shared" si="51"/>
        <v/>
      </c>
      <c r="W494" s="10" t="str">
        <f t="shared" si="52"/>
        <v/>
      </c>
      <c r="X494" s="38" t="str">
        <f t="shared" si="53"/>
        <v/>
      </c>
      <c r="Y494" s="10" t="str">
        <f t="shared" si="54"/>
        <v/>
      </c>
      <c r="Z494" s="2" t="str">
        <f t="shared" si="55"/>
        <v/>
      </c>
      <c r="AA494" s="2"/>
      <c r="AB494" s="2"/>
    </row>
    <row r="495" spans="1:28" ht="16">
      <c r="A495" s="31"/>
      <c r="B495" s="32"/>
      <c r="C495" s="32"/>
      <c r="D495" s="32"/>
      <c r="E495" s="32"/>
      <c r="F495" s="33"/>
      <c r="G495" s="2"/>
      <c r="H495" s="2"/>
      <c r="I495" s="2"/>
      <c r="J495" s="35" t="str">
        <f>IF(H495&lt;&gt;"",IFERROR(VLOOKUP(IFERROR(LEFT(H495,FIND("-",H495)-1),H495),'Catalogo MINSAL'!A:E,5,FALSE),""),IF(I495&lt;&gt;"",IFERROR(VLOOKUP(IFERROR(LEFT(I495,FIND("-",I495)-1),I495),'Catalogo MINSAL'!A:E,5,FALSE),""),""))</f>
        <v/>
      </c>
      <c r="K495" s="2"/>
      <c r="L495" s="2"/>
      <c r="M495" s="2"/>
      <c r="N495" s="2"/>
      <c r="O495" s="2"/>
      <c r="P495" s="2"/>
      <c r="Q495" s="24"/>
      <c r="R495" s="2" t="str">
        <f t="shared" si="49"/>
        <v/>
      </c>
      <c r="S495" s="2"/>
      <c r="T495" s="2"/>
      <c r="U495" s="2" t="str">
        <f t="shared" si="50"/>
        <v/>
      </c>
      <c r="V495" s="10" t="str">
        <f t="shared" si="51"/>
        <v/>
      </c>
      <c r="W495" s="10" t="str">
        <f t="shared" si="52"/>
        <v/>
      </c>
      <c r="X495" s="38" t="str">
        <f t="shared" si="53"/>
        <v/>
      </c>
      <c r="Y495" s="10" t="str">
        <f t="shared" si="54"/>
        <v/>
      </c>
      <c r="Z495" s="2" t="str">
        <f t="shared" si="55"/>
        <v/>
      </c>
      <c r="AA495" s="2"/>
      <c r="AB495" s="2"/>
    </row>
    <row r="496" spans="1:28" ht="16">
      <c r="A496" s="31"/>
      <c r="B496" s="32"/>
      <c r="C496" s="32"/>
      <c r="D496" s="32"/>
      <c r="E496" s="32"/>
      <c r="F496" s="33"/>
      <c r="G496" s="2"/>
      <c r="H496" s="2"/>
      <c r="I496" s="2"/>
      <c r="J496" s="35" t="str">
        <f>IF(H496&lt;&gt;"",IFERROR(VLOOKUP(IFERROR(LEFT(H496,FIND("-",H496)-1),H496),'Catalogo MINSAL'!A:E,5,FALSE),""),IF(I496&lt;&gt;"",IFERROR(VLOOKUP(IFERROR(LEFT(I496,FIND("-",I496)-1),I496),'Catalogo MINSAL'!A:E,5,FALSE),""),""))</f>
        <v/>
      </c>
      <c r="K496" s="2"/>
      <c r="L496" s="2"/>
      <c r="M496" s="2"/>
      <c r="N496" s="2"/>
      <c r="O496" s="2"/>
      <c r="P496" s="2"/>
      <c r="Q496" s="24"/>
      <c r="R496" s="2" t="str">
        <f t="shared" si="49"/>
        <v/>
      </c>
      <c r="S496" s="2"/>
      <c r="T496" s="2"/>
      <c r="U496" s="2" t="str">
        <f t="shared" si="50"/>
        <v/>
      </c>
      <c r="V496" s="10" t="str">
        <f t="shared" si="51"/>
        <v/>
      </c>
      <c r="W496" s="10" t="str">
        <f t="shared" si="52"/>
        <v/>
      </c>
      <c r="X496" s="38" t="str">
        <f t="shared" si="53"/>
        <v/>
      </c>
      <c r="Y496" s="10" t="str">
        <f t="shared" si="54"/>
        <v/>
      </c>
      <c r="Z496" s="2" t="str">
        <f t="shared" si="55"/>
        <v/>
      </c>
      <c r="AA496" s="2"/>
      <c r="AB496" s="2"/>
    </row>
    <row r="497" spans="1:28" ht="16">
      <c r="A497" s="31"/>
      <c r="B497" s="32"/>
      <c r="C497" s="32"/>
      <c r="D497" s="32"/>
      <c r="E497" s="32"/>
      <c r="F497" s="33"/>
      <c r="G497" s="2"/>
      <c r="H497" s="2"/>
      <c r="I497" s="2"/>
      <c r="J497" s="35" t="str">
        <f>IF(H497&lt;&gt;"",IFERROR(VLOOKUP(IFERROR(LEFT(H497,FIND("-",H497)-1),H497),'Catalogo MINSAL'!A:E,5,FALSE),""),IF(I497&lt;&gt;"",IFERROR(VLOOKUP(IFERROR(LEFT(I497,FIND("-",I497)-1),I497),'Catalogo MINSAL'!A:E,5,FALSE),""),""))</f>
        <v/>
      </c>
      <c r="K497" s="2"/>
      <c r="L497" s="2"/>
      <c r="M497" s="2"/>
      <c r="N497" s="2"/>
      <c r="O497" s="2"/>
      <c r="P497" s="2"/>
      <c r="Q497" s="24"/>
      <c r="R497" s="2" t="str">
        <f t="shared" si="49"/>
        <v/>
      </c>
      <c r="S497" s="2"/>
      <c r="T497" s="2"/>
      <c r="U497" s="2" t="str">
        <f t="shared" si="50"/>
        <v/>
      </c>
      <c r="V497" s="10" t="str">
        <f t="shared" si="51"/>
        <v/>
      </c>
      <c r="W497" s="10" t="str">
        <f t="shared" si="52"/>
        <v/>
      </c>
      <c r="X497" s="38" t="str">
        <f t="shared" si="53"/>
        <v/>
      </c>
      <c r="Y497" s="10" t="str">
        <f t="shared" si="54"/>
        <v/>
      </c>
      <c r="Z497" s="2" t="str">
        <f t="shared" si="55"/>
        <v/>
      </c>
      <c r="AA497" s="2"/>
      <c r="AB497" s="2"/>
    </row>
    <row r="498" spans="1:28" ht="16">
      <c r="A498" s="31"/>
      <c r="B498" s="32"/>
      <c r="C498" s="32"/>
      <c r="D498" s="32"/>
      <c r="E498" s="32"/>
      <c r="F498" s="33"/>
      <c r="G498" s="2"/>
      <c r="H498" s="2"/>
      <c r="I498" s="2"/>
      <c r="J498" s="35" t="str">
        <f>IF(H498&lt;&gt;"",IFERROR(VLOOKUP(IFERROR(LEFT(H498,FIND("-",H498)-1),H498),'Catalogo MINSAL'!A:E,5,FALSE),""),IF(I498&lt;&gt;"",IFERROR(VLOOKUP(IFERROR(LEFT(I498,FIND("-",I498)-1),I498),'Catalogo MINSAL'!A:E,5,FALSE),""),""))</f>
        <v/>
      </c>
      <c r="K498" s="2"/>
      <c r="L498" s="2"/>
      <c r="M498" s="2"/>
      <c r="N498" s="2"/>
      <c r="O498" s="2"/>
      <c r="P498" s="2"/>
      <c r="Q498" s="24"/>
      <c r="R498" s="2" t="str">
        <f t="shared" si="49"/>
        <v/>
      </c>
      <c r="S498" s="2"/>
      <c r="T498" s="2"/>
      <c r="U498" s="2" t="str">
        <f t="shared" si="50"/>
        <v/>
      </c>
      <c r="V498" s="10" t="str">
        <f t="shared" si="51"/>
        <v/>
      </c>
      <c r="W498" s="10" t="str">
        <f t="shared" si="52"/>
        <v/>
      </c>
      <c r="X498" s="38" t="str">
        <f t="shared" si="53"/>
        <v/>
      </c>
      <c r="Y498" s="10" t="str">
        <f t="shared" si="54"/>
        <v/>
      </c>
      <c r="Z498" s="2" t="str">
        <f t="shared" si="55"/>
        <v/>
      </c>
      <c r="AA498" s="2"/>
      <c r="AB498" s="2"/>
    </row>
    <row r="499" spans="1:28" ht="16">
      <c r="A499" s="31"/>
      <c r="B499" s="32"/>
      <c r="C499" s="32"/>
      <c r="D499" s="32"/>
      <c r="E499" s="32"/>
      <c r="F499" s="33"/>
      <c r="G499" s="2"/>
      <c r="H499" s="2"/>
      <c r="I499" s="2"/>
      <c r="J499" s="35" t="str">
        <f>IF(H499&lt;&gt;"",IFERROR(VLOOKUP(IFERROR(LEFT(H499,FIND("-",H499)-1),H499),'Catalogo MINSAL'!A:E,5,FALSE),""),IF(I499&lt;&gt;"",IFERROR(VLOOKUP(IFERROR(LEFT(I499,FIND("-",I499)-1),I499),'Catalogo MINSAL'!A:E,5,FALSE),""),""))</f>
        <v/>
      </c>
      <c r="K499" s="2"/>
      <c r="L499" s="2"/>
      <c r="M499" s="2"/>
      <c r="N499" s="2"/>
      <c r="O499" s="2"/>
      <c r="P499" s="2"/>
      <c r="Q499" s="24"/>
      <c r="R499" s="2" t="str">
        <f t="shared" si="49"/>
        <v/>
      </c>
      <c r="S499" s="2"/>
      <c r="T499" s="2"/>
      <c r="U499" s="2" t="str">
        <f t="shared" si="50"/>
        <v/>
      </c>
      <c r="V499" s="10" t="str">
        <f t="shared" si="51"/>
        <v/>
      </c>
      <c r="W499" s="10" t="str">
        <f t="shared" si="52"/>
        <v/>
      </c>
      <c r="X499" s="38" t="str">
        <f t="shared" si="53"/>
        <v/>
      </c>
      <c r="Y499" s="10" t="str">
        <f t="shared" si="54"/>
        <v/>
      </c>
      <c r="Z499" s="2" t="str">
        <f t="shared" si="55"/>
        <v/>
      </c>
      <c r="AA499" s="2"/>
      <c r="AB499" s="2"/>
    </row>
    <row r="500" spans="1:28" ht="16">
      <c r="A500" s="31"/>
      <c r="B500" s="32"/>
      <c r="C500" s="32"/>
      <c r="D500" s="32"/>
      <c r="E500" s="32"/>
      <c r="F500" s="33"/>
      <c r="G500" s="2"/>
      <c r="H500" s="2"/>
      <c r="I500" s="2"/>
      <c r="J500" s="36" t="str">
        <f>IF(H500&lt;&gt;"",IFERROR(VLOOKUP(IFERROR(LEFT(H500,FIND("-",H500)-1),H500),'Catalogo MINSAL'!A:E,5,FALSE),""),IF(I500&lt;&gt;"",IFERROR(VLOOKUP(IFERROR(LEFT(I500,FIND("-",I500)-1),I500),'Catalogo MINSAL'!A:E,5,FALSE),""),""))</f>
        <v/>
      </c>
      <c r="K500" s="2"/>
      <c r="L500" s="2"/>
      <c r="M500" s="2"/>
      <c r="N500" s="2"/>
      <c r="O500" s="2"/>
      <c r="P500" s="2"/>
      <c r="Q500" s="24"/>
      <c r="R500" s="2" t="str">
        <f t="shared" si="49"/>
        <v/>
      </c>
      <c r="S500" s="2"/>
      <c r="T500" s="2"/>
      <c r="U500" s="2" t="str">
        <f t="shared" si="50"/>
        <v/>
      </c>
      <c r="V500" s="10" t="str">
        <f t="shared" si="51"/>
        <v/>
      </c>
      <c r="W500" s="10" t="str">
        <f t="shared" si="52"/>
        <v/>
      </c>
      <c r="X500" s="39" t="str">
        <f t="shared" si="53"/>
        <v/>
      </c>
      <c r="Y500" s="10" t="str">
        <f t="shared" si="54"/>
        <v/>
      </c>
      <c r="Z500" s="2" t="str">
        <f t="shared" si="55"/>
        <v/>
      </c>
      <c r="AA500" s="2"/>
      <c r="AB500" s="2"/>
    </row>
  </sheetData>
  <mergeCells count="1">
    <mergeCell ref="A1:AA1"/>
  </mergeCells>
  <conditionalFormatting sqref="R4:R500">
    <cfRule type="containsText" dxfId="23" priority="16" operator="containsText" text="Atraso"/>
    <cfRule type="containsText" dxfId="22" priority="4" operator="containsText" text="Ingreso adecuado"/>
    <cfRule type="containsText" dxfId="21" priority="5" operator="containsText" text="Atraso"/>
    <cfRule type="containsText" dxfId="20" priority="6" operator="containsText" text="Ingreso adecuado"/>
    <cfRule type="containsText" dxfId="19" priority="7" operator="containsText" text="Atraso"/>
    <cfRule type="containsText" dxfId="18" priority="8" operator="containsText" text="Ingreso adecuado"/>
    <cfRule type="containsText" dxfId="17" priority="9" operator="containsText" text="Atraso"/>
    <cfRule type="containsText" dxfId="16" priority="10" operator="containsText" text="Ingreso adecuado"/>
    <cfRule type="containsText" dxfId="15" priority="11" operator="containsText" text="Atraso"/>
    <cfRule type="containsText" dxfId="14" priority="21" operator="containsText" text="Atraso"/>
    <cfRule type="containsText" dxfId="13" priority="20" operator="containsText" text="Ingreso adecuado"/>
    <cfRule type="containsText" dxfId="12" priority="15" operator="containsText" text="Ingreso adecuado"/>
  </conditionalFormatting>
  <conditionalFormatting sqref="Y4:Y200">
    <cfRule type="containsText" dxfId="11" priority="2" operator="containsText" text="Asertivo"/>
    <cfRule type="containsText" dxfId="10" priority="3" operator="containsText" text="Sobrestimacion"/>
    <cfRule type="containsText" dxfId="9" priority="1" operator="containsText" text="Subestimacion"/>
  </conditionalFormatting>
  <conditionalFormatting sqref="Z4:Z500">
    <cfRule type="containsText" dxfId="8" priority="13" operator="containsText" text="Asertivo"/>
    <cfRule type="containsText" dxfId="7" priority="17" operator="containsText" text="Subestimacion"/>
    <cfRule type="containsText" dxfId="6" priority="18" operator="containsText" text="Asertivo"/>
    <cfRule type="containsText" dxfId="5" priority="19" operator="containsText" text="Sobrestimacion"/>
    <cfRule type="containsText" dxfId="4" priority="14" operator="containsText" text="Sobrestimacion"/>
    <cfRule type="containsText" dxfId="3" priority="12" operator="containsText" text="Subestimacion"/>
    <cfRule type="containsText" dxfId="2" priority="22" operator="containsText" text="Subestimacion"/>
    <cfRule type="containsText" dxfId="1" priority="23" operator="containsText" text="Asertivo"/>
    <cfRule type="containsText" dxfId="0" priority="24" operator="containsText" text="Sobrestimacion"/>
  </conditionalFormatting>
  <dataValidations count="3">
    <dataValidation type="list" allowBlank="1" sqref="J4:J500" xr:uid="{00000000-0002-0000-0000-000000000000}">
      <formula1>"Cirugía Mayor,Cirugía Menor,Procedimiento"</formula1>
    </dataValidation>
    <dataValidation type="list" sqref="P4:P15 P78:P500" xr:uid="{00000000-0002-0000-0000-000001000000}">
      <formula1>"Atendido,Realizado,Suspendido,Agendado"</formula1>
    </dataValidation>
    <dataValidation type="list" sqref="O4:O15 O78:O500" xr:uid="{00000000-0002-0000-0000-000002000000}">
      <formula1>"Quirofano 01,Quirofano 02,Quirofano 03,Quirofano 04,Quirofano 11,Quirofano 12,Quirofano 13"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00"/>
  <sheetViews>
    <sheetView workbookViewId="0">
      <selection sqref="A1:J1"/>
    </sheetView>
  </sheetViews>
  <sheetFormatPr baseColWidth="10" defaultColWidth="8.83203125" defaultRowHeight="15"/>
  <cols>
    <col min="1" max="10" width="51" customWidth="1"/>
  </cols>
  <sheetData>
    <row r="1" spans="1:10" ht="53.25" customHeight="1">
      <c r="A1" s="41" t="s">
        <v>0</v>
      </c>
      <c r="B1" s="41" t="s">
        <v>0</v>
      </c>
      <c r="C1" s="41" t="s">
        <v>0</v>
      </c>
      <c r="D1" s="41" t="s">
        <v>0</v>
      </c>
      <c r="E1" s="41" t="s">
        <v>0</v>
      </c>
      <c r="F1" s="41" t="s">
        <v>0</v>
      </c>
      <c r="G1" s="41" t="s">
        <v>0</v>
      </c>
      <c r="H1" s="41" t="s">
        <v>0</v>
      </c>
      <c r="I1" s="41" t="s">
        <v>0</v>
      </c>
      <c r="J1" s="41" t="s">
        <v>0</v>
      </c>
    </row>
    <row r="3" spans="1:10" ht="16">
      <c r="A3" s="7" t="s">
        <v>1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7</v>
      </c>
      <c r="H3" s="8" t="s">
        <v>8</v>
      </c>
      <c r="I3" s="8" t="s">
        <v>9</v>
      </c>
      <c r="J3" s="9" t="s">
        <v>10</v>
      </c>
    </row>
    <row r="4" spans="1:10" ht="16">
      <c r="A4" s="1" t="s">
        <v>11</v>
      </c>
      <c r="B4" s="2" t="s">
        <v>12</v>
      </c>
      <c r="C4" s="2" t="s">
        <v>13</v>
      </c>
      <c r="D4" s="2" t="s">
        <v>14</v>
      </c>
      <c r="E4" s="2" t="s">
        <v>15</v>
      </c>
      <c r="F4" s="2">
        <v>20</v>
      </c>
      <c r="G4" s="2">
        <v>1</v>
      </c>
      <c r="H4" s="2" t="s">
        <v>16</v>
      </c>
      <c r="I4" s="2" t="s">
        <v>17</v>
      </c>
      <c r="J4" s="3" t="s">
        <v>18</v>
      </c>
    </row>
    <row r="5" spans="1:10" ht="16">
      <c r="A5" s="1" t="s">
        <v>11</v>
      </c>
      <c r="B5" s="2" t="s">
        <v>19</v>
      </c>
      <c r="C5" s="2" t="s">
        <v>20</v>
      </c>
      <c r="D5" s="2" t="s">
        <v>21</v>
      </c>
      <c r="E5" s="2" t="s">
        <v>22</v>
      </c>
      <c r="F5" s="2">
        <v>0</v>
      </c>
      <c r="G5" s="2">
        <v>1</v>
      </c>
      <c r="H5" s="2" t="s">
        <v>23</v>
      </c>
      <c r="I5" s="2" t="s">
        <v>24</v>
      </c>
      <c r="J5" s="3" t="s">
        <v>18</v>
      </c>
    </row>
    <row r="6" spans="1:10">
      <c r="A6" s="1"/>
      <c r="B6" s="2"/>
      <c r="C6" s="2"/>
      <c r="D6" s="2"/>
      <c r="E6" s="2"/>
      <c r="F6" s="2"/>
      <c r="G6" s="2"/>
      <c r="H6" s="2"/>
      <c r="I6" s="2"/>
      <c r="J6" s="3"/>
    </row>
    <row r="7" spans="1:10">
      <c r="A7" s="1"/>
      <c r="B7" s="2"/>
      <c r="C7" s="2"/>
      <c r="D7" s="2"/>
      <c r="E7" s="2"/>
      <c r="F7" s="2"/>
      <c r="G7" s="2"/>
      <c r="H7" s="2"/>
      <c r="I7" s="2"/>
      <c r="J7" s="3"/>
    </row>
    <row r="8" spans="1:10">
      <c r="A8" s="1"/>
      <c r="B8" s="2"/>
      <c r="C8" s="2"/>
      <c r="D8" s="2"/>
      <c r="E8" s="2"/>
      <c r="F8" s="2"/>
      <c r="G8" s="2"/>
      <c r="H8" s="2"/>
      <c r="I8" s="2"/>
      <c r="J8" s="3"/>
    </row>
    <row r="9" spans="1:10">
      <c r="A9" s="1"/>
      <c r="B9" s="2"/>
      <c r="C9" s="2"/>
      <c r="D9" s="2"/>
      <c r="E9" s="2"/>
      <c r="F9" s="2"/>
      <c r="G9" s="2"/>
      <c r="H9" s="2"/>
      <c r="I9" s="2"/>
      <c r="J9" s="3"/>
    </row>
    <row r="10" spans="1:10">
      <c r="A10" s="1"/>
      <c r="B10" s="2"/>
      <c r="C10" s="2"/>
      <c r="D10" s="2"/>
      <c r="E10" s="2"/>
      <c r="F10" s="2"/>
      <c r="G10" s="2"/>
      <c r="H10" s="2"/>
      <c r="I10" s="2"/>
      <c r="J10" s="3"/>
    </row>
    <row r="11" spans="1:10">
      <c r="A11" s="1"/>
      <c r="B11" s="2"/>
      <c r="C11" s="2"/>
      <c r="D11" s="2"/>
      <c r="E11" s="2"/>
      <c r="F11" s="2"/>
      <c r="G11" s="2"/>
      <c r="H11" s="2"/>
      <c r="I11" s="2"/>
      <c r="J11" s="3"/>
    </row>
    <row r="12" spans="1:10">
      <c r="A12" s="1"/>
      <c r="B12" s="2"/>
      <c r="C12" s="2"/>
      <c r="D12" s="2"/>
      <c r="E12" s="2"/>
      <c r="F12" s="2"/>
      <c r="G12" s="2"/>
      <c r="H12" s="2"/>
      <c r="I12" s="2"/>
      <c r="J12" s="3"/>
    </row>
    <row r="13" spans="1:10">
      <c r="A13" s="1"/>
      <c r="B13" s="2"/>
      <c r="C13" s="2"/>
      <c r="D13" s="2"/>
      <c r="E13" s="2"/>
      <c r="F13" s="2"/>
      <c r="G13" s="2"/>
      <c r="H13" s="2"/>
      <c r="I13" s="2"/>
      <c r="J13" s="3"/>
    </row>
    <row r="14" spans="1:10">
      <c r="A14" s="1"/>
      <c r="B14" s="2"/>
      <c r="C14" s="2"/>
      <c r="D14" s="2"/>
      <c r="E14" s="2"/>
      <c r="F14" s="2"/>
      <c r="G14" s="2"/>
      <c r="H14" s="2"/>
      <c r="I14" s="2"/>
      <c r="J14" s="3"/>
    </row>
    <row r="15" spans="1:10">
      <c r="A15" s="1"/>
      <c r="B15" s="2"/>
      <c r="C15" s="2"/>
      <c r="D15" s="2"/>
      <c r="E15" s="2"/>
      <c r="F15" s="2"/>
      <c r="G15" s="2"/>
      <c r="H15" s="2"/>
      <c r="I15" s="2"/>
      <c r="J15" s="3"/>
    </row>
    <row r="16" spans="1:10">
      <c r="A16" s="1"/>
      <c r="B16" s="2"/>
      <c r="C16" s="2"/>
      <c r="D16" s="2"/>
      <c r="E16" s="2"/>
      <c r="F16" s="2"/>
      <c r="G16" s="2"/>
      <c r="H16" s="2"/>
      <c r="I16" s="2"/>
      <c r="J16" s="3"/>
    </row>
    <row r="17" spans="1:10">
      <c r="A17" s="1"/>
      <c r="B17" s="2"/>
      <c r="C17" s="2"/>
      <c r="D17" s="2"/>
      <c r="E17" s="2"/>
      <c r="F17" s="2"/>
      <c r="G17" s="2"/>
      <c r="H17" s="2"/>
      <c r="I17" s="2"/>
      <c r="J17" s="3"/>
    </row>
    <row r="18" spans="1:10">
      <c r="A18" s="1"/>
      <c r="B18" s="2"/>
      <c r="C18" s="2"/>
      <c r="D18" s="2"/>
      <c r="E18" s="2"/>
      <c r="F18" s="2"/>
      <c r="G18" s="2"/>
      <c r="H18" s="2"/>
      <c r="I18" s="2"/>
      <c r="J18" s="3"/>
    </row>
    <row r="19" spans="1:10">
      <c r="A19" s="1"/>
      <c r="B19" s="2"/>
      <c r="C19" s="2"/>
      <c r="D19" s="2"/>
      <c r="E19" s="2"/>
      <c r="F19" s="2"/>
      <c r="G19" s="2"/>
      <c r="H19" s="2"/>
      <c r="I19" s="2"/>
      <c r="J19" s="3"/>
    </row>
    <row r="20" spans="1:10">
      <c r="A20" s="1"/>
      <c r="B20" s="2"/>
      <c r="C20" s="2"/>
      <c r="D20" s="2"/>
      <c r="E20" s="2"/>
      <c r="F20" s="2"/>
      <c r="G20" s="2"/>
      <c r="H20" s="2"/>
      <c r="I20" s="2"/>
      <c r="J20" s="3"/>
    </row>
    <row r="21" spans="1:10">
      <c r="A21" s="1"/>
      <c r="B21" s="2"/>
      <c r="C21" s="2"/>
      <c r="D21" s="2"/>
      <c r="E21" s="2"/>
      <c r="F21" s="2"/>
      <c r="G21" s="2"/>
      <c r="H21" s="2"/>
      <c r="I21" s="2"/>
      <c r="J21" s="3"/>
    </row>
    <row r="22" spans="1:10">
      <c r="A22" s="1"/>
      <c r="B22" s="2"/>
      <c r="C22" s="2"/>
      <c r="D22" s="2"/>
      <c r="E22" s="2"/>
      <c r="F22" s="2"/>
      <c r="G22" s="2"/>
      <c r="H22" s="2"/>
      <c r="I22" s="2"/>
      <c r="J22" s="3"/>
    </row>
    <row r="23" spans="1:10">
      <c r="A23" s="1"/>
      <c r="B23" s="2"/>
      <c r="C23" s="2"/>
      <c r="D23" s="2"/>
      <c r="E23" s="2"/>
      <c r="F23" s="2"/>
      <c r="G23" s="2"/>
      <c r="H23" s="2"/>
      <c r="I23" s="2"/>
      <c r="J23" s="3"/>
    </row>
    <row r="24" spans="1:10">
      <c r="A24" s="1"/>
      <c r="B24" s="2"/>
      <c r="C24" s="2"/>
      <c r="D24" s="2"/>
      <c r="E24" s="2"/>
      <c r="F24" s="2"/>
      <c r="G24" s="2"/>
      <c r="H24" s="2"/>
      <c r="I24" s="2"/>
      <c r="J24" s="3"/>
    </row>
    <row r="25" spans="1:10">
      <c r="A25" s="1"/>
      <c r="B25" s="2"/>
      <c r="C25" s="2"/>
      <c r="D25" s="2"/>
      <c r="E25" s="2"/>
      <c r="F25" s="2"/>
      <c r="G25" s="2"/>
      <c r="H25" s="2"/>
      <c r="I25" s="2"/>
      <c r="J25" s="3"/>
    </row>
    <row r="26" spans="1:10">
      <c r="A26" s="1"/>
      <c r="B26" s="2"/>
      <c r="C26" s="2"/>
      <c r="D26" s="2"/>
      <c r="E26" s="2"/>
      <c r="F26" s="2"/>
      <c r="G26" s="2"/>
      <c r="H26" s="2"/>
      <c r="I26" s="2"/>
      <c r="J26" s="3"/>
    </row>
    <row r="27" spans="1:10">
      <c r="A27" s="1"/>
      <c r="B27" s="2"/>
      <c r="C27" s="2"/>
      <c r="D27" s="2"/>
      <c r="E27" s="2"/>
      <c r="F27" s="2"/>
      <c r="G27" s="2"/>
      <c r="H27" s="2"/>
      <c r="I27" s="2"/>
      <c r="J27" s="3"/>
    </row>
    <row r="28" spans="1:10">
      <c r="A28" s="1"/>
      <c r="B28" s="2"/>
      <c r="C28" s="2"/>
      <c r="D28" s="2"/>
      <c r="E28" s="2"/>
      <c r="F28" s="2"/>
      <c r="G28" s="2"/>
      <c r="H28" s="2"/>
      <c r="I28" s="2"/>
      <c r="J28" s="3"/>
    </row>
    <row r="29" spans="1:10">
      <c r="A29" s="1"/>
      <c r="B29" s="2"/>
      <c r="C29" s="2"/>
      <c r="D29" s="2"/>
      <c r="E29" s="2"/>
      <c r="F29" s="2"/>
      <c r="G29" s="2"/>
      <c r="H29" s="2"/>
      <c r="I29" s="2"/>
      <c r="J29" s="3"/>
    </row>
    <row r="30" spans="1:10">
      <c r="A30" s="1"/>
      <c r="B30" s="2"/>
      <c r="C30" s="2"/>
      <c r="D30" s="2"/>
      <c r="E30" s="2"/>
      <c r="F30" s="2"/>
      <c r="G30" s="2"/>
      <c r="H30" s="2"/>
      <c r="I30" s="2"/>
      <c r="J30" s="3"/>
    </row>
    <row r="31" spans="1:10">
      <c r="A31" s="1"/>
      <c r="B31" s="2"/>
      <c r="C31" s="2"/>
      <c r="D31" s="2"/>
      <c r="E31" s="2"/>
      <c r="F31" s="2"/>
      <c r="G31" s="2"/>
      <c r="H31" s="2"/>
      <c r="I31" s="2"/>
      <c r="J31" s="3"/>
    </row>
    <row r="32" spans="1:10">
      <c r="A32" s="1"/>
      <c r="B32" s="2"/>
      <c r="C32" s="2"/>
      <c r="D32" s="2"/>
      <c r="E32" s="2"/>
      <c r="F32" s="2"/>
      <c r="G32" s="2"/>
      <c r="H32" s="2"/>
      <c r="I32" s="2"/>
      <c r="J32" s="3"/>
    </row>
    <row r="33" spans="1:10">
      <c r="A33" s="1"/>
      <c r="B33" s="2"/>
      <c r="C33" s="2"/>
      <c r="D33" s="2"/>
      <c r="E33" s="2"/>
      <c r="F33" s="2"/>
      <c r="G33" s="2"/>
      <c r="H33" s="2"/>
      <c r="I33" s="2"/>
      <c r="J33" s="3"/>
    </row>
    <row r="34" spans="1:10">
      <c r="A34" s="1"/>
      <c r="B34" s="2"/>
      <c r="C34" s="2"/>
      <c r="D34" s="2"/>
      <c r="E34" s="2"/>
      <c r="F34" s="2"/>
      <c r="G34" s="2"/>
      <c r="H34" s="2"/>
      <c r="I34" s="2"/>
      <c r="J34" s="3"/>
    </row>
    <row r="35" spans="1:10">
      <c r="A35" s="1"/>
      <c r="B35" s="2"/>
      <c r="C35" s="2"/>
      <c r="D35" s="2"/>
      <c r="E35" s="2"/>
      <c r="F35" s="2"/>
      <c r="G35" s="2"/>
      <c r="H35" s="2"/>
      <c r="I35" s="2"/>
      <c r="J35" s="3"/>
    </row>
    <row r="36" spans="1:10">
      <c r="A36" s="1"/>
      <c r="B36" s="2"/>
      <c r="C36" s="2"/>
      <c r="D36" s="2"/>
      <c r="E36" s="2"/>
      <c r="F36" s="2"/>
      <c r="G36" s="2"/>
      <c r="H36" s="2"/>
      <c r="I36" s="2"/>
      <c r="J36" s="3"/>
    </row>
    <row r="37" spans="1:10">
      <c r="A37" s="1"/>
      <c r="B37" s="2"/>
      <c r="C37" s="2"/>
      <c r="D37" s="2"/>
      <c r="E37" s="2"/>
      <c r="F37" s="2"/>
      <c r="G37" s="2"/>
      <c r="H37" s="2"/>
      <c r="I37" s="2"/>
      <c r="J37" s="3"/>
    </row>
    <row r="38" spans="1:10">
      <c r="A38" s="1"/>
      <c r="B38" s="2"/>
      <c r="C38" s="2"/>
      <c r="D38" s="2"/>
      <c r="E38" s="2"/>
      <c r="F38" s="2"/>
      <c r="G38" s="2"/>
      <c r="H38" s="2"/>
      <c r="I38" s="2"/>
      <c r="J38" s="3"/>
    </row>
    <row r="39" spans="1:10">
      <c r="A39" s="1"/>
      <c r="B39" s="2"/>
      <c r="C39" s="2"/>
      <c r="D39" s="2"/>
      <c r="E39" s="2"/>
      <c r="F39" s="2"/>
      <c r="G39" s="2"/>
      <c r="H39" s="2"/>
      <c r="I39" s="2"/>
      <c r="J39" s="3"/>
    </row>
    <row r="40" spans="1:10">
      <c r="A40" s="1"/>
      <c r="B40" s="2"/>
      <c r="C40" s="2"/>
      <c r="D40" s="2"/>
      <c r="E40" s="2"/>
      <c r="F40" s="2"/>
      <c r="G40" s="2"/>
      <c r="H40" s="2"/>
      <c r="I40" s="2"/>
      <c r="J40" s="3"/>
    </row>
    <row r="41" spans="1:10">
      <c r="A41" s="1"/>
      <c r="B41" s="2"/>
      <c r="C41" s="2"/>
      <c r="D41" s="2"/>
      <c r="E41" s="2"/>
      <c r="F41" s="2"/>
      <c r="G41" s="2"/>
      <c r="H41" s="2"/>
      <c r="I41" s="2"/>
      <c r="J41" s="3"/>
    </row>
    <row r="42" spans="1:10">
      <c r="A42" s="1"/>
      <c r="B42" s="2"/>
      <c r="C42" s="2"/>
      <c r="D42" s="2"/>
      <c r="E42" s="2"/>
      <c r="F42" s="2"/>
      <c r="G42" s="2"/>
      <c r="H42" s="2"/>
      <c r="I42" s="2"/>
      <c r="J42" s="3"/>
    </row>
    <row r="43" spans="1:10">
      <c r="A43" s="1"/>
      <c r="B43" s="2"/>
      <c r="C43" s="2"/>
      <c r="D43" s="2"/>
      <c r="E43" s="2"/>
      <c r="F43" s="2"/>
      <c r="G43" s="2"/>
      <c r="H43" s="2"/>
      <c r="I43" s="2"/>
      <c r="J43" s="3"/>
    </row>
    <row r="44" spans="1:10">
      <c r="A44" s="1"/>
      <c r="B44" s="2"/>
      <c r="C44" s="2"/>
      <c r="D44" s="2"/>
      <c r="E44" s="2"/>
      <c r="F44" s="2"/>
      <c r="G44" s="2"/>
      <c r="H44" s="2"/>
      <c r="I44" s="2"/>
      <c r="J44" s="3"/>
    </row>
    <row r="45" spans="1:10">
      <c r="A45" s="1"/>
      <c r="B45" s="2"/>
      <c r="C45" s="2"/>
      <c r="D45" s="2"/>
      <c r="E45" s="2"/>
      <c r="F45" s="2"/>
      <c r="G45" s="2"/>
      <c r="H45" s="2"/>
      <c r="I45" s="2"/>
      <c r="J45" s="3"/>
    </row>
    <row r="46" spans="1:10">
      <c r="A46" s="1"/>
      <c r="B46" s="2"/>
      <c r="C46" s="2"/>
      <c r="D46" s="2"/>
      <c r="E46" s="2"/>
      <c r="F46" s="2"/>
      <c r="G46" s="2"/>
      <c r="H46" s="2"/>
      <c r="I46" s="2"/>
      <c r="J46" s="3"/>
    </row>
    <row r="47" spans="1:10">
      <c r="A47" s="1"/>
      <c r="B47" s="2"/>
      <c r="C47" s="2"/>
      <c r="D47" s="2"/>
      <c r="E47" s="2"/>
      <c r="F47" s="2"/>
      <c r="G47" s="2"/>
      <c r="H47" s="2"/>
      <c r="I47" s="2"/>
      <c r="J47" s="3"/>
    </row>
    <row r="48" spans="1:10">
      <c r="A48" s="1"/>
      <c r="B48" s="2"/>
      <c r="C48" s="2"/>
      <c r="D48" s="2"/>
      <c r="E48" s="2"/>
      <c r="F48" s="2"/>
      <c r="G48" s="2"/>
      <c r="H48" s="2"/>
      <c r="I48" s="2"/>
      <c r="J48" s="3"/>
    </row>
    <row r="49" spans="1:10">
      <c r="A49" s="1"/>
      <c r="B49" s="2"/>
      <c r="C49" s="2"/>
      <c r="D49" s="2"/>
      <c r="E49" s="2"/>
      <c r="F49" s="2"/>
      <c r="G49" s="2"/>
      <c r="H49" s="2"/>
      <c r="I49" s="2"/>
      <c r="J49" s="3"/>
    </row>
    <row r="50" spans="1:10">
      <c r="A50" s="1"/>
      <c r="B50" s="2"/>
      <c r="C50" s="2"/>
      <c r="D50" s="2"/>
      <c r="E50" s="2"/>
      <c r="F50" s="2"/>
      <c r="G50" s="2"/>
      <c r="H50" s="2"/>
      <c r="I50" s="2"/>
      <c r="J50" s="3"/>
    </row>
    <row r="51" spans="1:10">
      <c r="A51" s="1"/>
      <c r="B51" s="2"/>
      <c r="C51" s="2"/>
      <c r="D51" s="2"/>
      <c r="E51" s="2"/>
      <c r="F51" s="2"/>
      <c r="G51" s="2"/>
      <c r="H51" s="2"/>
      <c r="I51" s="2"/>
      <c r="J51" s="3"/>
    </row>
    <row r="52" spans="1:10">
      <c r="A52" s="1"/>
      <c r="B52" s="2"/>
      <c r="C52" s="2"/>
      <c r="D52" s="2"/>
      <c r="E52" s="2"/>
      <c r="F52" s="2"/>
      <c r="G52" s="2"/>
      <c r="H52" s="2"/>
      <c r="I52" s="2"/>
      <c r="J52" s="3"/>
    </row>
    <row r="53" spans="1:10">
      <c r="A53" s="1"/>
      <c r="B53" s="2"/>
      <c r="C53" s="2"/>
      <c r="D53" s="2"/>
      <c r="E53" s="2"/>
      <c r="F53" s="2"/>
      <c r="G53" s="2"/>
      <c r="H53" s="2"/>
      <c r="I53" s="2"/>
      <c r="J53" s="3"/>
    </row>
    <row r="54" spans="1:10">
      <c r="A54" s="1"/>
      <c r="B54" s="2"/>
      <c r="C54" s="2"/>
      <c r="D54" s="2"/>
      <c r="E54" s="2"/>
      <c r="F54" s="2"/>
      <c r="G54" s="2"/>
      <c r="H54" s="2"/>
      <c r="I54" s="2"/>
      <c r="J54" s="3"/>
    </row>
    <row r="55" spans="1:10">
      <c r="A55" s="1"/>
      <c r="B55" s="2"/>
      <c r="C55" s="2"/>
      <c r="D55" s="2"/>
      <c r="E55" s="2"/>
      <c r="F55" s="2"/>
      <c r="G55" s="2"/>
      <c r="H55" s="2"/>
      <c r="I55" s="2"/>
      <c r="J55" s="3"/>
    </row>
    <row r="56" spans="1:10">
      <c r="A56" s="1"/>
      <c r="B56" s="2"/>
      <c r="C56" s="2"/>
      <c r="D56" s="2"/>
      <c r="E56" s="2"/>
      <c r="F56" s="2"/>
      <c r="G56" s="2"/>
      <c r="H56" s="2"/>
      <c r="I56" s="2"/>
      <c r="J56" s="3"/>
    </row>
    <row r="57" spans="1:10">
      <c r="A57" s="1"/>
      <c r="B57" s="2"/>
      <c r="C57" s="2"/>
      <c r="D57" s="2"/>
      <c r="E57" s="2"/>
      <c r="F57" s="2"/>
      <c r="G57" s="2"/>
      <c r="H57" s="2"/>
      <c r="I57" s="2"/>
      <c r="J57" s="3"/>
    </row>
    <row r="58" spans="1:10">
      <c r="A58" s="1"/>
      <c r="B58" s="2"/>
      <c r="C58" s="2"/>
      <c r="D58" s="2"/>
      <c r="E58" s="2"/>
      <c r="F58" s="2"/>
      <c r="G58" s="2"/>
      <c r="H58" s="2"/>
      <c r="I58" s="2"/>
      <c r="J58" s="3"/>
    </row>
    <row r="59" spans="1:10">
      <c r="A59" s="1"/>
      <c r="B59" s="2"/>
      <c r="C59" s="2"/>
      <c r="D59" s="2"/>
      <c r="E59" s="2"/>
      <c r="F59" s="2"/>
      <c r="G59" s="2"/>
      <c r="H59" s="2"/>
      <c r="I59" s="2"/>
      <c r="J59" s="3"/>
    </row>
    <row r="60" spans="1:10">
      <c r="A60" s="1"/>
      <c r="B60" s="2"/>
      <c r="C60" s="2"/>
      <c r="D60" s="2"/>
      <c r="E60" s="2"/>
      <c r="F60" s="2"/>
      <c r="G60" s="2"/>
      <c r="H60" s="2"/>
      <c r="I60" s="2"/>
      <c r="J60" s="3"/>
    </row>
    <row r="61" spans="1:10">
      <c r="A61" s="1"/>
      <c r="B61" s="2"/>
      <c r="C61" s="2"/>
      <c r="D61" s="2"/>
      <c r="E61" s="2"/>
      <c r="F61" s="2"/>
      <c r="G61" s="2"/>
      <c r="H61" s="2"/>
      <c r="I61" s="2"/>
      <c r="J61" s="3"/>
    </row>
    <row r="62" spans="1:10">
      <c r="A62" s="1"/>
      <c r="B62" s="2"/>
      <c r="C62" s="2"/>
      <c r="D62" s="2"/>
      <c r="E62" s="2"/>
      <c r="F62" s="2"/>
      <c r="G62" s="2"/>
      <c r="H62" s="2"/>
      <c r="I62" s="2"/>
      <c r="J62" s="3"/>
    </row>
    <row r="63" spans="1:10">
      <c r="A63" s="1"/>
      <c r="B63" s="2"/>
      <c r="C63" s="2"/>
      <c r="D63" s="2"/>
      <c r="E63" s="2"/>
      <c r="F63" s="2"/>
      <c r="G63" s="2"/>
      <c r="H63" s="2"/>
      <c r="I63" s="2"/>
      <c r="J63" s="3"/>
    </row>
    <row r="64" spans="1:10">
      <c r="A64" s="1"/>
      <c r="B64" s="2"/>
      <c r="C64" s="2"/>
      <c r="D64" s="2"/>
      <c r="E64" s="2"/>
      <c r="F64" s="2"/>
      <c r="G64" s="2"/>
      <c r="H64" s="2"/>
      <c r="I64" s="2"/>
      <c r="J64" s="3"/>
    </row>
    <row r="65" spans="1:10">
      <c r="A65" s="1"/>
      <c r="B65" s="2"/>
      <c r="C65" s="2"/>
      <c r="D65" s="2"/>
      <c r="E65" s="2"/>
      <c r="F65" s="2"/>
      <c r="G65" s="2"/>
      <c r="H65" s="2"/>
      <c r="I65" s="2"/>
      <c r="J65" s="3"/>
    </row>
    <row r="66" spans="1:10">
      <c r="A66" s="1"/>
      <c r="B66" s="2"/>
      <c r="C66" s="2"/>
      <c r="D66" s="2"/>
      <c r="E66" s="2"/>
      <c r="F66" s="2"/>
      <c r="G66" s="2"/>
      <c r="H66" s="2"/>
      <c r="I66" s="2"/>
      <c r="J66" s="3"/>
    </row>
    <row r="67" spans="1:10">
      <c r="A67" s="1"/>
      <c r="B67" s="2"/>
      <c r="C67" s="2"/>
      <c r="D67" s="2"/>
      <c r="E67" s="2"/>
      <c r="F67" s="2"/>
      <c r="G67" s="2"/>
      <c r="H67" s="2"/>
      <c r="I67" s="2"/>
      <c r="J67" s="3"/>
    </row>
    <row r="68" spans="1:10">
      <c r="A68" s="1"/>
      <c r="B68" s="2"/>
      <c r="C68" s="2"/>
      <c r="D68" s="2"/>
      <c r="E68" s="2"/>
      <c r="F68" s="2"/>
      <c r="G68" s="2"/>
      <c r="H68" s="2"/>
      <c r="I68" s="2"/>
      <c r="J68" s="3"/>
    </row>
    <row r="69" spans="1:10">
      <c r="A69" s="1"/>
      <c r="B69" s="2"/>
      <c r="C69" s="2"/>
      <c r="D69" s="2"/>
      <c r="E69" s="2"/>
      <c r="F69" s="2"/>
      <c r="G69" s="2"/>
      <c r="H69" s="2"/>
      <c r="I69" s="2"/>
      <c r="J69" s="3"/>
    </row>
    <row r="70" spans="1:10">
      <c r="A70" s="1"/>
      <c r="B70" s="2"/>
      <c r="C70" s="2"/>
      <c r="D70" s="2"/>
      <c r="E70" s="2"/>
      <c r="F70" s="2"/>
      <c r="G70" s="2"/>
      <c r="H70" s="2"/>
      <c r="I70" s="2"/>
      <c r="J70" s="3"/>
    </row>
    <row r="71" spans="1:10">
      <c r="A71" s="1"/>
      <c r="B71" s="2"/>
      <c r="C71" s="2"/>
      <c r="D71" s="2"/>
      <c r="E71" s="2"/>
      <c r="F71" s="2"/>
      <c r="G71" s="2"/>
      <c r="H71" s="2"/>
      <c r="I71" s="2"/>
      <c r="J71" s="3"/>
    </row>
    <row r="72" spans="1:10">
      <c r="A72" s="1"/>
      <c r="B72" s="2"/>
      <c r="C72" s="2"/>
      <c r="D72" s="2"/>
      <c r="E72" s="2"/>
      <c r="F72" s="2"/>
      <c r="G72" s="2"/>
      <c r="H72" s="2"/>
      <c r="I72" s="2"/>
      <c r="J72" s="3"/>
    </row>
    <row r="73" spans="1:10">
      <c r="A73" s="1"/>
      <c r="B73" s="2"/>
      <c r="C73" s="2"/>
      <c r="D73" s="2"/>
      <c r="E73" s="2"/>
      <c r="F73" s="2"/>
      <c r="G73" s="2"/>
      <c r="H73" s="2"/>
      <c r="I73" s="2"/>
      <c r="J73" s="3"/>
    </row>
    <row r="74" spans="1:10">
      <c r="A74" s="1"/>
      <c r="B74" s="2"/>
      <c r="C74" s="2"/>
      <c r="D74" s="2"/>
      <c r="E74" s="2"/>
      <c r="F74" s="2"/>
      <c r="G74" s="2"/>
      <c r="H74" s="2"/>
      <c r="I74" s="2"/>
      <c r="J74" s="3"/>
    </row>
    <row r="75" spans="1:10">
      <c r="A75" s="1"/>
      <c r="B75" s="2"/>
      <c r="C75" s="2"/>
      <c r="D75" s="2"/>
      <c r="E75" s="2"/>
      <c r="F75" s="2"/>
      <c r="G75" s="2"/>
      <c r="H75" s="2"/>
      <c r="I75" s="2"/>
      <c r="J75" s="3"/>
    </row>
    <row r="76" spans="1:10">
      <c r="A76" s="1"/>
      <c r="B76" s="2"/>
      <c r="C76" s="2"/>
      <c r="D76" s="2"/>
      <c r="E76" s="2"/>
      <c r="F76" s="2"/>
      <c r="G76" s="2"/>
      <c r="H76" s="2"/>
      <c r="I76" s="2"/>
      <c r="J76" s="3"/>
    </row>
    <row r="77" spans="1:10">
      <c r="A77" s="1"/>
      <c r="B77" s="2"/>
      <c r="C77" s="2"/>
      <c r="D77" s="2"/>
      <c r="E77" s="2"/>
      <c r="F77" s="2"/>
      <c r="G77" s="2"/>
      <c r="H77" s="2"/>
      <c r="I77" s="2"/>
      <c r="J77" s="3"/>
    </row>
    <row r="78" spans="1:10">
      <c r="A78" s="1"/>
      <c r="B78" s="2"/>
      <c r="C78" s="2"/>
      <c r="D78" s="2"/>
      <c r="E78" s="2"/>
      <c r="F78" s="2"/>
      <c r="G78" s="2"/>
      <c r="H78" s="2"/>
      <c r="I78" s="2"/>
      <c r="J78" s="3"/>
    </row>
    <row r="79" spans="1:10">
      <c r="A79" s="1"/>
      <c r="B79" s="2"/>
      <c r="C79" s="2"/>
      <c r="D79" s="2"/>
      <c r="E79" s="2"/>
      <c r="F79" s="2"/>
      <c r="G79" s="2"/>
      <c r="H79" s="2"/>
      <c r="I79" s="2"/>
      <c r="J79" s="3"/>
    </row>
    <row r="80" spans="1:10">
      <c r="A80" s="1"/>
      <c r="B80" s="2"/>
      <c r="C80" s="2"/>
      <c r="D80" s="2"/>
      <c r="E80" s="2"/>
      <c r="F80" s="2"/>
      <c r="G80" s="2"/>
      <c r="H80" s="2"/>
      <c r="I80" s="2"/>
      <c r="J80" s="3"/>
    </row>
    <row r="81" spans="1:10">
      <c r="A81" s="1"/>
      <c r="B81" s="2"/>
      <c r="C81" s="2"/>
      <c r="D81" s="2"/>
      <c r="E81" s="2"/>
      <c r="F81" s="2"/>
      <c r="G81" s="2"/>
      <c r="H81" s="2"/>
      <c r="I81" s="2"/>
      <c r="J81" s="3"/>
    </row>
    <row r="82" spans="1:10">
      <c r="A82" s="1"/>
      <c r="B82" s="2"/>
      <c r="C82" s="2"/>
      <c r="D82" s="2"/>
      <c r="E82" s="2"/>
      <c r="F82" s="2"/>
      <c r="G82" s="2"/>
      <c r="H82" s="2"/>
      <c r="I82" s="2"/>
      <c r="J82" s="3"/>
    </row>
    <row r="83" spans="1:10">
      <c r="A83" s="1"/>
      <c r="B83" s="2"/>
      <c r="C83" s="2"/>
      <c r="D83" s="2"/>
      <c r="E83" s="2"/>
      <c r="F83" s="2"/>
      <c r="G83" s="2"/>
      <c r="H83" s="2"/>
      <c r="I83" s="2"/>
      <c r="J83" s="3"/>
    </row>
    <row r="84" spans="1:10">
      <c r="A84" s="1"/>
      <c r="B84" s="2"/>
      <c r="C84" s="2"/>
      <c r="D84" s="2"/>
      <c r="E84" s="2"/>
      <c r="F84" s="2"/>
      <c r="G84" s="2"/>
      <c r="H84" s="2"/>
      <c r="I84" s="2"/>
      <c r="J84" s="3"/>
    </row>
    <row r="85" spans="1:10">
      <c r="A85" s="1"/>
      <c r="B85" s="2"/>
      <c r="C85" s="2"/>
      <c r="D85" s="2"/>
      <c r="E85" s="2"/>
      <c r="F85" s="2"/>
      <c r="G85" s="2"/>
      <c r="H85" s="2"/>
      <c r="I85" s="2"/>
      <c r="J85" s="3"/>
    </row>
    <row r="86" spans="1:10">
      <c r="A86" s="1"/>
      <c r="B86" s="2"/>
      <c r="C86" s="2"/>
      <c r="D86" s="2"/>
      <c r="E86" s="2"/>
      <c r="F86" s="2"/>
      <c r="G86" s="2"/>
      <c r="H86" s="2"/>
      <c r="I86" s="2"/>
      <c r="J86" s="3"/>
    </row>
    <row r="87" spans="1:10">
      <c r="A87" s="1"/>
      <c r="B87" s="2"/>
      <c r="C87" s="2"/>
      <c r="D87" s="2"/>
      <c r="E87" s="2"/>
      <c r="F87" s="2"/>
      <c r="G87" s="2"/>
      <c r="H87" s="2"/>
      <c r="I87" s="2"/>
      <c r="J87" s="3"/>
    </row>
    <row r="88" spans="1:10">
      <c r="A88" s="1"/>
      <c r="B88" s="2"/>
      <c r="C88" s="2"/>
      <c r="D88" s="2"/>
      <c r="E88" s="2"/>
      <c r="F88" s="2"/>
      <c r="G88" s="2"/>
      <c r="H88" s="2"/>
      <c r="I88" s="2"/>
      <c r="J88" s="3"/>
    </row>
    <row r="89" spans="1:10">
      <c r="A89" s="1"/>
      <c r="B89" s="2"/>
      <c r="C89" s="2"/>
      <c r="D89" s="2"/>
      <c r="E89" s="2"/>
      <c r="F89" s="2"/>
      <c r="G89" s="2"/>
      <c r="H89" s="2"/>
      <c r="I89" s="2"/>
      <c r="J89" s="3"/>
    </row>
    <row r="90" spans="1:10">
      <c r="A90" s="1"/>
      <c r="B90" s="2"/>
      <c r="C90" s="2"/>
      <c r="D90" s="2"/>
      <c r="E90" s="2"/>
      <c r="F90" s="2"/>
      <c r="G90" s="2"/>
      <c r="H90" s="2"/>
      <c r="I90" s="2"/>
      <c r="J90" s="3"/>
    </row>
    <row r="91" spans="1:10">
      <c r="A91" s="1"/>
      <c r="B91" s="2"/>
      <c r="C91" s="2"/>
      <c r="D91" s="2"/>
      <c r="E91" s="2"/>
      <c r="F91" s="2"/>
      <c r="G91" s="2"/>
      <c r="H91" s="2"/>
      <c r="I91" s="2"/>
      <c r="J91" s="3"/>
    </row>
    <row r="92" spans="1:10">
      <c r="A92" s="1"/>
      <c r="B92" s="2"/>
      <c r="C92" s="2"/>
      <c r="D92" s="2"/>
      <c r="E92" s="2"/>
      <c r="F92" s="2"/>
      <c r="G92" s="2"/>
      <c r="H92" s="2"/>
      <c r="I92" s="2"/>
      <c r="J92" s="3"/>
    </row>
    <row r="93" spans="1:10">
      <c r="A93" s="1"/>
      <c r="B93" s="2"/>
      <c r="C93" s="2"/>
      <c r="D93" s="2"/>
      <c r="E93" s="2"/>
      <c r="F93" s="2"/>
      <c r="G93" s="2"/>
      <c r="H93" s="2"/>
      <c r="I93" s="2"/>
      <c r="J93" s="3"/>
    </row>
    <row r="94" spans="1:10">
      <c r="A94" s="1"/>
      <c r="B94" s="2"/>
      <c r="C94" s="2"/>
      <c r="D94" s="2"/>
      <c r="E94" s="2"/>
      <c r="F94" s="2"/>
      <c r="G94" s="2"/>
      <c r="H94" s="2"/>
      <c r="I94" s="2"/>
      <c r="J94" s="3"/>
    </row>
    <row r="95" spans="1:10">
      <c r="A95" s="1"/>
      <c r="B95" s="2"/>
      <c r="C95" s="2"/>
      <c r="D95" s="2"/>
      <c r="E95" s="2"/>
      <c r="F95" s="2"/>
      <c r="G95" s="2"/>
      <c r="H95" s="2"/>
      <c r="I95" s="2"/>
      <c r="J95" s="3"/>
    </row>
    <row r="96" spans="1:10">
      <c r="A96" s="1"/>
      <c r="B96" s="2"/>
      <c r="C96" s="2"/>
      <c r="D96" s="2"/>
      <c r="E96" s="2"/>
      <c r="F96" s="2"/>
      <c r="G96" s="2"/>
      <c r="H96" s="2"/>
      <c r="I96" s="2"/>
      <c r="J96" s="3"/>
    </row>
    <row r="97" spans="1:10">
      <c r="A97" s="1"/>
      <c r="B97" s="2"/>
      <c r="C97" s="2"/>
      <c r="D97" s="2"/>
      <c r="E97" s="2"/>
      <c r="F97" s="2"/>
      <c r="G97" s="2"/>
      <c r="H97" s="2"/>
      <c r="I97" s="2"/>
      <c r="J97" s="3"/>
    </row>
    <row r="98" spans="1:10">
      <c r="A98" s="1"/>
      <c r="B98" s="2"/>
      <c r="C98" s="2"/>
      <c r="D98" s="2"/>
      <c r="E98" s="2"/>
      <c r="F98" s="2"/>
      <c r="G98" s="2"/>
      <c r="H98" s="2"/>
      <c r="I98" s="2"/>
      <c r="J98" s="3"/>
    </row>
    <row r="99" spans="1:10">
      <c r="A99" s="1"/>
      <c r="B99" s="2"/>
      <c r="C99" s="2"/>
      <c r="D99" s="2"/>
      <c r="E99" s="2"/>
      <c r="F99" s="2"/>
      <c r="G99" s="2"/>
      <c r="H99" s="2"/>
      <c r="I99" s="2"/>
      <c r="J99" s="3"/>
    </row>
    <row r="100" spans="1:10">
      <c r="A100" s="1"/>
      <c r="B100" s="2"/>
      <c r="C100" s="2"/>
      <c r="D100" s="2"/>
      <c r="E100" s="2"/>
      <c r="F100" s="2"/>
      <c r="G100" s="2"/>
      <c r="H100" s="2"/>
      <c r="I100" s="2"/>
      <c r="J100" s="3"/>
    </row>
    <row r="101" spans="1:10">
      <c r="A101" s="1"/>
      <c r="B101" s="2"/>
      <c r="C101" s="2"/>
      <c r="D101" s="2"/>
      <c r="E101" s="2"/>
      <c r="F101" s="2"/>
      <c r="G101" s="2"/>
      <c r="H101" s="2"/>
      <c r="I101" s="2"/>
      <c r="J101" s="3"/>
    </row>
    <row r="102" spans="1:10">
      <c r="A102" s="1"/>
      <c r="B102" s="2"/>
      <c r="C102" s="2"/>
      <c r="D102" s="2"/>
      <c r="E102" s="2"/>
      <c r="F102" s="2"/>
      <c r="G102" s="2"/>
      <c r="H102" s="2"/>
      <c r="I102" s="2"/>
      <c r="J102" s="3"/>
    </row>
    <row r="103" spans="1:10">
      <c r="A103" s="1"/>
      <c r="B103" s="2"/>
      <c r="C103" s="2"/>
      <c r="D103" s="2"/>
      <c r="E103" s="2"/>
      <c r="F103" s="2"/>
      <c r="G103" s="2"/>
      <c r="H103" s="2"/>
      <c r="I103" s="2"/>
      <c r="J103" s="3"/>
    </row>
    <row r="104" spans="1:10">
      <c r="A104" s="1"/>
      <c r="B104" s="2"/>
      <c r="C104" s="2"/>
      <c r="D104" s="2"/>
      <c r="E104" s="2"/>
      <c r="F104" s="2"/>
      <c r="G104" s="2"/>
      <c r="H104" s="2"/>
      <c r="I104" s="2"/>
      <c r="J104" s="3"/>
    </row>
    <row r="105" spans="1:10">
      <c r="A105" s="1"/>
      <c r="B105" s="2"/>
      <c r="C105" s="2"/>
      <c r="D105" s="2"/>
      <c r="E105" s="2"/>
      <c r="F105" s="2"/>
      <c r="G105" s="2"/>
      <c r="H105" s="2"/>
      <c r="I105" s="2"/>
      <c r="J105" s="3"/>
    </row>
    <row r="106" spans="1:10">
      <c r="A106" s="1"/>
      <c r="B106" s="2"/>
      <c r="C106" s="2"/>
      <c r="D106" s="2"/>
      <c r="E106" s="2"/>
      <c r="F106" s="2"/>
      <c r="G106" s="2"/>
      <c r="H106" s="2"/>
      <c r="I106" s="2"/>
      <c r="J106" s="3"/>
    </row>
    <row r="107" spans="1:10">
      <c r="A107" s="1"/>
      <c r="B107" s="2"/>
      <c r="C107" s="2"/>
      <c r="D107" s="2"/>
      <c r="E107" s="2"/>
      <c r="F107" s="2"/>
      <c r="G107" s="2"/>
      <c r="H107" s="2"/>
      <c r="I107" s="2"/>
      <c r="J107" s="3"/>
    </row>
    <row r="108" spans="1:10">
      <c r="A108" s="1"/>
      <c r="B108" s="2"/>
      <c r="C108" s="2"/>
      <c r="D108" s="2"/>
      <c r="E108" s="2"/>
      <c r="F108" s="2"/>
      <c r="G108" s="2"/>
      <c r="H108" s="2"/>
      <c r="I108" s="2"/>
      <c r="J108" s="3"/>
    </row>
    <row r="109" spans="1:10">
      <c r="A109" s="1"/>
      <c r="B109" s="2"/>
      <c r="C109" s="2"/>
      <c r="D109" s="2"/>
      <c r="E109" s="2"/>
      <c r="F109" s="2"/>
      <c r="G109" s="2"/>
      <c r="H109" s="2"/>
      <c r="I109" s="2"/>
      <c r="J109" s="3"/>
    </row>
    <row r="110" spans="1:10">
      <c r="A110" s="1"/>
      <c r="B110" s="2"/>
      <c r="C110" s="2"/>
      <c r="D110" s="2"/>
      <c r="E110" s="2"/>
      <c r="F110" s="2"/>
      <c r="G110" s="2"/>
      <c r="H110" s="2"/>
      <c r="I110" s="2"/>
      <c r="J110" s="3"/>
    </row>
    <row r="111" spans="1:10">
      <c r="A111" s="1"/>
      <c r="B111" s="2"/>
      <c r="C111" s="2"/>
      <c r="D111" s="2"/>
      <c r="E111" s="2"/>
      <c r="F111" s="2"/>
      <c r="G111" s="2"/>
      <c r="H111" s="2"/>
      <c r="I111" s="2"/>
      <c r="J111" s="3"/>
    </row>
    <row r="112" spans="1:10">
      <c r="A112" s="1"/>
      <c r="B112" s="2"/>
      <c r="C112" s="2"/>
      <c r="D112" s="2"/>
      <c r="E112" s="2"/>
      <c r="F112" s="2"/>
      <c r="G112" s="2"/>
      <c r="H112" s="2"/>
      <c r="I112" s="2"/>
      <c r="J112" s="3"/>
    </row>
    <row r="113" spans="1:10">
      <c r="A113" s="1"/>
      <c r="B113" s="2"/>
      <c r="C113" s="2"/>
      <c r="D113" s="2"/>
      <c r="E113" s="2"/>
      <c r="F113" s="2"/>
      <c r="G113" s="2"/>
      <c r="H113" s="2"/>
      <c r="I113" s="2"/>
      <c r="J113" s="3"/>
    </row>
    <row r="114" spans="1:10">
      <c r="A114" s="1"/>
      <c r="B114" s="2"/>
      <c r="C114" s="2"/>
      <c r="D114" s="2"/>
      <c r="E114" s="2"/>
      <c r="F114" s="2"/>
      <c r="G114" s="2"/>
      <c r="H114" s="2"/>
      <c r="I114" s="2"/>
      <c r="J114" s="3"/>
    </row>
    <row r="115" spans="1:10">
      <c r="A115" s="1"/>
      <c r="B115" s="2"/>
      <c r="C115" s="2"/>
      <c r="D115" s="2"/>
      <c r="E115" s="2"/>
      <c r="F115" s="2"/>
      <c r="G115" s="2"/>
      <c r="H115" s="2"/>
      <c r="I115" s="2"/>
      <c r="J115" s="3"/>
    </row>
    <row r="116" spans="1:10">
      <c r="A116" s="1"/>
      <c r="B116" s="2"/>
      <c r="C116" s="2"/>
      <c r="D116" s="2"/>
      <c r="E116" s="2"/>
      <c r="F116" s="2"/>
      <c r="G116" s="2"/>
      <c r="H116" s="2"/>
      <c r="I116" s="2"/>
      <c r="J116" s="3"/>
    </row>
    <row r="117" spans="1:10">
      <c r="A117" s="1"/>
      <c r="B117" s="2"/>
      <c r="C117" s="2"/>
      <c r="D117" s="2"/>
      <c r="E117" s="2"/>
      <c r="F117" s="2"/>
      <c r="G117" s="2"/>
      <c r="H117" s="2"/>
      <c r="I117" s="2"/>
      <c r="J117" s="3"/>
    </row>
    <row r="118" spans="1:10">
      <c r="A118" s="1"/>
      <c r="B118" s="2"/>
      <c r="C118" s="2"/>
      <c r="D118" s="2"/>
      <c r="E118" s="2"/>
      <c r="F118" s="2"/>
      <c r="G118" s="2"/>
      <c r="H118" s="2"/>
      <c r="I118" s="2"/>
      <c r="J118" s="3"/>
    </row>
    <row r="119" spans="1:10">
      <c r="A119" s="1"/>
      <c r="B119" s="2"/>
      <c r="C119" s="2"/>
      <c r="D119" s="2"/>
      <c r="E119" s="2"/>
      <c r="F119" s="2"/>
      <c r="G119" s="2"/>
      <c r="H119" s="2"/>
      <c r="I119" s="2"/>
      <c r="J119" s="3"/>
    </row>
    <row r="120" spans="1:10">
      <c r="A120" s="1"/>
      <c r="B120" s="2"/>
      <c r="C120" s="2"/>
      <c r="D120" s="2"/>
      <c r="E120" s="2"/>
      <c r="F120" s="2"/>
      <c r="G120" s="2"/>
      <c r="H120" s="2"/>
      <c r="I120" s="2"/>
      <c r="J120" s="3"/>
    </row>
    <row r="121" spans="1:10">
      <c r="A121" s="1"/>
      <c r="B121" s="2"/>
      <c r="C121" s="2"/>
      <c r="D121" s="2"/>
      <c r="E121" s="2"/>
      <c r="F121" s="2"/>
      <c r="G121" s="2"/>
      <c r="H121" s="2"/>
      <c r="I121" s="2"/>
      <c r="J121" s="3"/>
    </row>
    <row r="122" spans="1:10">
      <c r="A122" s="1"/>
      <c r="B122" s="2"/>
      <c r="C122" s="2"/>
      <c r="D122" s="2"/>
      <c r="E122" s="2"/>
      <c r="F122" s="2"/>
      <c r="G122" s="2"/>
      <c r="H122" s="2"/>
      <c r="I122" s="2"/>
      <c r="J122" s="3"/>
    </row>
    <row r="123" spans="1:10">
      <c r="A123" s="1"/>
      <c r="B123" s="2"/>
      <c r="C123" s="2"/>
      <c r="D123" s="2"/>
      <c r="E123" s="2"/>
      <c r="F123" s="2"/>
      <c r="G123" s="2"/>
      <c r="H123" s="2"/>
      <c r="I123" s="2"/>
      <c r="J123" s="3"/>
    </row>
    <row r="124" spans="1:10">
      <c r="A124" s="1"/>
      <c r="B124" s="2"/>
      <c r="C124" s="2"/>
      <c r="D124" s="2"/>
      <c r="E124" s="2"/>
      <c r="F124" s="2"/>
      <c r="G124" s="2"/>
      <c r="H124" s="2"/>
      <c r="I124" s="2"/>
      <c r="J124" s="3"/>
    </row>
    <row r="125" spans="1:10">
      <c r="A125" s="1"/>
      <c r="B125" s="2"/>
      <c r="C125" s="2"/>
      <c r="D125" s="2"/>
      <c r="E125" s="2"/>
      <c r="F125" s="2"/>
      <c r="G125" s="2"/>
      <c r="H125" s="2"/>
      <c r="I125" s="2"/>
      <c r="J125" s="3"/>
    </row>
    <row r="126" spans="1:10">
      <c r="A126" s="1"/>
      <c r="B126" s="2"/>
      <c r="C126" s="2"/>
      <c r="D126" s="2"/>
      <c r="E126" s="2"/>
      <c r="F126" s="2"/>
      <c r="G126" s="2"/>
      <c r="H126" s="2"/>
      <c r="I126" s="2"/>
      <c r="J126" s="3"/>
    </row>
    <row r="127" spans="1:10">
      <c r="A127" s="1"/>
      <c r="B127" s="2"/>
      <c r="C127" s="2"/>
      <c r="D127" s="2"/>
      <c r="E127" s="2"/>
      <c r="F127" s="2"/>
      <c r="G127" s="2"/>
      <c r="H127" s="2"/>
      <c r="I127" s="2"/>
      <c r="J127" s="3"/>
    </row>
    <row r="128" spans="1:10">
      <c r="A128" s="1"/>
      <c r="B128" s="2"/>
      <c r="C128" s="2"/>
      <c r="D128" s="2"/>
      <c r="E128" s="2"/>
      <c r="F128" s="2"/>
      <c r="G128" s="2"/>
      <c r="H128" s="2"/>
      <c r="I128" s="2"/>
      <c r="J128" s="3"/>
    </row>
    <row r="129" spans="1:10">
      <c r="A129" s="1"/>
      <c r="B129" s="2"/>
      <c r="C129" s="2"/>
      <c r="D129" s="2"/>
      <c r="E129" s="2"/>
      <c r="F129" s="2"/>
      <c r="G129" s="2"/>
      <c r="H129" s="2"/>
      <c r="I129" s="2"/>
      <c r="J129" s="3"/>
    </row>
    <row r="130" spans="1:10">
      <c r="A130" s="1"/>
      <c r="B130" s="2"/>
      <c r="C130" s="2"/>
      <c r="D130" s="2"/>
      <c r="E130" s="2"/>
      <c r="F130" s="2"/>
      <c r="G130" s="2"/>
      <c r="H130" s="2"/>
      <c r="I130" s="2"/>
      <c r="J130" s="3"/>
    </row>
    <row r="131" spans="1:10">
      <c r="A131" s="1"/>
      <c r="B131" s="2"/>
      <c r="C131" s="2"/>
      <c r="D131" s="2"/>
      <c r="E131" s="2"/>
      <c r="F131" s="2"/>
      <c r="G131" s="2"/>
      <c r="H131" s="2"/>
      <c r="I131" s="2"/>
      <c r="J131" s="3"/>
    </row>
    <row r="132" spans="1:10">
      <c r="A132" s="1"/>
      <c r="B132" s="2"/>
      <c r="C132" s="2"/>
      <c r="D132" s="2"/>
      <c r="E132" s="2"/>
      <c r="F132" s="2"/>
      <c r="G132" s="2"/>
      <c r="H132" s="2"/>
      <c r="I132" s="2"/>
      <c r="J132" s="3"/>
    </row>
    <row r="133" spans="1:10">
      <c r="A133" s="1"/>
      <c r="B133" s="2"/>
      <c r="C133" s="2"/>
      <c r="D133" s="2"/>
      <c r="E133" s="2"/>
      <c r="F133" s="2"/>
      <c r="G133" s="2"/>
      <c r="H133" s="2"/>
      <c r="I133" s="2"/>
      <c r="J133" s="3"/>
    </row>
    <row r="134" spans="1:10">
      <c r="A134" s="1"/>
      <c r="B134" s="2"/>
      <c r="C134" s="2"/>
      <c r="D134" s="2"/>
      <c r="E134" s="2"/>
      <c r="F134" s="2"/>
      <c r="G134" s="2"/>
      <c r="H134" s="2"/>
      <c r="I134" s="2"/>
      <c r="J134" s="3"/>
    </row>
    <row r="135" spans="1:10">
      <c r="A135" s="1"/>
      <c r="B135" s="2"/>
      <c r="C135" s="2"/>
      <c r="D135" s="2"/>
      <c r="E135" s="2"/>
      <c r="F135" s="2"/>
      <c r="G135" s="2"/>
      <c r="H135" s="2"/>
      <c r="I135" s="2"/>
      <c r="J135" s="3"/>
    </row>
    <row r="136" spans="1:10">
      <c r="A136" s="1"/>
      <c r="B136" s="2"/>
      <c r="C136" s="2"/>
      <c r="D136" s="2"/>
      <c r="E136" s="2"/>
      <c r="F136" s="2"/>
      <c r="G136" s="2"/>
      <c r="H136" s="2"/>
      <c r="I136" s="2"/>
      <c r="J136" s="3"/>
    </row>
    <row r="137" spans="1:10">
      <c r="A137" s="1"/>
      <c r="B137" s="2"/>
      <c r="C137" s="2"/>
      <c r="D137" s="2"/>
      <c r="E137" s="2"/>
      <c r="F137" s="2"/>
      <c r="G137" s="2"/>
      <c r="H137" s="2"/>
      <c r="I137" s="2"/>
      <c r="J137" s="3"/>
    </row>
    <row r="138" spans="1:10">
      <c r="A138" s="1"/>
      <c r="B138" s="2"/>
      <c r="C138" s="2"/>
      <c r="D138" s="2"/>
      <c r="E138" s="2"/>
      <c r="F138" s="2"/>
      <c r="G138" s="2"/>
      <c r="H138" s="2"/>
      <c r="I138" s="2"/>
      <c r="J138" s="3"/>
    </row>
    <row r="139" spans="1:10">
      <c r="A139" s="1"/>
      <c r="B139" s="2"/>
      <c r="C139" s="2"/>
      <c r="D139" s="2"/>
      <c r="E139" s="2"/>
      <c r="F139" s="2"/>
      <c r="G139" s="2"/>
      <c r="H139" s="2"/>
      <c r="I139" s="2"/>
      <c r="J139" s="3"/>
    </row>
    <row r="140" spans="1:10">
      <c r="A140" s="1"/>
      <c r="B140" s="2"/>
      <c r="C140" s="2"/>
      <c r="D140" s="2"/>
      <c r="E140" s="2"/>
      <c r="F140" s="2"/>
      <c r="G140" s="2"/>
      <c r="H140" s="2"/>
      <c r="I140" s="2"/>
      <c r="J140" s="3"/>
    </row>
    <row r="141" spans="1:10">
      <c r="A141" s="1"/>
      <c r="B141" s="2"/>
      <c r="C141" s="2"/>
      <c r="D141" s="2"/>
      <c r="E141" s="2"/>
      <c r="F141" s="2"/>
      <c r="G141" s="2"/>
      <c r="H141" s="2"/>
      <c r="I141" s="2"/>
      <c r="J141" s="3"/>
    </row>
    <row r="142" spans="1:10">
      <c r="A142" s="1"/>
      <c r="B142" s="2"/>
      <c r="C142" s="2"/>
      <c r="D142" s="2"/>
      <c r="E142" s="2"/>
      <c r="F142" s="2"/>
      <c r="G142" s="2"/>
      <c r="H142" s="2"/>
      <c r="I142" s="2"/>
      <c r="J142" s="3"/>
    </row>
    <row r="143" spans="1:10">
      <c r="A143" s="1"/>
      <c r="B143" s="2"/>
      <c r="C143" s="2"/>
      <c r="D143" s="2"/>
      <c r="E143" s="2"/>
      <c r="F143" s="2"/>
      <c r="G143" s="2"/>
      <c r="H143" s="2"/>
      <c r="I143" s="2"/>
      <c r="J143" s="3"/>
    </row>
    <row r="144" spans="1:10">
      <c r="A144" s="1"/>
      <c r="B144" s="2"/>
      <c r="C144" s="2"/>
      <c r="D144" s="2"/>
      <c r="E144" s="2"/>
      <c r="F144" s="2"/>
      <c r="G144" s="2"/>
      <c r="H144" s="2"/>
      <c r="I144" s="2"/>
      <c r="J144" s="3"/>
    </row>
    <row r="145" spans="1:10">
      <c r="A145" s="1"/>
      <c r="B145" s="2"/>
      <c r="C145" s="2"/>
      <c r="D145" s="2"/>
      <c r="E145" s="2"/>
      <c r="F145" s="2"/>
      <c r="G145" s="2"/>
      <c r="H145" s="2"/>
      <c r="I145" s="2"/>
      <c r="J145" s="3"/>
    </row>
    <row r="146" spans="1:10">
      <c r="A146" s="1"/>
      <c r="B146" s="2"/>
      <c r="C146" s="2"/>
      <c r="D146" s="2"/>
      <c r="E146" s="2"/>
      <c r="F146" s="2"/>
      <c r="G146" s="2"/>
      <c r="H146" s="2"/>
      <c r="I146" s="2"/>
      <c r="J146" s="3"/>
    </row>
    <row r="147" spans="1:10">
      <c r="A147" s="1"/>
      <c r="B147" s="2"/>
      <c r="C147" s="2"/>
      <c r="D147" s="2"/>
      <c r="E147" s="2"/>
      <c r="F147" s="2"/>
      <c r="G147" s="2"/>
      <c r="H147" s="2"/>
      <c r="I147" s="2"/>
      <c r="J147" s="3"/>
    </row>
    <row r="148" spans="1:10">
      <c r="A148" s="1"/>
      <c r="B148" s="2"/>
      <c r="C148" s="2"/>
      <c r="D148" s="2"/>
      <c r="E148" s="2"/>
      <c r="F148" s="2"/>
      <c r="G148" s="2"/>
      <c r="H148" s="2"/>
      <c r="I148" s="2"/>
      <c r="J148" s="3"/>
    </row>
    <row r="149" spans="1:10">
      <c r="A149" s="1"/>
      <c r="B149" s="2"/>
      <c r="C149" s="2"/>
      <c r="D149" s="2"/>
      <c r="E149" s="2"/>
      <c r="F149" s="2"/>
      <c r="G149" s="2"/>
      <c r="H149" s="2"/>
      <c r="I149" s="2"/>
      <c r="J149" s="3"/>
    </row>
    <row r="150" spans="1:10">
      <c r="A150" s="1"/>
      <c r="B150" s="2"/>
      <c r="C150" s="2"/>
      <c r="D150" s="2"/>
      <c r="E150" s="2"/>
      <c r="F150" s="2"/>
      <c r="G150" s="2"/>
      <c r="H150" s="2"/>
      <c r="I150" s="2"/>
      <c r="J150" s="3"/>
    </row>
    <row r="151" spans="1:10">
      <c r="A151" s="1"/>
      <c r="B151" s="2"/>
      <c r="C151" s="2"/>
      <c r="D151" s="2"/>
      <c r="E151" s="2"/>
      <c r="F151" s="2"/>
      <c r="G151" s="2"/>
      <c r="H151" s="2"/>
      <c r="I151" s="2"/>
      <c r="J151" s="3"/>
    </row>
    <row r="152" spans="1:10">
      <c r="A152" s="1"/>
      <c r="B152" s="2"/>
      <c r="C152" s="2"/>
      <c r="D152" s="2"/>
      <c r="E152" s="2"/>
      <c r="F152" s="2"/>
      <c r="G152" s="2"/>
      <c r="H152" s="2"/>
      <c r="I152" s="2"/>
      <c r="J152" s="3"/>
    </row>
    <row r="153" spans="1:10">
      <c r="A153" s="1"/>
      <c r="B153" s="2"/>
      <c r="C153" s="2"/>
      <c r="D153" s="2"/>
      <c r="E153" s="2"/>
      <c r="F153" s="2"/>
      <c r="G153" s="2"/>
      <c r="H153" s="2"/>
      <c r="I153" s="2"/>
      <c r="J153" s="3"/>
    </row>
    <row r="154" spans="1:10">
      <c r="A154" s="1"/>
      <c r="B154" s="2"/>
      <c r="C154" s="2"/>
      <c r="D154" s="2"/>
      <c r="E154" s="2"/>
      <c r="F154" s="2"/>
      <c r="G154" s="2"/>
      <c r="H154" s="2"/>
      <c r="I154" s="2"/>
      <c r="J154" s="3"/>
    </row>
    <row r="155" spans="1:10">
      <c r="A155" s="1"/>
      <c r="B155" s="2"/>
      <c r="C155" s="2"/>
      <c r="D155" s="2"/>
      <c r="E155" s="2"/>
      <c r="F155" s="2"/>
      <c r="G155" s="2"/>
      <c r="H155" s="2"/>
      <c r="I155" s="2"/>
      <c r="J155" s="3"/>
    </row>
    <row r="156" spans="1:10">
      <c r="A156" s="1"/>
      <c r="B156" s="2"/>
      <c r="C156" s="2"/>
      <c r="D156" s="2"/>
      <c r="E156" s="2"/>
      <c r="F156" s="2"/>
      <c r="G156" s="2"/>
      <c r="H156" s="2"/>
      <c r="I156" s="2"/>
      <c r="J156" s="3"/>
    </row>
    <row r="157" spans="1:10">
      <c r="A157" s="1"/>
      <c r="B157" s="2"/>
      <c r="C157" s="2"/>
      <c r="D157" s="2"/>
      <c r="E157" s="2"/>
      <c r="F157" s="2"/>
      <c r="G157" s="2"/>
      <c r="H157" s="2"/>
      <c r="I157" s="2"/>
      <c r="J157" s="3"/>
    </row>
    <row r="158" spans="1:10">
      <c r="A158" s="1"/>
      <c r="B158" s="2"/>
      <c r="C158" s="2"/>
      <c r="D158" s="2"/>
      <c r="E158" s="2"/>
      <c r="F158" s="2"/>
      <c r="G158" s="2"/>
      <c r="H158" s="2"/>
      <c r="I158" s="2"/>
      <c r="J158" s="3"/>
    </row>
    <row r="159" spans="1:10">
      <c r="A159" s="1"/>
      <c r="B159" s="2"/>
      <c r="C159" s="2"/>
      <c r="D159" s="2"/>
      <c r="E159" s="2"/>
      <c r="F159" s="2"/>
      <c r="G159" s="2"/>
      <c r="H159" s="2"/>
      <c r="I159" s="2"/>
      <c r="J159" s="3"/>
    </row>
    <row r="160" spans="1:10">
      <c r="A160" s="1"/>
      <c r="B160" s="2"/>
      <c r="C160" s="2"/>
      <c r="D160" s="2"/>
      <c r="E160" s="2"/>
      <c r="F160" s="2"/>
      <c r="G160" s="2"/>
      <c r="H160" s="2"/>
      <c r="I160" s="2"/>
      <c r="J160" s="3"/>
    </row>
    <row r="161" spans="1:10">
      <c r="A161" s="1"/>
      <c r="B161" s="2"/>
      <c r="C161" s="2"/>
      <c r="D161" s="2"/>
      <c r="E161" s="2"/>
      <c r="F161" s="2"/>
      <c r="G161" s="2"/>
      <c r="H161" s="2"/>
      <c r="I161" s="2"/>
      <c r="J161" s="3"/>
    </row>
    <row r="162" spans="1:10">
      <c r="A162" s="1"/>
      <c r="B162" s="2"/>
      <c r="C162" s="2"/>
      <c r="D162" s="2"/>
      <c r="E162" s="2"/>
      <c r="F162" s="2"/>
      <c r="G162" s="2"/>
      <c r="H162" s="2"/>
      <c r="I162" s="2"/>
      <c r="J162" s="3"/>
    </row>
    <row r="163" spans="1:10">
      <c r="A163" s="1"/>
      <c r="B163" s="2"/>
      <c r="C163" s="2"/>
      <c r="D163" s="2"/>
      <c r="E163" s="2"/>
      <c r="F163" s="2"/>
      <c r="G163" s="2"/>
      <c r="H163" s="2"/>
      <c r="I163" s="2"/>
      <c r="J163" s="3"/>
    </row>
    <row r="164" spans="1:10">
      <c r="A164" s="1"/>
      <c r="B164" s="2"/>
      <c r="C164" s="2"/>
      <c r="D164" s="2"/>
      <c r="E164" s="2"/>
      <c r="F164" s="2"/>
      <c r="G164" s="2"/>
      <c r="H164" s="2"/>
      <c r="I164" s="2"/>
      <c r="J164" s="3"/>
    </row>
    <row r="165" spans="1:10">
      <c r="A165" s="1"/>
      <c r="B165" s="2"/>
      <c r="C165" s="2"/>
      <c r="D165" s="2"/>
      <c r="E165" s="2"/>
      <c r="F165" s="2"/>
      <c r="G165" s="2"/>
      <c r="H165" s="2"/>
      <c r="I165" s="2"/>
      <c r="J165" s="3"/>
    </row>
    <row r="166" spans="1:10">
      <c r="A166" s="1"/>
      <c r="B166" s="2"/>
      <c r="C166" s="2"/>
      <c r="D166" s="2"/>
      <c r="E166" s="2"/>
      <c r="F166" s="2"/>
      <c r="G166" s="2"/>
      <c r="H166" s="2"/>
      <c r="I166" s="2"/>
      <c r="J166" s="3"/>
    </row>
    <row r="167" spans="1:10">
      <c r="A167" s="1"/>
      <c r="B167" s="2"/>
      <c r="C167" s="2"/>
      <c r="D167" s="2"/>
      <c r="E167" s="2"/>
      <c r="F167" s="2"/>
      <c r="G167" s="2"/>
      <c r="H167" s="2"/>
      <c r="I167" s="2"/>
      <c r="J167" s="3"/>
    </row>
    <row r="168" spans="1:10">
      <c r="A168" s="1"/>
      <c r="B168" s="2"/>
      <c r="C168" s="2"/>
      <c r="D168" s="2"/>
      <c r="E168" s="2"/>
      <c r="F168" s="2"/>
      <c r="G168" s="2"/>
      <c r="H168" s="2"/>
      <c r="I168" s="2"/>
      <c r="J168" s="3"/>
    </row>
    <row r="169" spans="1:10">
      <c r="A169" s="1"/>
      <c r="B169" s="2"/>
      <c r="C169" s="2"/>
      <c r="D169" s="2"/>
      <c r="E169" s="2"/>
      <c r="F169" s="2"/>
      <c r="G169" s="2"/>
      <c r="H169" s="2"/>
      <c r="I169" s="2"/>
      <c r="J169" s="3"/>
    </row>
    <row r="170" spans="1:10">
      <c r="A170" s="1"/>
      <c r="B170" s="2"/>
      <c r="C170" s="2"/>
      <c r="D170" s="2"/>
      <c r="E170" s="2"/>
      <c r="F170" s="2"/>
      <c r="G170" s="2"/>
      <c r="H170" s="2"/>
      <c r="I170" s="2"/>
      <c r="J170" s="3"/>
    </row>
    <row r="171" spans="1:10">
      <c r="A171" s="1"/>
      <c r="B171" s="2"/>
      <c r="C171" s="2"/>
      <c r="D171" s="2"/>
      <c r="E171" s="2"/>
      <c r="F171" s="2"/>
      <c r="G171" s="2"/>
      <c r="H171" s="2"/>
      <c r="I171" s="2"/>
      <c r="J171" s="3"/>
    </row>
    <row r="172" spans="1:10">
      <c r="A172" s="1"/>
      <c r="B172" s="2"/>
      <c r="C172" s="2"/>
      <c r="D172" s="2"/>
      <c r="E172" s="2"/>
      <c r="F172" s="2"/>
      <c r="G172" s="2"/>
      <c r="H172" s="2"/>
      <c r="I172" s="2"/>
      <c r="J172" s="3"/>
    </row>
    <row r="173" spans="1:10">
      <c r="A173" s="1"/>
      <c r="B173" s="2"/>
      <c r="C173" s="2"/>
      <c r="D173" s="2"/>
      <c r="E173" s="2"/>
      <c r="F173" s="2"/>
      <c r="G173" s="2"/>
      <c r="H173" s="2"/>
      <c r="I173" s="2"/>
      <c r="J173" s="3"/>
    </row>
    <row r="174" spans="1:10">
      <c r="A174" s="1"/>
      <c r="B174" s="2"/>
      <c r="C174" s="2"/>
      <c r="D174" s="2"/>
      <c r="E174" s="2"/>
      <c r="F174" s="2"/>
      <c r="G174" s="2"/>
      <c r="H174" s="2"/>
      <c r="I174" s="2"/>
      <c r="J174" s="3"/>
    </row>
    <row r="175" spans="1:10">
      <c r="A175" s="1"/>
      <c r="B175" s="2"/>
      <c r="C175" s="2"/>
      <c r="D175" s="2"/>
      <c r="E175" s="2"/>
      <c r="F175" s="2"/>
      <c r="G175" s="2"/>
      <c r="H175" s="2"/>
      <c r="I175" s="2"/>
      <c r="J175" s="3"/>
    </row>
    <row r="176" spans="1:10">
      <c r="A176" s="1"/>
      <c r="B176" s="2"/>
      <c r="C176" s="2"/>
      <c r="D176" s="2"/>
      <c r="E176" s="2"/>
      <c r="F176" s="2"/>
      <c r="G176" s="2"/>
      <c r="H176" s="2"/>
      <c r="I176" s="2"/>
      <c r="J176" s="3"/>
    </row>
    <row r="177" spans="1:10">
      <c r="A177" s="1"/>
      <c r="B177" s="2"/>
      <c r="C177" s="2"/>
      <c r="D177" s="2"/>
      <c r="E177" s="2"/>
      <c r="F177" s="2"/>
      <c r="G177" s="2"/>
      <c r="H177" s="2"/>
      <c r="I177" s="2"/>
      <c r="J177" s="3"/>
    </row>
    <row r="178" spans="1:10">
      <c r="A178" s="1"/>
      <c r="B178" s="2"/>
      <c r="C178" s="2"/>
      <c r="D178" s="2"/>
      <c r="E178" s="2"/>
      <c r="F178" s="2"/>
      <c r="G178" s="2"/>
      <c r="H178" s="2"/>
      <c r="I178" s="2"/>
      <c r="J178" s="3"/>
    </row>
    <row r="179" spans="1:10">
      <c r="A179" s="1"/>
      <c r="B179" s="2"/>
      <c r="C179" s="2"/>
      <c r="D179" s="2"/>
      <c r="E179" s="2"/>
      <c r="F179" s="2"/>
      <c r="G179" s="2"/>
      <c r="H179" s="2"/>
      <c r="I179" s="2"/>
      <c r="J179" s="3"/>
    </row>
    <row r="180" spans="1:10">
      <c r="A180" s="1"/>
      <c r="B180" s="2"/>
      <c r="C180" s="2"/>
      <c r="D180" s="2"/>
      <c r="E180" s="2"/>
      <c r="F180" s="2"/>
      <c r="G180" s="2"/>
      <c r="H180" s="2"/>
      <c r="I180" s="2"/>
      <c r="J180" s="3"/>
    </row>
    <row r="181" spans="1:10">
      <c r="A181" s="1"/>
      <c r="B181" s="2"/>
      <c r="C181" s="2"/>
      <c r="D181" s="2"/>
      <c r="E181" s="2"/>
      <c r="F181" s="2"/>
      <c r="G181" s="2"/>
      <c r="H181" s="2"/>
      <c r="I181" s="2"/>
      <c r="J181" s="3"/>
    </row>
    <row r="182" spans="1:10">
      <c r="A182" s="1"/>
      <c r="B182" s="2"/>
      <c r="C182" s="2"/>
      <c r="D182" s="2"/>
      <c r="E182" s="2"/>
      <c r="F182" s="2"/>
      <c r="G182" s="2"/>
      <c r="H182" s="2"/>
      <c r="I182" s="2"/>
      <c r="J182" s="3"/>
    </row>
    <row r="183" spans="1:10">
      <c r="A183" s="1"/>
      <c r="B183" s="2"/>
      <c r="C183" s="2"/>
      <c r="D183" s="2"/>
      <c r="E183" s="2"/>
      <c r="F183" s="2"/>
      <c r="G183" s="2"/>
      <c r="H183" s="2"/>
      <c r="I183" s="2"/>
      <c r="J183" s="3"/>
    </row>
    <row r="184" spans="1:10">
      <c r="A184" s="1"/>
      <c r="B184" s="2"/>
      <c r="C184" s="2"/>
      <c r="D184" s="2"/>
      <c r="E184" s="2"/>
      <c r="F184" s="2"/>
      <c r="G184" s="2"/>
      <c r="H184" s="2"/>
      <c r="I184" s="2"/>
      <c r="J184" s="3"/>
    </row>
    <row r="185" spans="1:10">
      <c r="A185" s="1"/>
      <c r="B185" s="2"/>
      <c r="C185" s="2"/>
      <c r="D185" s="2"/>
      <c r="E185" s="2"/>
      <c r="F185" s="2"/>
      <c r="G185" s="2"/>
      <c r="H185" s="2"/>
      <c r="I185" s="2"/>
      <c r="J185" s="3"/>
    </row>
    <row r="186" spans="1:10">
      <c r="A186" s="1"/>
      <c r="B186" s="2"/>
      <c r="C186" s="2"/>
      <c r="D186" s="2"/>
      <c r="E186" s="2"/>
      <c r="F186" s="2"/>
      <c r="G186" s="2"/>
      <c r="H186" s="2"/>
      <c r="I186" s="2"/>
      <c r="J186" s="3"/>
    </row>
    <row r="187" spans="1:10">
      <c r="A187" s="1"/>
      <c r="B187" s="2"/>
      <c r="C187" s="2"/>
      <c r="D187" s="2"/>
      <c r="E187" s="2"/>
      <c r="F187" s="2"/>
      <c r="G187" s="2"/>
      <c r="H187" s="2"/>
      <c r="I187" s="2"/>
      <c r="J187" s="3"/>
    </row>
    <row r="188" spans="1:10">
      <c r="A188" s="1"/>
      <c r="B188" s="2"/>
      <c r="C188" s="2"/>
      <c r="D188" s="2"/>
      <c r="E188" s="2"/>
      <c r="F188" s="2"/>
      <c r="G188" s="2"/>
      <c r="H188" s="2"/>
      <c r="I188" s="2"/>
      <c r="J188" s="3"/>
    </row>
    <row r="189" spans="1:10">
      <c r="A189" s="1"/>
      <c r="B189" s="2"/>
      <c r="C189" s="2"/>
      <c r="D189" s="2"/>
      <c r="E189" s="2"/>
      <c r="F189" s="2"/>
      <c r="G189" s="2"/>
      <c r="H189" s="2"/>
      <c r="I189" s="2"/>
      <c r="J189" s="3"/>
    </row>
    <row r="190" spans="1:10">
      <c r="A190" s="1"/>
      <c r="B190" s="2"/>
      <c r="C190" s="2"/>
      <c r="D190" s="2"/>
      <c r="E190" s="2"/>
      <c r="F190" s="2"/>
      <c r="G190" s="2"/>
      <c r="H190" s="2"/>
      <c r="I190" s="2"/>
      <c r="J190" s="3"/>
    </row>
    <row r="191" spans="1:10">
      <c r="A191" s="1"/>
      <c r="B191" s="2"/>
      <c r="C191" s="2"/>
      <c r="D191" s="2"/>
      <c r="E191" s="2"/>
      <c r="F191" s="2"/>
      <c r="G191" s="2"/>
      <c r="H191" s="2"/>
      <c r="I191" s="2"/>
      <c r="J191" s="3"/>
    </row>
    <row r="192" spans="1:10">
      <c r="A192" s="1"/>
      <c r="B192" s="2"/>
      <c r="C192" s="2"/>
      <c r="D192" s="2"/>
      <c r="E192" s="2"/>
      <c r="F192" s="2"/>
      <c r="G192" s="2"/>
      <c r="H192" s="2"/>
      <c r="I192" s="2"/>
      <c r="J192" s="3"/>
    </row>
    <row r="193" spans="1:10">
      <c r="A193" s="1"/>
      <c r="B193" s="2"/>
      <c r="C193" s="2"/>
      <c r="D193" s="2"/>
      <c r="E193" s="2"/>
      <c r="F193" s="2"/>
      <c r="G193" s="2"/>
      <c r="H193" s="2"/>
      <c r="I193" s="2"/>
      <c r="J193" s="3"/>
    </row>
    <row r="194" spans="1:10">
      <c r="A194" s="1"/>
      <c r="B194" s="2"/>
      <c r="C194" s="2"/>
      <c r="D194" s="2"/>
      <c r="E194" s="2"/>
      <c r="F194" s="2"/>
      <c r="G194" s="2"/>
      <c r="H194" s="2"/>
      <c r="I194" s="2"/>
      <c r="J194" s="3"/>
    </row>
    <row r="195" spans="1:10">
      <c r="A195" s="1"/>
      <c r="B195" s="2"/>
      <c r="C195" s="2"/>
      <c r="D195" s="2"/>
      <c r="E195" s="2"/>
      <c r="F195" s="2"/>
      <c r="G195" s="2"/>
      <c r="H195" s="2"/>
      <c r="I195" s="2"/>
      <c r="J195" s="3"/>
    </row>
    <row r="196" spans="1:10">
      <c r="A196" s="1"/>
      <c r="B196" s="2"/>
      <c r="C196" s="2"/>
      <c r="D196" s="2"/>
      <c r="E196" s="2"/>
      <c r="F196" s="2"/>
      <c r="G196" s="2"/>
      <c r="H196" s="2"/>
      <c r="I196" s="2"/>
      <c r="J196" s="3"/>
    </row>
    <row r="197" spans="1:10">
      <c r="A197" s="1"/>
      <c r="B197" s="2"/>
      <c r="C197" s="2"/>
      <c r="D197" s="2"/>
      <c r="E197" s="2"/>
      <c r="F197" s="2"/>
      <c r="G197" s="2"/>
      <c r="H197" s="2"/>
      <c r="I197" s="2"/>
      <c r="J197" s="3"/>
    </row>
    <row r="198" spans="1:10">
      <c r="A198" s="1"/>
      <c r="B198" s="2"/>
      <c r="C198" s="2"/>
      <c r="D198" s="2"/>
      <c r="E198" s="2"/>
      <c r="F198" s="2"/>
      <c r="G198" s="2"/>
      <c r="H198" s="2"/>
      <c r="I198" s="2"/>
      <c r="J198" s="3"/>
    </row>
    <row r="199" spans="1:10">
      <c r="A199" s="1"/>
      <c r="B199" s="2"/>
      <c r="C199" s="2"/>
      <c r="D199" s="2"/>
      <c r="E199" s="2"/>
      <c r="F199" s="2"/>
      <c r="G199" s="2"/>
      <c r="H199" s="2"/>
      <c r="I199" s="2"/>
      <c r="J199" s="3"/>
    </row>
    <row r="200" spans="1:10">
      <c r="A200" s="4"/>
      <c r="B200" s="5"/>
      <c r="C200" s="5"/>
      <c r="D200" s="5"/>
      <c r="E200" s="5"/>
      <c r="F200" s="5"/>
      <c r="G200" s="5"/>
      <c r="H200" s="5"/>
      <c r="I200" s="5"/>
      <c r="J200" s="6"/>
    </row>
  </sheetData>
  <mergeCells count="1">
    <mergeCell ref="A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3"/>
  <sheetViews>
    <sheetView workbookViewId="0">
      <selection sqref="A1:G1"/>
    </sheetView>
  </sheetViews>
  <sheetFormatPr baseColWidth="10" defaultColWidth="8.83203125" defaultRowHeight="15"/>
  <cols>
    <col min="1" max="7" width="23.83203125" customWidth="1"/>
  </cols>
  <sheetData>
    <row r="1" spans="1:7" ht="53.25" customHeight="1">
      <c r="A1" s="41" t="s">
        <v>25</v>
      </c>
      <c r="B1" s="41" t="s">
        <v>25</v>
      </c>
      <c r="C1" s="41" t="s">
        <v>25</v>
      </c>
      <c r="D1" s="41" t="s">
        <v>25</v>
      </c>
      <c r="E1" s="41" t="s">
        <v>25</v>
      </c>
      <c r="F1" s="41" t="s">
        <v>25</v>
      </c>
      <c r="G1" s="41" t="s">
        <v>25</v>
      </c>
    </row>
    <row r="3" spans="1:7" ht="16">
      <c r="A3" s="7" t="s">
        <v>26</v>
      </c>
      <c r="B3" s="8" t="s">
        <v>27</v>
      </c>
      <c r="C3" s="8" t="s">
        <v>28</v>
      </c>
      <c r="D3" s="9" t="s">
        <v>29</v>
      </c>
      <c r="F3" s="7" t="s">
        <v>30</v>
      </c>
      <c r="G3" s="9" t="s">
        <v>31</v>
      </c>
    </row>
    <row r="4" spans="1:7" ht="16">
      <c r="A4" s="1" t="s">
        <v>32</v>
      </c>
      <c r="B4" s="2" t="s">
        <v>12</v>
      </c>
      <c r="C4" s="2" t="s">
        <v>22</v>
      </c>
      <c r="D4" s="3" t="s">
        <v>33</v>
      </c>
      <c r="F4" s="1" t="s">
        <v>34</v>
      </c>
      <c r="G4" s="3" t="s">
        <v>35</v>
      </c>
    </row>
    <row r="5" spans="1:7" ht="16">
      <c r="A5" s="1" t="s">
        <v>36</v>
      </c>
      <c r="B5" s="2" t="s">
        <v>19</v>
      </c>
      <c r="C5" s="2" t="s">
        <v>37</v>
      </c>
      <c r="D5" s="3" t="s">
        <v>38</v>
      </c>
      <c r="F5" s="1" t="s">
        <v>39</v>
      </c>
      <c r="G5" s="3" t="s">
        <v>35</v>
      </c>
    </row>
    <row r="6" spans="1:7" ht="16">
      <c r="A6" s="1" t="s">
        <v>40</v>
      </c>
      <c r="B6" s="2" t="s">
        <v>41</v>
      </c>
      <c r="C6" s="2" t="s">
        <v>42</v>
      </c>
      <c r="D6" s="3" t="s">
        <v>43</v>
      </c>
      <c r="F6" s="1" t="s">
        <v>44</v>
      </c>
      <c r="G6" s="3" t="s">
        <v>45</v>
      </c>
    </row>
    <row r="7" spans="1:7" ht="16">
      <c r="A7" s="1" t="s">
        <v>46</v>
      </c>
      <c r="B7" s="2" t="s">
        <v>47</v>
      </c>
      <c r="C7" s="2" t="s">
        <v>48</v>
      </c>
      <c r="D7" s="3"/>
      <c r="F7" s="1" t="s">
        <v>49</v>
      </c>
      <c r="G7" s="3" t="s">
        <v>50</v>
      </c>
    </row>
    <row r="8" spans="1:7" ht="16">
      <c r="A8" s="1" t="s">
        <v>51</v>
      </c>
      <c r="B8" s="2"/>
      <c r="C8" s="2" t="s">
        <v>52</v>
      </c>
      <c r="D8" s="3"/>
      <c r="F8" s="1"/>
      <c r="G8" s="3"/>
    </row>
    <row r="9" spans="1:7" ht="16">
      <c r="A9" s="1"/>
      <c r="B9" s="2"/>
      <c r="C9" s="2" t="s">
        <v>17</v>
      </c>
      <c r="D9" s="3"/>
      <c r="F9" s="1"/>
      <c r="G9" s="3"/>
    </row>
    <row r="10" spans="1:7" ht="16">
      <c r="A10" s="1"/>
      <c r="B10" s="2"/>
      <c r="C10" s="2" t="s">
        <v>53</v>
      </c>
      <c r="D10" s="3"/>
      <c r="F10" s="1"/>
      <c r="G10" s="3"/>
    </row>
    <row r="11" spans="1:7" ht="16">
      <c r="A11" s="1"/>
      <c r="B11" s="2"/>
      <c r="C11" s="2" t="s">
        <v>54</v>
      </c>
      <c r="D11" s="3"/>
      <c r="F11" s="1"/>
      <c r="G11" s="3"/>
    </row>
    <row r="12" spans="1:7" ht="16">
      <c r="A12" s="1"/>
      <c r="B12" s="2"/>
      <c r="C12" s="2" t="s">
        <v>15</v>
      </c>
      <c r="D12" s="3"/>
      <c r="F12" s="4"/>
      <c r="G12" s="6"/>
    </row>
    <row r="13" spans="1:7" ht="16">
      <c r="A13" s="4"/>
      <c r="B13" s="5"/>
      <c r="C13" s="5" t="s">
        <v>55</v>
      </c>
      <c r="D13" s="6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3"/>
  <sheetViews>
    <sheetView workbookViewId="0">
      <selection sqref="A1:F1"/>
    </sheetView>
  </sheetViews>
  <sheetFormatPr baseColWidth="10" defaultColWidth="8.83203125" defaultRowHeight="15"/>
  <cols>
    <col min="1" max="1" width="27.83203125" customWidth="1"/>
    <col min="2" max="2" width="34.33203125" customWidth="1"/>
    <col min="3" max="3" width="27.83203125" customWidth="1"/>
    <col min="4" max="4" width="33.1640625" customWidth="1"/>
    <col min="5" max="5" width="33.6640625" customWidth="1"/>
    <col min="6" max="6" width="37.83203125" customWidth="1"/>
  </cols>
  <sheetData>
    <row r="1" spans="1:6" ht="53.25" customHeight="1">
      <c r="A1" s="41" t="s">
        <v>56</v>
      </c>
      <c r="B1" s="41" t="s">
        <v>56</v>
      </c>
      <c r="C1" s="41" t="s">
        <v>56</v>
      </c>
      <c r="D1" s="41" t="s">
        <v>56</v>
      </c>
      <c r="E1" s="41" t="s">
        <v>56</v>
      </c>
      <c r="F1" s="41" t="s">
        <v>56</v>
      </c>
    </row>
    <row r="3" spans="1:6" ht="16">
      <c r="A3" s="7" t="s">
        <v>57</v>
      </c>
      <c r="B3" s="8" t="s">
        <v>58</v>
      </c>
      <c r="C3" s="8" t="s">
        <v>59</v>
      </c>
      <c r="D3" s="8" t="s">
        <v>60</v>
      </c>
      <c r="E3" s="8" t="s">
        <v>61</v>
      </c>
      <c r="F3" s="9" t="s">
        <v>62</v>
      </c>
    </row>
    <row r="4" spans="1:6" ht="32">
      <c r="A4" s="1" t="s">
        <v>63</v>
      </c>
      <c r="B4" s="2" t="s">
        <v>64</v>
      </c>
      <c r="C4" s="2" t="s">
        <v>65</v>
      </c>
      <c r="D4" s="2" t="s">
        <v>66</v>
      </c>
      <c r="E4" s="2" t="s">
        <v>67</v>
      </c>
      <c r="F4" s="3" t="s">
        <v>68</v>
      </c>
    </row>
    <row r="5" spans="1:6" ht="32">
      <c r="A5" s="1" t="s">
        <v>69</v>
      </c>
      <c r="B5" s="2" t="s">
        <v>70</v>
      </c>
      <c r="C5" s="2" t="s">
        <v>65</v>
      </c>
      <c r="D5" s="2" t="s">
        <v>71</v>
      </c>
      <c r="E5" s="2" t="s">
        <v>72</v>
      </c>
      <c r="F5" s="3" t="s">
        <v>73</v>
      </c>
    </row>
    <row r="6" spans="1:6" ht="32">
      <c r="A6" s="1" t="s">
        <v>74</v>
      </c>
      <c r="B6" s="2" t="s">
        <v>75</v>
      </c>
      <c r="C6" s="2" t="s">
        <v>76</v>
      </c>
      <c r="D6" s="2" t="s">
        <v>77</v>
      </c>
      <c r="E6" s="2" t="s">
        <v>78</v>
      </c>
      <c r="F6" s="3" t="s">
        <v>79</v>
      </c>
    </row>
    <row r="7" spans="1:6" ht="32">
      <c r="A7" s="1" t="s">
        <v>80</v>
      </c>
      <c r="B7" s="2" t="s">
        <v>81</v>
      </c>
      <c r="C7" s="2" t="s">
        <v>65</v>
      </c>
      <c r="D7" s="2" t="s">
        <v>82</v>
      </c>
      <c r="E7" s="2" t="s">
        <v>83</v>
      </c>
      <c r="F7" s="3" t="s">
        <v>84</v>
      </c>
    </row>
    <row r="8" spans="1:6" ht="16">
      <c r="A8" s="1" t="s">
        <v>85</v>
      </c>
      <c r="B8" s="2" t="s">
        <v>86</v>
      </c>
      <c r="C8" s="2" t="s">
        <v>87</v>
      </c>
      <c r="D8" s="2" t="s">
        <v>88</v>
      </c>
      <c r="E8" s="2" t="s">
        <v>89</v>
      </c>
      <c r="F8" s="3" t="s">
        <v>90</v>
      </c>
    </row>
    <row r="9" spans="1:6" ht="32">
      <c r="A9" s="1" t="s">
        <v>91</v>
      </c>
      <c r="B9" s="2" t="s">
        <v>92</v>
      </c>
      <c r="C9" s="2" t="s">
        <v>93</v>
      </c>
      <c r="D9" s="2" t="s">
        <v>94</v>
      </c>
      <c r="E9" s="2" t="s">
        <v>95</v>
      </c>
      <c r="F9" s="3" t="s">
        <v>96</v>
      </c>
    </row>
    <row r="10" spans="1:6" ht="16">
      <c r="A10" s="1" t="s">
        <v>97</v>
      </c>
      <c r="B10" s="2" t="s">
        <v>98</v>
      </c>
      <c r="C10" s="2" t="s">
        <v>65</v>
      </c>
      <c r="D10" s="2" t="s">
        <v>99</v>
      </c>
      <c r="E10" s="2" t="s">
        <v>100</v>
      </c>
      <c r="F10" s="3" t="s">
        <v>101</v>
      </c>
    </row>
    <row r="11" spans="1:6">
      <c r="A11" s="1"/>
      <c r="B11" s="2"/>
      <c r="C11" s="2"/>
      <c r="D11" s="2"/>
      <c r="E11" s="2"/>
      <c r="F11" s="3"/>
    </row>
    <row r="12" spans="1:6" ht="16">
      <c r="A12" s="4" t="s">
        <v>102</v>
      </c>
      <c r="B12" s="5" t="s">
        <v>103</v>
      </c>
      <c r="C12" s="5"/>
      <c r="D12" s="5"/>
      <c r="E12" s="5"/>
      <c r="F12" s="6"/>
    </row>
    <row r="13" spans="1:6">
      <c r="A13" t="s">
        <v>102</v>
      </c>
      <c r="B13" t="s">
        <v>104</v>
      </c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551"/>
  <sheetViews>
    <sheetView workbookViewId="0">
      <selection sqref="A1:E1"/>
    </sheetView>
  </sheetViews>
  <sheetFormatPr baseColWidth="10" defaultColWidth="8.83203125" defaultRowHeight="15"/>
  <cols>
    <col min="1" max="2" width="55.1640625" customWidth="1"/>
    <col min="3" max="3" width="255" customWidth="1"/>
    <col min="4" max="5" width="55.1640625" customWidth="1"/>
  </cols>
  <sheetData>
    <row r="1" spans="1:5" ht="50.75" customHeight="1">
      <c r="A1" s="42" t="s">
        <v>105</v>
      </c>
      <c r="B1" s="42" t="s">
        <v>105</v>
      </c>
      <c r="C1" s="42" t="s">
        <v>105</v>
      </c>
      <c r="D1" s="42" t="s">
        <v>105</v>
      </c>
      <c r="E1" s="42" t="s">
        <v>105</v>
      </c>
    </row>
    <row r="3" spans="1:5" ht="16">
      <c r="A3" s="11" t="s">
        <v>30</v>
      </c>
      <c r="B3" s="12" t="s">
        <v>106</v>
      </c>
      <c r="C3" s="12" t="s">
        <v>107</v>
      </c>
      <c r="D3" s="12" t="s">
        <v>108</v>
      </c>
      <c r="E3" s="13" t="s">
        <v>31</v>
      </c>
    </row>
    <row r="4" spans="1:5" ht="16">
      <c r="A4" s="1" t="s">
        <v>109</v>
      </c>
      <c r="B4" s="2" t="s">
        <v>63</v>
      </c>
      <c r="C4" s="2" t="s">
        <v>110</v>
      </c>
      <c r="D4" s="2" t="s">
        <v>111</v>
      </c>
      <c r="E4" s="3" t="s">
        <v>50</v>
      </c>
    </row>
    <row r="5" spans="1:5" ht="16">
      <c r="A5" s="1" t="s">
        <v>112</v>
      </c>
      <c r="B5" s="2" t="s">
        <v>80</v>
      </c>
      <c r="C5" s="2" t="s">
        <v>113</v>
      </c>
      <c r="D5" s="2" t="s">
        <v>111</v>
      </c>
      <c r="E5" s="3" t="s">
        <v>50</v>
      </c>
    </row>
    <row r="6" spans="1:5" ht="16">
      <c r="A6" s="1" t="s">
        <v>114</v>
      </c>
      <c r="B6" s="2" t="s">
        <v>80</v>
      </c>
      <c r="C6" s="2" t="s">
        <v>115</v>
      </c>
      <c r="D6" s="2" t="s">
        <v>111</v>
      </c>
      <c r="E6" s="3" t="s">
        <v>50</v>
      </c>
    </row>
    <row r="7" spans="1:5" ht="16">
      <c r="A7" s="1" t="s">
        <v>116</v>
      </c>
      <c r="B7" s="2"/>
      <c r="C7" s="2" t="s">
        <v>117</v>
      </c>
      <c r="D7" s="2" t="s">
        <v>111</v>
      </c>
      <c r="E7" s="3" t="s">
        <v>50</v>
      </c>
    </row>
    <row r="8" spans="1:5" ht="16">
      <c r="A8" s="1" t="s">
        <v>118</v>
      </c>
      <c r="B8" s="2"/>
      <c r="C8" s="2" t="s">
        <v>119</v>
      </c>
      <c r="D8" s="2" t="s">
        <v>111</v>
      </c>
      <c r="E8" s="3" t="s">
        <v>50</v>
      </c>
    </row>
    <row r="9" spans="1:5" ht="16">
      <c r="A9" s="1" t="s">
        <v>120</v>
      </c>
      <c r="B9" s="2"/>
      <c r="C9" s="2" t="s">
        <v>121</v>
      </c>
      <c r="D9" s="2" t="s">
        <v>111</v>
      </c>
      <c r="E9" s="3" t="s">
        <v>50</v>
      </c>
    </row>
    <row r="10" spans="1:5" ht="16">
      <c r="A10" s="1" t="s">
        <v>122</v>
      </c>
      <c r="B10" s="2"/>
      <c r="C10" s="2" t="s">
        <v>123</v>
      </c>
      <c r="D10" s="2" t="s">
        <v>111</v>
      </c>
      <c r="E10" s="3" t="s">
        <v>50</v>
      </c>
    </row>
    <row r="11" spans="1:5" ht="16">
      <c r="A11" s="1" t="s">
        <v>124</v>
      </c>
      <c r="B11" s="2"/>
      <c r="C11" s="2" t="s">
        <v>125</v>
      </c>
      <c r="D11" s="2" t="s">
        <v>111</v>
      </c>
      <c r="E11" s="3" t="s">
        <v>50</v>
      </c>
    </row>
    <row r="12" spans="1:5" ht="16">
      <c r="A12" s="1" t="s">
        <v>126</v>
      </c>
      <c r="B12" s="2"/>
      <c r="C12" s="2" t="s">
        <v>127</v>
      </c>
      <c r="D12" s="2" t="s">
        <v>111</v>
      </c>
      <c r="E12" s="3" t="s">
        <v>50</v>
      </c>
    </row>
    <row r="13" spans="1:5" ht="16">
      <c r="A13" s="1" t="s">
        <v>128</v>
      </c>
      <c r="B13" s="2"/>
      <c r="C13" s="2" t="s">
        <v>129</v>
      </c>
      <c r="D13" s="2" t="s">
        <v>111</v>
      </c>
      <c r="E13" s="3" t="s">
        <v>50</v>
      </c>
    </row>
    <row r="14" spans="1:5" ht="16">
      <c r="A14" s="1" t="s">
        <v>130</v>
      </c>
      <c r="B14" s="2"/>
      <c r="C14" s="2" t="s">
        <v>131</v>
      </c>
      <c r="D14" s="2" t="s">
        <v>111</v>
      </c>
      <c r="E14" s="3" t="s">
        <v>50</v>
      </c>
    </row>
    <row r="15" spans="1:5" ht="16">
      <c r="A15" s="1" t="s">
        <v>132</v>
      </c>
      <c r="B15" s="2"/>
      <c r="C15" s="2" t="s">
        <v>133</v>
      </c>
      <c r="D15" s="2" t="s">
        <v>111</v>
      </c>
      <c r="E15" s="3" t="s">
        <v>50</v>
      </c>
    </row>
    <row r="16" spans="1:5" ht="16">
      <c r="A16" s="1" t="s">
        <v>134</v>
      </c>
      <c r="B16" s="2"/>
      <c r="C16" s="2" t="s">
        <v>135</v>
      </c>
      <c r="D16" s="2" t="s">
        <v>111</v>
      </c>
      <c r="E16" s="3" t="s">
        <v>50</v>
      </c>
    </row>
    <row r="17" spans="1:5" ht="16">
      <c r="A17" s="1" t="s">
        <v>136</v>
      </c>
      <c r="B17" s="2" t="s">
        <v>74</v>
      </c>
      <c r="C17" s="2" t="s">
        <v>137</v>
      </c>
      <c r="D17" s="2" t="s">
        <v>111</v>
      </c>
      <c r="E17" s="3" t="s">
        <v>50</v>
      </c>
    </row>
    <row r="18" spans="1:5" ht="16">
      <c r="A18" s="1" t="s">
        <v>138</v>
      </c>
      <c r="B18" s="2" t="s">
        <v>74</v>
      </c>
      <c r="C18" s="2" t="s">
        <v>139</v>
      </c>
      <c r="D18" s="2" t="s">
        <v>111</v>
      </c>
      <c r="E18" s="3" t="s">
        <v>50</v>
      </c>
    </row>
    <row r="19" spans="1:5" ht="16">
      <c r="A19" s="1" t="s">
        <v>140</v>
      </c>
      <c r="B19" s="2"/>
      <c r="C19" s="2" t="s">
        <v>141</v>
      </c>
      <c r="D19" s="2" t="s">
        <v>111</v>
      </c>
      <c r="E19" s="3" t="s">
        <v>50</v>
      </c>
    </row>
    <row r="20" spans="1:5" ht="16">
      <c r="A20" s="1" t="s">
        <v>142</v>
      </c>
      <c r="B20" s="2"/>
      <c r="C20" s="2" t="s">
        <v>143</v>
      </c>
      <c r="D20" s="2" t="s">
        <v>111</v>
      </c>
      <c r="E20" s="3" t="s">
        <v>50</v>
      </c>
    </row>
    <row r="21" spans="1:5" ht="16">
      <c r="A21" s="1" t="s">
        <v>144</v>
      </c>
      <c r="B21" s="2"/>
      <c r="C21" s="2" t="s">
        <v>145</v>
      </c>
      <c r="D21" s="2" t="s">
        <v>111</v>
      </c>
      <c r="E21" s="3" t="s">
        <v>50</v>
      </c>
    </row>
    <row r="22" spans="1:5" ht="16">
      <c r="A22" s="1" t="s">
        <v>146</v>
      </c>
      <c r="B22" s="2" t="s">
        <v>74</v>
      </c>
      <c r="C22" s="2" t="s">
        <v>147</v>
      </c>
      <c r="D22" s="2" t="s">
        <v>111</v>
      </c>
      <c r="E22" s="3" t="s">
        <v>50</v>
      </c>
    </row>
    <row r="23" spans="1:5" ht="16">
      <c r="A23" s="1" t="s">
        <v>148</v>
      </c>
      <c r="B23" s="2"/>
      <c r="C23" s="2" t="s">
        <v>149</v>
      </c>
      <c r="D23" s="2" t="s">
        <v>111</v>
      </c>
      <c r="E23" s="3" t="s">
        <v>50</v>
      </c>
    </row>
    <row r="24" spans="1:5" ht="16">
      <c r="A24" s="1" t="s">
        <v>150</v>
      </c>
      <c r="B24" s="2" t="s">
        <v>74</v>
      </c>
      <c r="C24" s="2" t="s">
        <v>151</v>
      </c>
      <c r="D24" s="2" t="s">
        <v>111</v>
      </c>
      <c r="E24" s="3" t="s">
        <v>50</v>
      </c>
    </row>
    <row r="25" spans="1:5" ht="16">
      <c r="A25" s="1" t="s">
        <v>152</v>
      </c>
      <c r="B25" s="2" t="s">
        <v>74</v>
      </c>
      <c r="C25" s="2" t="s">
        <v>153</v>
      </c>
      <c r="D25" s="2" t="s">
        <v>111</v>
      </c>
      <c r="E25" s="3" t="s">
        <v>50</v>
      </c>
    </row>
    <row r="26" spans="1:5" ht="16">
      <c r="A26" s="1" t="s">
        <v>154</v>
      </c>
      <c r="B26" s="2" t="s">
        <v>74</v>
      </c>
      <c r="C26" s="2" t="s">
        <v>155</v>
      </c>
      <c r="D26" s="2" t="s">
        <v>111</v>
      </c>
      <c r="E26" s="3" t="s">
        <v>50</v>
      </c>
    </row>
    <row r="27" spans="1:5" ht="16">
      <c r="A27" s="1" t="s">
        <v>156</v>
      </c>
      <c r="B27" s="2" t="s">
        <v>74</v>
      </c>
      <c r="C27" s="2" t="s">
        <v>157</v>
      </c>
      <c r="D27" s="2" t="s">
        <v>111</v>
      </c>
      <c r="E27" s="3" t="s">
        <v>50</v>
      </c>
    </row>
    <row r="28" spans="1:5" ht="16">
      <c r="A28" s="1" t="s">
        <v>158</v>
      </c>
      <c r="B28" s="2"/>
      <c r="C28" s="2" t="s">
        <v>159</v>
      </c>
      <c r="D28" s="2" t="s">
        <v>111</v>
      </c>
      <c r="E28" s="3" t="s">
        <v>50</v>
      </c>
    </row>
    <row r="29" spans="1:5" ht="16">
      <c r="A29" s="1" t="s">
        <v>160</v>
      </c>
      <c r="B29" s="2"/>
      <c r="C29" s="2" t="s">
        <v>161</v>
      </c>
      <c r="D29" s="2" t="s">
        <v>111</v>
      </c>
      <c r="E29" s="3" t="s">
        <v>50</v>
      </c>
    </row>
    <row r="30" spans="1:5" ht="16">
      <c r="A30" s="1" t="s">
        <v>162</v>
      </c>
      <c r="B30" s="2"/>
      <c r="C30" s="2" t="s">
        <v>163</v>
      </c>
      <c r="D30" s="2" t="s">
        <v>111</v>
      </c>
      <c r="E30" s="3" t="s">
        <v>50</v>
      </c>
    </row>
    <row r="31" spans="1:5" ht="16">
      <c r="A31" s="1" t="s">
        <v>164</v>
      </c>
      <c r="B31" s="2"/>
      <c r="C31" s="2" t="s">
        <v>165</v>
      </c>
      <c r="D31" s="2" t="s">
        <v>111</v>
      </c>
      <c r="E31" s="3" t="s">
        <v>50</v>
      </c>
    </row>
    <row r="32" spans="1:5" ht="16">
      <c r="A32" s="1" t="s">
        <v>166</v>
      </c>
      <c r="B32" s="2"/>
      <c r="C32" s="2" t="s">
        <v>167</v>
      </c>
      <c r="D32" s="2" t="s">
        <v>111</v>
      </c>
      <c r="E32" s="3" t="s">
        <v>50</v>
      </c>
    </row>
    <row r="33" spans="1:5" ht="16">
      <c r="A33" s="1" t="s">
        <v>168</v>
      </c>
      <c r="B33" s="2"/>
      <c r="C33" s="2" t="s">
        <v>169</v>
      </c>
      <c r="D33" s="2" t="s">
        <v>111</v>
      </c>
      <c r="E33" s="3" t="s">
        <v>50</v>
      </c>
    </row>
    <row r="34" spans="1:5" ht="16">
      <c r="A34" s="1" t="s">
        <v>170</v>
      </c>
      <c r="B34" s="2"/>
      <c r="C34" s="2" t="s">
        <v>171</v>
      </c>
      <c r="D34" s="2" t="s">
        <v>111</v>
      </c>
      <c r="E34" s="3" t="s">
        <v>50</v>
      </c>
    </row>
    <row r="35" spans="1:5" ht="16">
      <c r="A35" s="1" t="s">
        <v>172</v>
      </c>
      <c r="B35" s="2"/>
      <c r="C35" s="2" t="s">
        <v>173</v>
      </c>
      <c r="D35" s="2" t="s">
        <v>111</v>
      </c>
      <c r="E35" s="3" t="s">
        <v>50</v>
      </c>
    </row>
    <row r="36" spans="1:5" ht="16">
      <c r="A36" s="1" t="s">
        <v>174</v>
      </c>
      <c r="B36" s="2"/>
      <c r="C36" s="2" t="s">
        <v>175</v>
      </c>
      <c r="D36" s="2" t="s">
        <v>111</v>
      </c>
      <c r="E36" s="3" t="s">
        <v>50</v>
      </c>
    </row>
    <row r="37" spans="1:5" ht="16">
      <c r="A37" s="1" t="s">
        <v>176</v>
      </c>
      <c r="B37" s="2"/>
      <c r="C37" s="2" t="s">
        <v>177</v>
      </c>
      <c r="D37" s="2" t="s">
        <v>111</v>
      </c>
      <c r="E37" s="3" t="s">
        <v>50</v>
      </c>
    </row>
    <row r="38" spans="1:5" ht="16">
      <c r="A38" s="1" t="s">
        <v>178</v>
      </c>
      <c r="B38" s="2"/>
      <c r="C38" s="2" t="s">
        <v>179</v>
      </c>
      <c r="D38" s="2" t="s">
        <v>111</v>
      </c>
      <c r="E38" s="3" t="s">
        <v>50</v>
      </c>
    </row>
    <row r="39" spans="1:5" ht="16">
      <c r="A39" s="1" t="s">
        <v>180</v>
      </c>
      <c r="B39" s="2"/>
      <c r="C39" s="2" t="s">
        <v>181</v>
      </c>
      <c r="D39" s="2" t="s">
        <v>111</v>
      </c>
      <c r="E39" s="3" t="s">
        <v>50</v>
      </c>
    </row>
    <row r="40" spans="1:5" ht="16">
      <c r="A40" s="1" t="s">
        <v>182</v>
      </c>
      <c r="B40" s="2"/>
      <c r="C40" s="2" t="s">
        <v>183</v>
      </c>
      <c r="D40" s="2" t="s">
        <v>111</v>
      </c>
      <c r="E40" s="3" t="s">
        <v>50</v>
      </c>
    </row>
    <row r="41" spans="1:5" ht="16">
      <c r="A41" s="1" t="s">
        <v>184</v>
      </c>
      <c r="B41" s="2"/>
      <c r="C41" s="2" t="s">
        <v>185</v>
      </c>
      <c r="D41" s="2" t="s">
        <v>111</v>
      </c>
      <c r="E41" s="3" t="s">
        <v>50</v>
      </c>
    </row>
    <row r="42" spans="1:5" ht="16">
      <c r="A42" s="1" t="s">
        <v>186</v>
      </c>
      <c r="B42" s="2"/>
      <c r="C42" s="2" t="s">
        <v>187</v>
      </c>
      <c r="D42" s="2" t="s">
        <v>111</v>
      </c>
      <c r="E42" s="3" t="s">
        <v>50</v>
      </c>
    </row>
    <row r="43" spans="1:5" ht="16">
      <c r="A43" s="1" t="s">
        <v>188</v>
      </c>
      <c r="B43" s="2"/>
      <c r="C43" s="2" t="s">
        <v>189</v>
      </c>
      <c r="D43" s="2" t="s">
        <v>111</v>
      </c>
      <c r="E43" s="3" t="s">
        <v>50</v>
      </c>
    </row>
    <row r="44" spans="1:5" ht="16">
      <c r="A44" s="1" t="s">
        <v>190</v>
      </c>
      <c r="B44" s="2" t="s">
        <v>97</v>
      </c>
      <c r="C44" s="2" t="s">
        <v>191</v>
      </c>
      <c r="D44" s="2" t="s">
        <v>192</v>
      </c>
      <c r="E44" s="3" t="s">
        <v>35</v>
      </c>
    </row>
    <row r="45" spans="1:5" ht="16">
      <c r="A45" s="1" t="s">
        <v>193</v>
      </c>
      <c r="B45" s="2" t="s">
        <v>97</v>
      </c>
      <c r="C45" s="2" t="s">
        <v>194</v>
      </c>
      <c r="D45" s="2" t="s">
        <v>192</v>
      </c>
      <c r="E45" s="3" t="s">
        <v>35</v>
      </c>
    </row>
    <row r="46" spans="1:5" ht="16">
      <c r="A46" s="1" t="s">
        <v>195</v>
      </c>
      <c r="B46" s="2" t="s">
        <v>196</v>
      </c>
      <c r="C46" s="2" t="s">
        <v>197</v>
      </c>
      <c r="D46" s="2" t="s">
        <v>192</v>
      </c>
      <c r="E46" s="3" t="s">
        <v>35</v>
      </c>
    </row>
    <row r="47" spans="1:5" ht="16">
      <c r="A47" s="1" t="s">
        <v>198</v>
      </c>
      <c r="B47" s="2" t="s">
        <v>199</v>
      </c>
      <c r="C47" s="2" t="s">
        <v>200</v>
      </c>
      <c r="D47" s="2" t="s">
        <v>192</v>
      </c>
      <c r="E47" s="3" t="s">
        <v>35</v>
      </c>
    </row>
    <row r="48" spans="1:5" ht="16">
      <c r="A48" s="1" t="s">
        <v>201</v>
      </c>
      <c r="B48" s="2" t="s">
        <v>199</v>
      </c>
      <c r="C48" s="2" t="s">
        <v>202</v>
      </c>
      <c r="D48" s="2" t="s">
        <v>192</v>
      </c>
      <c r="E48" s="3" t="s">
        <v>35</v>
      </c>
    </row>
    <row r="49" spans="1:5" ht="16">
      <c r="A49" s="1" t="s">
        <v>203</v>
      </c>
      <c r="B49" s="2" t="s">
        <v>199</v>
      </c>
      <c r="C49" s="2" t="s">
        <v>204</v>
      </c>
      <c r="D49" s="2" t="s">
        <v>192</v>
      </c>
      <c r="E49" s="3" t="s">
        <v>35</v>
      </c>
    </row>
    <row r="50" spans="1:5" ht="16">
      <c r="A50" s="1" t="s">
        <v>205</v>
      </c>
      <c r="B50" s="2" t="s">
        <v>196</v>
      </c>
      <c r="C50" s="2" t="s">
        <v>206</v>
      </c>
      <c r="D50" s="2" t="s">
        <v>192</v>
      </c>
      <c r="E50" s="3" t="s">
        <v>35</v>
      </c>
    </row>
    <row r="51" spans="1:5" ht="16">
      <c r="A51" s="1" t="s">
        <v>207</v>
      </c>
      <c r="B51" s="2" t="s">
        <v>196</v>
      </c>
      <c r="C51" s="2" t="s">
        <v>208</v>
      </c>
      <c r="D51" s="2" t="s">
        <v>192</v>
      </c>
      <c r="E51" s="3" t="s">
        <v>35</v>
      </c>
    </row>
    <row r="52" spans="1:5" ht="16">
      <c r="A52" s="1" t="s">
        <v>209</v>
      </c>
      <c r="B52" s="2" t="s">
        <v>196</v>
      </c>
      <c r="C52" s="2" t="s">
        <v>210</v>
      </c>
      <c r="D52" s="2" t="s">
        <v>192</v>
      </c>
      <c r="E52" s="3" t="s">
        <v>35</v>
      </c>
    </row>
    <row r="53" spans="1:5" ht="16">
      <c r="A53" s="1" t="s">
        <v>211</v>
      </c>
      <c r="B53" s="2" t="s">
        <v>196</v>
      </c>
      <c r="C53" s="2" t="s">
        <v>212</v>
      </c>
      <c r="D53" s="2" t="s">
        <v>192</v>
      </c>
      <c r="E53" s="3" t="s">
        <v>35</v>
      </c>
    </row>
    <row r="54" spans="1:5" ht="16">
      <c r="A54" s="1" t="s">
        <v>213</v>
      </c>
      <c r="B54" s="2" t="s">
        <v>214</v>
      </c>
      <c r="C54" s="2" t="s">
        <v>215</v>
      </c>
      <c r="D54" s="2" t="s">
        <v>192</v>
      </c>
      <c r="E54" s="3" t="s">
        <v>35</v>
      </c>
    </row>
    <row r="55" spans="1:5" ht="16">
      <c r="A55" s="1" t="s">
        <v>216</v>
      </c>
      <c r="B55" s="2" t="s">
        <v>199</v>
      </c>
      <c r="C55" s="2" t="s">
        <v>217</v>
      </c>
      <c r="D55" s="2" t="s">
        <v>192</v>
      </c>
      <c r="E55" s="3" t="s">
        <v>35</v>
      </c>
    </row>
    <row r="56" spans="1:5" ht="16">
      <c r="A56" s="1" t="s">
        <v>218</v>
      </c>
      <c r="B56" s="2" t="s">
        <v>199</v>
      </c>
      <c r="C56" s="2" t="s">
        <v>219</v>
      </c>
      <c r="D56" s="2" t="s">
        <v>192</v>
      </c>
      <c r="E56" s="3" t="s">
        <v>35</v>
      </c>
    </row>
    <row r="57" spans="1:5" ht="16">
      <c r="A57" s="1" t="s">
        <v>220</v>
      </c>
      <c r="B57" s="2" t="s">
        <v>199</v>
      </c>
      <c r="C57" s="2" t="s">
        <v>221</v>
      </c>
      <c r="D57" s="2" t="s">
        <v>192</v>
      </c>
      <c r="E57" s="3" t="s">
        <v>35</v>
      </c>
    </row>
    <row r="58" spans="1:5" ht="16">
      <c r="A58" s="1" t="s">
        <v>222</v>
      </c>
      <c r="B58" s="2" t="s">
        <v>214</v>
      </c>
      <c r="C58" s="2" t="s">
        <v>223</v>
      </c>
      <c r="D58" s="2" t="s">
        <v>192</v>
      </c>
      <c r="E58" s="3" t="s">
        <v>35</v>
      </c>
    </row>
    <row r="59" spans="1:5" ht="16">
      <c r="A59" s="1" t="s">
        <v>224</v>
      </c>
      <c r="B59" s="2" t="s">
        <v>196</v>
      </c>
      <c r="C59" s="2" t="s">
        <v>225</v>
      </c>
      <c r="D59" s="2" t="s">
        <v>192</v>
      </c>
      <c r="E59" s="3" t="s">
        <v>35</v>
      </c>
    </row>
    <row r="60" spans="1:5" ht="16">
      <c r="A60" s="1" t="s">
        <v>226</v>
      </c>
      <c r="B60" s="2" t="s">
        <v>214</v>
      </c>
      <c r="C60" s="2" t="s">
        <v>227</v>
      </c>
      <c r="D60" s="2" t="s">
        <v>192</v>
      </c>
      <c r="E60" s="3" t="s">
        <v>35</v>
      </c>
    </row>
    <row r="61" spans="1:5" ht="16">
      <c r="A61" s="1" t="s">
        <v>228</v>
      </c>
      <c r="B61" s="2" t="s">
        <v>196</v>
      </c>
      <c r="C61" s="2" t="s">
        <v>229</v>
      </c>
      <c r="D61" s="2" t="s">
        <v>192</v>
      </c>
      <c r="E61" s="3" t="s">
        <v>35</v>
      </c>
    </row>
    <row r="62" spans="1:5" ht="16">
      <c r="A62" s="1" t="s">
        <v>230</v>
      </c>
      <c r="B62" s="2" t="s">
        <v>199</v>
      </c>
      <c r="C62" s="2" t="s">
        <v>231</v>
      </c>
      <c r="D62" s="2" t="s">
        <v>192</v>
      </c>
      <c r="E62" s="3" t="s">
        <v>35</v>
      </c>
    </row>
    <row r="63" spans="1:5" ht="16">
      <c r="A63" s="1" t="s">
        <v>232</v>
      </c>
      <c r="B63" s="2" t="s">
        <v>214</v>
      </c>
      <c r="C63" s="2" t="s">
        <v>233</v>
      </c>
      <c r="D63" s="2" t="s">
        <v>192</v>
      </c>
      <c r="E63" s="3" t="s">
        <v>35</v>
      </c>
    </row>
    <row r="64" spans="1:5" ht="16">
      <c r="A64" s="1" t="s">
        <v>234</v>
      </c>
      <c r="B64" s="2" t="s">
        <v>214</v>
      </c>
      <c r="C64" s="2" t="s">
        <v>235</v>
      </c>
      <c r="D64" s="2" t="s">
        <v>192</v>
      </c>
      <c r="E64" s="3" t="s">
        <v>35</v>
      </c>
    </row>
    <row r="65" spans="1:5" ht="16">
      <c r="A65" s="1" t="s">
        <v>236</v>
      </c>
      <c r="B65" s="2" t="s">
        <v>214</v>
      </c>
      <c r="C65" s="2" t="s">
        <v>237</v>
      </c>
      <c r="D65" s="2" t="s">
        <v>192</v>
      </c>
      <c r="E65" s="3" t="s">
        <v>35</v>
      </c>
    </row>
    <row r="66" spans="1:5" ht="16">
      <c r="A66" s="1" t="s">
        <v>238</v>
      </c>
      <c r="B66" s="2" t="s">
        <v>214</v>
      </c>
      <c r="C66" s="2" t="s">
        <v>239</v>
      </c>
      <c r="D66" s="2" t="s">
        <v>192</v>
      </c>
      <c r="E66" s="3" t="s">
        <v>35</v>
      </c>
    </row>
    <row r="67" spans="1:5" ht="16">
      <c r="A67" s="1" t="s">
        <v>240</v>
      </c>
      <c r="B67" s="2" t="s">
        <v>214</v>
      </c>
      <c r="C67" s="2" t="s">
        <v>241</v>
      </c>
      <c r="D67" s="2" t="s">
        <v>192</v>
      </c>
      <c r="E67" s="3" t="s">
        <v>35</v>
      </c>
    </row>
    <row r="68" spans="1:5" ht="16">
      <c r="A68" s="1" t="s">
        <v>242</v>
      </c>
      <c r="B68" s="2" t="s">
        <v>243</v>
      </c>
      <c r="C68" s="2" t="s">
        <v>244</v>
      </c>
      <c r="D68" s="2" t="s">
        <v>192</v>
      </c>
      <c r="E68" s="3" t="s">
        <v>35</v>
      </c>
    </row>
    <row r="69" spans="1:5" ht="16">
      <c r="A69" s="1" t="s">
        <v>245</v>
      </c>
      <c r="B69" s="2" t="s">
        <v>199</v>
      </c>
      <c r="C69" s="2" t="s">
        <v>246</v>
      </c>
      <c r="D69" s="2" t="s">
        <v>192</v>
      </c>
      <c r="E69" s="3" t="s">
        <v>35</v>
      </c>
    </row>
    <row r="70" spans="1:5" ht="16">
      <c r="A70" s="1" t="s">
        <v>247</v>
      </c>
      <c r="B70" s="2" t="s">
        <v>214</v>
      </c>
      <c r="C70" s="2" t="s">
        <v>248</v>
      </c>
      <c r="D70" s="2" t="s">
        <v>192</v>
      </c>
      <c r="E70" s="3" t="s">
        <v>35</v>
      </c>
    </row>
    <row r="71" spans="1:5" ht="16">
      <c r="A71" s="1" t="s">
        <v>249</v>
      </c>
      <c r="B71" s="2" t="s">
        <v>199</v>
      </c>
      <c r="C71" s="2" t="s">
        <v>250</v>
      </c>
      <c r="D71" s="2" t="s">
        <v>192</v>
      </c>
      <c r="E71" s="3" t="s">
        <v>35</v>
      </c>
    </row>
    <row r="72" spans="1:5" ht="16">
      <c r="A72" s="1" t="s">
        <v>251</v>
      </c>
      <c r="B72" s="2" t="s">
        <v>243</v>
      </c>
      <c r="C72" s="2" t="s">
        <v>252</v>
      </c>
      <c r="D72" s="2" t="s">
        <v>192</v>
      </c>
      <c r="E72" s="3" t="s">
        <v>35</v>
      </c>
    </row>
    <row r="73" spans="1:5" ht="16">
      <c r="A73" s="1" t="s">
        <v>253</v>
      </c>
      <c r="B73" s="2" t="s">
        <v>254</v>
      </c>
      <c r="C73" s="2" t="s">
        <v>255</v>
      </c>
      <c r="D73" s="2" t="s">
        <v>192</v>
      </c>
      <c r="E73" s="3" t="s">
        <v>35</v>
      </c>
    </row>
    <row r="74" spans="1:5" ht="16">
      <c r="A74" s="1" t="s">
        <v>256</v>
      </c>
      <c r="B74" s="2" t="s">
        <v>97</v>
      </c>
      <c r="C74" s="2" t="s">
        <v>257</v>
      </c>
      <c r="D74" s="2" t="s">
        <v>192</v>
      </c>
      <c r="E74" s="3" t="s">
        <v>35</v>
      </c>
    </row>
    <row r="75" spans="1:5" ht="16">
      <c r="A75" s="1" t="s">
        <v>258</v>
      </c>
      <c r="B75" s="2" t="s">
        <v>199</v>
      </c>
      <c r="C75" s="2" t="s">
        <v>259</v>
      </c>
      <c r="D75" s="2" t="s">
        <v>192</v>
      </c>
      <c r="E75" s="3" t="s">
        <v>35</v>
      </c>
    </row>
    <row r="76" spans="1:5" ht="16">
      <c r="A76" s="1" t="s">
        <v>260</v>
      </c>
      <c r="B76" s="2" t="s">
        <v>214</v>
      </c>
      <c r="C76" s="2" t="s">
        <v>261</v>
      </c>
      <c r="D76" s="2" t="s">
        <v>192</v>
      </c>
      <c r="E76" s="3" t="s">
        <v>35</v>
      </c>
    </row>
    <row r="77" spans="1:5" ht="16">
      <c r="A77" s="1" t="s">
        <v>262</v>
      </c>
      <c r="B77" s="2" t="s">
        <v>214</v>
      </c>
      <c r="C77" s="2" t="s">
        <v>263</v>
      </c>
      <c r="D77" s="2" t="s">
        <v>192</v>
      </c>
      <c r="E77" s="3" t="s">
        <v>35</v>
      </c>
    </row>
    <row r="78" spans="1:5" ht="16">
      <c r="A78" s="1" t="s">
        <v>264</v>
      </c>
      <c r="B78" s="2" t="s">
        <v>214</v>
      </c>
      <c r="C78" s="2" t="s">
        <v>265</v>
      </c>
      <c r="D78" s="2" t="s">
        <v>192</v>
      </c>
      <c r="E78" s="3" t="s">
        <v>35</v>
      </c>
    </row>
    <row r="79" spans="1:5" ht="16">
      <c r="A79" s="1" t="s">
        <v>266</v>
      </c>
      <c r="B79" s="2" t="s">
        <v>214</v>
      </c>
      <c r="C79" s="2" t="s">
        <v>267</v>
      </c>
      <c r="D79" s="2" t="s">
        <v>192</v>
      </c>
      <c r="E79" s="3" t="s">
        <v>35</v>
      </c>
    </row>
    <row r="80" spans="1:5" ht="16">
      <c r="A80" s="1" t="s">
        <v>268</v>
      </c>
      <c r="B80" s="2" t="s">
        <v>97</v>
      </c>
      <c r="C80" s="2" t="s">
        <v>269</v>
      </c>
      <c r="D80" s="2" t="s">
        <v>192</v>
      </c>
      <c r="E80" s="3" t="s">
        <v>35</v>
      </c>
    </row>
    <row r="81" spans="1:5" ht="16">
      <c r="A81" s="1" t="s">
        <v>270</v>
      </c>
      <c r="B81" s="2" t="s">
        <v>97</v>
      </c>
      <c r="C81" s="2" t="s">
        <v>271</v>
      </c>
      <c r="D81" s="2" t="s">
        <v>192</v>
      </c>
      <c r="E81" s="3" t="s">
        <v>35</v>
      </c>
    </row>
    <row r="82" spans="1:5" ht="16">
      <c r="A82" s="1" t="s">
        <v>272</v>
      </c>
      <c r="B82" s="2" t="s">
        <v>214</v>
      </c>
      <c r="C82" s="2" t="s">
        <v>273</v>
      </c>
      <c r="D82" s="2" t="s">
        <v>192</v>
      </c>
      <c r="E82" s="3" t="s">
        <v>35</v>
      </c>
    </row>
    <row r="83" spans="1:5" ht="16">
      <c r="A83" s="1" t="s">
        <v>274</v>
      </c>
      <c r="B83" s="2" t="s">
        <v>214</v>
      </c>
      <c r="C83" s="2" t="s">
        <v>275</v>
      </c>
      <c r="D83" s="2" t="s">
        <v>192</v>
      </c>
      <c r="E83" s="3" t="s">
        <v>35</v>
      </c>
    </row>
    <row r="84" spans="1:5" ht="16">
      <c r="A84" s="1" t="s">
        <v>276</v>
      </c>
      <c r="B84" s="2" t="s">
        <v>214</v>
      </c>
      <c r="C84" s="2" t="s">
        <v>277</v>
      </c>
      <c r="D84" s="2" t="s">
        <v>192</v>
      </c>
      <c r="E84" s="3" t="s">
        <v>35</v>
      </c>
    </row>
    <row r="85" spans="1:5" ht="16">
      <c r="A85" s="1" t="s">
        <v>278</v>
      </c>
      <c r="B85" s="2" t="s">
        <v>214</v>
      </c>
      <c r="C85" s="2" t="s">
        <v>279</v>
      </c>
      <c r="D85" s="2" t="s">
        <v>192</v>
      </c>
      <c r="E85" s="3" t="s">
        <v>35</v>
      </c>
    </row>
    <row r="86" spans="1:5" ht="16">
      <c r="A86" s="1" t="s">
        <v>280</v>
      </c>
      <c r="B86" s="2" t="s">
        <v>254</v>
      </c>
      <c r="C86" s="2" t="s">
        <v>281</v>
      </c>
      <c r="D86" s="2" t="s">
        <v>192</v>
      </c>
      <c r="E86" s="3" t="s">
        <v>35</v>
      </c>
    </row>
    <row r="87" spans="1:5" ht="16">
      <c r="A87" s="1" t="s">
        <v>282</v>
      </c>
      <c r="B87" s="2" t="s">
        <v>214</v>
      </c>
      <c r="C87" s="2" t="s">
        <v>283</v>
      </c>
      <c r="D87" s="2" t="s">
        <v>192</v>
      </c>
      <c r="E87" s="3" t="s">
        <v>35</v>
      </c>
    </row>
    <row r="88" spans="1:5" ht="16">
      <c r="A88" s="1" t="s">
        <v>284</v>
      </c>
      <c r="B88" s="2" t="s">
        <v>97</v>
      </c>
      <c r="C88" s="2" t="s">
        <v>285</v>
      </c>
      <c r="D88" s="2" t="s">
        <v>192</v>
      </c>
      <c r="E88" s="3" t="s">
        <v>35</v>
      </c>
    </row>
    <row r="89" spans="1:5" ht="16">
      <c r="A89" s="1" t="s">
        <v>286</v>
      </c>
      <c r="B89" s="2" t="s">
        <v>254</v>
      </c>
      <c r="C89" s="2" t="s">
        <v>287</v>
      </c>
      <c r="D89" s="2" t="s">
        <v>192</v>
      </c>
      <c r="E89" s="3" t="s">
        <v>35</v>
      </c>
    </row>
    <row r="90" spans="1:5" ht="16">
      <c r="A90" s="1" t="s">
        <v>288</v>
      </c>
      <c r="B90" s="2" t="s">
        <v>254</v>
      </c>
      <c r="C90" s="2" t="s">
        <v>289</v>
      </c>
      <c r="D90" s="2" t="s">
        <v>192</v>
      </c>
      <c r="E90" s="3" t="s">
        <v>35</v>
      </c>
    </row>
    <row r="91" spans="1:5" ht="16">
      <c r="A91" s="1" t="s">
        <v>290</v>
      </c>
      <c r="B91" s="2" t="s">
        <v>196</v>
      </c>
      <c r="C91" s="2" t="s">
        <v>291</v>
      </c>
      <c r="D91" s="2" t="s">
        <v>192</v>
      </c>
      <c r="E91" s="3" t="s">
        <v>35</v>
      </c>
    </row>
    <row r="92" spans="1:5" ht="16">
      <c r="A92" s="1" t="s">
        <v>292</v>
      </c>
      <c r="B92" s="2" t="s">
        <v>199</v>
      </c>
      <c r="C92" s="2" t="s">
        <v>293</v>
      </c>
      <c r="D92" s="2" t="s">
        <v>192</v>
      </c>
      <c r="E92" s="3" t="s">
        <v>35</v>
      </c>
    </row>
    <row r="93" spans="1:5" ht="16">
      <c r="A93" s="1" t="s">
        <v>294</v>
      </c>
      <c r="B93" s="2" t="s">
        <v>214</v>
      </c>
      <c r="C93" s="2" t="s">
        <v>295</v>
      </c>
      <c r="D93" s="2" t="s">
        <v>192</v>
      </c>
      <c r="E93" s="3" t="s">
        <v>35</v>
      </c>
    </row>
    <row r="94" spans="1:5" ht="16">
      <c r="A94" s="1" t="s">
        <v>296</v>
      </c>
      <c r="B94" s="2" t="s">
        <v>214</v>
      </c>
      <c r="C94" s="2" t="s">
        <v>297</v>
      </c>
      <c r="D94" s="2" t="s">
        <v>192</v>
      </c>
      <c r="E94" s="3" t="s">
        <v>35</v>
      </c>
    </row>
    <row r="95" spans="1:5" ht="16">
      <c r="A95" s="1" t="s">
        <v>298</v>
      </c>
      <c r="B95" s="2" t="s">
        <v>97</v>
      </c>
      <c r="C95" s="2" t="s">
        <v>299</v>
      </c>
      <c r="D95" s="2" t="s">
        <v>192</v>
      </c>
      <c r="E95" s="3" t="s">
        <v>35</v>
      </c>
    </row>
    <row r="96" spans="1:5" ht="16">
      <c r="A96" s="1" t="s">
        <v>300</v>
      </c>
      <c r="B96" s="2" t="s">
        <v>196</v>
      </c>
      <c r="C96" s="2" t="s">
        <v>301</v>
      </c>
      <c r="D96" s="2" t="s">
        <v>192</v>
      </c>
      <c r="E96" s="3" t="s">
        <v>35</v>
      </c>
    </row>
    <row r="97" spans="1:5" ht="16">
      <c r="A97" s="1" t="s">
        <v>302</v>
      </c>
      <c r="B97" s="2" t="s">
        <v>303</v>
      </c>
      <c r="C97" s="2" t="s">
        <v>304</v>
      </c>
      <c r="D97" s="2" t="s">
        <v>192</v>
      </c>
      <c r="E97" s="3" t="s">
        <v>35</v>
      </c>
    </row>
    <row r="98" spans="1:5" ht="16">
      <c r="A98" s="1" t="s">
        <v>305</v>
      </c>
      <c r="B98" s="2" t="s">
        <v>97</v>
      </c>
      <c r="C98" s="2" t="s">
        <v>306</v>
      </c>
      <c r="D98" s="2" t="s">
        <v>192</v>
      </c>
      <c r="E98" s="3" t="s">
        <v>35</v>
      </c>
    </row>
    <row r="99" spans="1:5" ht="16">
      <c r="A99" s="1" t="s">
        <v>307</v>
      </c>
      <c r="B99" s="2" t="s">
        <v>199</v>
      </c>
      <c r="C99" s="2" t="s">
        <v>308</v>
      </c>
      <c r="D99" s="2" t="s">
        <v>192</v>
      </c>
      <c r="E99" s="3" t="s">
        <v>35</v>
      </c>
    </row>
    <row r="100" spans="1:5" ht="16">
      <c r="A100" s="1" t="s">
        <v>309</v>
      </c>
      <c r="B100" s="2" t="s">
        <v>199</v>
      </c>
      <c r="C100" s="2" t="s">
        <v>310</v>
      </c>
      <c r="D100" s="2" t="s">
        <v>192</v>
      </c>
      <c r="E100" s="3" t="s">
        <v>35</v>
      </c>
    </row>
    <row r="101" spans="1:5" ht="16">
      <c r="A101" s="1" t="s">
        <v>311</v>
      </c>
      <c r="B101" s="2" t="s">
        <v>303</v>
      </c>
      <c r="C101" s="2" t="s">
        <v>312</v>
      </c>
      <c r="D101" s="2" t="s">
        <v>192</v>
      </c>
      <c r="E101" s="3" t="s">
        <v>35</v>
      </c>
    </row>
    <row r="102" spans="1:5" ht="16">
      <c r="A102" s="1" t="s">
        <v>313</v>
      </c>
      <c r="B102" s="2" t="s">
        <v>199</v>
      </c>
      <c r="C102" s="2" t="s">
        <v>314</v>
      </c>
      <c r="D102" s="2" t="s">
        <v>192</v>
      </c>
      <c r="E102" s="3" t="s">
        <v>35</v>
      </c>
    </row>
    <row r="103" spans="1:5" ht="16">
      <c r="A103" s="1" t="s">
        <v>315</v>
      </c>
      <c r="B103" s="2" t="s">
        <v>91</v>
      </c>
      <c r="C103" s="2" t="s">
        <v>316</v>
      </c>
      <c r="D103" s="2" t="s">
        <v>192</v>
      </c>
      <c r="E103" s="3" t="s">
        <v>35</v>
      </c>
    </row>
    <row r="104" spans="1:5" ht="16">
      <c r="A104" s="1" t="s">
        <v>317</v>
      </c>
      <c r="B104" s="2" t="s">
        <v>303</v>
      </c>
      <c r="C104" s="2" t="s">
        <v>318</v>
      </c>
      <c r="D104" s="2" t="s">
        <v>192</v>
      </c>
      <c r="E104" s="3" t="s">
        <v>35</v>
      </c>
    </row>
    <row r="105" spans="1:5" ht="16">
      <c r="A105" s="1" t="s">
        <v>319</v>
      </c>
      <c r="B105" s="2" t="s">
        <v>303</v>
      </c>
      <c r="C105" s="2" t="s">
        <v>320</v>
      </c>
      <c r="D105" s="2" t="s">
        <v>192</v>
      </c>
      <c r="E105" s="3" t="s">
        <v>35</v>
      </c>
    </row>
    <row r="106" spans="1:5" ht="16">
      <c r="A106" s="1" t="s">
        <v>321</v>
      </c>
      <c r="B106" s="2" t="s">
        <v>97</v>
      </c>
      <c r="C106" s="2" t="s">
        <v>322</v>
      </c>
      <c r="D106" s="2" t="s">
        <v>192</v>
      </c>
      <c r="E106" s="3" t="s">
        <v>35</v>
      </c>
    </row>
    <row r="107" spans="1:5" ht="16">
      <c r="A107" s="1" t="s">
        <v>323</v>
      </c>
      <c r="B107" s="2" t="s">
        <v>97</v>
      </c>
      <c r="C107" s="2" t="s">
        <v>324</v>
      </c>
      <c r="D107" s="2" t="s">
        <v>192</v>
      </c>
      <c r="E107" s="3" t="s">
        <v>35</v>
      </c>
    </row>
    <row r="108" spans="1:5" ht="16">
      <c r="A108" s="1" t="s">
        <v>325</v>
      </c>
      <c r="B108" s="2" t="s">
        <v>97</v>
      </c>
      <c r="C108" s="2" t="s">
        <v>326</v>
      </c>
      <c r="D108" s="2" t="s">
        <v>192</v>
      </c>
      <c r="E108" s="3" t="s">
        <v>35</v>
      </c>
    </row>
    <row r="109" spans="1:5" ht="16">
      <c r="A109" s="1" t="s">
        <v>327</v>
      </c>
      <c r="B109" s="2" t="s">
        <v>254</v>
      </c>
      <c r="C109" s="2" t="s">
        <v>328</v>
      </c>
      <c r="D109" s="2" t="s">
        <v>192</v>
      </c>
      <c r="E109" s="3" t="s">
        <v>35</v>
      </c>
    </row>
    <row r="110" spans="1:5" ht="16">
      <c r="A110" s="1" t="s">
        <v>329</v>
      </c>
      <c r="B110" s="2" t="s">
        <v>199</v>
      </c>
      <c r="C110" s="2" t="s">
        <v>330</v>
      </c>
      <c r="D110" s="2" t="s">
        <v>192</v>
      </c>
      <c r="E110" s="3" t="s">
        <v>35</v>
      </c>
    </row>
    <row r="111" spans="1:5" ht="16">
      <c r="A111" s="1" t="s">
        <v>331</v>
      </c>
      <c r="B111" s="2" t="s">
        <v>199</v>
      </c>
      <c r="C111" s="2" t="s">
        <v>332</v>
      </c>
      <c r="D111" s="2" t="s">
        <v>192</v>
      </c>
      <c r="E111" s="3" t="s">
        <v>35</v>
      </c>
    </row>
    <row r="112" spans="1:5" ht="16">
      <c r="A112" s="1" t="s">
        <v>333</v>
      </c>
      <c r="B112" s="2" t="s">
        <v>214</v>
      </c>
      <c r="C112" s="2" t="s">
        <v>334</v>
      </c>
      <c r="D112" s="2" t="s">
        <v>192</v>
      </c>
      <c r="E112" s="3" t="s">
        <v>35</v>
      </c>
    </row>
    <row r="113" spans="1:5" ht="16">
      <c r="A113" s="1" t="s">
        <v>335</v>
      </c>
      <c r="B113" s="2" t="s">
        <v>303</v>
      </c>
      <c r="C113" s="2" t="s">
        <v>336</v>
      </c>
      <c r="D113" s="2" t="s">
        <v>192</v>
      </c>
      <c r="E113" s="3" t="s">
        <v>35</v>
      </c>
    </row>
    <row r="114" spans="1:5" ht="16">
      <c r="A114" s="1" t="s">
        <v>337</v>
      </c>
      <c r="B114" s="2" t="s">
        <v>214</v>
      </c>
      <c r="C114" s="2" t="s">
        <v>338</v>
      </c>
      <c r="D114" s="2" t="s">
        <v>192</v>
      </c>
      <c r="E114" s="3" t="s">
        <v>35</v>
      </c>
    </row>
    <row r="115" spans="1:5" ht="16">
      <c r="A115" s="1" t="s">
        <v>339</v>
      </c>
      <c r="B115" s="2" t="s">
        <v>199</v>
      </c>
      <c r="C115" s="2" t="s">
        <v>340</v>
      </c>
      <c r="D115" s="2" t="s">
        <v>192</v>
      </c>
      <c r="E115" s="3" t="s">
        <v>35</v>
      </c>
    </row>
    <row r="116" spans="1:5" ht="16">
      <c r="A116" s="1" t="s">
        <v>341</v>
      </c>
      <c r="B116" s="2" t="s">
        <v>199</v>
      </c>
      <c r="C116" s="2" t="s">
        <v>342</v>
      </c>
      <c r="D116" s="2" t="s">
        <v>192</v>
      </c>
      <c r="E116" s="3" t="s">
        <v>35</v>
      </c>
    </row>
    <row r="117" spans="1:5" ht="16">
      <c r="A117" s="1" t="s">
        <v>343</v>
      </c>
      <c r="B117" s="2" t="s">
        <v>199</v>
      </c>
      <c r="C117" s="2" t="s">
        <v>344</v>
      </c>
      <c r="D117" s="2" t="s">
        <v>192</v>
      </c>
      <c r="E117" s="3" t="s">
        <v>35</v>
      </c>
    </row>
    <row r="118" spans="1:5" ht="16">
      <c r="A118" s="1" t="s">
        <v>345</v>
      </c>
      <c r="B118" s="2" t="s">
        <v>199</v>
      </c>
      <c r="C118" s="2" t="s">
        <v>346</v>
      </c>
      <c r="D118" s="2" t="s">
        <v>192</v>
      </c>
      <c r="E118" s="3" t="s">
        <v>35</v>
      </c>
    </row>
    <row r="119" spans="1:5" ht="16">
      <c r="A119" s="1" t="s">
        <v>347</v>
      </c>
      <c r="B119" s="2" t="s">
        <v>199</v>
      </c>
      <c r="C119" s="2" t="s">
        <v>348</v>
      </c>
      <c r="D119" s="2" t="s">
        <v>192</v>
      </c>
      <c r="E119" s="3" t="s">
        <v>35</v>
      </c>
    </row>
    <row r="120" spans="1:5" ht="16">
      <c r="A120" s="1" t="s">
        <v>349</v>
      </c>
      <c r="B120" s="2" t="s">
        <v>199</v>
      </c>
      <c r="C120" s="2" t="s">
        <v>350</v>
      </c>
      <c r="D120" s="2" t="s">
        <v>192</v>
      </c>
      <c r="E120" s="3" t="s">
        <v>35</v>
      </c>
    </row>
    <row r="121" spans="1:5" ht="16">
      <c r="A121" s="1" t="s">
        <v>351</v>
      </c>
      <c r="B121" s="2" t="s">
        <v>199</v>
      </c>
      <c r="C121" s="2" t="s">
        <v>352</v>
      </c>
      <c r="D121" s="2" t="s">
        <v>192</v>
      </c>
      <c r="E121" s="3" t="s">
        <v>35</v>
      </c>
    </row>
    <row r="122" spans="1:5" ht="16">
      <c r="A122" s="1" t="s">
        <v>353</v>
      </c>
      <c r="B122" s="2" t="s">
        <v>303</v>
      </c>
      <c r="C122" s="2" t="s">
        <v>354</v>
      </c>
      <c r="D122" s="2" t="s">
        <v>192</v>
      </c>
      <c r="E122" s="3" t="s">
        <v>35</v>
      </c>
    </row>
    <row r="123" spans="1:5" ht="16">
      <c r="A123" s="1" t="s">
        <v>355</v>
      </c>
      <c r="B123" s="2" t="s">
        <v>80</v>
      </c>
      <c r="C123" s="2" t="s">
        <v>356</v>
      </c>
      <c r="D123" s="2" t="s">
        <v>357</v>
      </c>
      <c r="E123" s="3" t="s">
        <v>45</v>
      </c>
    </row>
    <row r="124" spans="1:5" ht="16">
      <c r="A124" s="1" t="s">
        <v>358</v>
      </c>
      <c r="B124" s="2" t="s">
        <v>254</v>
      </c>
      <c r="C124" s="2" t="s">
        <v>359</v>
      </c>
      <c r="D124" s="2" t="s">
        <v>192</v>
      </c>
      <c r="E124" s="3" t="s">
        <v>35</v>
      </c>
    </row>
    <row r="125" spans="1:5" ht="16">
      <c r="A125" s="1" t="s">
        <v>360</v>
      </c>
      <c r="B125" s="2"/>
      <c r="C125" s="2" t="s">
        <v>361</v>
      </c>
      <c r="D125" s="2" t="s">
        <v>111</v>
      </c>
      <c r="E125" s="3" t="s">
        <v>50</v>
      </c>
    </row>
    <row r="126" spans="1:5" ht="16">
      <c r="A126" s="1" t="s">
        <v>362</v>
      </c>
      <c r="B126" s="2"/>
      <c r="C126" s="2" t="s">
        <v>363</v>
      </c>
      <c r="D126" s="2" t="s">
        <v>111</v>
      </c>
      <c r="E126" s="3" t="s">
        <v>50</v>
      </c>
    </row>
    <row r="127" spans="1:5" ht="16">
      <c r="A127" s="1" t="s">
        <v>364</v>
      </c>
      <c r="B127" s="2"/>
      <c r="C127" s="2" t="s">
        <v>365</v>
      </c>
      <c r="D127" s="2" t="s">
        <v>111</v>
      </c>
      <c r="E127" s="3" t="s">
        <v>50</v>
      </c>
    </row>
    <row r="128" spans="1:5" ht="16">
      <c r="A128" s="1" t="s">
        <v>366</v>
      </c>
      <c r="B128" s="2"/>
      <c r="C128" s="2" t="s">
        <v>367</v>
      </c>
      <c r="D128" s="2" t="s">
        <v>111</v>
      </c>
      <c r="E128" s="3" t="s">
        <v>50</v>
      </c>
    </row>
    <row r="129" spans="1:5" ht="16">
      <c r="A129" s="1" t="s">
        <v>368</v>
      </c>
      <c r="B129" s="2"/>
      <c r="C129" s="2" t="s">
        <v>369</v>
      </c>
      <c r="D129" s="2" t="s">
        <v>111</v>
      </c>
      <c r="E129" s="3" t="s">
        <v>50</v>
      </c>
    </row>
    <row r="130" spans="1:5" ht="16">
      <c r="A130" s="1" t="s">
        <v>370</v>
      </c>
      <c r="B130" s="2"/>
      <c r="C130" s="2" t="s">
        <v>371</v>
      </c>
      <c r="D130" s="2" t="s">
        <v>111</v>
      </c>
      <c r="E130" s="3" t="s">
        <v>50</v>
      </c>
    </row>
    <row r="131" spans="1:5" ht="16">
      <c r="A131" s="1" t="s">
        <v>372</v>
      </c>
      <c r="B131" s="2"/>
      <c r="C131" s="2" t="s">
        <v>373</v>
      </c>
      <c r="D131" s="2" t="s">
        <v>111</v>
      </c>
      <c r="E131" s="3" t="s">
        <v>50</v>
      </c>
    </row>
    <row r="132" spans="1:5" ht="16">
      <c r="A132" s="1" t="s">
        <v>374</v>
      </c>
      <c r="B132" s="2"/>
      <c r="C132" s="2" t="s">
        <v>375</v>
      </c>
      <c r="D132" s="2" t="s">
        <v>111</v>
      </c>
      <c r="E132" s="3" t="s">
        <v>50</v>
      </c>
    </row>
    <row r="133" spans="1:5" ht="16">
      <c r="A133" s="1" t="s">
        <v>376</v>
      </c>
      <c r="B133" s="2"/>
      <c r="C133" s="2" t="s">
        <v>377</v>
      </c>
      <c r="D133" s="2" t="s">
        <v>111</v>
      </c>
      <c r="E133" s="3" t="s">
        <v>50</v>
      </c>
    </row>
    <row r="134" spans="1:5" ht="16">
      <c r="A134" s="1" t="s">
        <v>378</v>
      </c>
      <c r="B134" s="2"/>
      <c r="C134" s="2" t="s">
        <v>379</v>
      </c>
      <c r="D134" s="2" t="s">
        <v>111</v>
      </c>
      <c r="E134" s="3" t="s">
        <v>50</v>
      </c>
    </row>
    <row r="135" spans="1:5" ht="16">
      <c r="A135" s="1" t="s">
        <v>380</v>
      </c>
      <c r="B135" s="2"/>
      <c r="C135" s="2" t="s">
        <v>381</v>
      </c>
      <c r="D135" s="2" t="s">
        <v>111</v>
      </c>
      <c r="E135" s="3" t="s">
        <v>50</v>
      </c>
    </row>
    <row r="136" spans="1:5" ht="16">
      <c r="A136" s="1" t="s">
        <v>382</v>
      </c>
      <c r="B136" s="2"/>
      <c r="C136" s="2" t="s">
        <v>383</v>
      </c>
      <c r="D136" s="2" t="s">
        <v>111</v>
      </c>
      <c r="E136" s="3" t="s">
        <v>50</v>
      </c>
    </row>
    <row r="137" spans="1:5" ht="16">
      <c r="A137" s="1" t="s">
        <v>384</v>
      </c>
      <c r="B137" s="2"/>
      <c r="C137" s="2" t="s">
        <v>385</v>
      </c>
      <c r="D137" s="2" t="s">
        <v>111</v>
      </c>
      <c r="E137" s="3" t="s">
        <v>50</v>
      </c>
    </row>
    <row r="138" spans="1:5" ht="16">
      <c r="A138" s="1" t="s">
        <v>386</v>
      </c>
      <c r="B138" s="2"/>
      <c r="C138" s="2" t="s">
        <v>387</v>
      </c>
      <c r="D138" s="2" t="s">
        <v>111</v>
      </c>
      <c r="E138" s="3" t="s">
        <v>50</v>
      </c>
    </row>
    <row r="139" spans="1:5" ht="16">
      <c r="A139" s="1" t="s">
        <v>388</v>
      </c>
      <c r="B139" s="2" t="s">
        <v>69</v>
      </c>
      <c r="C139" s="2" t="s">
        <v>389</v>
      </c>
      <c r="D139" s="2" t="s">
        <v>111</v>
      </c>
      <c r="E139" s="3" t="s">
        <v>50</v>
      </c>
    </row>
    <row r="140" spans="1:5" ht="16">
      <c r="A140" s="1" t="s">
        <v>390</v>
      </c>
      <c r="B140" s="2" t="s">
        <v>69</v>
      </c>
      <c r="C140" s="2" t="s">
        <v>391</v>
      </c>
      <c r="D140" s="2" t="s">
        <v>111</v>
      </c>
      <c r="E140" s="3" t="s">
        <v>50</v>
      </c>
    </row>
    <row r="141" spans="1:5" ht="16">
      <c r="A141" s="1" t="s">
        <v>392</v>
      </c>
      <c r="B141" s="2" t="s">
        <v>69</v>
      </c>
      <c r="C141" s="2" t="s">
        <v>393</v>
      </c>
      <c r="D141" s="2" t="s">
        <v>111</v>
      </c>
      <c r="E141" s="3" t="s">
        <v>50</v>
      </c>
    </row>
    <row r="142" spans="1:5" ht="16">
      <c r="A142" s="1" t="s">
        <v>394</v>
      </c>
      <c r="B142" s="2" t="s">
        <v>63</v>
      </c>
      <c r="C142" s="2" t="s">
        <v>395</v>
      </c>
      <c r="D142" s="2" t="s">
        <v>111</v>
      </c>
      <c r="E142" s="3" t="s">
        <v>50</v>
      </c>
    </row>
    <row r="143" spans="1:5" ht="16">
      <c r="A143" s="1" t="s">
        <v>396</v>
      </c>
      <c r="B143" s="2" t="s">
        <v>63</v>
      </c>
      <c r="C143" s="2" t="s">
        <v>397</v>
      </c>
      <c r="D143" s="2" t="s">
        <v>111</v>
      </c>
      <c r="E143" s="3" t="s">
        <v>50</v>
      </c>
    </row>
    <row r="144" spans="1:5" ht="16">
      <c r="A144" s="1" t="s">
        <v>398</v>
      </c>
      <c r="B144" s="2"/>
      <c r="C144" s="2" t="s">
        <v>399</v>
      </c>
      <c r="D144" s="2" t="s">
        <v>111</v>
      </c>
      <c r="E144" s="3" t="s">
        <v>50</v>
      </c>
    </row>
    <row r="145" spans="1:5" ht="16">
      <c r="A145" s="1" t="s">
        <v>400</v>
      </c>
      <c r="B145" s="2"/>
      <c r="C145" s="2" t="s">
        <v>401</v>
      </c>
      <c r="D145" s="2" t="s">
        <v>111</v>
      </c>
      <c r="E145" s="3" t="s">
        <v>50</v>
      </c>
    </row>
    <row r="146" spans="1:5" ht="16">
      <c r="A146" s="1" t="s">
        <v>402</v>
      </c>
      <c r="B146" s="2"/>
      <c r="C146" s="2" t="s">
        <v>403</v>
      </c>
      <c r="D146" s="2" t="s">
        <v>111</v>
      </c>
      <c r="E146" s="3" t="s">
        <v>50</v>
      </c>
    </row>
    <row r="147" spans="1:5" ht="16">
      <c r="A147" s="1" t="s">
        <v>404</v>
      </c>
      <c r="B147" s="2" t="s">
        <v>69</v>
      </c>
      <c r="C147" s="2" t="s">
        <v>405</v>
      </c>
      <c r="D147" s="2" t="s">
        <v>111</v>
      </c>
      <c r="E147" s="3" t="s">
        <v>50</v>
      </c>
    </row>
    <row r="148" spans="1:5" ht="16">
      <c r="A148" s="1" t="s">
        <v>406</v>
      </c>
      <c r="B148" s="2" t="s">
        <v>74</v>
      </c>
      <c r="C148" s="2" t="s">
        <v>407</v>
      </c>
      <c r="D148" s="2" t="s">
        <v>111</v>
      </c>
      <c r="E148" s="3" t="s">
        <v>50</v>
      </c>
    </row>
    <row r="149" spans="1:5" ht="16">
      <c r="A149" s="1" t="s">
        <v>408</v>
      </c>
      <c r="B149" s="2" t="s">
        <v>74</v>
      </c>
      <c r="C149" s="2" t="s">
        <v>409</v>
      </c>
      <c r="D149" s="2" t="s">
        <v>111</v>
      </c>
      <c r="E149" s="3" t="s">
        <v>50</v>
      </c>
    </row>
    <row r="150" spans="1:5" ht="16">
      <c r="A150" s="1" t="s">
        <v>410</v>
      </c>
      <c r="B150" s="2"/>
      <c r="C150" s="2" t="s">
        <v>411</v>
      </c>
      <c r="D150" s="2" t="s">
        <v>111</v>
      </c>
      <c r="E150" s="3" t="s">
        <v>50</v>
      </c>
    </row>
    <row r="151" spans="1:5" ht="16">
      <c r="A151" s="1" t="s">
        <v>412</v>
      </c>
      <c r="B151" s="2"/>
      <c r="C151" s="2" t="s">
        <v>413</v>
      </c>
      <c r="D151" s="2" t="s">
        <v>111</v>
      </c>
      <c r="E151" s="3" t="s">
        <v>50</v>
      </c>
    </row>
    <row r="152" spans="1:5" ht="16">
      <c r="A152" s="1" t="s">
        <v>414</v>
      </c>
      <c r="B152" s="2" t="s">
        <v>69</v>
      </c>
      <c r="C152" s="2" t="s">
        <v>415</v>
      </c>
      <c r="D152" s="2" t="s">
        <v>111</v>
      </c>
      <c r="E152" s="3" t="s">
        <v>50</v>
      </c>
    </row>
    <row r="153" spans="1:5" ht="16">
      <c r="A153" s="1" t="s">
        <v>416</v>
      </c>
      <c r="B153" s="2" t="s">
        <v>69</v>
      </c>
      <c r="C153" s="2" t="s">
        <v>417</v>
      </c>
      <c r="D153" s="2" t="s">
        <v>111</v>
      </c>
      <c r="E153" s="3" t="s">
        <v>50</v>
      </c>
    </row>
    <row r="154" spans="1:5" ht="16">
      <c r="A154" s="1" t="s">
        <v>418</v>
      </c>
      <c r="B154" s="2" t="s">
        <v>69</v>
      </c>
      <c r="C154" s="2" t="s">
        <v>419</v>
      </c>
      <c r="D154" s="2" t="s">
        <v>111</v>
      </c>
      <c r="E154" s="3" t="s">
        <v>50</v>
      </c>
    </row>
    <row r="155" spans="1:5" ht="16">
      <c r="A155" s="1" t="s">
        <v>420</v>
      </c>
      <c r="B155" s="2" t="s">
        <v>74</v>
      </c>
      <c r="C155" s="2" t="s">
        <v>421</v>
      </c>
      <c r="D155" s="2" t="s">
        <v>111</v>
      </c>
      <c r="E155" s="3" t="s">
        <v>50</v>
      </c>
    </row>
    <row r="156" spans="1:5" ht="16">
      <c r="A156" s="1" t="s">
        <v>422</v>
      </c>
      <c r="B156" s="2"/>
      <c r="C156" s="2" t="s">
        <v>423</v>
      </c>
      <c r="D156" s="2" t="s">
        <v>111</v>
      </c>
      <c r="E156" s="3" t="s">
        <v>50</v>
      </c>
    </row>
    <row r="157" spans="1:5" ht="16">
      <c r="A157" s="1" t="s">
        <v>424</v>
      </c>
      <c r="B157" s="2" t="s">
        <v>74</v>
      </c>
      <c r="C157" s="2" t="s">
        <v>425</v>
      </c>
      <c r="D157" s="2" t="s">
        <v>111</v>
      </c>
      <c r="E157" s="3" t="s">
        <v>50</v>
      </c>
    </row>
    <row r="158" spans="1:5" ht="16">
      <c r="A158" s="1" t="s">
        <v>426</v>
      </c>
      <c r="B158" s="2" t="s">
        <v>74</v>
      </c>
      <c r="C158" s="2" t="s">
        <v>427</v>
      </c>
      <c r="D158" s="2" t="s">
        <v>111</v>
      </c>
      <c r="E158" s="3" t="s">
        <v>50</v>
      </c>
    </row>
    <row r="159" spans="1:5" ht="16">
      <c r="A159" s="1" t="s">
        <v>428</v>
      </c>
      <c r="B159" s="2" t="s">
        <v>74</v>
      </c>
      <c r="C159" s="2" t="s">
        <v>429</v>
      </c>
      <c r="D159" s="2" t="s">
        <v>111</v>
      </c>
      <c r="E159" s="3" t="s">
        <v>50</v>
      </c>
    </row>
    <row r="160" spans="1:5" ht="16">
      <c r="A160" s="1" t="s">
        <v>430</v>
      </c>
      <c r="B160" s="2"/>
      <c r="C160" s="2" t="s">
        <v>431</v>
      </c>
      <c r="D160" s="2" t="s">
        <v>111</v>
      </c>
      <c r="E160" s="3" t="s">
        <v>50</v>
      </c>
    </row>
    <row r="161" spans="1:5" ht="16">
      <c r="A161" s="1" t="s">
        <v>432</v>
      </c>
      <c r="B161" s="2"/>
      <c r="C161" s="2" t="s">
        <v>433</v>
      </c>
      <c r="D161" s="2" t="s">
        <v>111</v>
      </c>
      <c r="E161" s="3" t="s">
        <v>50</v>
      </c>
    </row>
    <row r="162" spans="1:5" ht="16">
      <c r="A162" s="1" t="s">
        <v>434</v>
      </c>
      <c r="B162" s="2"/>
      <c r="C162" s="2" t="s">
        <v>435</v>
      </c>
      <c r="D162" s="2" t="s">
        <v>111</v>
      </c>
      <c r="E162" s="3" t="s">
        <v>50</v>
      </c>
    </row>
    <row r="163" spans="1:5" ht="16">
      <c r="A163" s="1" t="s">
        <v>436</v>
      </c>
      <c r="B163" s="2"/>
      <c r="C163" s="2" t="s">
        <v>437</v>
      </c>
      <c r="D163" s="2" t="s">
        <v>111</v>
      </c>
      <c r="E163" s="3" t="s">
        <v>50</v>
      </c>
    </row>
    <row r="164" spans="1:5" ht="16">
      <c r="A164" s="1" t="s">
        <v>438</v>
      </c>
      <c r="B164" s="2" t="s">
        <v>69</v>
      </c>
      <c r="C164" s="2" t="s">
        <v>439</v>
      </c>
      <c r="D164" s="2" t="s">
        <v>440</v>
      </c>
      <c r="E164" s="3" t="s">
        <v>45</v>
      </c>
    </row>
    <row r="165" spans="1:5" ht="16">
      <c r="A165" s="1" t="s">
        <v>441</v>
      </c>
      <c r="B165" s="2" t="s">
        <v>80</v>
      </c>
      <c r="C165" s="2" t="s">
        <v>442</v>
      </c>
      <c r="D165" s="2" t="s">
        <v>440</v>
      </c>
      <c r="E165" s="3" t="s">
        <v>45</v>
      </c>
    </row>
    <row r="166" spans="1:5" ht="16">
      <c r="A166" s="1" t="s">
        <v>443</v>
      </c>
      <c r="B166" s="2" t="s">
        <v>80</v>
      </c>
      <c r="C166" s="2" t="s">
        <v>444</v>
      </c>
      <c r="D166" s="2" t="s">
        <v>440</v>
      </c>
      <c r="E166" s="3" t="s">
        <v>45</v>
      </c>
    </row>
    <row r="167" spans="1:5" ht="16">
      <c r="A167" s="1" t="s">
        <v>445</v>
      </c>
      <c r="B167" s="2" t="s">
        <v>69</v>
      </c>
      <c r="C167" s="2" t="s">
        <v>446</v>
      </c>
      <c r="D167" s="2" t="s">
        <v>440</v>
      </c>
      <c r="E167" s="3" t="s">
        <v>45</v>
      </c>
    </row>
    <row r="168" spans="1:5" ht="16">
      <c r="A168" s="1" t="s">
        <v>447</v>
      </c>
      <c r="B168" s="2" t="s">
        <v>80</v>
      </c>
      <c r="C168" s="2" t="s">
        <v>448</v>
      </c>
      <c r="D168" s="2" t="s">
        <v>440</v>
      </c>
      <c r="E168" s="3" t="s">
        <v>45</v>
      </c>
    </row>
    <row r="169" spans="1:5" ht="16">
      <c r="A169" s="1" t="s">
        <v>449</v>
      </c>
      <c r="B169" s="2" t="s">
        <v>74</v>
      </c>
      <c r="C169" s="2" t="s">
        <v>450</v>
      </c>
      <c r="D169" s="2" t="s">
        <v>440</v>
      </c>
      <c r="E169" s="3" t="s">
        <v>45</v>
      </c>
    </row>
    <row r="170" spans="1:5" ht="16">
      <c r="A170" s="1" t="s">
        <v>451</v>
      </c>
      <c r="B170" s="2" t="s">
        <v>91</v>
      </c>
      <c r="C170" s="2" t="s">
        <v>452</v>
      </c>
      <c r="D170" s="2" t="s">
        <v>192</v>
      </c>
      <c r="E170" s="3" t="s">
        <v>35</v>
      </c>
    </row>
    <row r="171" spans="1:5" ht="16">
      <c r="A171" s="1" t="s">
        <v>453</v>
      </c>
      <c r="B171" s="2" t="s">
        <v>91</v>
      </c>
      <c r="C171" s="2" t="s">
        <v>454</v>
      </c>
      <c r="D171" s="2" t="s">
        <v>192</v>
      </c>
      <c r="E171" s="3" t="s">
        <v>35</v>
      </c>
    </row>
    <row r="172" spans="1:5" ht="16">
      <c r="A172" s="1" t="s">
        <v>455</v>
      </c>
      <c r="B172" s="2" t="s">
        <v>91</v>
      </c>
      <c r="C172" s="2" t="s">
        <v>456</v>
      </c>
      <c r="D172" s="2" t="s">
        <v>192</v>
      </c>
      <c r="E172" s="3" t="s">
        <v>35</v>
      </c>
    </row>
    <row r="173" spans="1:5" ht="16">
      <c r="A173" s="1" t="s">
        <v>457</v>
      </c>
      <c r="B173" s="2" t="s">
        <v>69</v>
      </c>
      <c r="C173" s="2" t="s">
        <v>458</v>
      </c>
      <c r="D173" s="2" t="s">
        <v>440</v>
      </c>
      <c r="E173" s="3" t="s">
        <v>45</v>
      </c>
    </row>
    <row r="174" spans="1:5" ht="16">
      <c r="A174" s="1" t="s">
        <v>459</v>
      </c>
      <c r="B174" s="2" t="s">
        <v>74</v>
      </c>
      <c r="C174" s="2" t="s">
        <v>460</v>
      </c>
      <c r="D174" s="2" t="s">
        <v>440</v>
      </c>
      <c r="E174" s="3" t="s">
        <v>45</v>
      </c>
    </row>
    <row r="175" spans="1:5" ht="16">
      <c r="A175" s="1" t="s">
        <v>461</v>
      </c>
      <c r="B175" s="2" t="s">
        <v>74</v>
      </c>
      <c r="C175" s="2" t="s">
        <v>462</v>
      </c>
      <c r="D175" s="2" t="s">
        <v>440</v>
      </c>
      <c r="E175" s="3" t="s">
        <v>45</v>
      </c>
    </row>
    <row r="176" spans="1:5" ht="16">
      <c r="A176" s="1" t="s">
        <v>463</v>
      </c>
      <c r="B176" s="2" t="s">
        <v>85</v>
      </c>
      <c r="C176" s="2" t="s">
        <v>464</v>
      </c>
      <c r="D176" s="2" t="s">
        <v>192</v>
      </c>
      <c r="E176" s="3" t="s">
        <v>35</v>
      </c>
    </row>
    <row r="177" spans="1:5" ht="16">
      <c r="A177" s="1" t="s">
        <v>465</v>
      </c>
      <c r="B177" s="2" t="s">
        <v>74</v>
      </c>
      <c r="C177" s="2" t="s">
        <v>466</v>
      </c>
      <c r="D177" s="2" t="s">
        <v>440</v>
      </c>
      <c r="E177" s="3" t="s">
        <v>45</v>
      </c>
    </row>
    <row r="178" spans="1:5" ht="16">
      <c r="A178" s="1" t="s">
        <v>467</v>
      </c>
      <c r="B178" s="2" t="s">
        <v>74</v>
      </c>
      <c r="C178" s="2" t="s">
        <v>468</v>
      </c>
      <c r="D178" s="2" t="s">
        <v>440</v>
      </c>
      <c r="E178" s="3" t="s">
        <v>45</v>
      </c>
    </row>
    <row r="179" spans="1:5" ht="16">
      <c r="A179" s="1" t="s">
        <v>469</v>
      </c>
      <c r="B179" s="2" t="s">
        <v>74</v>
      </c>
      <c r="C179" s="2" t="s">
        <v>470</v>
      </c>
      <c r="D179" s="2" t="s">
        <v>440</v>
      </c>
      <c r="E179" s="3" t="s">
        <v>45</v>
      </c>
    </row>
    <row r="180" spans="1:5" ht="16">
      <c r="A180" s="1" t="s">
        <v>471</v>
      </c>
      <c r="B180" s="2" t="s">
        <v>85</v>
      </c>
      <c r="C180" s="2" t="s">
        <v>472</v>
      </c>
      <c r="D180" s="2" t="s">
        <v>192</v>
      </c>
      <c r="E180" s="3" t="s">
        <v>35</v>
      </c>
    </row>
    <row r="181" spans="1:5" ht="16">
      <c r="A181" s="1" t="s">
        <v>473</v>
      </c>
      <c r="B181" s="2" t="s">
        <v>80</v>
      </c>
      <c r="C181" s="2" t="s">
        <v>474</v>
      </c>
      <c r="D181" s="2" t="s">
        <v>440</v>
      </c>
      <c r="E181" s="3" t="s">
        <v>45</v>
      </c>
    </row>
    <row r="182" spans="1:5" ht="16">
      <c r="A182" s="1" t="s">
        <v>475</v>
      </c>
      <c r="B182" s="2" t="s">
        <v>80</v>
      </c>
      <c r="C182" s="2" t="s">
        <v>476</v>
      </c>
      <c r="D182" s="2" t="s">
        <v>440</v>
      </c>
      <c r="E182" s="3" t="s">
        <v>45</v>
      </c>
    </row>
    <row r="183" spans="1:5" ht="16">
      <c r="A183" s="1" t="s">
        <v>477</v>
      </c>
      <c r="B183" s="2" t="s">
        <v>80</v>
      </c>
      <c r="C183" s="2" t="s">
        <v>478</v>
      </c>
      <c r="D183" s="2" t="s">
        <v>440</v>
      </c>
      <c r="E183" s="3" t="s">
        <v>45</v>
      </c>
    </row>
    <row r="184" spans="1:5" ht="16">
      <c r="A184" s="1" t="s">
        <v>479</v>
      </c>
      <c r="B184" s="2" t="s">
        <v>85</v>
      </c>
      <c r="C184" s="2" t="s">
        <v>480</v>
      </c>
      <c r="D184" s="2" t="s">
        <v>192</v>
      </c>
      <c r="E184" s="3" t="s">
        <v>35</v>
      </c>
    </row>
    <row r="185" spans="1:5" ht="16">
      <c r="A185" s="1" t="s">
        <v>481</v>
      </c>
      <c r="B185" s="2" t="s">
        <v>69</v>
      </c>
      <c r="C185" s="2" t="s">
        <v>482</v>
      </c>
      <c r="D185" s="2" t="s">
        <v>440</v>
      </c>
      <c r="E185" s="3" t="s">
        <v>45</v>
      </c>
    </row>
    <row r="186" spans="1:5" ht="16">
      <c r="A186" s="1" t="s">
        <v>483</v>
      </c>
      <c r="B186" s="2" t="s">
        <v>85</v>
      </c>
      <c r="C186" s="2" t="s">
        <v>484</v>
      </c>
      <c r="D186" s="2" t="s">
        <v>192</v>
      </c>
      <c r="E186" s="3" t="s">
        <v>35</v>
      </c>
    </row>
    <row r="187" spans="1:5" ht="16">
      <c r="A187" s="1" t="s">
        <v>485</v>
      </c>
      <c r="B187" s="2" t="s">
        <v>74</v>
      </c>
      <c r="C187" s="2" t="s">
        <v>486</v>
      </c>
      <c r="D187" s="2" t="s">
        <v>440</v>
      </c>
      <c r="E187" s="3" t="s">
        <v>45</v>
      </c>
    </row>
    <row r="188" spans="1:5" ht="16">
      <c r="A188" s="1" t="s">
        <v>487</v>
      </c>
      <c r="B188" s="2" t="s">
        <v>80</v>
      </c>
      <c r="C188" s="2" t="s">
        <v>488</v>
      </c>
      <c r="D188" s="2" t="s">
        <v>440</v>
      </c>
      <c r="E188" s="3" t="s">
        <v>45</v>
      </c>
    </row>
    <row r="189" spans="1:5" ht="16">
      <c r="A189" s="1" t="s">
        <v>489</v>
      </c>
      <c r="B189" s="2" t="s">
        <v>80</v>
      </c>
      <c r="C189" s="2" t="s">
        <v>490</v>
      </c>
      <c r="D189" s="2" t="s">
        <v>440</v>
      </c>
      <c r="E189" s="3" t="s">
        <v>45</v>
      </c>
    </row>
    <row r="190" spans="1:5" ht="16">
      <c r="A190" s="1" t="s">
        <v>491</v>
      </c>
      <c r="B190" s="2" t="s">
        <v>85</v>
      </c>
      <c r="C190" s="2" t="s">
        <v>492</v>
      </c>
      <c r="D190" s="2" t="s">
        <v>192</v>
      </c>
      <c r="E190" s="3" t="s">
        <v>35</v>
      </c>
    </row>
    <row r="191" spans="1:5" ht="16">
      <c r="A191" s="1" t="s">
        <v>493</v>
      </c>
      <c r="B191" s="2" t="s">
        <v>80</v>
      </c>
      <c r="C191" s="2" t="s">
        <v>494</v>
      </c>
      <c r="D191" s="2" t="s">
        <v>440</v>
      </c>
      <c r="E191" s="3" t="s">
        <v>45</v>
      </c>
    </row>
    <row r="192" spans="1:5" ht="16">
      <c r="A192" s="1" t="s">
        <v>495</v>
      </c>
      <c r="B192" s="2" t="s">
        <v>80</v>
      </c>
      <c r="C192" s="2" t="s">
        <v>496</v>
      </c>
      <c r="D192" s="2" t="s">
        <v>440</v>
      </c>
      <c r="E192" s="3" t="s">
        <v>45</v>
      </c>
    </row>
    <row r="193" spans="1:5" ht="16">
      <c r="A193" s="1" t="s">
        <v>497</v>
      </c>
      <c r="B193" s="2" t="s">
        <v>97</v>
      </c>
      <c r="C193" s="2" t="s">
        <v>498</v>
      </c>
      <c r="D193" s="2" t="s">
        <v>192</v>
      </c>
      <c r="E193" s="3" t="s">
        <v>35</v>
      </c>
    </row>
    <row r="194" spans="1:5" ht="16">
      <c r="A194" s="1" t="s">
        <v>499</v>
      </c>
      <c r="B194" s="2" t="s">
        <v>303</v>
      </c>
      <c r="C194" s="2" t="s">
        <v>500</v>
      </c>
      <c r="D194" s="2" t="s">
        <v>192</v>
      </c>
      <c r="E194" s="3" t="s">
        <v>35</v>
      </c>
    </row>
    <row r="195" spans="1:5" ht="16">
      <c r="A195" s="1" t="s">
        <v>501</v>
      </c>
      <c r="B195" s="2" t="s">
        <v>254</v>
      </c>
      <c r="C195" s="2" t="s">
        <v>502</v>
      </c>
      <c r="D195" s="2" t="s">
        <v>192</v>
      </c>
      <c r="E195" s="3" t="s">
        <v>35</v>
      </c>
    </row>
    <row r="196" spans="1:5" ht="16">
      <c r="A196" s="1" t="s">
        <v>503</v>
      </c>
      <c r="B196" s="2" t="s">
        <v>91</v>
      </c>
      <c r="C196" s="2" t="s">
        <v>504</v>
      </c>
      <c r="D196" s="2" t="s">
        <v>192</v>
      </c>
      <c r="E196" s="3" t="s">
        <v>35</v>
      </c>
    </row>
    <row r="197" spans="1:5" ht="16">
      <c r="A197" s="1" t="s">
        <v>505</v>
      </c>
      <c r="B197" s="2" t="s">
        <v>85</v>
      </c>
      <c r="C197" s="2" t="s">
        <v>506</v>
      </c>
      <c r="D197" s="2" t="s">
        <v>192</v>
      </c>
      <c r="E197" s="3" t="s">
        <v>35</v>
      </c>
    </row>
    <row r="198" spans="1:5" ht="16">
      <c r="A198" s="1" t="s">
        <v>507</v>
      </c>
      <c r="B198" s="2" t="s">
        <v>85</v>
      </c>
      <c r="C198" s="2" t="s">
        <v>508</v>
      </c>
      <c r="D198" s="2" t="s">
        <v>192</v>
      </c>
      <c r="E198" s="3" t="s">
        <v>35</v>
      </c>
    </row>
    <row r="199" spans="1:5" ht="16">
      <c r="A199" s="1" t="s">
        <v>509</v>
      </c>
      <c r="B199" s="2" t="s">
        <v>97</v>
      </c>
      <c r="C199" s="2" t="s">
        <v>510</v>
      </c>
      <c r="D199" s="2" t="s">
        <v>192</v>
      </c>
      <c r="E199" s="3" t="s">
        <v>35</v>
      </c>
    </row>
    <row r="200" spans="1:5" ht="16">
      <c r="A200" s="1" t="s">
        <v>511</v>
      </c>
      <c r="B200" s="2" t="s">
        <v>303</v>
      </c>
      <c r="C200" s="2" t="s">
        <v>512</v>
      </c>
      <c r="D200" s="2" t="s">
        <v>192</v>
      </c>
      <c r="E200" s="3" t="s">
        <v>35</v>
      </c>
    </row>
    <row r="201" spans="1:5" ht="16">
      <c r="A201" s="1" t="s">
        <v>513</v>
      </c>
      <c r="B201" s="2" t="s">
        <v>97</v>
      </c>
      <c r="C201" s="2" t="s">
        <v>514</v>
      </c>
      <c r="D201" s="2" t="s">
        <v>192</v>
      </c>
      <c r="E201" s="3" t="s">
        <v>35</v>
      </c>
    </row>
    <row r="202" spans="1:5" ht="16">
      <c r="A202" s="1" t="s">
        <v>515</v>
      </c>
      <c r="B202" s="2" t="s">
        <v>97</v>
      </c>
      <c r="C202" s="2" t="s">
        <v>516</v>
      </c>
      <c r="D202" s="2" t="s">
        <v>192</v>
      </c>
      <c r="E202" s="3" t="s">
        <v>35</v>
      </c>
    </row>
    <row r="203" spans="1:5" ht="16">
      <c r="A203" s="1" t="s">
        <v>517</v>
      </c>
      <c r="B203" s="2" t="s">
        <v>85</v>
      </c>
      <c r="C203" s="2" t="s">
        <v>518</v>
      </c>
      <c r="D203" s="2" t="s">
        <v>192</v>
      </c>
      <c r="E203" s="3" t="s">
        <v>35</v>
      </c>
    </row>
    <row r="204" spans="1:5" ht="16">
      <c r="A204" s="1" t="s">
        <v>519</v>
      </c>
      <c r="B204" s="2" t="s">
        <v>85</v>
      </c>
      <c r="C204" s="2" t="s">
        <v>520</v>
      </c>
      <c r="D204" s="2" t="s">
        <v>192</v>
      </c>
      <c r="E204" s="3" t="s">
        <v>35</v>
      </c>
    </row>
    <row r="205" spans="1:5" ht="16">
      <c r="A205" s="1" t="s">
        <v>521</v>
      </c>
      <c r="B205" s="2" t="s">
        <v>74</v>
      </c>
      <c r="C205" s="2" t="s">
        <v>522</v>
      </c>
      <c r="D205" s="2" t="s">
        <v>440</v>
      </c>
      <c r="E205" s="3" t="s">
        <v>45</v>
      </c>
    </row>
    <row r="206" spans="1:5" ht="16">
      <c r="A206" s="1" t="s">
        <v>523</v>
      </c>
      <c r="B206" s="2" t="s">
        <v>80</v>
      </c>
      <c r="C206" s="2" t="s">
        <v>524</v>
      </c>
      <c r="D206" s="2" t="s">
        <v>440</v>
      </c>
      <c r="E206" s="3" t="s">
        <v>45</v>
      </c>
    </row>
    <row r="207" spans="1:5" ht="16">
      <c r="A207" s="1" t="s">
        <v>525</v>
      </c>
      <c r="B207" s="2" t="s">
        <v>196</v>
      </c>
      <c r="C207" s="2" t="s">
        <v>526</v>
      </c>
      <c r="D207" s="2" t="s">
        <v>192</v>
      </c>
      <c r="E207" s="3" t="s">
        <v>35</v>
      </c>
    </row>
    <row r="208" spans="1:5" ht="16">
      <c r="A208" s="1" t="s">
        <v>527</v>
      </c>
      <c r="B208" s="2" t="s">
        <v>85</v>
      </c>
      <c r="C208" s="2" t="s">
        <v>528</v>
      </c>
      <c r="D208" s="2" t="s">
        <v>192</v>
      </c>
      <c r="E208" s="3" t="s">
        <v>35</v>
      </c>
    </row>
    <row r="209" spans="1:5" ht="16">
      <c r="A209" s="1" t="s">
        <v>529</v>
      </c>
      <c r="B209" s="2" t="s">
        <v>91</v>
      </c>
      <c r="C209" s="2" t="s">
        <v>530</v>
      </c>
      <c r="D209" s="2" t="s">
        <v>192</v>
      </c>
      <c r="E209" s="3" t="s">
        <v>35</v>
      </c>
    </row>
    <row r="210" spans="1:5" ht="16">
      <c r="A210" s="1" t="s">
        <v>531</v>
      </c>
      <c r="B210" s="2" t="s">
        <v>303</v>
      </c>
      <c r="C210" s="2" t="s">
        <v>532</v>
      </c>
      <c r="D210" s="2" t="s">
        <v>192</v>
      </c>
      <c r="E210" s="3" t="s">
        <v>35</v>
      </c>
    </row>
    <row r="211" spans="1:5" ht="16">
      <c r="A211" s="1" t="s">
        <v>533</v>
      </c>
      <c r="B211" s="2" t="s">
        <v>196</v>
      </c>
      <c r="C211" s="2" t="s">
        <v>534</v>
      </c>
      <c r="D211" s="2" t="s">
        <v>192</v>
      </c>
      <c r="E211" s="3" t="s">
        <v>35</v>
      </c>
    </row>
    <row r="212" spans="1:5" ht="16">
      <c r="A212" s="1" t="s">
        <v>535</v>
      </c>
      <c r="B212" s="2" t="s">
        <v>91</v>
      </c>
      <c r="C212" s="2" t="s">
        <v>536</v>
      </c>
      <c r="D212" s="2" t="s">
        <v>192</v>
      </c>
      <c r="E212" s="3" t="s">
        <v>35</v>
      </c>
    </row>
    <row r="213" spans="1:5" ht="16">
      <c r="A213" s="1" t="s">
        <v>537</v>
      </c>
      <c r="B213" s="2" t="s">
        <v>91</v>
      </c>
      <c r="C213" s="2" t="s">
        <v>538</v>
      </c>
      <c r="D213" s="2" t="s">
        <v>192</v>
      </c>
      <c r="E213" s="3" t="s">
        <v>35</v>
      </c>
    </row>
    <row r="214" spans="1:5" ht="16">
      <c r="A214" s="1" t="s">
        <v>539</v>
      </c>
      <c r="B214" s="2" t="s">
        <v>85</v>
      </c>
      <c r="C214" s="2" t="s">
        <v>540</v>
      </c>
      <c r="D214" s="2" t="s">
        <v>192</v>
      </c>
      <c r="E214" s="3" t="s">
        <v>35</v>
      </c>
    </row>
    <row r="215" spans="1:5" ht="16">
      <c r="A215" s="1" t="s">
        <v>541</v>
      </c>
      <c r="B215" s="2" t="s">
        <v>97</v>
      </c>
      <c r="C215" s="2" t="s">
        <v>542</v>
      </c>
      <c r="D215" s="2" t="s">
        <v>192</v>
      </c>
      <c r="E215" s="3" t="s">
        <v>35</v>
      </c>
    </row>
    <row r="216" spans="1:5" ht="16">
      <c r="A216" s="1" t="s">
        <v>543</v>
      </c>
      <c r="B216" s="2" t="s">
        <v>80</v>
      </c>
      <c r="C216" s="2" t="s">
        <v>544</v>
      </c>
      <c r="D216" s="2" t="s">
        <v>440</v>
      </c>
      <c r="E216" s="3" t="s">
        <v>45</v>
      </c>
    </row>
    <row r="217" spans="1:5" ht="16">
      <c r="A217" s="1" t="s">
        <v>545</v>
      </c>
      <c r="B217" s="2" t="s">
        <v>303</v>
      </c>
      <c r="C217" s="2" t="s">
        <v>546</v>
      </c>
      <c r="D217" s="2" t="s">
        <v>192</v>
      </c>
      <c r="E217" s="3" t="s">
        <v>35</v>
      </c>
    </row>
    <row r="218" spans="1:5" ht="16">
      <c r="A218" s="1" t="s">
        <v>547</v>
      </c>
      <c r="B218" s="2" t="s">
        <v>80</v>
      </c>
      <c r="C218" s="2" t="s">
        <v>548</v>
      </c>
      <c r="D218" s="2" t="s">
        <v>440</v>
      </c>
      <c r="E218" s="3" t="s">
        <v>45</v>
      </c>
    </row>
    <row r="219" spans="1:5" ht="16">
      <c r="A219" s="1" t="s">
        <v>549</v>
      </c>
      <c r="B219" s="2" t="s">
        <v>80</v>
      </c>
      <c r="C219" s="2" t="s">
        <v>550</v>
      </c>
      <c r="D219" s="2" t="s">
        <v>440</v>
      </c>
      <c r="E219" s="3" t="s">
        <v>45</v>
      </c>
    </row>
    <row r="220" spans="1:5" ht="16">
      <c r="A220" s="1" t="s">
        <v>551</v>
      </c>
      <c r="B220" s="2" t="s">
        <v>80</v>
      </c>
      <c r="C220" s="2" t="s">
        <v>552</v>
      </c>
      <c r="D220" s="2" t="s">
        <v>440</v>
      </c>
      <c r="E220" s="3" t="s">
        <v>45</v>
      </c>
    </row>
    <row r="221" spans="1:5" ht="16">
      <c r="A221" s="1" t="s">
        <v>553</v>
      </c>
      <c r="B221" s="2" t="s">
        <v>303</v>
      </c>
      <c r="C221" s="2" t="s">
        <v>554</v>
      </c>
      <c r="D221" s="2" t="s">
        <v>192</v>
      </c>
      <c r="E221" s="3" t="s">
        <v>35</v>
      </c>
    </row>
    <row r="222" spans="1:5" ht="16">
      <c r="A222" s="1" t="s">
        <v>555</v>
      </c>
      <c r="B222" s="2" t="s">
        <v>303</v>
      </c>
      <c r="C222" s="2" t="s">
        <v>556</v>
      </c>
      <c r="D222" s="2" t="s">
        <v>192</v>
      </c>
      <c r="E222" s="3" t="s">
        <v>35</v>
      </c>
    </row>
    <row r="223" spans="1:5" ht="16">
      <c r="A223" s="1" t="s">
        <v>557</v>
      </c>
      <c r="B223" s="2" t="s">
        <v>303</v>
      </c>
      <c r="C223" s="2" t="s">
        <v>558</v>
      </c>
      <c r="D223" s="2" t="s">
        <v>192</v>
      </c>
      <c r="E223" s="3" t="s">
        <v>35</v>
      </c>
    </row>
    <row r="224" spans="1:5" ht="16">
      <c r="A224" s="1" t="s">
        <v>559</v>
      </c>
      <c r="B224" s="2" t="s">
        <v>97</v>
      </c>
      <c r="C224" s="2" t="s">
        <v>560</v>
      </c>
      <c r="D224" s="2" t="s">
        <v>192</v>
      </c>
      <c r="E224" s="3" t="s">
        <v>35</v>
      </c>
    </row>
    <row r="225" spans="1:5" ht="16">
      <c r="A225" s="1" t="s">
        <v>561</v>
      </c>
      <c r="B225" s="2" t="s">
        <v>303</v>
      </c>
      <c r="C225" s="2" t="s">
        <v>562</v>
      </c>
      <c r="D225" s="2" t="s">
        <v>192</v>
      </c>
      <c r="E225" s="3" t="s">
        <v>35</v>
      </c>
    </row>
    <row r="226" spans="1:5" ht="16">
      <c r="A226" s="1" t="s">
        <v>563</v>
      </c>
      <c r="B226" s="2" t="s">
        <v>199</v>
      </c>
      <c r="C226" s="2" t="s">
        <v>564</v>
      </c>
      <c r="D226" s="2" t="s">
        <v>192</v>
      </c>
      <c r="E226" s="3" t="s">
        <v>35</v>
      </c>
    </row>
    <row r="227" spans="1:5" ht="16">
      <c r="A227" s="1" t="s">
        <v>565</v>
      </c>
      <c r="B227" s="2" t="s">
        <v>85</v>
      </c>
      <c r="C227" s="2" t="s">
        <v>566</v>
      </c>
      <c r="D227" s="2" t="s">
        <v>192</v>
      </c>
      <c r="E227" s="3" t="s">
        <v>35</v>
      </c>
    </row>
    <row r="228" spans="1:5" ht="16">
      <c r="A228" s="1" t="s">
        <v>567</v>
      </c>
      <c r="B228" s="2" t="s">
        <v>80</v>
      </c>
      <c r="C228" s="2" t="s">
        <v>568</v>
      </c>
      <c r="D228" s="2" t="s">
        <v>440</v>
      </c>
      <c r="E228" s="3" t="s">
        <v>45</v>
      </c>
    </row>
    <row r="229" spans="1:5" ht="16">
      <c r="A229" s="1" t="s">
        <v>569</v>
      </c>
      <c r="B229" s="2" t="s">
        <v>80</v>
      </c>
      <c r="C229" s="2" t="s">
        <v>570</v>
      </c>
      <c r="D229" s="2" t="s">
        <v>440</v>
      </c>
      <c r="E229" s="3" t="s">
        <v>45</v>
      </c>
    </row>
    <row r="230" spans="1:5" ht="16">
      <c r="A230" s="1" t="s">
        <v>571</v>
      </c>
      <c r="B230" s="2" t="s">
        <v>80</v>
      </c>
      <c r="C230" s="2" t="s">
        <v>572</v>
      </c>
      <c r="D230" s="2" t="s">
        <v>440</v>
      </c>
      <c r="E230" s="3" t="s">
        <v>45</v>
      </c>
    </row>
    <row r="231" spans="1:5" ht="16">
      <c r="A231" s="1" t="s">
        <v>573</v>
      </c>
      <c r="B231" s="2" t="s">
        <v>91</v>
      </c>
      <c r="C231" s="2" t="s">
        <v>574</v>
      </c>
      <c r="D231" s="2" t="s">
        <v>192</v>
      </c>
      <c r="E231" s="3" t="s">
        <v>35</v>
      </c>
    </row>
    <row r="232" spans="1:5" ht="16">
      <c r="A232" s="1" t="s">
        <v>575</v>
      </c>
      <c r="B232" s="2" t="s">
        <v>74</v>
      </c>
      <c r="C232" s="2" t="s">
        <v>576</v>
      </c>
      <c r="D232" s="2" t="s">
        <v>440</v>
      </c>
      <c r="E232" s="3" t="s">
        <v>45</v>
      </c>
    </row>
    <row r="233" spans="1:5" ht="16">
      <c r="A233" s="1" t="s">
        <v>577</v>
      </c>
      <c r="B233" s="2" t="s">
        <v>91</v>
      </c>
      <c r="C233" s="2" t="s">
        <v>578</v>
      </c>
      <c r="D233" s="2" t="s">
        <v>192</v>
      </c>
      <c r="E233" s="3" t="s">
        <v>35</v>
      </c>
    </row>
    <row r="234" spans="1:5" ht="16">
      <c r="A234" s="1" t="s">
        <v>579</v>
      </c>
      <c r="B234" s="2" t="s">
        <v>199</v>
      </c>
      <c r="C234" s="2" t="s">
        <v>580</v>
      </c>
      <c r="D234" s="2" t="s">
        <v>192</v>
      </c>
      <c r="E234" s="3" t="s">
        <v>35</v>
      </c>
    </row>
    <row r="235" spans="1:5" ht="16">
      <c r="A235" s="1" t="s">
        <v>581</v>
      </c>
      <c r="B235" s="2" t="s">
        <v>97</v>
      </c>
      <c r="C235" s="2" t="s">
        <v>582</v>
      </c>
      <c r="D235" s="2" t="s">
        <v>192</v>
      </c>
      <c r="E235" s="3" t="s">
        <v>35</v>
      </c>
    </row>
    <row r="236" spans="1:5" ht="16">
      <c r="A236" s="1" t="s">
        <v>583</v>
      </c>
      <c r="B236" s="2" t="s">
        <v>97</v>
      </c>
      <c r="C236" s="2" t="s">
        <v>584</v>
      </c>
      <c r="D236" s="2" t="s">
        <v>192</v>
      </c>
      <c r="E236" s="3" t="s">
        <v>35</v>
      </c>
    </row>
    <row r="237" spans="1:5" ht="16">
      <c r="A237" s="1" t="s">
        <v>585</v>
      </c>
      <c r="B237" s="2" t="s">
        <v>303</v>
      </c>
      <c r="C237" s="2" t="s">
        <v>586</v>
      </c>
      <c r="D237" s="2" t="s">
        <v>192</v>
      </c>
      <c r="E237" s="3" t="s">
        <v>35</v>
      </c>
    </row>
    <row r="238" spans="1:5" ht="16">
      <c r="A238" s="1" t="s">
        <v>587</v>
      </c>
      <c r="B238" s="2" t="s">
        <v>91</v>
      </c>
      <c r="C238" s="2" t="s">
        <v>588</v>
      </c>
      <c r="D238" s="2" t="s">
        <v>192</v>
      </c>
      <c r="E238" s="3" t="s">
        <v>35</v>
      </c>
    </row>
    <row r="239" spans="1:5" ht="16">
      <c r="A239" s="1" t="s">
        <v>589</v>
      </c>
      <c r="B239" s="2" t="s">
        <v>85</v>
      </c>
      <c r="C239" s="2" t="s">
        <v>590</v>
      </c>
      <c r="D239" s="2" t="s">
        <v>192</v>
      </c>
      <c r="E239" s="3" t="s">
        <v>35</v>
      </c>
    </row>
    <row r="240" spans="1:5" ht="16">
      <c r="A240" s="1" t="s">
        <v>591</v>
      </c>
      <c r="B240" s="2" t="s">
        <v>303</v>
      </c>
      <c r="C240" s="2" t="s">
        <v>592</v>
      </c>
      <c r="D240" s="2" t="s">
        <v>192</v>
      </c>
      <c r="E240" s="3" t="s">
        <v>35</v>
      </c>
    </row>
    <row r="241" spans="1:5" ht="16">
      <c r="A241" s="1" t="s">
        <v>593</v>
      </c>
      <c r="B241" s="2" t="s">
        <v>91</v>
      </c>
      <c r="C241" s="2" t="s">
        <v>594</v>
      </c>
      <c r="D241" s="2" t="s">
        <v>192</v>
      </c>
      <c r="E241" s="3" t="s">
        <v>35</v>
      </c>
    </row>
    <row r="242" spans="1:5" ht="16">
      <c r="A242" s="1" t="s">
        <v>595</v>
      </c>
      <c r="B242" s="2" t="s">
        <v>303</v>
      </c>
      <c r="C242" s="2" t="s">
        <v>596</v>
      </c>
      <c r="D242" s="2" t="s">
        <v>192</v>
      </c>
      <c r="E242" s="3" t="s">
        <v>35</v>
      </c>
    </row>
    <row r="243" spans="1:5" ht="16">
      <c r="A243" s="1" t="s">
        <v>597</v>
      </c>
      <c r="B243" s="2" t="s">
        <v>303</v>
      </c>
      <c r="C243" s="2" t="s">
        <v>598</v>
      </c>
      <c r="D243" s="2" t="s">
        <v>192</v>
      </c>
      <c r="E243" s="3" t="s">
        <v>35</v>
      </c>
    </row>
    <row r="244" spans="1:5" ht="16">
      <c r="A244" s="1" t="s">
        <v>599</v>
      </c>
      <c r="B244" s="2" t="s">
        <v>199</v>
      </c>
      <c r="C244" s="2" t="s">
        <v>600</v>
      </c>
      <c r="D244" s="2" t="s">
        <v>192</v>
      </c>
      <c r="E244" s="3" t="s">
        <v>35</v>
      </c>
    </row>
    <row r="245" spans="1:5" ht="16">
      <c r="A245" s="1" t="s">
        <v>601</v>
      </c>
      <c r="B245" s="2" t="s">
        <v>199</v>
      </c>
      <c r="C245" s="2" t="s">
        <v>602</v>
      </c>
      <c r="D245" s="2" t="s">
        <v>192</v>
      </c>
      <c r="E245" s="3" t="s">
        <v>35</v>
      </c>
    </row>
    <row r="246" spans="1:5" ht="16">
      <c r="A246" s="1" t="s">
        <v>603</v>
      </c>
      <c r="B246" s="2"/>
      <c r="C246" s="2" t="s">
        <v>604</v>
      </c>
      <c r="D246" s="2" t="s">
        <v>111</v>
      </c>
      <c r="E246" s="3" t="s">
        <v>50</v>
      </c>
    </row>
    <row r="247" spans="1:5" ht="16">
      <c r="A247" s="1" t="s">
        <v>605</v>
      </c>
      <c r="B247" s="2"/>
      <c r="C247" s="2" t="s">
        <v>606</v>
      </c>
      <c r="D247" s="2" t="s">
        <v>111</v>
      </c>
      <c r="E247" s="3" t="s">
        <v>50</v>
      </c>
    </row>
    <row r="248" spans="1:5" ht="16">
      <c r="A248" s="1" t="s">
        <v>607</v>
      </c>
      <c r="B248" s="2" t="s">
        <v>80</v>
      </c>
      <c r="C248" s="2" t="s">
        <v>608</v>
      </c>
      <c r="D248" s="2" t="s">
        <v>111</v>
      </c>
      <c r="E248" s="3" t="s">
        <v>50</v>
      </c>
    </row>
    <row r="249" spans="1:5" ht="16">
      <c r="A249" s="1" t="s">
        <v>609</v>
      </c>
      <c r="B249" s="2"/>
      <c r="C249" s="2" t="s">
        <v>610</v>
      </c>
      <c r="D249" s="2" t="s">
        <v>111</v>
      </c>
      <c r="E249" s="3" t="s">
        <v>50</v>
      </c>
    </row>
    <row r="250" spans="1:5" ht="16">
      <c r="A250" s="1" t="s">
        <v>611</v>
      </c>
      <c r="B250" s="2"/>
      <c r="C250" s="2" t="s">
        <v>612</v>
      </c>
      <c r="D250" s="2" t="s">
        <v>111</v>
      </c>
      <c r="E250" s="3" t="s">
        <v>50</v>
      </c>
    </row>
    <row r="251" spans="1:5" ht="16">
      <c r="A251" s="1" t="s">
        <v>613</v>
      </c>
      <c r="B251" s="2"/>
      <c r="C251" s="2" t="s">
        <v>614</v>
      </c>
      <c r="D251" s="2" t="s">
        <v>111</v>
      </c>
      <c r="E251" s="3" t="s">
        <v>50</v>
      </c>
    </row>
    <row r="252" spans="1:5" ht="16">
      <c r="A252" s="1" t="s">
        <v>615</v>
      </c>
      <c r="B252" s="2"/>
      <c r="C252" s="2" t="s">
        <v>616</v>
      </c>
      <c r="D252" s="2" t="s">
        <v>111</v>
      </c>
      <c r="E252" s="3" t="s">
        <v>50</v>
      </c>
    </row>
    <row r="253" spans="1:5" ht="16">
      <c r="A253" s="1" t="s">
        <v>617</v>
      </c>
      <c r="B253" s="2"/>
      <c r="C253" s="2" t="s">
        <v>618</v>
      </c>
      <c r="D253" s="2" t="s">
        <v>111</v>
      </c>
      <c r="E253" s="3" t="s">
        <v>50</v>
      </c>
    </row>
    <row r="254" spans="1:5" ht="16">
      <c r="A254" s="1" t="s">
        <v>619</v>
      </c>
      <c r="B254" s="2"/>
      <c r="C254" s="2" t="s">
        <v>620</v>
      </c>
      <c r="D254" s="2" t="s">
        <v>111</v>
      </c>
      <c r="E254" s="3" t="s">
        <v>50</v>
      </c>
    </row>
    <row r="255" spans="1:5" ht="16">
      <c r="A255" s="1" t="s">
        <v>621</v>
      </c>
      <c r="B255" s="2"/>
      <c r="C255" s="2" t="s">
        <v>622</v>
      </c>
      <c r="D255" s="2" t="s">
        <v>111</v>
      </c>
      <c r="E255" s="3" t="s">
        <v>50</v>
      </c>
    </row>
    <row r="256" spans="1:5" ht="16">
      <c r="A256" s="1" t="s">
        <v>623</v>
      </c>
      <c r="B256" s="2"/>
      <c r="C256" s="2" t="s">
        <v>624</v>
      </c>
      <c r="D256" s="2" t="s">
        <v>111</v>
      </c>
      <c r="E256" s="3" t="s">
        <v>50</v>
      </c>
    </row>
    <row r="257" spans="1:5" ht="16">
      <c r="A257" s="1" t="s">
        <v>625</v>
      </c>
      <c r="B257" s="2"/>
      <c r="C257" s="2" t="s">
        <v>626</v>
      </c>
      <c r="D257" s="2" t="s">
        <v>111</v>
      </c>
      <c r="E257" s="3" t="s">
        <v>50</v>
      </c>
    </row>
    <row r="258" spans="1:5" ht="16">
      <c r="A258" s="1" t="s">
        <v>627</v>
      </c>
      <c r="B258" s="2"/>
      <c r="C258" s="2" t="s">
        <v>628</v>
      </c>
      <c r="D258" s="2" t="s">
        <v>111</v>
      </c>
      <c r="E258" s="3" t="s">
        <v>50</v>
      </c>
    </row>
    <row r="259" spans="1:5" ht="16">
      <c r="A259" s="1" t="s">
        <v>629</v>
      </c>
      <c r="B259" s="2"/>
      <c r="C259" s="2" t="s">
        <v>630</v>
      </c>
      <c r="D259" s="2" t="s">
        <v>111</v>
      </c>
      <c r="E259" s="3" t="s">
        <v>50</v>
      </c>
    </row>
    <row r="260" spans="1:5" ht="16">
      <c r="A260" s="1" t="s">
        <v>631</v>
      </c>
      <c r="B260" s="2"/>
      <c r="C260" s="2" t="s">
        <v>632</v>
      </c>
      <c r="D260" s="2" t="s">
        <v>111</v>
      </c>
      <c r="E260" s="3" t="s">
        <v>50</v>
      </c>
    </row>
    <row r="261" spans="1:5" ht="16">
      <c r="A261" s="1" t="s">
        <v>633</v>
      </c>
      <c r="B261" s="2"/>
      <c r="C261" s="2" t="s">
        <v>634</v>
      </c>
      <c r="D261" s="2" t="s">
        <v>111</v>
      </c>
      <c r="E261" s="3" t="s">
        <v>50</v>
      </c>
    </row>
    <row r="262" spans="1:5" ht="16">
      <c r="A262" s="1" t="s">
        <v>635</v>
      </c>
      <c r="B262" s="2"/>
      <c r="C262" s="2" t="s">
        <v>636</v>
      </c>
      <c r="D262" s="2" t="s">
        <v>111</v>
      </c>
      <c r="E262" s="3" t="s">
        <v>50</v>
      </c>
    </row>
    <row r="263" spans="1:5" ht="16">
      <c r="A263" s="1" t="s">
        <v>637</v>
      </c>
      <c r="B263" s="2"/>
      <c r="C263" s="2" t="s">
        <v>638</v>
      </c>
      <c r="D263" s="2" t="s">
        <v>111</v>
      </c>
      <c r="E263" s="3" t="s">
        <v>50</v>
      </c>
    </row>
    <row r="264" spans="1:5" ht="16">
      <c r="A264" s="1" t="s">
        <v>639</v>
      </c>
      <c r="B264" s="2" t="s">
        <v>69</v>
      </c>
      <c r="C264" s="2" t="s">
        <v>640</v>
      </c>
      <c r="D264" s="2" t="s">
        <v>111</v>
      </c>
      <c r="E264" s="3" t="s">
        <v>50</v>
      </c>
    </row>
    <row r="265" spans="1:5" ht="16">
      <c r="A265" s="1" t="s">
        <v>641</v>
      </c>
      <c r="B265" s="2" t="s">
        <v>69</v>
      </c>
      <c r="C265" s="2" t="s">
        <v>642</v>
      </c>
      <c r="D265" s="2" t="s">
        <v>111</v>
      </c>
      <c r="E265" s="3" t="s">
        <v>50</v>
      </c>
    </row>
    <row r="266" spans="1:5" ht="16">
      <c r="A266" s="1" t="s">
        <v>643</v>
      </c>
      <c r="B266" s="2"/>
      <c r="C266" s="2" t="s">
        <v>644</v>
      </c>
      <c r="D266" s="2" t="s">
        <v>111</v>
      </c>
      <c r="E266" s="3" t="s">
        <v>50</v>
      </c>
    </row>
    <row r="267" spans="1:5" ht="16">
      <c r="A267" s="1" t="s">
        <v>645</v>
      </c>
      <c r="B267" s="2" t="s">
        <v>63</v>
      </c>
      <c r="C267" s="2" t="s">
        <v>646</v>
      </c>
      <c r="D267" s="2" t="s">
        <v>111</v>
      </c>
      <c r="E267" s="3" t="s">
        <v>50</v>
      </c>
    </row>
    <row r="268" spans="1:5" ht="16">
      <c r="A268" s="1" t="s">
        <v>647</v>
      </c>
      <c r="B268" s="2" t="s">
        <v>69</v>
      </c>
      <c r="C268" s="2" t="s">
        <v>648</v>
      </c>
      <c r="D268" s="2" t="s">
        <v>111</v>
      </c>
      <c r="E268" s="3" t="s">
        <v>50</v>
      </c>
    </row>
    <row r="269" spans="1:5" ht="16">
      <c r="A269" s="1" t="s">
        <v>649</v>
      </c>
      <c r="B269" s="2" t="s">
        <v>69</v>
      </c>
      <c r="C269" s="2" t="s">
        <v>650</v>
      </c>
      <c r="D269" s="2" t="s">
        <v>111</v>
      </c>
      <c r="E269" s="3" t="s">
        <v>50</v>
      </c>
    </row>
    <row r="270" spans="1:5" ht="16">
      <c r="A270" s="1" t="s">
        <v>651</v>
      </c>
      <c r="B270" s="2" t="s">
        <v>74</v>
      </c>
      <c r="C270" s="2" t="s">
        <v>652</v>
      </c>
      <c r="D270" s="2" t="s">
        <v>111</v>
      </c>
      <c r="E270" s="3" t="s">
        <v>50</v>
      </c>
    </row>
    <row r="271" spans="1:5" ht="16">
      <c r="A271" s="1" t="s">
        <v>653</v>
      </c>
      <c r="B271" s="2" t="s">
        <v>74</v>
      </c>
      <c r="C271" s="2" t="s">
        <v>654</v>
      </c>
      <c r="D271" s="2" t="s">
        <v>111</v>
      </c>
      <c r="E271" s="3" t="s">
        <v>50</v>
      </c>
    </row>
    <row r="272" spans="1:5" ht="16">
      <c r="A272" s="1" t="s">
        <v>655</v>
      </c>
      <c r="B272" s="2" t="s">
        <v>69</v>
      </c>
      <c r="C272" s="2" t="s">
        <v>656</v>
      </c>
      <c r="D272" s="2" t="s">
        <v>111</v>
      </c>
      <c r="E272" s="3" t="s">
        <v>50</v>
      </c>
    </row>
    <row r="273" spans="1:5" ht="16">
      <c r="A273" s="1" t="s">
        <v>657</v>
      </c>
      <c r="B273" s="2" t="s">
        <v>69</v>
      </c>
      <c r="C273" s="2" t="s">
        <v>658</v>
      </c>
      <c r="D273" s="2" t="s">
        <v>111</v>
      </c>
      <c r="E273" s="3" t="s">
        <v>50</v>
      </c>
    </row>
    <row r="274" spans="1:5" ht="16">
      <c r="A274" s="1" t="s">
        <v>659</v>
      </c>
      <c r="B274" s="2" t="s">
        <v>69</v>
      </c>
      <c r="C274" s="2" t="s">
        <v>660</v>
      </c>
      <c r="D274" s="2" t="s">
        <v>111</v>
      </c>
      <c r="E274" s="3" t="s">
        <v>50</v>
      </c>
    </row>
    <row r="275" spans="1:5" ht="16">
      <c r="A275" s="1" t="s">
        <v>661</v>
      </c>
      <c r="B275" s="2" t="s">
        <v>69</v>
      </c>
      <c r="C275" s="2" t="s">
        <v>662</v>
      </c>
      <c r="D275" s="2" t="s">
        <v>111</v>
      </c>
      <c r="E275" s="3" t="s">
        <v>50</v>
      </c>
    </row>
    <row r="276" spans="1:5" ht="16">
      <c r="A276" s="1" t="s">
        <v>663</v>
      </c>
      <c r="B276" s="2"/>
      <c r="C276" s="2" t="s">
        <v>664</v>
      </c>
      <c r="D276" s="2" t="s">
        <v>111</v>
      </c>
      <c r="E276" s="3" t="s">
        <v>50</v>
      </c>
    </row>
    <row r="277" spans="1:5" ht="16">
      <c r="A277" s="1" t="s">
        <v>665</v>
      </c>
      <c r="B277" s="2" t="s">
        <v>69</v>
      </c>
      <c r="C277" s="2" t="s">
        <v>666</v>
      </c>
      <c r="D277" s="2" t="s">
        <v>111</v>
      </c>
      <c r="E277" s="3" t="s">
        <v>50</v>
      </c>
    </row>
    <row r="278" spans="1:5" ht="16">
      <c r="A278" s="1" t="s">
        <v>667</v>
      </c>
      <c r="B278" s="2" t="s">
        <v>69</v>
      </c>
      <c r="C278" s="2" t="s">
        <v>668</v>
      </c>
      <c r="D278" s="2" t="s">
        <v>111</v>
      </c>
      <c r="E278" s="3" t="s">
        <v>50</v>
      </c>
    </row>
    <row r="279" spans="1:5" ht="16">
      <c r="A279" s="1" t="s">
        <v>669</v>
      </c>
      <c r="B279" s="2"/>
      <c r="C279" s="2" t="s">
        <v>670</v>
      </c>
      <c r="D279" s="2" t="s">
        <v>111</v>
      </c>
      <c r="E279" s="3" t="s">
        <v>50</v>
      </c>
    </row>
    <row r="280" spans="1:5" ht="16">
      <c r="A280" s="1" t="s">
        <v>671</v>
      </c>
      <c r="B280" s="2"/>
      <c r="C280" s="2" t="s">
        <v>672</v>
      </c>
      <c r="D280" s="2" t="s">
        <v>111</v>
      </c>
      <c r="E280" s="3" t="s">
        <v>50</v>
      </c>
    </row>
    <row r="281" spans="1:5" ht="16">
      <c r="A281" s="1" t="s">
        <v>673</v>
      </c>
      <c r="B281" s="2"/>
      <c r="C281" s="2" t="s">
        <v>674</v>
      </c>
      <c r="D281" s="2" t="s">
        <v>111</v>
      </c>
      <c r="E281" s="3" t="s">
        <v>50</v>
      </c>
    </row>
    <row r="282" spans="1:5" ht="16">
      <c r="A282" s="1" t="s">
        <v>675</v>
      </c>
      <c r="B282" s="2" t="s">
        <v>63</v>
      </c>
      <c r="C282" s="2" t="s">
        <v>676</v>
      </c>
      <c r="D282" s="2" t="s">
        <v>111</v>
      </c>
      <c r="E282" s="3" t="s">
        <v>50</v>
      </c>
    </row>
    <row r="283" spans="1:5" ht="16">
      <c r="A283" s="1" t="s">
        <v>677</v>
      </c>
      <c r="B283" s="2"/>
      <c r="C283" s="2" t="s">
        <v>678</v>
      </c>
      <c r="D283" s="2" t="s">
        <v>111</v>
      </c>
      <c r="E283" s="3" t="s">
        <v>50</v>
      </c>
    </row>
    <row r="284" spans="1:5" ht="16">
      <c r="A284" s="1" t="s">
        <v>679</v>
      </c>
      <c r="B284" s="2"/>
      <c r="C284" s="2" t="s">
        <v>680</v>
      </c>
      <c r="D284" s="2" t="s">
        <v>111</v>
      </c>
      <c r="E284" s="3" t="s">
        <v>50</v>
      </c>
    </row>
    <row r="285" spans="1:5" ht="16">
      <c r="A285" s="1" t="s">
        <v>681</v>
      </c>
      <c r="B285" s="2"/>
      <c r="C285" s="2" t="s">
        <v>682</v>
      </c>
      <c r="D285" s="2" t="s">
        <v>111</v>
      </c>
      <c r="E285" s="3" t="s">
        <v>50</v>
      </c>
    </row>
    <row r="286" spans="1:5" ht="16">
      <c r="A286" s="1" t="s">
        <v>683</v>
      </c>
      <c r="B286" s="2"/>
      <c r="C286" s="2" t="s">
        <v>684</v>
      </c>
      <c r="D286" s="2" t="s">
        <v>111</v>
      </c>
      <c r="E286" s="3" t="s">
        <v>50</v>
      </c>
    </row>
    <row r="287" spans="1:5" ht="16">
      <c r="A287" s="1" t="s">
        <v>685</v>
      </c>
      <c r="B287" s="2"/>
      <c r="C287" s="2" t="s">
        <v>686</v>
      </c>
      <c r="D287" s="2" t="s">
        <v>111</v>
      </c>
      <c r="E287" s="3" t="s">
        <v>50</v>
      </c>
    </row>
    <row r="288" spans="1:5" ht="16">
      <c r="A288" s="1" t="s">
        <v>687</v>
      </c>
      <c r="B288" s="2"/>
      <c r="C288" s="2" t="s">
        <v>688</v>
      </c>
      <c r="D288" s="2" t="s">
        <v>440</v>
      </c>
      <c r="E288" s="3" t="s">
        <v>45</v>
      </c>
    </row>
    <row r="289" spans="1:5" ht="16">
      <c r="A289" s="1" t="s">
        <v>689</v>
      </c>
      <c r="B289" s="2" t="s">
        <v>74</v>
      </c>
      <c r="C289" s="2" t="s">
        <v>690</v>
      </c>
      <c r="D289" s="2" t="s">
        <v>440</v>
      </c>
      <c r="E289" s="3" t="s">
        <v>45</v>
      </c>
    </row>
    <row r="290" spans="1:5" ht="16">
      <c r="A290" s="1" t="s">
        <v>691</v>
      </c>
      <c r="B290" s="2" t="s">
        <v>80</v>
      </c>
      <c r="C290" s="2" t="s">
        <v>692</v>
      </c>
      <c r="D290" s="2" t="s">
        <v>440</v>
      </c>
      <c r="E290" s="3" t="s">
        <v>45</v>
      </c>
    </row>
    <row r="291" spans="1:5" ht="16">
      <c r="A291" s="1" t="s">
        <v>693</v>
      </c>
      <c r="B291" s="2" t="s">
        <v>74</v>
      </c>
      <c r="C291" s="2" t="s">
        <v>694</v>
      </c>
      <c r="D291" s="2" t="s">
        <v>440</v>
      </c>
      <c r="E291" s="3" t="s">
        <v>45</v>
      </c>
    </row>
    <row r="292" spans="1:5" ht="16">
      <c r="A292" s="1" t="s">
        <v>695</v>
      </c>
      <c r="B292" s="2" t="s">
        <v>80</v>
      </c>
      <c r="C292" s="2" t="s">
        <v>696</v>
      </c>
      <c r="D292" s="2" t="s">
        <v>440</v>
      </c>
      <c r="E292" s="3" t="s">
        <v>45</v>
      </c>
    </row>
    <row r="293" spans="1:5" ht="16">
      <c r="A293" s="1" t="s">
        <v>697</v>
      </c>
      <c r="B293" s="2" t="s">
        <v>97</v>
      </c>
      <c r="C293" s="2" t="s">
        <v>698</v>
      </c>
      <c r="D293" s="2" t="s">
        <v>192</v>
      </c>
      <c r="E293" s="3" t="s">
        <v>35</v>
      </c>
    </row>
    <row r="294" spans="1:5" ht="16">
      <c r="A294" s="1" t="s">
        <v>699</v>
      </c>
      <c r="B294" s="2" t="s">
        <v>97</v>
      </c>
      <c r="C294" s="2" t="s">
        <v>700</v>
      </c>
      <c r="D294" s="2" t="s">
        <v>192</v>
      </c>
      <c r="E294" s="3" t="s">
        <v>35</v>
      </c>
    </row>
    <row r="295" spans="1:5" ht="16">
      <c r="A295" s="1" t="s">
        <v>701</v>
      </c>
      <c r="B295" s="2" t="s">
        <v>74</v>
      </c>
      <c r="C295" s="2" t="s">
        <v>702</v>
      </c>
      <c r="D295" s="2" t="s">
        <v>440</v>
      </c>
      <c r="E295" s="3" t="s">
        <v>45</v>
      </c>
    </row>
    <row r="296" spans="1:5" ht="16">
      <c r="A296" s="1" t="s">
        <v>703</v>
      </c>
      <c r="B296" s="2" t="s">
        <v>97</v>
      </c>
      <c r="C296" s="2" t="s">
        <v>704</v>
      </c>
      <c r="D296" s="2" t="s">
        <v>192</v>
      </c>
      <c r="E296" s="3" t="s">
        <v>35</v>
      </c>
    </row>
    <row r="297" spans="1:5" ht="16">
      <c r="A297" s="1" t="s">
        <v>705</v>
      </c>
      <c r="B297" s="2" t="s">
        <v>303</v>
      </c>
      <c r="C297" s="2" t="s">
        <v>706</v>
      </c>
      <c r="D297" s="2" t="s">
        <v>192</v>
      </c>
      <c r="E297" s="3" t="s">
        <v>35</v>
      </c>
    </row>
    <row r="298" spans="1:5" ht="16">
      <c r="A298" s="1" t="s">
        <v>707</v>
      </c>
      <c r="B298" s="2" t="s">
        <v>97</v>
      </c>
      <c r="C298" s="2" t="s">
        <v>708</v>
      </c>
      <c r="D298" s="2" t="s">
        <v>192</v>
      </c>
      <c r="E298" s="3" t="s">
        <v>35</v>
      </c>
    </row>
    <row r="299" spans="1:5" ht="16">
      <c r="A299" s="1" t="s">
        <v>709</v>
      </c>
      <c r="B299" s="2" t="s">
        <v>97</v>
      </c>
      <c r="C299" s="2" t="s">
        <v>710</v>
      </c>
      <c r="D299" s="2" t="s">
        <v>192</v>
      </c>
      <c r="E299" s="3" t="s">
        <v>35</v>
      </c>
    </row>
    <row r="300" spans="1:5" ht="16">
      <c r="A300" s="1" t="s">
        <v>711</v>
      </c>
      <c r="B300" s="2" t="s">
        <v>97</v>
      </c>
      <c r="C300" s="2" t="s">
        <v>712</v>
      </c>
      <c r="D300" s="2" t="s">
        <v>192</v>
      </c>
      <c r="E300" s="3" t="s">
        <v>35</v>
      </c>
    </row>
    <row r="301" spans="1:5" ht="16">
      <c r="A301" s="1" t="s">
        <v>713</v>
      </c>
      <c r="B301" s="2" t="s">
        <v>97</v>
      </c>
      <c r="C301" s="2" t="s">
        <v>714</v>
      </c>
      <c r="D301" s="2" t="s">
        <v>192</v>
      </c>
      <c r="E301" s="3" t="s">
        <v>35</v>
      </c>
    </row>
    <row r="302" spans="1:5" ht="16">
      <c r="A302" s="1" t="s">
        <v>715</v>
      </c>
      <c r="B302" s="2" t="s">
        <v>97</v>
      </c>
      <c r="C302" s="2" t="s">
        <v>716</v>
      </c>
      <c r="D302" s="2" t="s">
        <v>192</v>
      </c>
      <c r="E302" s="3" t="s">
        <v>35</v>
      </c>
    </row>
    <row r="303" spans="1:5" ht="16">
      <c r="A303" s="1" t="s">
        <v>717</v>
      </c>
      <c r="B303" s="2" t="s">
        <v>97</v>
      </c>
      <c r="C303" s="2" t="s">
        <v>718</v>
      </c>
      <c r="D303" s="2" t="s">
        <v>192</v>
      </c>
      <c r="E303" s="3" t="s">
        <v>35</v>
      </c>
    </row>
    <row r="304" spans="1:5" ht="16">
      <c r="A304" s="1" t="s">
        <v>719</v>
      </c>
      <c r="B304" s="2" t="s">
        <v>97</v>
      </c>
      <c r="C304" s="2" t="s">
        <v>720</v>
      </c>
      <c r="D304" s="2" t="s">
        <v>192</v>
      </c>
      <c r="E304" s="3" t="s">
        <v>35</v>
      </c>
    </row>
    <row r="305" spans="1:5" ht="16">
      <c r="A305" s="1" t="s">
        <v>721</v>
      </c>
      <c r="B305" s="2" t="s">
        <v>303</v>
      </c>
      <c r="C305" s="2" t="s">
        <v>722</v>
      </c>
      <c r="D305" s="2" t="s">
        <v>192</v>
      </c>
      <c r="E305" s="3" t="s">
        <v>35</v>
      </c>
    </row>
    <row r="306" spans="1:5" ht="16">
      <c r="A306" s="1" t="s">
        <v>723</v>
      </c>
      <c r="B306" s="2" t="s">
        <v>91</v>
      </c>
      <c r="C306" s="2" t="s">
        <v>724</v>
      </c>
      <c r="D306" s="2" t="s">
        <v>192</v>
      </c>
      <c r="E306" s="3" t="s">
        <v>35</v>
      </c>
    </row>
    <row r="307" spans="1:5" ht="16">
      <c r="A307" s="1" t="s">
        <v>725</v>
      </c>
      <c r="B307" s="2" t="s">
        <v>97</v>
      </c>
      <c r="C307" s="2" t="s">
        <v>726</v>
      </c>
      <c r="D307" s="2" t="s">
        <v>192</v>
      </c>
      <c r="E307" s="3" t="s">
        <v>35</v>
      </c>
    </row>
    <row r="308" spans="1:5" ht="16">
      <c r="A308" s="1" t="s">
        <v>727</v>
      </c>
      <c r="B308" s="2" t="s">
        <v>69</v>
      </c>
      <c r="C308" s="2" t="s">
        <v>728</v>
      </c>
      <c r="D308" s="2" t="s">
        <v>440</v>
      </c>
      <c r="E308" s="3" t="s">
        <v>45</v>
      </c>
    </row>
    <row r="309" spans="1:5" ht="16">
      <c r="A309" s="1" t="s">
        <v>729</v>
      </c>
      <c r="B309" s="2" t="s">
        <v>69</v>
      </c>
      <c r="C309" s="2" t="s">
        <v>730</v>
      </c>
      <c r="D309" s="2" t="s">
        <v>440</v>
      </c>
      <c r="E309" s="3" t="s">
        <v>45</v>
      </c>
    </row>
    <row r="310" spans="1:5" ht="16">
      <c r="A310" s="1" t="s">
        <v>731</v>
      </c>
      <c r="B310" s="2" t="s">
        <v>63</v>
      </c>
      <c r="C310" s="2" t="s">
        <v>732</v>
      </c>
      <c r="D310" s="2" t="s">
        <v>440</v>
      </c>
      <c r="E310" s="3" t="s">
        <v>45</v>
      </c>
    </row>
    <row r="311" spans="1:5" ht="16">
      <c r="A311" s="1" t="s">
        <v>733</v>
      </c>
      <c r="B311" s="2" t="s">
        <v>63</v>
      </c>
      <c r="C311" s="2" t="s">
        <v>734</v>
      </c>
      <c r="D311" s="2" t="s">
        <v>440</v>
      </c>
      <c r="E311" s="3" t="s">
        <v>45</v>
      </c>
    </row>
    <row r="312" spans="1:5" ht="16">
      <c r="A312" s="1" t="s">
        <v>735</v>
      </c>
      <c r="B312" s="2" t="s">
        <v>69</v>
      </c>
      <c r="C312" s="2" t="s">
        <v>736</v>
      </c>
      <c r="D312" s="2" t="s">
        <v>440</v>
      </c>
      <c r="E312" s="3" t="s">
        <v>45</v>
      </c>
    </row>
    <row r="313" spans="1:5" ht="16">
      <c r="A313" s="1" t="s">
        <v>737</v>
      </c>
      <c r="B313" s="2"/>
      <c r="C313" s="2" t="s">
        <v>738</v>
      </c>
      <c r="D313" s="2" t="s">
        <v>440</v>
      </c>
      <c r="E313" s="3" t="s">
        <v>45</v>
      </c>
    </row>
    <row r="314" spans="1:5" ht="16">
      <c r="A314" s="1" t="s">
        <v>739</v>
      </c>
      <c r="B314" s="2" t="s">
        <v>85</v>
      </c>
      <c r="C314" s="2" t="s">
        <v>740</v>
      </c>
      <c r="D314" s="2" t="s">
        <v>192</v>
      </c>
      <c r="E314" s="3" t="s">
        <v>35</v>
      </c>
    </row>
    <row r="315" spans="1:5" ht="16">
      <c r="A315" s="1" t="s">
        <v>741</v>
      </c>
      <c r="B315" s="2" t="s">
        <v>85</v>
      </c>
      <c r="C315" s="2" t="s">
        <v>742</v>
      </c>
      <c r="D315" s="2" t="s">
        <v>192</v>
      </c>
      <c r="E315" s="3" t="s">
        <v>35</v>
      </c>
    </row>
    <row r="316" spans="1:5" ht="16">
      <c r="A316" s="1" t="s">
        <v>743</v>
      </c>
      <c r="B316" s="2" t="s">
        <v>63</v>
      </c>
      <c r="C316" s="2" t="s">
        <v>744</v>
      </c>
      <c r="D316" s="2" t="s">
        <v>440</v>
      </c>
      <c r="E316" s="3" t="s">
        <v>45</v>
      </c>
    </row>
    <row r="317" spans="1:5" ht="16">
      <c r="A317" s="1" t="s">
        <v>745</v>
      </c>
      <c r="B317" s="2" t="s">
        <v>63</v>
      </c>
      <c r="C317" s="2" t="s">
        <v>746</v>
      </c>
      <c r="D317" s="2" t="s">
        <v>440</v>
      </c>
      <c r="E317" s="3" t="s">
        <v>45</v>
      </c>
    </row>
    <row r="318" spans="1:5" ht="16">
      <c r="A318" s="1" t="s">
        <v>747</v>
      </c>
      <c r="B318" s="2" t="s">
        <v>97</v>
      </c>
      <c r="C318" s="2" t="s">
        <v>748</v>
      </c>
      <c r="D318" s="2" t="s">
        <v>192</v>
      </c>
      <c r="E318" s="3" t="s">
        <v>35</v>
      </c>
    </row>
    <row r="319" spans="1:5" ht="16">
      <c r="A319" s="1" t="s">
        <v>749</v>
      </c>
      <c r="B319" s="2" t="s">
        <v>91</v>
      </c>
      <c r="C319" s="2" t="s">
        <v>750</v>
      </c>
      <c r="D319" s="2" t="s">
        <v>192</v>
      </c>
      <c r="E319" s="3" t="s">
        <v>35</v>
      </c>
    </row>
    <row r="320" spans="1:5" ht="16">
      <c r="A320" s="1" t="s">
        <v>751</v>
      </c>
      <c r="B320" s="2" t="s">
        <v>196</v>
      </c>
      <c r="C320" s="2" t="s">
        <v>752</v>
      </c>
      <c r="D320" s="2" t="s">
        <v>192</v>
      </c>
      <c r="E320" s="3" t="s">
        <v>35</v>
      </c>
    </row>
    <row r="321" spans="1:5" ht="16">
      <c r="A321" s="1" t="s">
        <v>753</v>
      </c>
      <c r="B321" s="2" t="s">
        <v>303</v>
      </c>
      <c r="C321" s="2" t="s">
        <v>754</v>
      </c>
      <c r="D321" s="2" t="s">
        <v>192</v>
      </c>
      <c r="E321" s="3" t="s">
        <v>35</v>
      </c>
    </row>
    <row r="322" spans="1:5" ht="16">
      <c r="A322" s="1" t="s">
        <v>755</v>
      </c>
      <c r="B322" s="2" t="s">
        <v>196</v>
      </c>
      <c r="C322" s="2" t="s">
        <v>756</v>
      </c>
      <c r="D322" s="2" t="s">
        <v>192</v>
      </c>
      <c r="E322" s="3" t="s">
        <v>35</v>
      </c>
    </row>
    <row r="323" spans="1:5" ht="16">
      <c r="A323" s="1" t="s">
        <v>757</v>
      </c>
      <c r="B323" s="2" t="s">
        <v>196</v>
      </c>
      <c r="C323" s="2" t="s">
        <v>758</v>
      </c>
      <c r="D323" s="2" t="s">
        <v>192</v>
      </c>
      <c r="E323" s="3" t="s">
        <v>35</v>
      </c>
    </row>
    <row r="324" spans="1:5" ht="16">
      <c r="A324" s="1" t="s">
        <v>759</v>
      </c>
      <c r="B324" s="2" t="s">
        <v>69</v>
      </c>
      <c r="C324" s="2" t="s">
        <v>760</v>
      </c>
      <c r="D324" s="2" t="s">
        <v>440</v>
      </c>
      <c r="E324" s="3" t="s">
        <v>45</v>
      </c>
    </row>
    <row r="325" spans="1:5" ht="16">
      <c r="A325" s="1" t="s">
        <v>761</v>
      </c>
      <c r="B325" s="2" t="s">
        <v>80</v>
      </c>
      <c r="C325" s="2" t="s">
        <v>762</v>
      </c>
      <c r="D325" s="2" t="s">
        <v>440</v>
      </c>
      <c r="E325" s="3" t="s">
        <v>45</v>
      </c>
    </row>
    <row r="326" spans="1:5" ht="16">
      <c r="A326" s="1" t="s">
        <v>763</v>
      </c>
      <c r="B326" s="2" t="s">
        <v>91</v>
      </c>
      <c r="C326" s="2" t="s">
        <v>764</v>
      </c>
      <c r="D326" s="2" t="s">
        <v>192</v>
      </c>
      <c r="E326" s="3" t="s">
        <v>35</v>
      </c>
    </row>
    <row r="327" spans="1:5" ht="16">
      <c r="A327" s="1" t="s">
        <v>765</v>
      </c>
      <c r="B327" s="2" t="s">
        <v>80</v>
      </c>
      <c r="C327" s="2" t="s">
        <v>766</v>
      </c>
      <c r="D327" s="2" t="s">
        <v>440</v>
      </c>
      <c r="E327" s="3" t="s">
        <v>45</v>
      </c>
    </row>
    <row r="328" spans="1:5" ht="16">
      <c r="A328" s="1" t="s">
        <v>767</v>
      </c>
      <c r="B328" s="2" t="s">
        <v>80</v>
      </c>
      <c r="C328" s="2" t="s">
        <v>768</v>
      </c>
      <c r="D328" s="2" t="s">
        <v>440</v>
      </c>
      <c r="E328" s="3" t="s">
        <v>45</v>
      </c>
    </row>
    <row r="329" spans="1:5" ht="16">
      <c r="A329" s="1" t="s">
        <v>769</v>
      </c>
      <c r="B329" s="2" t="s">
        <v>85</v>
      </c>
      <c r="C329" s="2" t="s">
        <v>770</v>
      </c>
      <c r="D329" s="2" t="s">
        <v>192</v>
      </c>
      <c r="E329" s="3" t="s">
        <v>35</v>
      </c>
    </row>
    <row r="330" spans="1:5" ht="16">
      <c r="A330" s="1" t="s">
        <v>771</v>
      </c>
      <c r="B330" s="2" t="s">
        <v>97</v>
      </c>
      <c r="C330" s="2" t="s">
        <v>772</v>
      </c>
      <c r="D330" s="2" t="s">
        <v>192</v>
      </c>
      <c r="E330" s="3" t="s">
        <v>35</v>
      </c>
    </row>
    <row r="331" spans="1:5" ht="16">
      <c r="A331" s="1" t="s">
        <v>773</v>
      </c>
      <c r="B331" s="2" t="s">
        <v>85</v>
      </c>
      <c r="C331" s="2" t="s">
        <v>774</v>
      </c>
      <c r="D331" s="2" t="s">
        <v>192</v>
      </c>
      <c r="E331" s="3" t="s">
        <v>35</v>
      </c>
    </row>
    <row r="332" spans="1:5" ht="16">
      <c r="A332" s="1" t="s">
        <v>775</v>
      </c>
      <c r="B332" s="2" t="s">
        <v>69</v>
      </c>
      <c r="C332" s="2" t="s">
        <v>776</v>
      </c>
      <c r="D332" s="2" t="s">
        <v>440</v>
      </c>
      <c r="E332" s="3" t="s">
        <v>45</v>
      </c>
    </row>
    <row r="333" spans="1:5" ht="16">
      <c r="A333" s="1" t="s">
        <v>777</v>
      </c>
      <c r="B333" s="2" t="s">
        <v>91</v>
      </c>
      <c r="C333" s="2" t="s">
        <v>778</v>
      </c>
      <c r="D333" s="2" t="s">
        <v>192</v>
      </c>
      <c r="E333" s="3" t="s">
        <v>35</v>
      </c>
    </row>
    <row r="334" spans="1:5" ht="16">
      <c r="A334" s="1" t="s">
        <v>779</v>
      </c>
      <c r="B334" s="2" t="s">
        <v>80</v>
      </c>
      <c r="C334" s="2" t="s">
        <v>780</v>
      </c>
      <c r="D334" s="2" t="s">
        <v>440</v>
      </c>
      <c r="E334" s="3" t="s">
        <v>45</v>
      </c>
    </row>
    <row r="335" spans="1:5" ht="16">
      <c r="A335" s="1" t="s">
        <v>781</v>
      </c>
      <c r="B335" s="2" t="s">
        <v>74</v>
      </c>
      <c r="C335" s="2" t="s">
        <v>782</v>
      </c>
      <c r="D335" s="2" t="s">
        <v>440</v>
      </c>
      <c r="E335" s="3" t="s">
        <v>45</v>
      </c>
    </row>
    <row r="336" spans="1:5" ht="16">
      <c r="A336" s="1" t="s">
        <v>783</v>
      </c>
      <c r="B336" s="2" t="s">
        <v>85</v>
      </c>
      <c r="C336" s="2" t="s">
        <v>784</v>
      </c>
      <c r="D336" s="2" t="s">
        <v>192</v>
      </c>
      <c r="E336" s="3" t="s">
        <v>35</v>
      </c>
    </row>
    <row r="337" spans="1:5" ht="16">
      <c r="A337" s="1" t="s">
        <v>785</v>
      </c>
      <c r="B337" s="2" t="s">
        <v>91</v>
      </c>
      <c r="C337" s="2" t="s">
        <v>786</v>
      </c>
      <c r="D337" s="2" t="s">
        <v>192</v>
      </c>
      <c r="E337" s="3" t="s">
        <v>35</v>
      </c>
    </row>
    <row r="338" spans="1:5" ht="16">
      <c r="A338" s="1" t="s">
        <v>787</v>
      </c>
      <c r="B338" s="2" t="s">
        <v>91</v>
      </c>
      <c r="C338" s="2" t="s">
        <v>788</v>
      </c>
      <c r="D338" s="2" t="s">
        <v>192</v>
      </c>
      <c r="E338" s="3" t="s">
        <v>35</v>
      </c>
    </row>
    <row r="339" spans="1:5" ht="16">
      <c r="A339" s="1" t="s">
        <v>789</v>
      </c>
      <c r="B339" s="2" t="s">
        <v>91</v>
      </c>
      <c r="C339" s="2" t="s">
        <v>790</v>
      </c>
      <c r="D339" s="2" t="s">
        <v>192</v>
      </c>
      <c r="E339" s="3" t="s">
        <v>35</v>
      </c>
    </row>
    <row r="340" spans="1:5" ht="16">
      <c r="A340" s="1" t="s">
        <v>791</v>
      </c>
      <c r="B340" s="2" t="s">
        <v>85</v>
      </c>
      <c r="C340" s="2" t="s">
        <v>792</v>
      </c>
      <c r="D340" s="2" t="s">
        <v>192</v>
      </c>
      <c r="E340" s="3" t="s">
        <v>35</v>
      </c>
    </row>
    <row r="341" spans="1:5" ht="16">
      <c r="A341" s="1" t="s">
        <v>793</v>
      </c>
      <c r="B341" s="2" t="s">
        <v>91</v>
      </c>
      <c r="C341" s="2" t="s">
        <v>794</v>
      </c>
      <c r="D341" s="2" t="s">
        <v>192</v>
      </c>
      <c r="E341" s="3" t="s">
        <v>35</v>
      </c>
    </row>
    <row r="342" spans="1:5" ht="16">
      <c r="A342" s="1" t="s">
        <v>795</v>
      </c>
      <c r="B342" s="2" t="s">
        <v>69</v>
      </c>
      <c r="C342" s="2" t="s">
        <v>796</v>
      </c>
      <c r="D342" s="2" t="s">
        <v>440</v>
      </c>
      <c r="E342" s="3" t="s">
        <v>45</v>
      </c>
    </row>
    <row r="343" spans="1:5" ht="16">
      <c r="A343" s="1" t="s">
        <v>797</v>
      </c>
      <c r="B343" s="2" t="s">
        <v>85</v>
      </c>
      <c r="C343" s="2" t="s">
        <v>798</v>
      </c>
      <c r="D343" s="2" t="s">
        <v>192</v>
      </c>
      <c r="E343" s="3" t="s">
        <v>35</v>
      </c>
    </row>
    <row r="344" spans="1:5" ht="16">
      <c r="A344" s="1" t="s">
        <v>799</v>
      </c>
      <c r="B344" s="2" t="s">
        <v>85</v>
      </c>
      <c r="C344" s="2" t="s">
        <v>800</v>
      </c>
      <c r="D344" s="2" t="s">
        <v>192</v>
      </c>
      <c r="E344" s="3" t="s">
        <v>35</v>
      </c>
    </row>
    <row r="345" spans="1:5" ht="16">
      <c r="A345" s="1" t="s">
        <v>801</v>
      </c>
      <c r="B345" s="2" t="s">
        <v>80</v>
      </c>
      <c r="C345" s="2" t="s">
        <v>802</v>
      </c>
      <c r="D345" s="2" t="s">
        <v>440</v>
      </c>
      <c r="E345" s="3" t="s">
        <v>45</v>
      </c>
    </row>
    <row r="346" spans="1:5" ht="16">
      <c r="A346" s="1" t="s">
        <v>803</v>
      </c>
      <c r="B346" s="2" t="s">
        <v>91</v>
      </c>
      <c r="C346" s="2" t="s">
        <v>804</v>
      </c>
      <c r="D346" s="2" t="s">
        <v>192</v>
      </c>
      <c r="E346" s="3" t="s">
        <v>35</v>
      </c>
    </row>
    <row r="347" spans="1:5" ht="16">
      <c r="A347" s="1" t="s">
        <v>805</v>
      </c>
      <c r="B347" s="2" t="s">
        <v>91</v>
      </c>
      <c r="C347" s="2" t="s">
        <v>806</v>
      </c>
      <c r="D347" s="2" t="s">
        <v>192</v>
      </c>
      <c r="E347" s="3" t="s">
        <v>35</v>
      </c>
    </row>
    <row r="348" spans="1:5" ht="16">
      <c r="A348" s="1" t="s">
        <v>807</v>
      </c>
      <c r="B348" s="2" t="s">
        <v>74</v>
      </c>
      <c r="C348" s="2" t="s">
        <v>808</v>
      </c>
      <c r="D348" s="2" t="s">
        <v>440</v>
      </c>
      <c r="E348" s="3" t="s">
        <v>45</v>
      </c>
    </row>
    <row r="349" spans="1:5" ht="16">
      <c r="A349" s="1" t="s">
        <v>809</v>
      </c>
      <c r="B349" s="2" t="s">
        <v>74</v>
      </c>
      <c r="C349" s="2" t="s">
        <v>810</v>
      </c>
      <c r="D349" s="2" t="s">
        <v>440</v>
      </c>
      <c r="E349" s="3" t="s">
        <v>45</v>
      </c>
    </row>
    <row r="350" spans="1:5" ht="16">
      <c r="A350" s="1" t="s">
        <v>811</v>
      </c>
      <c r="B350" s="2" t="s">
        <v>85</v>
      </c>
      <c r="C350" s="2" t="s">
        <v>812</v>
      </c>
      <c r="D350" s="2" t="s">
        <v>192</v>
      </c>
      <c r="E350" s="3" t="s">
        <v>35</v>
      </c>
    </row>
    <row r="351" spans="1:5" ht="16">
      <c r="A351" s="1" t="s">
        <v>813</v>
      </c>
      <c r="B351" s="2" t="s">
        <v>91</v>
      </c>
      <c r="C351" s="2" t="s">
        <v>814</v>
      </c>
      <c r="D351" s="2" t="s">
        <v>192</v>
      </c>
      <c r="E351" s="3" t="s">
        <v>35</v>
      </c>
    </row>
    <row r="352" spans="1:5" ht="16">
      <c r="A352" s="1" t="s">
        <v>815</v>
      </c>
      <c r="B352" s="2" t="s">
        <v>303</v>
      </c>
      <c r="C352" s="2" t="s">
        <v>816</v>
      </c>
      <c r="D352" s="2" t="s">
        <v>192</v>
      </c>
      <c r="E352" s="3" t="s">
        <v>35</v>
      </c>
    </row>
    <row r="353" spans="1:5" ht="16">
      <c r="A353" s="1" t="s">
        <v>817</v>
      </c>
      <c r="B353" s="2" t="s">
        <v>199</v>
      </c>
      <c r="C353" s="2" t="s">
        <v>818</v>
      </c>
      <c r="D353" s="2" t="s">
        <v>192</v>
      </c>
      <c r="E353" s="3" t="s">
        <v>35</v>
      </c>
    </row>
    <row r="354" spans="1:5" ht="16">
      <c r="A354" s="1" t="s">
        <v>819</v>
      </c>
      <c r="B354" s="2" t="s">
        <v>243</v>
      </c>
      <c r="C354" s="2" t="s">
        <v>820</v>
      </c>
      <c r="D354" s="2" t="s">
        <v>192</v>
      </c>
      <c r="E354" s="3" t="s">
        <v>35</v>
      </c>
    </row>
    <row r="355" spans="1:5" ht="16">
      <c r="A355" s="1" t="s">
        <v>821</v>
      </c>
      <c r="B355" s="2" t="s">
        <v>85</v>
      </c>
      <c r="C355" s="2" t="s">
        <v>822</v>
      </c>
      <c r="D355" s="2" t="s">
        <v>192</v>
      </c>
      <c r="E355" s="3" t="s">
        <v>35</v>
      </c>
    </row>
    <row r="356" spans="1:5" ht="16">
      <c r="A356" s="1" t="s">
        <v>823</v>
      </c>
      <c r="B356" s="2" t="s">
        <v>69</v>
      </c>
      <c r="C356" s="2" t="s">
        <v>824</v>
      </c>
      <c r="D356" s="2" t="s">
        <v>440</v>
      </c>
      <c r="E356" s="3" t="s">
        <v>45</v>
      </c>
    </row>
    <row r="357" spans="1:5" ht="16">
      <c r="A357" s="1" t="s">
        <v>825</v>
      </c>
      <c r="B357" s="2" t="s">
        <v>85</v>
      </c>
      <c r="C357" s="2" t="s">
        <v>826</v>
      </c>
      <c r="D357" s="2" t="s">
        <v>192</v>
      </c>
      <c r="E357" s="3" t="s">
        <v>35</v>
      </c>
    </row>
    <row r="358" spans="1:5" ht="16">
      <c r="A358" s="1" t="s">
        <v>827</v>
      </c>
      <c r="B358" s="2" t="s">
        <v>85</v>
      </c>
      <c r="C358" s="2" t="s">
        <v>828</v>
      </c>
      <c r="D358" s="2" t="s">
        <v>192</v>
      </c>
      <c r="E358" s="3" t="s">
        <v>35</v>
      </c>
    </row>
    <row r="359" spans="1:5" ht="16">
      <c r="A359" s="1" t="s">
        <v>829</v>
      </c>
      <c r="B359" s="2" t="s">
        <v>74</v>
      </c>
      <c r="C359" s="2" t="s">
        <v>830</v>
      </c>
      <c r="D359" s="2" t="s">
        <v>440</v>
      </c>
      <c r="E359" s="3" t="s">
        <v>45</v>
      </c>
    </row>
    <row r="360" spans="1:5" ht="16">
      <c r="A360" s="1" t="s">
        <v>831</v>
      </c>
      <c r="B360" s="2" t="s">
        <v>214</v>
      </c>
      <c r="C360" s="2" t="s">
        <v>832</v>
      </c>
      <c r="D360" s="2" t="s">
        <v>192</v>
      </c>
      <c r="E360" s="3" t="s">
        <v>35</v>
      </c>
    </row>
    <row r="361" spans="1:5" ht="16">
      <c r="A361" s="1" t="s">
        <v>833</v>
      </c>
      <c r="B361" s="2" t="s">
        <v>303</v>
      </c>
      <c r="C361" s="2" t="s">
        <v>834</v>
      </c>
      <c r="D361" s="2" t="s">
        <v>192</v>
      </c>
      <c r="E361" s="3" t="s">
        <v>35</v>
      </c>
    </row>
    <row r="362" spans="1:5" ht="16">
      <c r="A362" s="1" t="s">
        <v>835</v>
      </c>
      <c r="B362" s="2" t="s">
        <v>80</v>
      </c>
      <c r="C362" s="2" t="s">
        <v>836</v>
      </c>
      <c r="D362" s="2" t="s">
        <v>440</v>
      </c>
      <c r="E362" s="3" t="s">
        <v>45</v>
      </c>
    </row>
    <row r="363" spans="1:5" ht="16">
      <c r="A363" s="1" t="s">
        <v>837</v>
      </c>
      <c r="B363" s="2" t="s">
        <v>97</v>
      </c>
      <c r="C363" s="2" t="s">
        <v>838</v>
      </c>
      <c r="D363" s="2" t="s">
        <v>192</v>
      </c>
      <c r="E363" s="3" t="s">
        <v>35</v>
      </c>
    </row>
    <row r="364" spans="1:5" ht="16">
      <c r="A364" s="1" t="s">
        <v>839</v>
      </c>
      <c r="B364" s="2" t="s">
        <v>97</v>
      </c>
      <c r="C364" s="2" t="s">
        <v>840</v>
      </c>
      <c r="D364" s="2" t="s">
        <v>192</v>
      </c>
      <c r="E364" s="3" t="s">
        <v>35</v>
      </c>
    </row>
    <row r="365" spans="1:5" ht="16">
      <c r="A365" s="1" t="s">
        <v>841</v>
      </c>
      <c r="B365" s="2" t="s">
        <v>97</v>
      </c>
      <c r="C365" s="2" t="s">
        <v>842</v>
      </c>
      <c r="D365" s="2" t="s">
        <v>192</v>
      </c>
      <c r="E365" s="3" t="s">
        <v>35</v>
      </c>
    </row>
    <row r="366" spans="1:5" ht="16">
      <c r="A366" s="1" t="s">
        <v>843</v>
      </c>
      <c r="B366" s="2" t="s">
        <v>91</v>
      </c>
      <c r="C366" s="2" t="s">
        <v>844</v>
      </c>
      <c r="D366" s="2" t="s">
        <v>192</v>
      </c>
      <c r="E366" s="3" t="s">
        <v>35</v>
      </c>
    </row>
    <row r="367" spans="1:5" ht="16">
      <c r="A367" s="1" t="s">
        <v>845</v>
      </c>
      <c r="B367" s="2" t="s">
        <v>97</v>
      </c>
      <c r="C367" s="2" t="s">
        <v>846</v>
      </c>
      <c r="D367" s="2" t="s">
        <v>192</v>
      </c>
      <c r="E367" s="3" t="s">
        <v>35</v>
      </c>
    </row>
    <row r="368" spans="1:5" ht="16">
      <c r="A368" s="1" t="s">
        <v>847</v>
      </c>
      <c r="B368" s="2" t="s">
        <v>97</v>
      </c>
      <c r="C368" s="2" t="s">
        <v>848</v>
      </c>
      <c r="D368" s="2" t="s">
        <v>192</v>
      </c>
      <c r="E368" s="3" t="s">
        <v>35</v>
      </c>
    </row>
    <row r="369" spans="1:5" ht="16">
      <c r="A369" s="1" t="s">
        <v>849</v>
      </c>
      <c r="B369" s="2" t="s">
        <v>303</v>
      </c>
      <c r="C369" s="2" t="s">
        <v>850</v>
      </c>
      <c r="D369" s="2" t="s">
        <v>192</v>
      </c>
      <c r="E369" s="3" t="s">
        <v>35</v>
      </c>
    </row>
    <row r="370" spans="1:5" ht="16">
      <c r="A370" s="1" t="s">
        <v>851</v>
      </c>
      <c r="B370" s="2" t="s">
        <v>303</v>
      </c>
      <c r="C370" s="2" t="s">
        <v>852</v>
      </c>
      <c r="D370" s="2" t="s">
        <v>192</v>
      </c>
      <c r="E370" s="3" t="s">
        <v>35</v>
      </c>
    </row>
    <row r="371" spans="1:5" ht="16">
      <c r="A371" s="1" t="s">
        <v>853</v>
      </c>
      <c r="B371" s="2" t="s">
        <v>97</v>
      </c>
      <c r="C371" s="2" t="s">
        <v>854</v>
      </c>
      <c r="D371" s="2" t="s">
        <v>192</v>
      </c>
      <c r="E371" s="3" t="s">
        <v>35</v>
      </c>
    </row>
    <row r="372" spans="1:5" ht="16">
      <c r="A372" s="1" t="s">
        <v>855</v>
      </c>
      <c r="B372" s="2" t="s">
        <v>97</v>
      </c>
      <c r="C372" s="2" t="s">
        <v>856</v>
      </c>
      <c r="D372" s="2" t="s">
        <v>192</v>
      </c>
      <c r="E372" s="3" t="s">
        <v>35</v>
      </c>
    </row>
    <row r="373" spans="1:5" ht="16">
      <c r="A373" s="1" t="s">
        <v>857</v>
      </c>
      <c r="B373" s="2" t="s">
        <v>91</v>
      </c>
      <c r="C373" s="2" t="s">
        <v>858</v>
      </c>
      <c r="D373" s="2" t="s">
        <v>192</v>
      </c>
      <c r="E373" s="3" t="s">
        <v>35</v>
      </c>
    </row>
    <row r="374" spans="1:5" ht="16">
      <c r="A374" s="1" t="s">
        <v>859</v>
      </c>
      <c r="B374" s="2" t="s">
        <v>91</v>
      </c>
      <c r="C374" s="2" t="s">
        <v>860</v>
      </c>
      <c r="D374" s="2" t="s">
        <v>192</v>
      </c>
      <c r="E374" s="3" t="s">
        <v>35</v>
      </c>
    </row>
    <row r="375" spans="1:5" ht="16">
      <c r="A375" s="1" t="s">
        <v>861</v>
      </c>
      <c r="B375" s="2" t="s">
        <v>85</v>
      </c>
      <c r="C375" s="2" t="s">
        <v>862</v>
      </c>
      <c r="D375" s="2" t="s">
        <v>192</v>
      </c>
      <c r="E375" s="3" t="s">
        <v>35</v>
      </c>
    </row>
    <row r="376" spans="1:5" ht="16">
      <c r="A376" s="1" t="s">
        <v>863</v>
      </c>
      <c r="B376" s="2" t="s">
        <v>85</v>
      </c>
      <c r="C376" s="2" t="s">
        <v>864</v>
      </c>
      <c r="D376" s="2" t="s">
        <v>192</v>
      </c>
      <c r="E376" s="3" t="s">
        <v>35</v>
      </c>
    </row>
    <row r="377" spans="1:5" ht="16">
      <c r="A377" s="1" t="s">
        <v>865</v>
      </c>
      <c r="B377" s="2" t="s">
        <v>303</v>
      </c>
      <c r="C377" s="2" t="s">
        <v>866</v>
      </c>
      <c r="D377" s="2" t="s">
        <v>192</v>
      </c>
      <c r="E377" s="3" t="s">
        <v>35</v>
      </c>
    </row>
    <row r="378" spans="1:5" ht="16">
      <c r="A378" s="1" t="s">
        <v>867</v>
      </c>
      <c r="B378" s="2" t="s">
        <v>97</v>
      </c>
      <c r="C378" s="2" t="s">
        <v>868</v>
      </c>
      <c r="D378" s="2" t="s">
        <v>192</v>
      </c>
      <c r="E378" s="3" t="s">
        <v>35</v>
      </c>
    </row>
    <row r="379" spans="1:5" ht="16">
      <c r="A379" s="1" t="s">
        <v>869</v>
      </c>
      <c r="B379" s="2" t="s">
        <v>97</v>
      </c>
      <c r="C379" s="2" t="s">
        <v>870</v>
      </c>
      <c r="D379" s="2" t="s">
        <v>192</v>
      </c>
      <c r="E379" s="3" t="s">
        <v>35</v>
      </c>
    </row>
    <row r="380" spans="1:5" ht="16">
      <c r="A380" s="1" t="s">
        <v>871</v>
      </c>
      <c r="B380" s="2" t="s">
        <v>97</v>
      </c>
      <c r="C380" s="2" t="s">
        <v>872</v>
      </c>
      <c r="D380" s="2" t="s">
        <v>192</v>
      </c>
      <c r="E380" s="3" t="s">
        <v>35</v>
      </c>
    </row>
    <row r="381" spans="1:5" ht="16">
      <c r="A381" s="1" t="s">
        <v>873</v>
      </c>
      <c r="B381" s="2" t="s">
        <v>303</v>
      </c>
      <c r="C381" s="2" t="s">
        <v>874</v>
      </c>
      <c r="D381" s="2" t="s">
        <v>192</v>
      </c>
      <c r="E381" s="3" t="s">
        <v>35</v>
      </c>
    </row>
    <row r="382" spans="1:5" ht="16">
      <c r="A382" s="1" t="s">
        <v>875</v>
      </c>
      <c r="B382" s="2" t="s">
        <v>85</v>
      </c>
      <c r="C382" s="2" t="s">
        <v>876</v>
      </c>
      <c r="D382" s="2" t="s">
        <v>192</v>
      </c>
      <c r="E382" s="3" t="s">
        <v>35</v>
      </c>
    </row>
    <row r="383" spans="1:5" ht="16">
      <c r="A383" s="1" t="s">
        <v>877</v>
      </c>
      <c r="B383" s="2" t="s">
        <v>91</v>
      </c>
      <c r="C383" s="2" t="s">
        <v>878</v>
      </c>
      <c r="D383" s="2" t="s">
        <v>192</v>
      </c>
      <c r="E383" s="3" t="s">
        <v>35</v>
      </c>
    </row>
    <row r="384" spans="1:5" ht="16">
      <c r="A384" s="1" t="s">
        <v>879</v>
      </c>
      <c r="B384" s="2" t="s">
        <v>303</v>
      </c>
      <c r="C384" s="2" t="s">
        <v>880</v>
      </c>
      <c r="D384" s="2" t="s">
        <v>192</v>
      </c>
      <c r="E384" s="3" t="s">
        <v>35</v>
      </c>
    </row>
    <row r="385" spans="1:5" ht="16">
      <c r="A385" s="1" t="s">
        <v>881</v>
      </c>
      <c r="B385" s="2" t="s">
        <v>85</v>
      </c>
      <c r="C385" s="2" t="s">
        <v>882</v>
      </c>
      <c r="D385" s="2" t="s">
        <v>192</v>
      </c>
      <c r="E385" s="3" t="s">
        <v>35</v>
      </c>
    </row>
    <row r="386" spans="1:5" ht="16">
      <c r="A386" s="1" t="s">
        <v>883</v>
      </c>
      <c r="B386" s="2" t="s">
        <v>85</v>
      </c>
      <c r="C386" s="2" t="s">
        <v>884</v>
      </c>
      <c r="D386" s="2" t="s">
        <v>192</v>
      </c>
      <c r="E386" s="3" t="s">
        <v>35</v>
      </c>
    </row>
    <row r="387" spans="1:5" ht="16">
      <c r="A387" s="1" t="s">
        <v>885</v>
      </c>
      <c r="B387" s="2" t="s">
        <v>85</v>
      </c>
      <c r="C387" s="2" t="s">
        <v>886</v>
      </c>
      <c r="D387" s="2" t="s">
        <v>192</v>
      </c>
      <c r="E387" s="3" t="s">
        <v>35</v>
      </c>
    </row>
    <row r="388" spans="1:5" ht="16">
      <c r="A388" s="1" t="s">
        <v>887</v>
      </c>
      <c r="B388" s="2" t="s">
        <v>85</v>
      </c>
      <c r="C388" s="2" t="s">
        <v>888</v>
      </c>
      <c r="D388" s="2" t="s">
        <v>192</v>
      </c>
      <c r="E388" s="3" t="s">
        <v>35</v>
      </c>
    </row>
    <row r="389" spans="1:5" ht="16">
      <c r="A389" s="1" t="s">
        <v>889</v>
      </c>
      <c r="B389" s="2" t="s">
        <v>91</v>
      </c>
      <c r="C389" s="2" t="s">
        <v>890</v>
      </c>
      <c r="D389" s="2" t="s">
        <v>192</v>
      </c>
      <c r="E389" s="3" t="s">
        <v>35</v>
      </c>
    </row>
    <row r="390" spans="1:5" ht="16">
      <c r="A390" s="1" t="s">
        <v>891</v>
      </c>
      <c r="B390" s="2" t="s">
        <v>97</v>
      </c>
      <c r="C390" s="2" t="s">
        <v>892</v>
      </c>
      <c r="D390" s="2" t="s">
        <v>192</v>
      </c>
      <c r="E390" s="3" t="s">
        <v>35</v>
      </c>
    </row>
    <row r="391" spans="1:5" ht="16">
      <c r="A391" s="1" t="s">
        <v>893</v>
      </c>
      <c r="B391" s="2" t="s">
        <v>91</v>
      </c>
      <c r="C391" s="2" t="s">
        <v>894</v>
      </c>
      <c r="D391" s="2" t="s">
        <v>192</v>
      </c>
      <c r="E391" s="3" t="s">
        <v>35</v>
      </c>
    </row>
    <row r="392" spans="1:5" ht="16">
      <c r="A392" s="1" t="s">
        <v>895</v>
      </c>
      <c r="B392" s="2" t="s">
        <v>199</v>
      </c>
      <c r="C392" s="2" t="s">
        <v>896</v>
      </c>
      <c r="D392" s="2" t="s">
        <v>192</v>
      </c>
      <c r="E392" s="3" t="s">
        <v>35</v>
      </c>
    </row>
    <row r="393" spans="1:5" ht="16">
      <c r="A393" s="1" t="s">
        <v>897</v>
      </c>
      <c r="B393" s="2" t="s">
        <v>303</v>
      </c>
      <c r="C393" s="2" t="s">
        <v>898</v>
      </c>
      <c r="D393" s="2" t="s">
        <v>192</v>
      </c>
      <c r="E393" s="3" t="s">
        <v>35</v>
      </c>
    </row>
    <row r="394" spans="1:5" ht="16">
      <c r="A394" s="1" t="s">
        <v>899</v>
      </c>
      <c r="B394" s="2" t="s">
        <v>85</v>
      </c>
      <c r="C394" s="2" t="s">
        <v>900</v>
      </c>
      <c r="D394" s="2" t="s">
        <v>192</v>
      </c>
      <c r="E394" s="3" t="s">
        <v>35</v>
      </c>
    </row>
    <row r="395" spans="1:5" ht="16">
      <c r="A395" s="1" t="s">
        <v>901</v>
      </c>
      <c r="B395" s="2" t="s">
        <v>85</v>
      </c>
      <c r="C395" s="2" t="s">
        <v>902</v>
      </c>
      <c r="D395" s="2" t="s">
        <v>192</v>
      </c>
      <c r="E395" s="3" t="s">
        <v>35</v>
      </c>
    </row>
    <row r="396" spans="1:5" ht="16">
      <c r="A396" s="1" t="s">
        <v>903</v>
      </c>
      <c r="B396" s="2"/>
      <c r="C396" s="2" t="s">
        <v>904</v>
      </c>
      <c r="D396" s="2" t="s">
        <v>111</v>
      </c>
      <c r="E396" s="3" t="s">
        <v>50</v>
      </c>
    </row>
    <row r="397" spans="1:5" ht="16">
      <c r="A397" s="1" t="s">
        <v>905</v>
      </c>
      <c r="B397" s="2"/>
      <c r="C397" s="2" t="s">
        <v>906</v>
      </c>
      <c r="D397" s="2" t="s">
        <v>111</v>
      </c>
      <c r="E397" s="3" t="s">
        <v>50</v>
      </c>
    </row>
    <row r="398" spans="1:5" ht="16">
      <c r="A398" s="1" t="s">
        <v>907</v>
      </c>
      <c r="B398" s="2"/>
      <c r="C398" s="2" t="s">
        <v>908</v>
      </c>
      <c r="D398" s="2" t="s">
        <v>111</v>
      </c>
      <c r="E398" s="3" t="s">
        <v>50</v>
      </c>
    </row>
    <row r="399" spans="1:5" ht="16">
      <c r="A399" s="1" t="s">
        <v>909</v>
      </c>
      <c r="B399" s="2"/>
      <c r="C399" s="2" t="s">
        <v>910</v>
      </c>
      <c r="D399" s="2" t="s">
        <v>111</v>
      </c>
      <c r="E399" s="3" t="s">
        <v>50</v>
      </c>
    </row>
    <row r="400" spans="1:5" ht="16">
      <c r="A400" s="1" t="s">
        <v>911</v>
      </c>
      <c r="B400" s="2"/>
      <c r="C400" s="2" t="s">
        <v>912</v>
      </c>
      <c r="D400" s="2" t="s">
        <v>111</v>
      </c>
      <c r="E400" s="3" t="s">
        <v>50</v>
      </c>
    </row>
    <row r="401" spans="1:5" ht="16">
      <c r="A401" s="1" t="s">
        <v>913</v>
      </c>
      <c r="B401" s="2" t="s">
        <v>97</v>
      </c>
      <c r="C401" s="2" t="s">
        <v>914</v>
      </c>
      <c r="D401" s="2" t="s">
        <v>192</v>
      </c>
      <c r="E401" s="3" t="s">
        <v>35</v>
      </c>
    </row>
    <row r="402" spans="1:5" ht="16">
      <c r="A402" s="1" t="s">
        <v>915</v>
      </c>
      <c r="B402" s="2" t="s">
        <v>97</v>
      </c>
      <c r="C402" s="2" t="s">
        <v>916</v>
      </c>
      <c r="D402" s="2" t="s">
        <v>192</v>
      </c>
      <c r="E402" s="3" t="s">
        <v>35</v>
      </c>
    </row>
    <row r="403" spans="1:5" ht="16">
      <c r="A403" s="1" t="s">
        <v>917</v>
      </c>
      <c r="B403" s="2" t="s">
        <v>196</v>
      </c>
      <c r="C403" s="2" t="s">
        <v>918</v>
      </c>
      <c r="D403" s="2" t="s">
        <v>192</v>
      </c>
      <c r="E403" s="3" t="s">
        <v>35</v>
      </c>
    </row>
    <row r="404" spans="1:5" ht="16">
      <c r="A404" s="1" t="s">
        <v>919</v>
      </c>
      <c r="B404" s="2" t="s">
        <v>196</v>
      </c>
      <c r="C404" s="2" t="s">
        <v>920</v>
      </c>
      <c r="D404" s="2" t="s">
        <v>192</v>
      </c>
      <c r="E404" s="3" t="s">
        <v>35</v>
      </c>
    </row>
    <row r="405" spans="1:5" ht="16">
      <c r="A405" s="1" t="s">
        <v>921</v>
      </c>
      <c r="B405" s="2" t="s">
        <v>91</v>
      </c>
      <c r="C405" s="2" t="s">
        <v>922</v>
      </c>
      <c r="D405" s="2" t="s">
        <v>192</v>
      </c>
      <c r="E405" s="3" t="s">
        <v>35</v>
      </c>
    </row>
    <row r="406" spans="1:5" ht="16">
      <c r="A406" s="1" t="s">
        <v>923</v>
      </c>
      <c r="B406" s="2" t="s">
        <v>196</v>
      </c>
      <c r="C406" s="2" t="s">
        <v>924</v>
      </c>
      <c r="D406" s="2" t="s">
        <v>192</v>
      </c>
      <c r="E406" s="3" t="s">
        <v>35</v>
      </c>
    </row>
    <row r="407" spans="1:5" ht="16">
      <c r="A407" s="1" t="s">
        <v>925</v>
      </c>
      <c r="B407" s="2" t="s">
        <v>91</v>
      </c>
      <c r="C407" s="2" t="s">
        <v>926</v>
      </c>
      <c r="D407" s="2" t="s">
        <v>192</v>
      </c>
      <c r="E407" s="3" t="s">
        <v>35</v>
      </c>
    </row>
    <row r="408" spans="1:5" ht="16">
      <c r="A408" s="1" t="s">
        <v>927</v>
      </c>
      <c r="B408" s="2" t="s">
        <v>196</v>
      </c>
      <c r="C408" s="2" t="s">
        <v>928</v>
      </c>
      <c r="D408" s="2" t="s">
        <v>192</v>
      </c>
      <c r="E408" s="3" t="s">
        <v>35</v>
      </c>
    </row>
    <row r="409" spans="1:5" ht="16">
      <c r="A409" s="1" t="s">
        <v>929</v>
      </c>
      <c r="B409" s="2" t="s">
        <v>97</v>
      </c>
      <c r="C409" s="2" t="s">
        <v>930</v>
      </c>
      <c r="D409" s="2" t="s">
        <v>192</v>
      </c>
      <c r="E409" s="3" t="s">
        <v>35</v>
      </c>
    </row>
    <row r="410" spans="1:5" ht="16">
      <c r="A410" s="1" t="s">
        <v>931</v>
      </c>
      <c r="B410" s="2" t="s">
        <v>196</v>
      </c>
      <c r="C410" s="2" t="s">
        <v>932</v>
      </c>
      <c r="D410" s="2" t="s">
        <v>192</v>
      </c>
      <c r="E410" s="3" t="s">
        <v>35</v>
      </c>
    </row>
    <row r="411" spans="1:5" ht="16">
      <c r="A411" s="1" t="s">
        <v>933</v>
      </c>
      <c r="B411" s="2" t="s">
        <v>91</v>
      </c>
      <c r="C411" s="2" t="s">
        <v>934</v>
      </c>
      <c r="D411" s="2" t="s">
        <v>192</v>
      </c>
      <c r="E411" s="3" t="s">
        <v>35</v>
      </c>
    </row>
    <row r="412" spans="1:5" ht="16">
      <c r="A412" s="1" t="s">
        <v>935</v>
      </c>
      <c r="B412" s="2" t="s">
        <v>97</v>
      </c>
      <c r="C412" s="2" t="s">
        <v>936</v>
      </c>
      <c r="D412" s="2" t="s">
        <v>192</v>
      </c>
      <c r="E412" s="3" t="s">
        <v>35</v>
      </c>
    </row>
    <row r="413" spans="1:5" ht="16">
      <c r="A413" s="1" t="s">
        <v>937</v>
      </c>
      <c r="B413" s="2" t="s">
        <v>196</v>
      </c>
      <c r="C413" s="2" t="s">
        <v>938</v>
      </c>
      <c r="D413" s="2" t="s">
        <v>192</v>
      </c>
      <c r="E413" s="3" t="s">
        <v>35</v>
      </c>
    </row>
    <row r="414" spans="1:5" ht="16">
      <c r="A414" s="1" t="s">
        <v>939</v>
      </c>
      <c r="B414" s="2" t="s">
        <v>196</v>
      </c>
      <c r="C414" s="2" t="s">
        <v>940</v>
      </c>
      <c r="D414" s="2" t="s">
        <v>192</v>
      </c>
      <c r="E414" s="3" t="s">
        <v>35</v>
      </c>
    </row>
    <row r="415" spans="1:5" ht="16">
      <c r="A415" s="1" t="s">
        <v>941</v>
      </c>
      <c r="B415" s="2" t="s">
        <v>303</v>
      </c>
      <c r="C415" s="2" t="s">
        <v>942</v>
      </c>
      <c r="D415" s="2" t="s">
        <v>192</v>
      </c>
      <c r="E415" s="3" t="s">
        <v>35</v>
      </c>
    </row>
    <row r="416" spans="1:5" ht="16">
      <c r="A416" s="1" t="s">
        <v>943</v>
      </c>
      <c r="B416" s="2" t="s">
        <v>91</v>
      </c>
      <c r="C416" s="2" t="s">
        <v>944</v>
      </c>
      <c r="D416" s="2" t="s">
        <v>192</v>
      </c>
      <c r="E416" s="3" t="s">
        <v>35</v>
      </c>
    </row>
    <row r="417" spans="1:5" ht="16">
      <c r="A417" s="1" t="s">
        <v>945</v>
      </c>
      <c r="B417" s="2" t="s">
        <v>85</v>
      </c>
      <c r="C417" s="2" t="s">
        <v>946</v>
      </c>
      <c r="D417" s="2" t="s">
        <v>192</v>
      </c>
      <c r="E417" s="3" t="s">
        <v>35</v>
      </c>
    </row>
    <row r="418" spans="1:5" ht="16">
      <c r="A418" s="1" t="s">
        <v>947</v>
      </c>
      <c r="B418" s="2" t="s">
        <v>303</v>
      </c>
      <c r="C418" s="2" t="s">
        <v>948</v>
      </c>
      <c r="D418" s="2" t="s">
        <v>192</v>
      </c>
      <c r="E418" s="3" t="s">
        <v>35</v>
      </c>
    </row>
    <row r="419" spans="1:5" ht="16">
      <c r="A419" s="1" t="s">
        <v>949</v>
      </c>
      <c r="B419" s="2" t="s">
        <v>74</v>
      </c>
      <c r="C419" s="2" t="s">
        <v>950</v>
      </c>
      <c r="D419" s="2" t="s">
        <v>440</v>
      </c>
      <c r="E419" s="3" t="s">
        <v>45</v>
      </c>
    </row>
    <row r="420" spans="1:5" ht="16">
      <c r="A420" s="1" t="s">
        <v>951</v>
      </c>
      <c r="B420" s="2" t="s">
        <v>85</v>
      </c>
      <c r="C420" s="2" t="s">
        <v>952</v>
      </c>
      <c r="D420" s="2" t="s">
        <v>192</v>
      </c>
      <c r="E420" s="3" t="s">
        <v>35</v>
      </c>
    </row>
    <row r="421" spans="1:5" ht="16">
      <c r="A421" s="1" t="s">
        <v>953</v>
      </c>
      <c r="B421" s="2" t="s">
        <v>74</v>
      </c>
      <c r="C421" s="2" t="s">
        <v>954</v>
      </c>
      <c r="D421" s="2" t="s">
        <v>440</v>
      </c>
      <c r="E421" s="3" t="s">
        <v>45</v>
      </c>
    </row>
    <row r="422" spans="1:5" ht="16">
      <c r="A422" s="1" t="s">
        <v>955</v>
      </c>
      <c r="B422" s="2" t="s">
        <v>69</v>
      </c>
      <c r="C422" s="2" t="s">
        <v>956</v>
      </c>
      <c r="D422" s="2" t="s">
        <v>440</v>
      </c>
      <c r="E422" s="3" t="s">
        <v>45</v>
      </c>
    </row>
    <row r="423" spans="1:5" ht="16">
      <c r="A423" s="1" t="s">
        <v>957</v>
      </c>
      <c r="B423" s="2" t="s">
        <v>91</v>
      </c>
      <c r="C423" s="2" t="s">
        <v>958</v>
      </c>
      <c r="D423" s="2" t="s">
        <v>192</v>
      </c>
      <c r="E423" s="3" t="s">
        <v>35</v>
      </c>
    </row>
    <row r="424" spans="1:5" ht="16">
      <c r="A424" s="1" t="s">
        <v>959</v>
      </c>
      <c r="B424" s="2" t="s">
        <v>91</v>
      </c>
      <c r="C424" s="2" t="s">
        <v>960</v>
      </c>
      <c r="D424" s="2" t="s">
        <v>192</v>
      </c>
      <c r="E424" s="3" t="s">
        <v>35</v>
      </c>
    </row>
    <row r="425" spans="1:5" ht="16">
      <c r="A425" s="1" t="s">
        <v>961</v>
      </c>
      <c r="B425" s="2" t="s">
        <v>97</v>
      </c>
      <c r="C425" s="2" t="s">
        <v>962</v>
      </c>
      <c r="D425" s="2" t="s">
        <v>192</v>
      </c>
      <c r="E425" s="3" t="s">
        <v>35</v>
      </c>
    </row>
    <row r="426" spans="1:5" ht="16">
      <c r="A426" s="1" t="s">
        <v>963</v>
      </c>
      <c r="B426" s="2" t="s">
        <v>69</v>
      </c>
      <c r="C426" s="2" t="s">
        <v>964</v>
      </c>
      <c r="D426" s="2" t="s">
        <v>440</v>
      </c>
      <c r="E426" s="3" t="s">
        <v>45</v>
      </c>
    </row>
    <row r="427" spans="1:5" ht="16">
      <c r="A427" s="1" t="s">
        <v>965</v>
      </c>
      <c r="B427" s="2" t="s">
        <v>69</v>
      </c>
      <c r="C427" s="2" t="s">
        <v>966</v>
      </c>
      <c r="D427" s="2" t="s">
        <v>440</v>
      </c>
      <c r="E427" s="3" t="s">
        <v>45</v>
      </c>
    </row>
    <row r="428" spans="1:5" ht="16">
      <c r="A428" s="1" t="s">
        <v>967</v>
      </c>
      <c r="B428" s="2" t="s">
        <v>91</v>
      </c>
      <c r="C428" s="2" t="s">
        <v>968</v>
      </c>
      <c r="D428" s="2" t="s">
        <v>192</v>
      </c>
      <c r="E428" s="3" t="s">
        <v>35</v>
      </c>
    </row>
    <row r="429" spans="1:5" ht="16">
      <c r="A429" s="1" t="s">
        <v>969</v>
      </c>
      <c r="B429" s="2" t="s">
        <v>74</v>
      </c>
      <c r="C429" s="2" t="s">
        <v>970</v>
      </c>
      <c r="D429" s="2" t="s">
        <v>440</v>
      </c>
      <c r="E429" s="3" t="s">
        <v>45</v>
      </c>
    </row>
    <row r="430" spans="1:5" ht="16">
      <c r="A430" s="1" t="s">
        <v>971</v>
      </c>
      <c r="B430" s="2" t="s">
        <v>91</v>
      </c>
      <c r="C430" s="2" t="s">
        <v>972</v>
      </c>
      <c r="D430" s="2" t="s">
        <v>192</v>
      </c>
      <c r="E430" s="3" t="s">
        <v>35</v>
      </c>
    </row>
    <row r="431" spans="1:5" ht="16">
      <c r="A431" s="1" t="s">
        <v>973</v>
      </c>
      <c r="B431" s="2" t="s">
        <v>91</v>
      </c>
      <c r="C431" s="2" t="s">
        <v>974</v>
      </c>
      <c r="D431" s="2" t="s">
        <v>192</v>
      </c>
      <c r="E431" s="3" t="s">
        <v>35</v>
      </c>
    </row>
    <row r="432" spans="1:5" ht="16">
      <c r="A432" s="1" t="s">
        <v>975</v>
      </c>
      <c r="B432" s="2" t="s">
        <v>85</v>
      </c>
      <c r="C432" s="2" t="s">
        <v>976</v>
      </c>
      <c r="D432" s="2" t="s">
        <v>192</v>
      </c>
      <c r="E432" s="3" t="s">
        <v>35</v>
      </c>
    </row>
    <row r="433" spans="1:5" ht="16">
      <c r="A433" s="1" t="s">
        <v>977</v>
      </c>
      <c r="B433" s="2" t="s">
        <v>91</v>
      </c>
      <c r="C433" s="2" t="s">
        <v>978</v>
      </c>
      <c r="D433" s="2" t="s">
        <v>192</v>
      </c>
      <c r="E433" s="3" t="s">
        <v>35</v>
      </c>
    </row>
    <row r="434" spans="1:5" ht="16">
      <c r="A434" s="1" t="s">
        <v>979</v>
      </c>
      <c r="B434" s="2" t="s">
        <v>303</v>
      </c>
      <c r="C434" s="2" t="s">
        <v>980</v>
      </c>
      <c r="D434" s="2" t="s">
        <v>192</v>
      </c>
      <c r="E434" s="3" t="s">
        <v>35</v>
      </c>
    </row>
    <row r="435" spans="1:5" ht="16">
      <c r="A435" s="1" t="s">
        <v>981</v>
      </c>
      <c r="B435" s="2" t="s">
        <v>214</v>
      </c>
      <c r="C435" s="2" t="s">
        <v>982</v>
      </c>
      <c r="D435" s="2" t="s">
        <v>192</v>
      </c>
      <c r="E435" s="3" t="s">
        <v>35</v>
      </c>
    </row>
    <row r="436" spans="1:5" ht="16">
      <c r="A436" s="1" t="s">
        <v>983</v>
      </c>
      <c r="B436" s="2" t="s">
        <v>254</v>
      </c>
      <c r="C436" s="2" t="s">
        <v>984</v>
      </c>
      <c r="D436" s="2" t="s">
        <v>192</v>
      </c>
      <c r="E436" s="3" t="s">
        <v>35</v>
      </c>
    </row>
    <row r="437" spans="1:5" ht="16">
      <c r="A437" s="1" t="s">
        <v>985</v>
      </c>
      <c r="B437" s="2" t="s">
        <v>97</v>
      </c>
      <c r="C437" s="2" t="s">
        <v>986</v>
      </c>
      <c r="D437" s="2" t="s">
        <v>192</v>
      </c>
      <c r="E437" s="3" t="s">
        <v>35</v>
      </c>
    </row>
    <row r="438" spans="1:5" ht="16">
      <c r="A438" s="1" t="s">
        <v>987</v>
      </c>
      <c r="B438" s="2" t="s">
        <v>97</v>
      </c>
      <c r="C438" s="2" t="s">
        <v>988</v>
      </c>
      <c r="D438" s="2" t="s">
        <v>192</v>
      </c>
      <c r="E438" s="3" t="s">
        <v>35</v>
      </c>
    </row>
    <row r="439" spans="1:5" ht="16">
      <c r="A439" s="1" t="s">
        <v>989</v>
      </c>
      <c r="B439" s="2" t="s">
        <v>214</v>
      </c>
      <c r="C439" s="2" t="s">
        <v>990</v>
      </c>
      <c r="D439" s="2" t="s">
        <v>192</v>
      </c>
      <c r="E439" s="3" t="s">
        <v>35</v>
      </c>
    </row>
    <row r="440" spans="1:5" ht="16">
      <c r="A440" s="1" t="s">
        <v>991</v>
      </c>
      <c r="B440" s="2" t="s">
        <v>199</v>
      </c>
      <c r="C440" s="2" t="s">
        <v>992</v>
      </c>
      <c r="D440" s="2" t="s">
        <v>192</v>
      </c>
      <c r="E440" s="3" t="s">
        <v>35</v>
      </c>
    </row>
    <row r="441" spans="1:5" ht="16">
      <c r="A441" s="1" t="s">
        <v>993</v>
      </c>
      <c r="B441" s="2" t="s">
        <v>199</v>
      </c>
      <c r="C441" s="2" t="s">
        <v>994</v>
      </c>
      <c r="D441" s="2" t="s">
        <v>192</v>
      </c>
      <c r="E441" s="3" t="s">
        <v>35</v>
      </c>
    </row>
    <row r="442" spans="1:5" ht="16">
      <c r="A442" s="1" t="s">
        <v>995</v>
      </c>
      <c r="B442" s="2" t="s">
        <v>91</v>
      </c>
      <c r="C442" s="2" t="s">
        <v>996</v>
      </c>
      <c r="D442" s="2" t="s">
        <v>192</v>
      </c>
      <c r="E442" s="3" t="s">
        <v>35</v>
      </c>
    </row>
    <row r="443" spans="1:5" ht="16">
      <c r="A443" s="1" t="s">
        <v>997</v>
      </c>
      <c r="B443" s="2" t="s">
        <v>97</v>
      </c>
      <c r="C443" s="2" t="s">
        <v>998</v>
      </c>
      <c r="D443" s="2" t="s">
        <v>192</v>
      </c>
      <c r="E443" s="3" t="s">
        <v>35</v>
      </c>
    </row>
    <row r="444" spans="1:5" ht="16">
      <c r="A444" s="1" t="s">
        <v>999</v>
      </c>
      <c r="B444" s="2" t="s">
        <v>97</v>
      </c>
      <c r="C444" s="2" t="s">
        <v>1000</v>
      </c>
      <c r="D444" s="2" t="s">
        <v>192</v>
      </c>
      <c r="E444" s="3" t="s">
        <v>35</v>
      </c>
    </row>
    <row r="445" spans="1:5" ht="16">
      <c r="A445" s="1" t="s">
        <v>1001</v>
      </c>
      <c r="B445" s="2" t="s">
        <v>196</v>
      </c>
      <c r="C445" s="2" t="s">
        <v>1002</v>
      </c>
      <c r="D445" s="2" t="s">
        <v>192</v>
      </c>
      <c r="E445" s="3" t="s">
        <v>35</v>
      </c>
    </row>
    <row r="446" spans="1:5" ht="16">
      <c r="A446" s="1" t="s">
        <v>1003</v>
      </c>
      <c r="B446" s="2" t="s">
        <v>243</v>
      </c>
      <c r="C446" s="2" t="s">
        <v>1004</v>
      </c>
      <c r="D446" s="2" t="s">
        <v>192</v>
      </c>
      <c r="E446" s="3" t="s">
        <v>35</v>
      </c>
    </row>
    <row r="447" spans="1:5" ht="16">
      <c r="A447" s="1" t="s">
        <v>1005</v>
      </c>
      <c r="B447" s="2" t="s">
        <v>85</v>
      </c>
      <c r="C447" s="2" t="s">
        <v>1006</v>
      </c>
      <c r="D447" s="2" t="s">
        <v>192</v>
      </c>
      <c r="E447" s="3" t="s">
        <v>35</v>
      </c>
    </row>
    <row r="448" spans="1:5" ht="16">
      <c r="A448" s="1" t="s">
        <v>1007</v>
      </c>
      <c r="B448" s="2" t="s">
        <v>303</v>
      </c>
      <c r="C448" s="2" t="s">
        <v>1008</v>
      </c>
      <c r="D448" s="2" t="s">
        <v>192</v>
      </c>
      <c r="E448" s="3" t="s">
        <v>35</v>
      </c>
    </row>
    <row r="449" spans="1:5" ht="16">
      <c r="A449" s="1" t="s">
        <v>1009</v>
      </c>
      <c r="B449" s="2" t="s">
        <v>91</v>
      </c>
      <c r="C449" s="2" t="s">
        <v>1010</v>
      </c>
      <c r="D449" s="2" t="s">
        <v>192</v>
      </c>
      <c r="E449" s="3" t="s">
        <v>35</v>
      </c>
    </row>
    <row r="450" spans="1:5" ht="16">
      <c r="A450" s="1" t="s">
        <v>1011</v>
      </c>
      <c r="B450" s="2" t="s">
        <v>91</v>
      </c>
      <c r="C450" s="2" t="s">
        <v>1012</v>
      </c>
      <c r="D450" s="2" t="s">
        <v>192</v>
      </c>
      <c r="E450" s="3" t="s">
        <v>35</v>
      </c>
    </row>
    <row r="451" spans="1:5" ht="16">
      <c r="A451" s="1" t="s">
        <v>1013</v>
      </c>
      <c r="B451" s="2" t="s">
        <v>91</v>
      </c>
      <c r="C451" s="2" t="s">
        <v>1014</v>
      </c>
      <c r="D451" s="2" t="s">
        <v>192</v>
      </c>
      <c r="E451" s="3" t="s">
        <v>35</v>
      </c>
    </row>
    <row r="452" spans="1:5" ht="16">
      <c r="A452" s="1" t="s">
        <v>1015</v>
      </c>
      <c r="B452" s="2" t="s">
        <v>97</v>
      </c>
      <c r="C452" s="2" t="s">
        <v>1016</v>
      </c>
      <c r="D452" s="2" t="s">
        <v>192</v>
      </c>
      <c r="E452" s="3" t="s">
        <v>35</v>
      </c>
    </row>
    <row r="453" spans="1:5" ht="16">
      <c r="A453" s="1" t="s">
        <v>1017</v>
      </c>
      <c r="B453" s="2" t="s">
        <v>80</v>
      </c>
      <c r="C453" s="2" t="s">
        <v>1018</v>
      </c>
      <c r="D453" s="2" t="s">
        <v>440</v>
      </c>
      <c r="E453" s="3" t="s">
        <v>45</v>
      </c>
    </row>
    <row r="454" spans="1:5" ht="16">
      <c r="A454" s="1" t="s">
        <v>1019</v>
      </c>
      <c r="B454" s="2" t="s">
        <v>85</v>
      </c>
      <c r="C454" s="2" t="s">
        <v>1020</v>
      </c>
      <c r="D454" s="2" t="s">
        <v>192</v>
      </c>
      <c r="E454" s="3" t="s">
        <v>35</v>
      </c>
    </row>
    <row r="455" spans="1:5" ht="16">
      <c r="A455" s="1" t="s">
        <v>1021</v>
      </c>
      <c r="B455" s="2" t="s">
        <v>80</v>
      </c>
      <c r="C455" s="2" t="s">
        <v>1022</v>
      </c>
      <c r="D455" s="2" t="s">
        <v>440</v>
      </c>
      <c r="E455" s="3" t="s">
        <v>45</v>
      </c>
    </row>
    <row r="456" spans="1:5" ht="16">
      <c r="A456" s="1" t="s">
        <v>1023</v>
      </c>
      <c r="B456" s="2" t="s">
        <v>199</v>
      </c>
      <c r="C456" s="2" t="s">
        <v>1024</v>
      </c>
      <c r="D456" s="2" t="s">
        <v>192</v>
      </c>
      <c r="E456" s="3" t="s">
        <v>35</v>
      </c>
    </row>
    <row r="457" spans="1:5" ht="16">
      <c r="A457" s="1" t="s">
        <v>1025</v>
      </c>
      <c r="B457" s="2" t="s">
        <v>97</v>
      </c>
      <c r="C457" s="2" t="s">
        <v>1026</v>
      </c>
      <c r="D457" s="2" t="s">
        <v>192</v>
      </c>
      <c r="E457" s="3" t="s">
        <v>35</v>
      </c>
    </row>
    <row r="458" spans="1:5" ht="16">
      <c r="A458" s="1" t="s">
        <v>1027</v>
      </c>
      <c r="B458" s="2" t="s">
        <v>80</v>
      </c>
      <c r="C458" s="2" t="s">
        <v>1028</v>
      </c>
      <c r="D458" s="2" t="s">
        <v>440</v>
      </c>
      <c r="E458" s="3" t="s">
        <v>45</v>
      </c>
    </row>
    <row r="459" spans="1:5" ht="16">
      <c r="A459" s="1" t="s">
        <v>1029</v>
      </c>
      <c r="B459" s="2" t="s">
        <v>74</v>
      </c>
      <c r="C459" s="2" t="s">
        <v>1030</v>
      </c>
      <c r="D459" s="2" t="s">
        <v>440</v>
      </c>
      <c r="E459" s="3" t="s">
        <v>45</v>
      </c>
    </row>
    <row r="460" spans="1:5" ht="16">
      <c r="A460" s="1" t="s">
        <v>1031</v>
      </c>
      <c r="B460" s="2" t="s">
        <v>80</v>
      </c>
      <c r="C460" s="2" t="s">
        <v>1032</v>
      </c>
      <c r="D460" s="2" t="s">
        <v>440</v>
      </c>
      <c r="E460" s="3" t="s">
        <v>45</v>
      </c>
    </row>
    <row r="461" spans="1:5" ht="16">
      <c r="A461" s="1" t="s">
        <v>1033</v>
      </c>
      <c r="B461" s="2" t="s">
        <v>69</v>
      </c>
      <c r="C461" s="2" t="s">
        <v>1034</v>
      </c>
      <c r="D461" s="2" t="s">
        <v>440</v>
      </c>
      <c r="E461" s="3" t="s">
        <v>45</v>
      </c>
    </row>
    <row r="462" spans="1:5" ht="16">
      <c r="A462" s="1" t="s">
        <v>1035</v>
      </c>
      <c r="B462" s="2" t="s">
        <v>80</v>
      </c>
      <c r="C462" s="2" t="s">
        <v>1036</v>
      </c>
      <c r="D462" s="2" t="s">
        <v>440</v>
      </c>
      <c r="E462" s="3" t="s">
        <v>45</v>
      </c>
    </row>
    <row r="463" spans="1:5" ht="16">
      <c r="A463" s="1" t="s">
        <v>1037</v>
      </c>
      <c r="B463" s="2" t="s">
        <v>74</v>
      </c>
      <c r="C463" s="2" t="s">
        <v>1038</v>
      </c>
      <c r="D463" s="2" t="s">
        <v>440</v>
      </c>
      <c r="E463" s="3" t="s">
        <v>45</v>
      </c>
    </row>
    <row r="464" spans="1:5" ht="16">
      <c r="A464" s="1" t="s">
        <v>1039</v>
      </c>
      <c r="B464" s="2" t="s">
        <v>80</v>
      </c>
      <c r="C464" s="2" t="s">
        <v>1040</v>
      </c>
      <c r="D464" s="2" t="s">
        <v>440</v>
      </c>
      <c r="E464" s="3" t="s">
        <v>45</v>
      </c>
    </row>
    <row r="465" spans="1:5" ht="16">
      <c r="A465" s="1" t="s">
        <v>1041</v>
      </c>
      <c r="B465" s="2" t="s">
        <v>74</v>
      </c>
      <c r="C465" s="2" t="s">
        <v>1042</v>
      </c>
      <c r="D465" s="2" t="s">
        <v>440</v>
      </c>
      <c r="E465" s="3" t="s">
        <v>45</v>
      </c>
    </row>
    <row r="466" spans="1:5" ht="16">
      <c r="A466" s="1" t="s">
        <v>1043</v>
      </c>
      <c r="B466" s="2" t="s">
        <v>80</v>
      </c>
      <c r="C466" s="2" t="s">
        <v>1044</v>
      </c>
      <c r="D466" s="2" t="s">
        <v>440</v>
      </c>
      <c r="E466" s="3" t="s">
        <v>45</v>
      </c>
    </row>
    <row r="467" spans="1:5" ht="16">
      <c r="A467" s="1" t="s">
        <v>1045</v>
      </c>
      <c r="B467" s="2" t="s">
        <v>85</v>
      </c>
      <c r="C467" s="2" t="s">
        <v>1046</v>
      </c>
      <c r="D467" s="2" t="s">
        <v>192</v>
      </c>
      <c r="E467" s="3" t="s">
        <v>35</v>
      </c>
    </row>
    <row r="468" spans="1:5" ht="16">
      <c r="A468" s="1" t="s">
        <v>1047</v>
      </c>
      <c r="B468" s="2" t="s">
        <v>91</v>
      </c>
      <c r="C468" s="2" t="s">
        <v>1048</v>
      </c>
      <c r="D468" s="2" t="s">
        <v>192</v>
      </c>
      <c r="E468" s="3" t="s">
        <v>35</v>
      </c>
    </row>
    <row r="469" spans="1:5" ht="16">
      <c r="A469" s="1" t="s">
        <v>1049</v>
      </c>
      <c r="B469" s="2" t="s">
        <v>243</v>
      </c>
      <c r="C469" s="2" t="s">
        <v>1050</v>
      </c>
      <c r="D469" s="2" t="s">
        <v>192</v>
      </c>
      <c r="E469" s="3" t="s">
        <v>35</v>
      </c>
    </row>
    <row r="470" spans="1:5" ht="16">
      <c r="A470" s="1" t="s">
        <v>1051</v>
      </c>
      <c r="B470" s="2" t="s">
        <v>303</v>
      </c>
      <c r="C470" s="2" t="s">
        <v>1052</v>
      </c>
      <c r="D470" s="2" t="s">
        <v>192</v>
      </c>
      <c r="E470" s="3" t="s">
        <v>35</v>
      </c>
    </row>
    <row r="471" spans="1:5" ht="16">
      <c r="A471" s="1" t="s">
        <v>1053</v>
      </c>
      <c r="B471" s="2" t="s">
        <v>80</v>
      </c>
      <c r="C471" s="2" t="s">
        <v>1054</v>
      </c>
      <c r="D471" s="2" t="s">
        <v>440</v>
      </c>
      <c r="E471" s="3" t="s">
        <v>45</v>
      </c>
    </row>
    <row r="472" spans="1:5" ht="16">
      <c r="A472" s="1" t="s">
        <v>1055</v>
      </c>
      <c r="B472" s="2" t="s">
        <v>85</v>
      </c>
      <c r="C472" s="2" t="s">
        <v>1056</v>
      </c>
      <c r="D472" s="2" t="s">
        <v>192</v>
      </c>
      <c r="E472" s="3" t="s">
        <v>35</v>
      </c>
    </row>
    <row r="473" spans="1:5" ht="16">
      <c r="A473" s="1" t="s">
        <v>1057</v>
      </c>
      <c r="B473" s="2" t="s">
        <v>80</v>
      </c>
      <c r="C473" s="2" t="s">
        <v>1058</v>
      </c>
      <c r="D473" s="2" t="s">
        <v>440</v>
      </c>
      <c r="E473" s="3" t="s">
        <v>45</v>
      </c>
    </row>
    <row r="474" spans="1:5" ht="16">
      <c r="A474" s="1" t="s">
        <v>1059</v>
      </c>
      <c r="B474" s="2" t="s">
        <v>85</v>
      </c>
      <c r="C474" s="2" t="s">
        <v>1060</v>
      </c>
      <c r="D474" s="2" t="s">
        <v>192</v>
      </c>
      <c r="E474" s="3" t="s">
        <v>35</v>
      </c>
    </row>
    <row r="475" spans="1:5" ht="16">
      <c r="A475" s="1" t="s">
        <v>1061</v>
      </c>
      <c r="B475" s="2" t="s">
        <v>97</v>
      </c>
      <c r="C475" s="2" t="s">
        <v>1062</v>
      </c>
      <c r="D475" s="2" t="s">
        <v>192</v>
      </c>
      <c r="E475" s="3" t="s">
        <v>35</v>
      </c>
    </row>
    <row r="476" spans="1:5" ht="16">
      <c r="A476" s="1" t="s">
        <v>1063</v>
      </c>
      <c r="B476" s="2" t="s">
        <v>196</v>
      </c>
      <c r="C476" s="2" t="s">
        <v>1064</v>
      </c>
      <c r="D476" s="2" t="s">
        <v>192</v>
      </c>
      <c r="E476" s="3" t="s">
        <v>35</v>
      </c>
    </row>
    <row r="477" spans="1:5" ht="16">
      <c r="A477" s="1" t="s">
        <v>1065</v>
      </c>
      <c r="B477" s="2" t="s">
        <v>97</v>
      </c>
      <c r="C477" s="2" t="s">
        <v>1066</v>
      </c>
      <c r="D477" s="2" t="s">
        <v>192</v>
      </c>
      <c r="E477" s="3" t="s">
        <v>35</v>
      </c>
    </row>
    <row r="478" spans="1:5" ht="16">
      <c r="A478" s="1" t="s">
        <v>1067</v>
      </c>
      <c r="B478" s="2" t="s">
        <v>303</v>
      </c>
      <c r="C478" s="2" t="s">
        <v>1068</v>
      </c>
      <c r="D478" s="2" t="s">
        <v>192</v>
      </c>
      <c r="E478" s="3" t="s">
        <v>35</v>
      </c>
    </row>
    <row r="479" spans="1:5" ht="16">
      <c r="A479" s="1" t="s">
        <v>1069</v>
      </c>
      <c r="B479" s="2" t="s">
        <v>91</v>
      </c>
      <c r="C479" s="2" t="s">
        <v>1070</v>
      </c>
      <c r="D479" s="2" t="s">
        <v>192</v>
      </c>
      <c r="E479" s="3" t="s">
        <v>35</v>
      </c>
    </row>
    <row r="480" spans="1:5" ht="16">
      <c r="A480" s="1" t="s">
        <v>1071</v>
      </c>
      <c r="B480" s="2" t="s">
        <v>85</v>
      </c>
      <c r="C480" s="2" t="s">
        <v>1072</v>
      </c>
      <c r="D480" s="2" t="s">
        <v>192</v>
      </c>
      <c r="E480" s="3" t="s">
        <v>35</v>
      </c>
    </row>
    <row r="481" spans="1:5" ht="16">
      <c r="A481" s="1" t="s">
        <v>1073</v>
      </c>
      <c r="B481" s="2" t="s">
        <v>91</v>
      </c>
      <c r="C481" s="2" t="s">
        <v>1074</v>
      </c>
      <c r="D481" s="2" t="s">
        <v>192</v>
      </c>
      <c r="E481" s="3" t="s">
        <v>35</v>
      </c>
    </row>
    <row r="482" spans="1:5" ht="16">
      <c r="A482" s="1" t="s">
        <v>1075</v>
      </c>
      <c r="B482" s="2" t="s">
        <v>91</v>
      </c>
      <c r="C482" s="2" t="s">
        <v>1076</v>
      </c>
      <c r="D482" s="2" t="s">
        <v>192</v>
      </c>
      <c r="E482" s="3" t="s">
        <v>35</v>
      </c>
    </row>
    <row r="483" spans="1:5" ht="16">
      <c r="A483" s="1" t="s">
        <v>1077</v>
      </c>
      <c r="B483" s="2" t="s">
        <v>85</v>
      </c>
      <c r="C483" s="2" t="s">
        <v>1078</v>
      </c>
      <c r="D483" s="2" t="s">
        <v>192</v>
      </c>
      <c r="E483" s="3" t="s">
        <v>35</v>
      </c>
    </row>
    <row r="484" spans="1:5" ht="16">
      <c r="A484" s="1" t="s">
        <v>1079</v>
      </c>
      <c r="B484" s="2" t="s">
        <v>80</v>
      </c>
      <c r="C484" s="2" t="s">
        <v>1080</v>
      </c>
      <c r="D484" s="2" t="s">
        <v>440</v>
      </c>
      <c r="E484" s="3" t="s">
        <v>45</v>
      </c>
    </row>
    <row r="485" spans="1:5" ht="16">
      <c r="A485" s="1" t="s">
        <v>1081</v>
      </c>
      <c r="B485" s="2" t="s">
        <v>74</v>
      </c>
      <c r="C485" s="2" t="s">
        <v>1082</v>
      </c>
      <c r="D485" s="2" t="s">
        <v>440</v>
      </c>
      <c r="E485" s="3" t="s">
        <v>45</v>
      </c>
    </row>
    <row r="486" spans="1:5" ht="16">
      <c r="A486" s="1" t="s">
        <v>1083</v>
      </c>
      <c r="B486" s="2" t="s">
        <v>85</v>
      </c>
      <c r="C486" s="2" t="s">
        <v>1084</v>
      </c>
      <c r="D486" s="2" t="s">
        <v>192</v>
      </c>
      <c r="E486" s="3" t="s">
        <v>35</v>
      </c>
    </row>
    <row r="487" spans="1:5" ht="16">
      <c r="A487" s="1" t="s">
        <v>1085</v>
      </c>
      <c r="B487" s="2" t="s">
        <v>85</v>
      </c>
      <c r="C487" s="2" t="s">
        <v>1086</v>
      </c>
      <c r="D487" s="2" t="s">
        <v>192</v>
      </c>
      <c r="E487" s="3" t="s">
        <v>35</v>
      </c>
    </row>
    <row r="488" spans="1:5" ht="16">
      <c r="A488" s="1" t="s">
        <v>1087</v>
      </c>
      <c r="B488" s="2" t="s">
        <v>85</v>
      </c>
      <c r="C488" s="2" t="s">
        <v>1088</v>
      </c>
      <c r="D488" s="2" t="s">
        <v>192</v>
      </c>
      <c r="E488" s="3" t="s">
        <v>35</v>
      </c>
    </row>
    <row r="489" spans="1:5" ht="16">
      <c r="A489" s="1" t="s">
        <v>1089</v>
      </c>
      <c r="B489" s="2" t="s">
        <v>85</v>
      </c>
      <c r="C489" s="2" t="s">
        <v>1090</v>
      </c>
      <c r="D489" s="2" t="s">
        <v>192</v>
      </c>
      <c r="E489" s="3" t="s">
        <v>35</v>
      </c>
    </row>
    <row r="490" spans="1:5" ht="16">
      <c r="A490" s="1" t="s">
        <v>1091</v>
      </c>
      <c r="B490" s="2" t="s">
        <v>85</v>
      </c>
      <c r="C490" s="2" t="s">
        <v>1092</v>
      </c>
      <c r="D490" s="2" t="s">
        <v>192</v>
      </c>
      <c r="E490" s="3" t="s">
        <v>35</v>
      </c>
    </row>
    <row r="491" spans="1:5" ht="16">
      <c r="A491" s="1" t="s">
        <v>1093</v>
      </c>
      <c r="B491" s="2" t="s">
        <v>85</v>
      </c>
      <c r="C491" s="2" t="s">
        <v>1094</v>
      </c>
      <c r="D491" s="2" t="s">
        <v>192</v>
      </c>
      <c r="E491" s="3" t="s">
        <v>35</v>
      </c>
    </row>
    <row r="492" spans="1:5" ht="16">
      <c r="A492" s="1" t="s">
        <v>1095</v>
      </c>
      <c r="B492" s="2" t="s">
        <v>85</v>
      </c>
      <c r="C492" s="2" t="s">
        <v>1096</v>
      </c>
      <c r="D492" s="2" t="s">
        <v>192</v>
      </c>
      <c r="E492" s="3" t="s">
        <v>35</v>
      </c>
    </row>
    <row r="493" spans="1:5" ht="16">
      <c r="A493" s="1" t="s">
        <v>1097</v>
      </c>
      <c r="B493" s="2" t="s">
        <v>85</v>
      </c>
      <c r="C493" s="2" t="s">
        <v>1098</v>
      </c>
      <c r="D493" s="2" t="s">
        <v>192</v>
      </c>
      <c r="E493" s="3" t="s">
        <v>35</v>
      </c>
    </row>
    <row r="494" spans="1:5" ht="16">
      <c r="A494" s="1" t="s">
        <v>1099</v>
      </c>
      <c r="B494" s="2" t="s">
        <v>85</v>
      </c>
      <c r="C494" s="2" t="s">
        <v>1100</v>
      </c>
      <c r="D494" s="2" t="s">
        <v>192</v>
      </c>
      <c r="E494" s="3" t="s">
        <v>35</v>
      </c>
    </row>
    <row r="495" spans="1:5" ht="16">
      <c r="A495" s="1" t="s">
        <v>1101</v>
      </c>
      <c r="B495" s="2" t="s">
        <v>85</v>
      </c>
      <c r="C495" s="2" t="s">
        <v>1102</v>
      </c>
      <c r="D495" s="2" t="s">
        <v>192</v>
      </c>
      <c r="E495" s="3" t="s">
        <v>35</v>
      </c>
    </row>
    <row r="496" spans="1:5" ht="16">
      <c r="A496" s="1" t="s">
        <v>1103</v>
      </c>
      <c r="B496" s="2" t="s">
        <v>97</v>
      </c>
      <c r="C496" s="2" t="s">
        <v>1104</v>
      </c>
      <c r="D496" s="2" t="s">
        <v>192</v>
      </c>
      <c r="E496" s="3" t="s">
        <v>35</v>
      </c>
    </row>
    <row r="497" spans="1:5" ht="16">
      <c r="A497" s="1" t="s">
        <v>1105</v>
      </c>
      <c r="B497" s="2" t="s">
        <v>91</v>
      </c>
      <c r="C497" s="2" t="s">
        <v>1106</v>
      </c>
      <c r="D497" s="2" t="s">
        <v>192</v>
      </c>
      <c r="E497" s="3" t="s">
        <v>35</v>
      </c>
    </row>
    <row r="498" spans="1:5" ht="16">
      <c r="A498" s="1" t="s">
        <v>1107</v>
      </c>
      <c r="B498" s="2" t="s">
        <v>85</v>
      </c>
      <c r="C498" s="2" t="s">
        <v>1108</v>
      </c>
      <c r="D498" s="2" t="s">
        <v>192</v>
      </c>
      <c r="E498" s="3" t="s">
        <v>35</v>
      </c>
    </row>
    <row r="499" spans="1:5" ht="16">
      <c r="A499" s="1" t="s">
        <v>1109</v>
      </c>
      <c r="B499" s="2" t="s">
        <v>254</v>
      </c>
      <c r="C499" s="2" t="s">
        <v>1110</v>
      </c>
      <c r="D499" s="2" t="s">
        <v>192</v>
      </c>
      <c r="E499" s="3" t="s">
        <v>35</v>
      </c>
    </row>
    <row r="500" spans="1:5" ht="16">
      <c r="A500" s="1" t="s">
        <v>1111</v>
      </c>
      <c r="B500" s="2" t="s">
        <v>254</v>
      </c>
      <c r="C500" s="2" t="s">
        <v>1112</v>
      </c>
      <c r="D500" s="2" t="s">
        <v>192</v>
      </c>
      <c r="E500" s="3" t="s">
        <v>35</v>
      </c>
    </row>
    <row r="501" spans="1:5" ht="16">
      <c r="A501" s="1" t="s">
        <v>1113</v>
      </c>
      <c r="B501" s="2" t="s">
        <v>214</v>
      </c>
      <c r="C501" s="2" t="s">
        <v>1114</v>
      </c>
      <c r="D501" s="2" t="s">
        <v>192</v>
      </c>
      <c r="E501" s="3" t="s">
        <v>35</v>
      </c>
    </row>
    <row r="502" spans="1:5" ht="16">
      <c r="A502" s="1" t="s">
        <v>1115</v>
      </c>
      <c r="B502" s="2" t="s">
        <v>214</v>
      </c>
      <c r="C502" s="2" t="s">
        <v>1116</v>
      </c>
      <c r="D502" s="2" t="s">
        <v>192</v>
      </c>
      <c r="E502" s="3" t="s">
        <v>35</v>
      </c>
    </row>
    <row r="503" spans="1:5" ht="16">
      <c r="A503" s="1" t="s">
        <v>1117</v>
      </c>
      <c r="B503" s="2" t="s">
        <v>91</v>
      </c>
      <c r="C503" s="2" t="s">
        <v>1118</v>
      </c>
      <c r="D503" s="2" t="s">
        <v>192</v>
      </c>
      <c r="E503" s="3" t="s">
        <v>35</v>
      </c>
    </row>
    <row r="504" spans="1:5" ht="16">
      <c r="A504" s="1" t="s">
        <v>1119</v>
      </c>
      <c r="B504" s="2" t="s">
        <v>254</v>
      </c>
      <c r="C504" s="2" t="s">
        <v>1120</v>
      </c>
      <c r="D504" s="2" t="s">
        <v>192</v>
      </c>
      <c r="E504" s="3" t="s">
        <v>35</v>
      </c>
    </row>
    <row r="505" spans="1:5" ht="16">
      <c r="A505" s="1" t="s">
        <v>1121</v>
      </c>
      <c r="B505" s="2" t="s">
        <v>243</v>
      </c>
      <c r="C505" s="2" t="s">
        <v>1122</v>
      </c>
      <c r="D505" s="2" t="s">
        <v>192</v>
      </c>
      <c r="E505" s="3" t="s">
        <v>35</v>
      </c>
    </row>
    <row r="506" spans="1:5" ht="16">
      <c r="A506" s="1" t="s">
        <v>1123</v>
      </c>
      <c r="B506" s="2" t="s">
        <v>85</v>
      </c>
      <c r="C506" s="2" t="s">
        <v>1124</v>
      </c>
      <c r="D506" s="2" t="s">
        <v>192</v>
      </c>
      <c r="E506" s="3" t="s">
        <v>35</v>
      </c>
    </row>
    <row r="507" spans="1:5" ht="16">
      <c r="A507" s="1" t="s">
        <v>1125</v>
      </c>
      <c r="B507" s="2" t="s">
        <v>91</v>
      </c>
      <c r="C507" s="2" t="s">
        <v>1126</v>
      </c>
      <c r="D507" s="2" t="s">
        <v>192</v>
      </c>
      <c r="E507" s="3" t="s">
        <v>35</v>
      </c>
    </row>
    <row r="508" spans="1:5" ht="16">
      <c r="A508" s="1" t="s">
        <v>1127</v>
      </c>
      <c r="B508" s="2" t="s">
        <v>91</v>
      </c>
      <c r="C508" s="2" t="s">
        <v>1128</v>
      </c>
      <c r="D508" s="2" t="s">
        <v>192</v>
      </c>
      <c r="E508" s="3" t="s">
        <v>35</v>
      </c>
    </row>
    <row r="509" spans="1:5" ht="16">
      <c r="A509" s="1" t="s">
        <v>1129</v>
      </c>
      <c r="B509" s="2" t="s">
        <v>91</v>
      </c>
      <c r="C509" s="2" t="s">
        <v>1130</v>
      </c>
      <c r="D509" s="2" t="s">
        <v>192</v>
      </c>
      <c r="E509" s="3" t="s">
        <v>35</v>
      </c>
    </row>
    <row r="510" spans="1:5" ht="16">
      <c r="A510" s="1" t="s">
        <v>1131</v>
      </c>
      <c r="B510" s="2" t="s">
        <v>85</v>
      </c>
      <c r="C510" s="2" t="s">
        <v>1132</v>
      </c>
      <c r="D510" s="2" t="s">
        <v>192</v>
      </c>
      <c r="E510" s="3" t="s">
        <v>35</v>
      </c>
    </row>
    <row r="511" spans="1:5" ht="16">
      <c r="A511" s="1" t="s">
        <v>1133</v>
      </c>
      <c r="B511" s="2" t="s">
        <v>97</v>
      </c>
      <c r="C511" s="2" t="s">
        <v>1134</v>
      </c>
      <c r="D511" s="2" t="s">
        <v>192</v>
      </c>
      <c r="E511" s="3" t="s">
        <v>35</v>
      </c>
    </row>
    <row r="512" spans="1:5" ht="16">
      <c r="A512" s="1" t="s">
        <v>1135</v>
      </c>
      <c r="B512" s="2" t="s">
        <v>91</v>
      </c>
      <c r="C512" s="2" t="s">
        <v>1136</v>
      </c>
      <c r="D512" s="2" t="s">
        <v>192</v>
      </c>
      <c r="E512" s="3" t="s">
        <v>35</v>
      </c>
    </row>
    <row r="513" spans="1:5" ht="16">
      <c r="A513" s="1" t="s">
        <v>1137</v>
      </c>
      <c r="B513" s="2" t="s">
        <v>97</v>
      </c>
      <c r="C513" s="2" t="s">
        <v>1138</v>
      </c>
      <c r="D513" s="2" t="s">
        <v>192</v>
      </c>
      <c r="E513" s="3" t="s">
        <v>35</v>
      </c>
    </row>
    <row r="514" spans="1:5" ht="16">
      <c r="A514" s="1" t="s">
        <v>1139</v>
      </c>
      <c r="B514" s="2" t="s">
        <v>97</v>
      </c>
      <c r="C514" s="2" t="s">
        <v>1140</v>
      </c>
      <c r="D514" s="2" t="s">
        <v>192</v>
      </c>
      <c r="E514" s="3" t="s">
        <v>35</v>
      </c>
    </row>
    <row r="515" spans="1:5" ht="16">
      <c r="A515" s="1" t="s">
        <v>1141</v>
      </c>
      <c r="B515" s="2" t="s">
        <v>85</v>
      </c>
      <c r="C515" s="2" t="s">
        <v>1142</v>
      </c>
      <c r="D515" s="2" t="s">
        <v>192</v>
      </c>
      <c r="E515" s="3" t="s">
        <v>35</v>
      </c>
    </row>
    <row r="516" spans="1:5" ht="16">
      <c r="A516" s="1" t="s">
        <v>1143</v>
      </c>
      <c r="B516" s="2" t="s">
        <v>80</v>
      </c>
      <c r="C516" s="2" t="s">
        <v>1144</v>
      </c>
      <c r="D516" s="2" t="s">
        <v>440</v>
      </c>
      <c r="E516" s="3" t="s">
        <v>45</v>
      </c>
    </row>
    <row r="517" spans="1:5" ht="16">
      <c r="A517" s="1" t="s">
        <v>1145</v>
      </c>
      <c r="B517" s="2" t="s">
        <v>85</v>
      </c>
      <c r="C517" s="2" t="s">
        <v>1146</v>
      </c>
      <c r="D517" s="2" t="s">
        <v>192</v>
      </c>
      <c r="E517" s="3" t="s">
        <v>35</v>
      </c>
    </row>
    <row r="518" spans="1:5" ht="16">
      <c r="A518" s="1" t="s">
        <v>1147</v>
      </c>
      <c r="B518" s="2" t="s">
        <v>91</v>
      </c>
      <c r="C518" s="2" t="s">
        <v>1148</v>
      </c>
      <c r="D518" s="2" t="s">
        <v>192</v>
      </c>
      <c r="E518" s="3" t="s">
        <v>35</v>
      </c>
    </row>
    <row r="519" spans="1:5" ht="16">
      <c r="A519" s="1" t="s">
        <v>1149</v>
      </c>
      <c r="B519" s="2" t="s">
        <v>91</v>
      </c>
      <c r="C519" s="2" t="s">
        <v>1150</v>
      </c>
      <c r="D519" s="2" t="s">
        <v>192</v>
      </c>
      <c r="E519" s="3" t="s">
        <v>35</v>
      </c>
    </row>
    <row r="520" spans="1:5" ht="16">
      <c r="A520" s="1" t="s">
        <v>1151</v>
      </c>
      <c r="B520" s="2" t="s">
        <v>80</v>
      </c>
      <c r="C520" s="2" t="s">
        <v>1152</v>
      </c>
      <c r="D520" s="2" t="s">
        <v>440</v>
      </c>
      <c r="E520" s="3" t="s">
        <v>45</v>
      </c>
    </row>
    <row r="521" spans="1:5" ht="16">
      <c r="A521" s="1" t="s">
        <v>1153</v>
      </c>
      <c r="B521" s="2" t="s">
        <v>69</v>
      </c>
      <c r="C521" s="2" t="s">
        <v>1154</v>
      </c>
      <c r="D521" s="2" t="s">
        <v>440</v>
      </c>
      <c r="E521" s="3" t="s">
        <v>45</v>
      </c>
    </row>
    <row r="522" spans="1:5" ht="16">
      <c r="A522" s="1" t="s">
        <v>1155</v>
      </c>
      <c r="B522" s="2" t="s">
        <v>74</v>
      </c>
      <c r="C522" s="2" t="s">
        <v>1156</v>
      </c>
      <c r="D522" s="2" t="s">
        <v>440</v>
      </c>
      <c r="E522" s="3" t="s">
        <v>45</v>
      </c>
    </row>
    <row r="523" spans="1:5" ht="16">
      <c r="A523" s="1" t="s">
        <v>1157</v>
      </c>
      <c r="B523" s="2" t="s">
        <v>80</v>
      </c>
      <c r="C523" s="2" t="s">
        <v>1158</v>
      </c>
      <c r="D523" s="2" t="s">
        <v>440</v>
      </c>
      <c r="E523" s="3" t="s">
        <v>45</v>
      </c>
    </row>
    <row r="524" spans="1:5" ht="16">
      <c r="A524" s="1" t="s">
        <v>1159</v>
      </c>
      <c r="B524" s="2" t="s">
        <v>85</v>
      </c>
      <c r="C524" s="2" t="s">
        <v>1160</v>
      </c>
      <c r="D524" s="2" t="s">
        <v>192</v>
      </c>
      <c r="E524" s="3" t="s">
        <v>35</v>
      </c>
    </row>
    <row r="525" spans="1:5" ht="16">
      <c r="A525" s="1" t="s">
        <v>1161</v>
      </c>
      <c r="B525" s="2" t="s">
        <v>91</v>
      </c>
      <c r="C525" s="2" t="s">
        <v>1162</v>
      </c>
      <c r="D525" s="2" t="s">
        <v>192</v>
      </c>
      <c r="E525" s="3" t="s">
        <v>35</v>
      </c>
    </row>
    <row r="526" spans="1:5" ht="16">
      <c r="A526" s="1" t="s">
        <v>1163</v>
      </c>
      <c r="B526" s="2" t="s">
        <v>80</v>
      </c>
      <c r="C526" s="2" t="s">
        <v>1164</v>
      </c>
      <c r="D526" s="2" t="s">
        <v>440</v>
      </c>
      <c r="E526" s="3" t="s">
        <v>45</v>
      </c>
    </row>
    <row r="527" spans="1:5" ht="16">
      <c r="A527" s="1" t="s">
        <v>1165</v>
      </c>
      <c r="B527" s="2" t="s">
        <v>199</v>
      </c>
      <c r="C527" s="2" t="s">
        <v>1166</v>
      </c>
      <c r="D527" s="2" t="s">
        <v>192</v>
      </c>
      <c r="E527" s="3" t="s">
        <v>35</v>
      </c>
    </row>
    <row r="528" spans="1:5" ht="16">
      <c r="A528" s="1" t="s">
        <v>1167</v>
      </c>
      <c r="B528" s="2" t="s">
        <v>199</v>
      </c>
      <c r="C528" s="2" t="s">
        <v>1168</v>
      </c>
      <c r="D528" s="2" t="s">
        <v>192</v>
      </c>
      <c r="E528" s="3" t="s">
        <v>35</v>
      </c>
    </row>
    <row r="529" spans="1:5" ht="16">
      <c r="A529" s="1" t="s">
        <v>1169</v>
      </c>
      <c r="B529" s="2" t="s">
        <v>199</v>
      </c>
      <c r="C529" s="2" t="s">
        <v>1170</v>
      </c>
      <c r="D529" s="2" t="s">
        <v>192</v>
      </c>
      <c r="E529" s="3" t="s">
        <v>35</v>
      </c>
    </row>
    <row r="530" spans="1:5" ht="16">
      <c r="A530" s="1" t="s">
        <v>1171</v>
      </c>
      <c r="B530" s="2" t="s">
        <v>199</v>
      </c>
      <c r="C530" s="2" t="s">
        <v>1172</v>
      </c>
      <c r="D530" s="2" t="s">
        <v>192</v>
      </c>
      <c r="E530" s="3" t="s">
        <v>35</v>
      </c>
    </row>
    <row r="531" spans="1:5" ht="16">
      <c r="A531" s="1" t="s">
        <v>1173</v>
      </c>
      <c r="B531" s="2" t="s">
        <v>63</v>
      </c>
      <c r="C531" s="2" t="s">
        <v>1174</v>
      </c>
      <c r="D531" s="2" t="s">
        <v>111</v>
      </c>
      <c r="E531" s="3" t="s">
        <v>50</v>
      </c>
    </row>
    <row r="532" spans="1:5" ht="16">
      <c r="A532" s="1" t="s">
        <v>1175</v>
      </c>
      <c r="B532" s="2" t="s">
        <v>69</v>
      </c>
      <c r="C532" s="2" t="s">
        <v>1176</v>
      </c>
      <c r="D532" s="2" t="s">
        <v>111</v>
      </c>
      <c r="E532" s="3" t="s">
        <v>50</v>
      </c>
    </row>
    <row r="533" spans="1:5" ht="16">
      <c r="A533" s="1" t="s">
        <v>1177</v>
      </c>
      <c r="B533" s="2" t="s">
        <v>69</v>
      </c>
      <c r="C533" s="2" t="s">
        <v>1178</v>
      </c>
      <c r="D533" s="2" t="s">
        <v>111</v>
      </c>
      <c r="E533" s="3" t="s">
        <v>50</v>
      </c>
    </row>
    <row r="534" spans="1:5" ht="16">
      <c r="A534" s="1" t="s">
        <v>1179</v>
      </c>
      <c r="B534" s="2" t="s">
        <v>69</v>
      </c>
      <c r="C534" s="2" t="s">
        <v>1180</v>
      </c>
      <c r="D534" s="2" t="s">
        <v>111</v>
      </c>
      <c r="E534" s="3" t="s">
        <v>50</v>
      </c>
    </row>
    <row r="535" spans="1:5" ht="16">
      <c r="A535" s="1" t="s">
        <v>1181</v>
      </c>
      <c r="B535" s="2" t="s">
        <v>69</v>
      </c>
      <c r="C535" s="2" t="s">
        <v>1182</v>
      </c>
      <c r="D535" s="2" t="s">
        <v>111</v>
      </c>
      <c r="E535" s="3" t="s">
        <v>50</v>
      </c>
    </row>
    <row r="536" spans="1:5" ht="16">
      <c r="A536" s="1" t="s">
        <v>1183</v>
      </c>
      <c r="B536" s="2" t="s">
        <v>69</v>
      </c>
      <c r="C536" s="2" t="s">
        <v>1184</v>
      </c>
      <c r="D536" s="2" t="s">
        <v>111</v>
      </c>
      <c r="E536" s="3" t="s">
        <v>50</v>
      </c>
    </row>
    <row r="537" spans="1:5" ht="16">
      <c r="A537" s="1" t="s">
        <v>1185</v>
      </c>
      <c r="B537" s="2" t="s">
        <v>69</v>
      </c>
      <c r="C537" s="2" t="s">
        <v>1186</v>
      </c>
      <c r="D537" s="2" t="s">
        <v>111</v>
      </c>
      <c r="E537" s="3" t="s">
        <v>50</v>
      </c>
    </row>
    <row r="538" spans="1:5" ht="16">
      <c r="A538" s="1" t="s">
        <v>1187</v>
      </c>
      <c r="B538" s="2"/>
      <c r="C538" s="2" t="s">
        <v>1188</v>
      </c>
      <c r="D538" s="2" t="s">
        <v>111</v>
      </c>
      <c r="E538" s="3" t="s">
        <v>50</v>
      </c>
    </row>
    <row r="539" spans="1:5" ht="16">
      <c r="A539" s="1" t="s">
        <v>1189</v>
      </c>
      <c r="B539" s="2" t="s">
        <v>69</v>
      </c>
      <c r="C539" s="2" t="s">
        <v>1190</v>
      </c>
      <c r="D539" s="2" t="s">
        <v>111</v>
      </c>
      <c r="E539" s="3" t="s">
        <v>50</v>
      </c>
    </row>
    <row r="540" spans="1:5" ht="16">
      <c r="A540" s="1" t="s">
        <v>1191</v>
      </c>
      <c r="B540" s="2" t="s">
        <v>63</v>
      </c>
      <c r="C540" s="2" t="s">
        <v>1192</v>
      </c>
      <c r="D540" s="2" t="s">
        <v>111</v>
      </c>
      <c r="E540" s="3" t="s">
        <v>50</v>
      </c>
    </row>
    <row r="541" spans="1:5" ht="16">
      <c r="A541" s="1" t="s">
        <v>1193</v>
      </c>
      <c r="B541" s="2" t="s">
        <v>63</v>
      </c>
      <c r="C541" s="2" t="s">
        <v>1194</v>
      </c>
      <c r="D541" s="2" t="s">
        <v>111</v>
      </c>
      <c r="E541" s="3" t="s">
        <v>50</v>
      </c>
    </row>
    <row r="542" spans="1:5" ht="16">
      <c r="A542" s="1" t="s">
        <v>1195</v>
      </c>
      <c r="B542" s="2" t="s">
        <v>63</v>
      </c>
      <c r="C542" s="2" t="s">
        <v>1196</v>
      </c>
      <c r="D542" s="2" t="s">
        <v>111</v>
      </c>
      <c r="E542" s="3" t="s">
        <v>50</v>
      </c>
    </row>
    <row r="543" spans="1:5" ht="16">
      <c r="A543" s="1" t="s">
        <v>1197</v>
      </c>
      <c r="B543" s="2" t="s">
        <v>69</v>
      </c>
      <c r="C543" s="2" t="s">
        <v>1198</v>
      </c>
      <c r="D543" s="2" t="s">
        <v>111</v>
      </c>
      <c r="E543" s="3" t="s">
        <v>50</v>
      </c>
    </row>
    <row r="544" spans="1:5" ht="16">
      <c r="A544" s="1" t="s">
        <v>1199</v>
      </c>
      <c r="B544" s="2"/>
      <c r="C544" s="2" t="s">
        <v>1200</v>
      </c>
      <c r="D544" s="2" t="s">
        <v>111</v>
      </c>
      <c r="E544" s="3" t="s">
        <v>50</v>
      </c>
    </row>
    <row r="545" spans="1:5" ht="16">
      <c r="A545" s="1" t="s">
        <v>1201</v>
      </c>
      <c r="B545" s="2" t="s">
        <v>63</v>
      </c>
      <c r="C545" s="2" t="s">
        <v>1202</v>
      </c>
      <c r="D545" s="2" t="s">
        <v>111</v>
      </c>
      <c r="E545" s="3" t="s">
        <v>50</v>
      </c>
    </row>
    <row r="546" spans="1:5" ht="16">
      <c r="A546" s="1" t="s">
        <v>1203</v>
      </c>
      <c r="B546" s="2" t="s">
        <v>69</v>
      </c>
      <c r="C546" s="2" t="s">
        <v>1204</v>
      </c>
      <c r="D546" s="2" t="s">
        <v>440</v>
      </c>
      <c r="E546" s="3" t="s">
        <v>45</v>
      </c>
    </row>
    <row r="547" spans="1:5" ht="16">
      <c r="A547" s="1" t="s">
        <v>1205</v>
      </c>
      <c r="B547" s="2" t="s">
        <v>69</v>
      </c>
      <c r="C547" s="2" t="s">
        <v>1206</v>
      </c>
      <c r="D547" s="2" t="s">
        <v>440</v>
      </c>
      <c r="E547" s="3" t="s">
        <v>45</v>
      </c>
    </row>
    <row r="548" spans="1:5" ht="16">
      <c r="A548" s="1" t="s">
        <v>1207</v>
      </c>
      <c r="B548" s="2" t="s">
        <v>69</v>
      </c>
      <c r="C548" s="2" t="s">
        <v>1208</v>
      </c>
      <c r="D548" s="2" t="s">
        <v>440</v>
      </c>
      <c r="E548" s="3" t="s">
        <v>45</v>
      </c>
    </row>
    <row r="549" spans="1:5" ht="16">
      <c r="A549" s="1" t="s">
        <v>1209</v>
      </c>
      <c r="B549" s="2" t="s">
        <v>69</v>
      </c>
      <c r="C549" s="2" t="s">
        <v>1210</v>
      </c>
      <c r="D549" s="2" t="s">
        <v>440</v>
      </c>
      <c r="E549" s="3" t="s">
        <v>45</v>
      </c>
    </row>
    <row r="550" spans="1:5" ht="16">
      <c r="A550" s="1" t="s">
        <v>1211</v>
      </c>
      <c r="B550" s="2" t="s">
        <v>69</v>
      </c>
      <c r="C550" s="2" t="s">
        <v>1212</v>
      </c>
      <c r="D550" s="2" t="s">
        <v>440</v>
      </c>
      <c r="E550" s="3" t="s">
        <v>45</v>
      </c>
    </row>
    <row r="551" spans="1:5" ht="16">
      <c r="A551" s="1" t="s">
        <v>1213</v>
      </c>
      <c r="B551" s="2" t="s">
        <v>69</v>
      </c>
      <c r="C551" s="2" t="s">
        <v>1214</v>
      </c>
      <c r="D551" s="2" t="s">
        <v>440</v>
      </c>
      <c r="E551" s="3" t="s">
        <v>45</v>
      </c>
    </row>
    <row r="552" spans="1:5" ht="16">
      <c r="A552" s="1" t="s">
        <v>1215</v>
      </c>
      <c r="B552" s="2" t="s">
        <v>69</v>
      </c>
      <c r="C552" s="2" t="s">
        <v>1216</v>
      </c>
      <c r="D552" s="2" t="s">
        <v>440</v>
      </c>
      <c r="E552" s="3" t="s">
        <v>45</v>
      </c>
    </row>
    <row r="553" spans="1:5" ht="16">
      <c r="A553" s="1" t="s">
        <v>1217</v>
      </c>
      <c r="B553" s="2" t="s">
        <v>74</v>
      </c>
      <c r="C553" s="2" t="s">
        <v>1218</v>
      </c>
      <c r="D553" s="2" t="s">
        <v>440</v>
      </c>
      <c r="E553" s="3" t="s">
        <v>45</v>
      </c>
    </row>
    <row r="554" spans="1:5" ht="16">
      <c r="A554" s="1" t="s">
        <v>1219</v>
      </c>
      <c r="B554" s="2" t="s">
        <v>74</v>
      </c>
      <c r="C554" s="2" t="s">
        <v>1220</v>
      </c>
      <c r="D554" s="2" t="s">
        <v>440</v>
      </c>
      <c r="E554" s="3" t="s">
        <v>45</v>
      </c>
    </row>
    <row r="555" spans="1:5" ht="16">
      <c r="A555" s="1" t="s">
        <v>1221</v>
      </c>
      <c r="B555" s="2" t="s">
        <v>69</v>
      </c>
      <c r="C555" s="2" t="s">
        <v>1222</v>
      </c>
      <c r="D555" s="2" t="s">
        <v>440</v>
      </c>
      <c r="E555" s="3" t="s">
        <v>45</v>
      </c>
    </row>
    <row r="556" spans="1:5" ht="16">
      <c r="A556" s="1" t="s">
        <v>1223</v>
      </c>
      <c r="B556" s="2" t="s">
        <v>69</v>
      </c>
      <c r="C556" s="2" t="s">
        <v>1224</v>
      </c>
      <c r="D556" s="2" t="s">
        <v>440</v>
      </c>
      <c r="E556" s="3" t="s">
        <v>45</v>
      </c>
    </row>
    <row r="557" spans="1:5" ht="16">
      <c r="A557" s="1" t="s">
        <v>1225</v>
      </c>
      <c r="B557" s="2" t="s">
        <v>74</v>
      </c>
      <c r="C557" s="2" t="s">
        <v>1226</v>
      </c>
      <c r="D557" s="2" t="s">
        <v>440</v>
      </c>
      <c r="E557" s="3" t="s">
        <v>45</v>
      </c>
    </row>
    <row r="558" spans="1:5" ht="16">
      <c r="A558" s="1" t="s">
        <v>1227</v>
      </c>
      <c r="B558" s="2" t="s">
        <v>74</v>
      </c>
      <c r="C558" s="2" t="s">
        <v>1228</v>
      </c>
      <c r="D558" s="2" t="s">
        <v>440</v>
      </c>
      <c r="E558" s="3" t="s">
        <v>45</v>
      </c>
    </row>
    <row r="559" spans="1:5" ht="16">
      <c r="A559" s="1" t="s">
        <v>1229</v>
      </c>
      <c r="B559" s="2" t="s">
        <v>74</v>
      </c>
      <c r="C559" s="2" t="s">
        <v>1230</v>
      </c>
      <c r="D559" s="2" t="s">
        <v>440</v>
      </c>
      <c r="E559" s="3" t="s">
        <v>45</v>
      </c>
    </row>
    <row r="560" spans="1:5" ht="16">
      <c r="A560" s="1" t="s">
        <v>1231</v>
      </c>
      <c r="B560" s="2" t="s">
        <v>69</v>
      </c>
      <c r="C560" s="2" t="s">
        <v>1232</v>
      </c>
      <c r="D560" s="2" t="s">
        <v>440</v>
      </c>
      <c r="E560" s="3" t="s">
        <v>45</v>
      </c>
    </row>
    <row r="561" spans="1:5" ht="16">
      <c r="A561" s="1" t="s">
        <v>1233</v>
      </c>
      <c r="B561" s="2" t="s">
        <v>69</v>
      </c>
      <c r="C561" s="2" t="s">
        <v>1234</v>
      </c>
      <c r="D561" s="2" t="s">
        <v>440</v>
      </c>
      <c r="E561" s="3" t="s">
        <v>45</v>
      </c>
    </row>
    <row r="562" spans="1:5" ht="16">
      <c r="A562" s="1" t="s">
        <v>1235</v>
      </c>
      <c r="B562" s="2" t="s">
        <v>69</v>
      </c>
      <c r="C562" s="2" t="s">
        <v>1236</v>
      </c>
      <c r="D562" s="2" t="s">
        <v>440</v>
      </c>
      <c r="E562" s="3" t="s">
        <v>45</v>
      </c>
    </row>
    <row r="563" spans="1:5" ht="16">
      <c r="A563" s="1" t="s">
        <v>1237</v>
      </c>
      <c r="B563" s="2" t="s">
        <v>69</v>
      </c>
      <c r="C563" s="2" t="s">
        <v>1238</v>
      </c>
      <c r="D563" s="2" t="s">
        <v>440</v>
      </c>
      <c r="E563" s="3" t="s">
        <v>45</v>
      </c>
    </row>
    <row r="564" spans="1:5" ht="16">
      <c r="A564" s="1" t="s">
        <v>1239</v>
      </c>
      <c r="B564" s="2" t="s">
        <v>69</v>
      </c>
      <c r="C564" s="2" t="s">
        <v>1240</v>
      </c>
      <c r="D564" s="2" t="s">
        <v>440</v>
      </c>
      <c r="E564" s="3" t="s">
        <v>45</v>
      </c>
    </row>
    <row r="565" spans="1:5" ht="16">
      <c r="A565" s="1" t="s">
        <v>1241</v>
      </c>
      <c r="B565" s="2" t="s">
        <v>69</v>
      </c>
      <c r="C565" s="2" t="s">
        <v>1242</v>
      </c>
      <c r="D565" s="2" t="s">
        <v>440</v>
      </c>
      <c r="E565" s="3" t="s">
        <v>45</v>
      </c>
    </row>
    <row r="566" spans="1:5" ht="16">
      <c r="A566" s="1" t="s">
        <v>1243</v>
      </c>
      <c r="B566" s="2" t="s">
        <v>69</v>
      </c>
      <c r="C566" s="2" t="s">
        <v>1244</v>
      </c>
      <c r="D566" s="2" t="s">
        <v>440</v>
      </c>
      <c r="E566" s="3" t="s">
        <v>45</v>
      </c>
    </row>
    <row r="567" spans="1:5" ht="16">
      <c r="A567" s="1" t="s">
        <v>1245</v>
      </c>
      <c r="B567" s="2" t="s">
        <v>63</v>
      </c>
      <c r="C567" s="2" t="s">
        <v>1246</v>
      </c>
      <c r="D567" s="2" t="s">
        <v>440</v>
      </c>
      <c r="E567" s="3" t="s">
        <v>45</v>
      </c>
    </row>
    <row r="568" spans="1:5" ht="16">
      <c r="A568" s="1" t="s">
        <v>1247</v>
      </c>
      <c r="B568" s="2" t="s">
        <v>74</v>
      </c>
      <c r="C568" s="2" t="s">
        <v>1248</v>
      </c>
      <c r="D568" s="2" t="s">
        <v>440</v>
      </c>
      <c r="E568" s="3" t="s">
        <v>45</v>
      </c>
    </row>
    <row r="569" spans="1:5" ht="16">
      <c r="A569" s="1" t="s">
        <v>1249</v>
      </c>
      <c r="B569" s="2" t="s">
        <v>91</v>
      </c>
      <c r="C569" s="2" t="s">
        <v>1250</v>
      </c>
      <c r="D569" s="2" t="s">
        <v>192</v>
      </c>
      <c r="E569" s="3" t="s">
        <v>35</v>
      </c>
    </row>
    <row r="570" spans="1:5" ht="16">
      <c r="A570" s="1" t="s">
        <v>1251</v>
      </c>
      <c r="B570" s="2"/>
      <c r="C570" s="2" t="s">
        <v>1252</v>
      </c>
      <c r="D570" s="2" t="s">
        <v>111</v>
      </c>
      <c r="E570" s="3" t="s">
        <v>50</v>
      </c>
    </row>
    <row r="571" spans="1:5" ht="16">
      <c r="A571" s="1" t="s">
        <v>1253</v>
      </c>
      <c r="B571" s="2"/>
      <c r="C571" s="2" t="s">
        <v>1254</v>
      </c>
      <c r="D571" s="2" t="s">
        <v>111</v>
      </c>
      <c r="E571" s="3" t="s">
        <v>50</v>
      </c>
    </row>
    <row r="572" spans="1:5" ht="16">
      <c r="A572" s="1" t="s">
        <v>1255</v>
      </c>
      <c r="B572" s="2"/>
      <c r="C572" s="2" t="s">
        <v>1256</v>
      </c>
      <c r="D572" s="2" t="s">
        <v>111</v>
      </c>
      <c r="E572" s="3" t="s">
        <v>50</v>
      </c>
    </row>
    <row r="573" spans="1:5" ht="16">
      <c r="A573" s="1" t="s">
        <v>1257</v>
      </c>
      <c r="B573" s="2"/>
      <c r="C573" s="2" t="s">
        <v>1258</v>
      </c>
      <c r="D573" s="2" t="s">
        <v>111</v>
      </c>
      <c r="E573" s="3" t="s">
        <v>50</v>
      </c>
    </row>
    <row r="574" spans="1:5" ht="16">
      <c r="A574" s="1" t="s">
        <v>1259</v>
      </c>
      <c r="B574" s="2"/>
      <c r="C574" s="2" t="s">
        <v>1260</v>
      </c>
      <c r="D574" s="2" t="s">
        <v>111</v>
      </c>
      <c r="E574" s="3" t="s">
        <v>50</v>
      </c>
    </row>
    <row r="575" spans="1:5" ht="16">
      <c r="A575" s="1" t="s">
        <v>1261</v>
      </c>
      <c r="B575" s="2"/>
      <c r="C575" s="2" t="s">
        <v>1262</v>
      </c>
      <c r="D575" s="2" t="s">
        <v>111</v>
      </c>
      <c r="E575" s="3" t="s">
        <v>50</v>
      </c>
    </row>
    <row r="576" spans="1:5" ht="16">
      <c r="A576" s="1" t="s">
        <v>1263</v>
      </c>
      <c r="B576" s="2"/>
      <c r="C576" s="2" t="s">
        <v>1264</v>
      </c>
      <c r="D576" s="2" t="s">
        <v>111</v>
      </c>
      <c r="E576" s="3" t="s">
        <v>50</v>
      </c>
    </row>
    <row r="577" spans="1:5" ht="16">
      <c r="A577" s="1" t="s">
        <v>1265</v>
      </c>
      <c r="B577" s="2"/>
      <c r="C577" s="2" t="s">
        <v>1266</v>
      </c>
      <c r="D577" s="2" t="s">
        <v>111</v>
      </c>
      <c r="E577" s="3" t="s">
        <v>50</v>
      </c>
    </row>
    <row r="578" spans="1:5" ht="16">
      <c r="A578" s="1" t="s">
        <v>1267</v>
      </c>
      <c r="B578" s="2"/>
      <c r="C578" s="2" t="s">
        <v>1268</v>
      </c>
      <c r="D578" s="2" t="s">
        <v>111</v>
      </c>
      <c r="E578" s="3" t="s">
        <v>50</v>
      </c>
    </row>
    <row r="579" spans="1:5" ht="16">
      <c r="A579" s="1" t="s">
        <v>1269</v>
      </c>
      <c r="B579" s="2"/>
      <c r="C579" s="2" t="s">
        <v>1270</v>
      </c>
      <c r="D579" s="2" t="s">
        <v>111</v>
      </c>
      <c r="E579" s="3" t="s">
        <v>50</v>
      </c>
    </row>
    <row r="580" spans="1:5" ht="16">
      <c r="A580" s="1" t="s">
        <v>1271</v>
      </c>
      <c r="B580" s="2" t="s">
        <v>80</v>
      </c>
      <c r="C580" s="2" t="s">
        <v>1272</v>
      </c>
      <c r="D580" s="2" t="s">
        <v>111</v>
      </c>
      <c r="E580" s="3" t="s">
        <v>50</v>
      </c>
    </row>
    <row r="581" spans="1:5" ht="16">
      <c r="A581" s="1" t="s">
        <v>1273</v>
      </c>
      <c r="B581" s="2"/>
      <c r="C581" s="2" t="s">
        <v>1274</v>
      </c>
      <c r="D581" s="2" t="s">
        <v>111</v>
      </c>
      <c r="E581" s="3" t="s">
        <v>50</v>
      </c>
    </row>
    <row r="582" spans="1:5" ht="16">
      <c r="A582" s="1" t="s">
        <v>1275</v>
      </c>
      <c r="B582" s="2"/>
      <c r="C582" s="2" t="s">
        <v>1276</v>
      </c>
      <c r="D582" s="2" t="s">
        <v>111</v>
      </c>
      <c r="E582" s="3" t="s">
        <v>50</v>
      </c>
    </row>
    <row r="583" spans="1:5" ht="16">
      <c r="A583" s="1" t="s">
        <v>1277</v>
      </c>
      <c r="B583" s="2"/>
      <c r="C583" s="2" t="s">
        <v>1278</v>
      </c>
      <c r="D583" s="2" t="s">
        <v>111</v>
      </c>
      <c r="E583" s="3" t="s">
        <v>50</v>
      </c>
    </row>
    <row r="584" spans="1:5" ht="16">
      <c r="A584" s="1" t="s">
        <v>1279</v>
      </c>
      <c r="B584" s="2"/>
      <c r="C584" s="2" t="s">
        <v>1280</v>
      </c>
      <c r="D584" s="2" t="s">
        <v>111</v>
      </c>
      <c r="E584" s="3" t="s">
        <v>50</v>
      </c>
    </row>
    <row r="585" spans="1:5" ht="16">
      <c r="A585" s="1" t="s">
        <v>1281</v>
      </c>
      <c r="B585" s="2"/>
      <c r="C585" s="2" t="s">
        <v>1282</v>
      </c>
      <c r="D585" s="2" t="s">
        <v>111</v>
      </c>
      <c r="E585" s="3" t="s">
        <v>50</v>
      </c>
    </row>
    <row r="586" spans="1:5" ht="16">
      <c r="A586" s="1" t="s">
        <v>1283</v>
      </c>
      <c r="B586" s="2"/>
      <c r="C586" s="2" t="s">
        <v>1284</v>
      </c>
      <c r="D586" s="2" t="s">
        <v>111</v>
      </c>
      <c r="E586" s="3" t="s">
        <v>50</v>
      </c>
    </row>
    <row r="587" spans="1:5" ht="16">
      <c r="A587" s="1" t="s">
        <v>1285</v>
      </c>
      <c r="B587" s="2"/>
      <c r="C587" s="2" t="s">
        <v>1286</v>
      </c>
      <c r="D587" s="2" t="s">
        <v>111</v>
      </c>
      <c r="E587" s="3" t="s">
        <v>50</v>
      </c>
    </row>
    <row r="588" spans="1:5" ht="16">
      <c r="A588" s="1" t="s">
        <v>1287</v>
      </c>
      <c r="B588" s="2"/>
      <c r="C588" s="2" t="s">
        <v>1288</v>
      </c>
      <c r="D588" s="2" t="s">
        <v>111</v>
      </c>
      <c r="E588" s="3" t="s">
        <v>50</v>
      </c>
    </row>
    <row r="589" spans="1:5" ht="16">
      <c r="A589" s="1" t="s">
        <v>1289</v>
      </c>
      <c r="B589" s="2"/>
      <c r="C589" s="2" t="s">
        <v>1290</v>
      </c>
      <c r="D589" s="2" t="s">
        <v>111</v>
      </c>
      <c r="E589" s="3" t="s">
        <v>50</v>
      </c>
    </row>
    <row r="590" spans="1:5" ht="16">
      <c r="A590" s="1" t="s">
        <v>1291</v>
      </c>
      <c r="B590" s="2"/>
      <c r="C590" s="2" t="s">
        <v>1292</v>
      </c>
      <c r="D590" s="2" t="s">
        <v>111</v>
      </c>
      <c r="E590" s="3" t="s">
        <v>50</v>
      </c>
    </row>
    <row r="591" spans="1:5" ht="16">
      <c r="A591" s="1" t="s">
        <v>1293</v>
      </c>
      <c r="B591" s="2"/>
      <c r="C591" s="2" t="s">
        <v>1294</v>
      </c>
      <c r="D591" s="2" t="s">
        <v>111</v>
      </c>
      <c r="E591" s="3" t="s">
        <v>50</v>
      </c>
    </row>
    <row r="592" spans="1:5" ht="16">
      <c r="A592" s="1" t="s">
        <v>1295</v>
      </c>
      <c r="B592" s="2"/>
      <c r="C592" s="2" t="s">
        <v>1296</v>
      </c>
      <c r="D592" s="2" t="s">
        <v>111</v>
      </c>
      <c r="E592" s="3" t="s">
        <v>50</v>
      </c>
    </row>
    <row r="593" spans="1:5" ht="16">
      <c r="A593" s="1" t="s">
        <v>1297</v>
      </c>
      <c r="B593" s="2"/>
      <c r="C593" s="2" t="s">
        <v>1298</v>
      </c>
      <c r="D593" s="2" t="s">
        <v>111</v>
      </c>
      <c r="E593" s="3" t="s">
        <v>50</v>
      </c>
    </row>
    <row r="594" spans="1:5" ht="16">
      <c r="A594" s="1" t="s">
        <v>1299</v>
      </c>
      <c r="B594" s="2"/>
      <c r="C594" s="2" t="s">
        <v>1300</v>
      </c>
      <c r="D594" s="2" t="s">
        <v>111</v>
      </c>
      <c r="E594" s="3" t="s">
        <v>50</v>
      </c>
    </row>
    <row r="595" spans="1:5" ht="16">
      <c r="A595" s="1" t="s">
        <v>1301</v>
      </c>
      <c r="B595" s="2" t="s">
        <v>74</v>
      </c>
      <c r="C595" s="2" t="s">
        <v>1302</v>
      </c>
      <c r="D595" s="2" t="s">
        <v>111</v>
      </c>
      <c r="E595" s="3" t="s">
        <v>50</v>
      </c>
    </row>
    <row r="596" spans="1:5" ht="16">
      <c r="A596" s="1" t="s">
        <v>1303</v>
      </c>
      <c r="B596" s="2"/>
      <c r="C596" s="2" t="s">
        <v>1304</v>
      </c>
      <c r="D596" s="2" t="s">
        <v>111</v>
      </c>
      <c r="E596" s="3" t="s">
        <v>50</v>
      </c>
    </row>
    <row r="597" spans="1:5" ht="16">
      <c r="A597" s="1" t="s">
        <v>1305</v>
      </c>
      <c r="B597" s="2" t="s">
        <v>74</v>
      </c>
      <c r="C597" s="2" t="s">
        <v>1306</v>
      </c>
      <c r="D597" s="2" t="s">
        <v>111</v>
      </c>
      <c r="E597" s="3" t="s">
        <v>50</v>
      </c>
    </row>
    <row r="598" spans="1:5" ht="16">
      <c r="A598" s="1" t="s">
        <v>1307</v>
      </c>
      <c r="B598" s="2" t="s">
        <v>74</v>
      </c>
      <c r="C598" s="2" t="s">
        <v>1308</v>
      </c>
      <c r="D598" s="2" t="s">
        <v>111</v>
      </c>
      <c r="E598" s="3" t="s">
        <v>50</v>
      </c>
    </row>
    <row r="599" spans="1:5" ht="16">
      <c r="A599" s="1" t="s">
        <v>1309</v>
      </c>
      <c r="B599" s="2"/>
      <c r="C599" s="2" t="s">
        <v>1310</v>
      </c>
      <c r="D599" s="2" t="s">
        <v>111</v>
      </c>
      <c r="E599" s="3" t="s">
        <v>50</v>
      </c>
    </row>
    <row r="600" spans="1:5" ht="16">
      <c r="A600" s="1" t="s">
        <v>1311</v>
      </c>
      <c r="B600" s="2"/>
      <c r="C600" s="2" t="s">
        <v>1312</v>
      </c>
      <c r="D600" s="2" t="s">
        <v>111</v>
      </c>
      <c r="E600" s="3" t="s">
        <v>50</v>
      </c>
    </row>
    <row r="601" spans="1:5" ht="16">
      <c r="A601" s="1" t="s">
        <v>1313</v>
      </c>
      <c r="B601" s="2" t="s">
        <v>80</v>
      </c>
      <c r="C601" s="2" t="s">
        <v>1314</v>
      </c>
      <c r="D601" s="2" t="s">
        <v>111</v>
      </c>
      <c r="E601" s="3" t="s">
        <v>50</v>
      </c>
    </row>
    <row r="602" spans="1:5" ht="16">
      <c r="A602" s="1" t="s">
        <v>1315</v>
      </c>
      <c r="B602" s="2" t="s">
        <v>80</v>
      </c>
      <c r="C602" s="2" t="s">
        <v>1316</v>
      </c>
      <c r="D602" s="2" t="s">
        <v>111</v>
      </c>
      <c r="E602" s="3" t="s">
        <v>50</v>
      </c>
    </row>
    <row r="603" spans="1:5" ht="16">
      <c r="A603" s="1" t="s">
        <v>1317</v>
      </c>
      <c r="B603" s="2" t="s">
        <v>80</v>
      </c>
      <c r="C603" s="2" t="s">
        <v>1318</v>
      </c>
      <c r="D603" s="2" t="s">
        <v>111</v>
      </c>
      <c r="E603" s="3" t="s">
        <v>50</v>
      </c>
    </row>
    <row r="604" spans="1:5" ht="16">
      <c r="A604" s="1" t="s">
        <v>1319</v>
      </c>
      <c r="B604" s="2" t="s">
        <v>74</v>
      </c>
      <c r="C604" s="2" t="s">
        <v>1320</v>
      </c>
      <c r="D604" s="2" t="s">
        <v>111</v>
      </c>
      <c r="E604" s="3" t="s">
        <v>50</v>
      </c>
    </row>
    <row r="605" spans="1:5" ht="16">
      <c r="A605" s="1" t="s">
        <v>1321</v>
      </c>
      <c r="B605" s="2"/>
      <c r="C605" s="2" t="s">
        <v>1322</v>
      </c>
      <c r="D605" s="2" t="s">
        <v>111</v>
      </c>
      <c r="E605" s="3" t="s">
        <v>50</v>
      </c>
    </row>
    <row r="606" spans="1:5" ht="16">
      <c r="A606" s="1" t="s">
        <v>1323</v>
      </c>
      <c r="B606" s="2"/>
      <c r="C606" s="2" t="s">
        <v>1324</v>
      </c>
      <c r="D606" s="2" t="s">
        <v>111</v>
      </c>
      <c r="E606" s="3" t="s">
        <v>50</v>
      </c>
    </row>
    <row r="607" spans="1:5" ht="16">
      <c r="A607" s="1" t="s">
        <v>1325</v>
      </c>
      <c r="B607" s="2"/>
      <c r="C607" s="2" t="s">
        <v>1326</v>
      </c>
      <c r="D607" s="2" t="s">
        <v>111</v>
      </c>
      <c r="E607" s="3" t="s">
        <v>50</v>
      </c>
    </row>
    <row r="608" spans="1:5" ht="16">
      <c r="A608" s="1" t="s">
        <v>1327</v>
      </c>
      <c r="B608" s="2"/>
      <c r="C608" s="2" t="s">
        <v>1328</v>
      </c>
      <c r="D608" s="2" t="s">
        <v>111</v>
      </c>
      <c r="E608" s="3" t="s">
        <v>50</v>
      </c>
    </row>
    <row r="609" spans="1:5" ht="16">
      <c r="A609" s="1" t="s">
        <v>1329</v>
      </c>
      <c r="B609" s="2"/>
      <c r="C609" s="2" t="s">
        <v>1330</v>
      </c>
      <c r="D609" s="2" t="s">
        <v>111</v>
      </c>
      <c r="E609" s="3" t="s">
        <v>50</v>
      </c>
    </row>
    <row r="610" spans="1:5" ht="16">
      <c r="A610" s="1" t="s">
        <v>1331</v>
      </c>
      <c r="B610" s="2"/>
      <c r="C610" s="2" t="s">
        <v>1332</v>
      </c>
      <c r="D610" s="2" t="s">
        <v>111</v>
      </c>
      <c r="E610" s="3" t="s">
        <v>50</v>
      </c>
    </row>
    <row r="611" spans="1:5" ht="16">
      <c r="A611" s="1" t="s">
        <v>1333</v>
      </c>
      <c r="B611" s="2"/>
      <c r="C611" s="2" t="s">
        <v>1334</v>
      </c>
      <c r="D611" s="2" t="s">
        <v>111</v>
      </c>
      <c r="E611" s="3" t="s">
        <v>50</v>
      </c>
    </row>
    <row r="612" spans="1:5" ht="16">
      <c r="A612" s="1" t="s">
        <v>1335</v>
      </c>
      <c r="B612" s="2"/>
      <c r="C612" s="2" t="s">
        <v>1336</v>
      </c>
      <c r="D612" s="2" t="s">
        <v>111</v>
      </c>
      <c r="E612" s="3" t="s">
        <v>50</v>
      </c>
    </row>
    <row r="613" spans="1:5" ht="16">
      <c r="A613" s="1" t="s">
        <v>1337</v>
      </c>
      <c r="B613" s="2"/>
      <c r="C613" s="2" t="s">
        <v>1338</v>
      </c>
      <c r="D613" s="2" t="s">
        <v>111</v>
      </c>
      <c r="E613" s="3" t="s">
        <v>50</v>
      </c>
    </row>
    <row r="614" spans="1:5" ht="16">
      <c r="A614" s="1" t="s">
        <v>1339</v>
      </c>
      <c r="B614" s="2"/>
      <c r="C614" s="2" t="s">
        <v>1340</v>
      </c>
      <c r="D614" s="2" t="s">
        <v>111</v>
      </c>
      <c r="E614" s="3" t="s">
        <v>50</v>
      </c>
    </row>
    <row r="615" spans="1:5" ht="16">
      <c r="A615" s="1" t="s">
        <v>1341</v>
      </c>
      <c r="B615" s="2"/>
      <c r="C615" s="2" t="s">
        <v>1342</v>
      </c>
      <c r="D615" s="2" t="s">
        <v>111</v>
      </c>
      <c r="E615" s="3" t="s">
        <v>50</v>
      </c>
    </row>
    <row r="616" spans="1:5" ht="16">
      <c r="A616" s="1" t="s">
        <v>1343</v>
      </c>
      <c r="B616" s="2"/>
      <c r="C616" s="2" t="s">
        <v>1344</v>
      </c>
      <c r="D616" s="2" t="s">
        <v>111</v>
      </c>
      <c r="E616" s="3" t="s">
        <v>50</v>
      </c>
    </row>
    <row r="617" spans="1:5" ht="16">
      <c r="A617" s="1" t="s">
        <v>1345</v>
      </c>
      <c r="B617" s="2"/>
      <c r="C617" s="2" t="s">
        <v>1346</v>
      </c>
      <c r="D617" s="2" t="s">
        <v>111</v>
      </c>
      <c r="E617" s="3" t="s">
        <v>50</v>
      </c>
    </row>
    <row r="618" spans="1:5" ht="16">
      <c r="A618" s="1" t="s">
        <v>1347</v>
      </c>
      <c r="B618" s="2"/>
      <c r="C618" s="2" t="s">
        <v>1348</v>
      </c>
      <c r="D618" s="2" t="s">
        <v>111</v>
      </c>
      <c r="E618" s="3" t="s">
        <v>50</v>
      </c>
    </row>
    <row r="619" spans="1:5" ht="16">
      <c r="A619" s="1" t="s">
        <v>1349</v>
      </c>
      <c r="B619" s="2" t="s">
        <v>80</v>
      </c>
      <c r="C619" s="2" t="s">
        <v>1350</v>
      </c>
      <c r="D619" s="2" t="s">
        <v>440</v>
      </c>
      <c r="E619" s="3" t="s">
        <v>45</v>
      </c>
    </row>
    <row r="620" spans="1:5" ht="16">
      <c r="A620" s="1" t="s">
        <v>1351</v>
      </c>
      <c r="B620" s="2" t="s">
        <v>80</v>
      </c>
      <c r="C620" s="2" t="s">
        <v>1352</v>
      </c>
      <c r="D620" s="2" t="s">
        <v>440</v>
      </c>
      <c r="E620" s="3" t="s">
        <v>45</v>
      </c>
    </row>
    <row r="621" spans="1:5" ht="16">
      <c r="A621" s="1" t="s">
        <v>1353</v>
      </c>
      <c r="B621" s="2"/>
      <c r="C621" s="2" t="s">
        <v>1354</v>
      </c>
      <c r="D621" s="2" t="s">
        <v>111</v>
      </c>
      <c r="E621" s="3" t="s">
        <v>50</v>
      </c>
    </row>
    <row r="622" spans="1:5" ht="16">
      <c r="A622" s="1" t="s">
        <v>1355</v>
      </c>
      <c r="B622" s="2"/>
      <c r="C622" s="2" t="s">
        <v>1356</v>
      </c>
      <c r="D622" s="2" t="s">
        <v>111</v>
      </c>
      <c r="E622" s="3" t="s">
        <v>50</v>
      </c>
    </row>
    <row r="623" spans="1:5" ht="16">
      <c r="A623" s="1" t="s">
        <v>1357</v>
      </c>
      <c r="B623" s="2" t="s">
        <v>80</v>
      </c>
      <c r="C623" s="2" t="s">
        <v>1358</v>
      </c>
      <c r="D623" s="2" t="s">
        <v>111</v>
      </c>
      <c r="E623" s="3" t="s">
        <v>50</v>
      </c>
    </row>
    <row r="624" spans="1:5" ht="16">
      <c r="A624" s="1" t="s">
        <v>1359</v>
      </c>
      <c r="B624" s="2" t="s">
        <v>80</v>
      </c>
      <c r="C624" s="2" t="s">
        <v>1360</v>
      </c>
      <c r="D624" s="2" t="s">
        <v>111</v>
      </c>
      <c r="E624" s="3" t="s">
        <v>50</v>
      </c>
    </row>
    <row r="625" spans="1:5" ht="16">
      <c r="A625" s="1" t="s">
        <v>1361</v>
      </c>
      <c r="B625" s="2"/>
      <c r="C625" s="2" t="s">
        <v>1362</v>
      </c>
      <c r="D625" s="2" t="s">
        <v>111</v>
      </c>
      <c r="E625" s="3" t="s">
        <v>50</v>
      </c>
    </row>
    <row r="626" spans="1:5" ht="16">
      <c r="A626" s="1" t="s">
        <v>1363</v>
      </c>
      <c r="B626" s="2" t="s">
        <v>303</v>
      </c>
      <c r="C626" s="2" t="s">
        <v>1364</v>
      </c>
      <c r="D626" s="2" t="s">
        <v>192</v>
      </c>
      <c r="E626" s="3" t="s">
        <v>35</v>
      </c>
    </row>
    <row r="627" spans="1:5" ht="16">
      <c r="A627" s="1" t="s">
        <v>1365</v>
      </c>
      <c r="B627" s="2" t="s">
        <v>97</v>
      </c>
      <c r="C627" s="2" t="s">
        <v>1366</v>
      </c>
      <c r="D627" s="2" t="s">
        <v>192</v>
      </c>
      <c r="E627" s="3" t="s">
        <v>35</v>
      </c>
    </row>
    <row r="628" spans="1:5" ht="16">
      <c r="A628" s="1" t="s">
        <v>1367</v>
      </c>
      <c r="B628" s="2" t="s">
        <v>97</v>
      </c>
      <c r="C628" s="2" t="s">
        <v>1368</v>
      </c>
      <c r="D628" s="2" t="s">
        <v>192</v>
      </c>
      <c r="E628" s="3" t="s">
        <v>35</v>
      </c>
    </row>
    <row r="629" spans="1:5" ht="16">
      <c r="A629" s="1" t="s">
        <v>1369</v>
      </c>
      <c r="B629" s="2" t="s">
        <v>199</v>
      </c>
      <c r="C629" s="2" t="s">
        <v>1370</v>
      </c>
      <c r="D629" s="2" t="s">
        <v>192</v>
      </c>
      <c r="E629" s="3" t="s">
        <v>35</v>
      </c>
    </row>
    <row r="630" spans="1:5" ht="16">
      <c r="A630" s="1" t="s">
        <v>1371</v>
      </c>
      <c r="B630" s="2" t="s">
        <v>303</v>
      </c>
      <c r="C630" s="2" t="s">
        <v>1372</v>
      </c>
      <c r="D630" s="2" t="s">
        <v>192</v>
      </c>
      <c r="E630" s="3" t="s">
        <v>35</v>
      </c>
    </row>
    <row r="631" spans="1:5" ht="16">
      <c r="A631" s="1" t="s">
        <v>1373</v>
      </c>
      <c r="B631" s="2" t="s">
        <v>214</v>
      </c>
      <c r="C631" s="2" t="s">
        <v>1374</v>
      </c>
      <c r="D631" s="2" t="s">
        <v>192</v>
      </c>
      <c r="E631" s="3" t="s">
        <v>35</v>
      </c>
    </row>
    <row r="632" spans="1:5" ht="16">
      <c r="A632" s="1" t="s">
        <v>1375</v>
      </c>
      <c r="B632" s="2" t="s">
        <v>97</v>
      </c>
      <c r="C632" s="2" t="s">
        <v>1376</v>
      </c>
      <c r="D632" s="2" t="s">
        <v>192</v>
      </c>
      <c r="E632" s="3" t="s">
        <v>35</v>
      </c>
    </row>
    <row r="633" spans="1:5" ht="16">
      <c r="A633" s="1" t="s">
        <v>1377</v>
      </c>
      <c r="B633" s="2" t="s">
        <v>1378</v>
      </c>
      <c r="C633" s="2" t="s">
        <v>1379</v>
      </c>
      <c r="D633" s="2" t="s">
        <v>192</v>
      </c>
      <c r="E633" s="3" t="s">
        <v>35</v>
      </c>
    </row>
    <row r="634" spans="1:5" ht="16">
      <c r="A634" s="1" t="s">
        <v>1380</v>
      </c>
      <c r="B634" s="2" t="s">
        <v>199</v>
      </c>
      <c r="C634" s="2" t="s">
        <v>1381</v>
      </c>
      <c r="D634" s="2" t="s">
        <v>192</v>
      </c>
      <c r="E634" s="3" t="s">
        <v>35</v>
      </c>
    </row>
    <row r="635" spans="1:5" ht="16">
      <c r="A635" s="1" t="s">
        <v>1382</v>
      </c>
      <c r="B635" s="2" t="s">
        <v>199</v>
      </c>
      <c r="C635" s="2" t="s">
        <v>1383</v>
      </c>
      <c r="D635" s="2" t="s">
        <v>192</v>
      </c>
      <c r="E635" s="3" t="s">
        <v>35</v>
      </c>
    </row>
    <row r="636" spans="1:5" ht="16">
      <c r="A636" s="1" t="s">
        <v>1384</v>
      </c>
      <c r="B636" s="2" t="s">
        <v>214</v>
      </c>
      <c r="C636" s="2" t="s">
        <v>1385</v>
      </c>
      <c r="D636" s="2" t="s">
        <v>192</v>
      </c>
      <c r="E636" s="3" t="s">
        <v>35</v>
      </c>
    </row>
    <row r="637" spans="1:5" ht="16">
      <c r="A637" s="1" t="s">
        <v>1386</v>
      </c>
      <c r="B637" s="2" t="s">
        <v>214</v>
      </c>
      <c r="C637" s="2" t="s">
        <v>1387</v>
      </c>
      <c r="D637" s="2" t="s">
        <v>192</v>
      </c>
      <c r="E637" s="3" t="s">
        <v>35</v>
      </c>
    </row>
    <row r="638" spans="1:5" ht="16">
      <c r="A638" s="1" t="s">
        <v>1388</v>
      </c>
      <c r="B638" s="2" t="s">
        <v>199</v>
      </c>
      <c r="C638" s="2" t="s">
        <v>1389</v>
      </c>
      <c r="D638" s="2" t="s">
        <v>192</v>
      </c>
      <c r="E638" s="3" t="s">
        <v>35</v>
      </c>
    </row>
    <row r="639" spans="1:5" ht="16">
      <c r="A639" s="1" t="s">
        <v>1390</v>
      </c>
      <c r="B639" s="2" t="s">
        <v>199</v>
      </c>
      <c r="C639" s="2" t="s">
        <v>1391</v>
      </c>
      <c r="D639" s="2" t="s">
        <v>192</v>
      </c>
      <c r="E639" s="3" t="s">
        <v>35</v>
      </c>
    </row>
    <row r="640" spans="1:5" ht="16">
      <c r="A640" s="1" t="s">
        <v>1392</v>
      </c>
      <c r="B640" s="2" t="s">
        <v>254</v>
      </c>
      <c r="C640" s="2" t="s">
        <v>1393</v>
      </c>
      <c r="D640" s="2" t="s">
        <v>192</v>
      </c>
      <c r="E640" s="3" t="s">
        <v>35</v>
      </c>
    </row>
    <row r="641" spans="1:5" ht="16">
      <c r="A641" s="1" t="s">
        <v>1394</v>
      </c>
      <c r="B641" s="2" t="s">
        <v>199</v>
      </c>
      <c r="C641" s="2" t="s">
        <v>1395</v>
      </c>
      <c r="D641" s="2" t="s">
        <v>192</v>
      </c>
      <c r="E641" s="3" t="s">
        <v>35</v>
      </c>
    </row>
    <row r="642" spans="1:5" ht="16">
      <c r="A642" s="1" t="s">
        <v>1396</v>
      </c>
      <c r="B642" s="2" t="s">
        <v>199</v>
      </c>
      <c r="C642" s="2" t="s">
        <v>1397</v>
      </c>
      <c r="D642" s="2" t="s">
        <v>192</v>
      </c>
      <c r="E642" s="3" t="s">
        <v>35</v>
      </c>
    </row>
    <row r="643" spans="1:5" ht="16">
      <c r="A643" s="1" t="s">
        <v>1398</v>
      </c>
      <c r="B643" s="2" t="s">
        <v>303</v>
      </c>
      <c r="C643" s="2" t="s">
        <v>1399</v>
      </c>
      <c r="D643" s="2" t="s">
        <v>192</v>
      </c>
      <c r="E643" s="3" t="s">
        <v>35</v>
      </c>
    </row>
    <row r="644" spans="1:5" ht="16">
      <c r="A644" s="1" t="s">
        <v>1400</v>
      </c>
      <c r="B644" s="2" t="s">
        <v>199</v>
      </c>
      <c r="C644" s="2" t="s">
        <v>1401</v>
      </c>
      <c r="D644" s="2" t="s">
        <v>192</v>
      </c>
      <c r="E644" s="3" t="s">
        <v>35</v>
      </c>
    </row>
    <row r="645" spans="1:5" ht="16">
      <c r="A645" s="1" t="s">
        <v>1402</v>
      </c>
      <c r="B645" s="2" t="s">
        <v>214</v>
      </c>
      <c r="C645" s="2" t="s">
        <v>1403</v>
      </c>
      <c r="D645" s="2" t="s">
        <v>192</v>
      </c>
      <c r="E645" s="3" t="s">
        <v>35</v>
      </c>
    </row>
    <row r="646" spans="1:5" ht="16">
      <c r="A646" s="1" t="s">
        <v>1404</v>
      </c>
      <c r="B646" s="2" t="s">
        <v>214</v>
      </c>
      <c r="C646" s="2" t="s">
        <v>1405</v>
      </c>
      <c r="D646" s="2" t="s">
        <v>192</v>
      </c>
      <c r="E646" s="3" t="s">
        <v>35</v>
      </c>
    </row>
    <row r="647" spans="1:5" ht="16">
      <c r="A647" s="1" t="s">
        <v>1406</v>
      </c>
      <c r="B647" s="2"/>
      <c r="C647" s="2" t="s">
        <v>1407</v>
      </c>
      <c r="D647" s="2" t="s">
        <v>440</v>
      </c>
      <c r="E647" s="3" t="s">
        <v>45</v>
      </c>
    </row>
    <row r="648" spans="1:5" ht="16">
      <c r="A648" s="1" t="s">
        <v>1408</v>
      </c>
      <c r="B648" s="2" t="s">
        <v>196</v>
      </c>
      <c r="C648" s="2" t="s">
        <v>1409</v>
      </c>
      <c r="D648" s="2" t="s">
        <v>192</v>
      </c>
      <c r="E648" s="3" t="s">
        <v>35</v>
      </c>
    </row>
    <row r="649" spans="1:5" ht="16">
      <c r="A649" s="1" t="s">
        <v>1410</v>
      </c>
      <c r="B649" s="2" t="s">
        <v>303</v>
      </c>
      <c r="C649" s="2" t="s">
        <v>1411</v>
      </c>
      <c r="D649" s="2" t="s">
        <v>192</v>
      </c>
      <c r="E649" s="3" t="s">
        <v>35</v>
      </c>
    </row>
    <row r="650" spans="1:5" ht="16">
      <c r="A650" s="1" t="s">
        <v>1412</v>
      </c>
      <c r="B650" s="2" t="s">
        <v>85</v>
      </c>
      <c r="C650" s="2" t="s">
        <v>1413</v>
      </c>
      <c r="D650" s="2" t="s">
        <v>192</v>
      </c>
      <c r="E650" s="3" t="s">
        <v>35</v>
      </c>
    </row>
    <row r="651" spans="1:5" ht="16">
      <c r="A651" s="1" t="s">
        <v>1414</v>
      </c>
      <c r="B651" s="2" t="s">
        <v>85</v>
      </c>
      <c r="C651" s="2" t="s">
        <v>1415</v>
      </c>
      <c r="D651" s="2" t="s">
        <v>192</v>
      </c>
      <c r="E651" s="3" t="s">
        <v>35</v>
      </c>
    </row>
    <row r="652" spans="1:5" ht="16">
      <c r="A652" s="1" t="s">
        <v>1416</v>
      </c>
      <c r="B652" s="2" t="s">
        <v>303</v>
      </c>
      <c r="C652" s="2" t="s">
        <v>1417</v>
      </c>
      <c r="D652" s="2" t="s">
        <v>192</v>
      </c>
      <c r="E652" s="3" t="s">
        <v>35</v>
      </c>
    </row>
    <row r="653" spans="1:5" ht="16">
      <c r="A653" s="1" t="s">
        <v>1418</v>
      </c>
      <c r="B653" s="2" t="s">
        <v>91</v>
      </c>
      <c r="C653" s="2" t="s">
        <v>1419</v>
      </c>
      <c r="D653" s="2" t="s">
        <v>192</v>
      </c>
      <c r="E653" s="3" t="s">
        <v>35</v>
      </c>
    </row>
    <row r="654" spans="1:5" ht="16">
      <c r="A654" s="1" t="s">
        <v>1420</v>
      </c>
      <c r="B654" s="2" t="s">
        <v>91</v>
      </c>
      <c r="C654" s="2" t="s">
        <v>1421</v>
      </c>
      <c r="D654" s="2" t="s">
        <v>192</v>
      </c>
      <c r="E654" s="3" t="s">
        <v>35</v>
      </c>
    </row>
    <row r="655" spans="1:5" ht="16">
      <c r="A655" s="1" t="s">
        <v>1422</v>
      </c>
      <c r="B655" s="2" t="s">
        <v>91</v>
      </c>
      <c r="C655" s="2" t="s">
        <v>1423</v>
      </c>
      <c r="D655" s="2" t="s">
        <v>192</v>
      </c>
      <c r="E655" s="3" t="s">
        <v>35</v>
      </c>
    </row>
    <row r="656" spans="1:5" ht="16">
      <c r="A656" s="1" t="s">
        <v>1424</v>
      </c>
      <c r="B656" s="2" t="s">
        <v>97</v>
      </c>
      <c r="C656" s="2" t="s">
        <v>1425</v>
      </c>
      <c r="D656" s="2" t="s">
        <v>192</v>
      </c>
      <c r="E656" s="3" t="s">
        <v>35</v>
      </c>
    </row>
    <row r="657" spans="1:5" ht="16">
      <c r="A657" s="1" t="s">
        <v>1426</v>
      </c>
      <c r="B657" s="2" t="s">
        <v>97</v>
      </c>
      <c r="C657" s="2" t="s">
        <v>1427</v>
      </c>
      <c r="D657" s="2" t="s">
        <v>192</v>
      </c>
      <c r="E657" s="3" t="s">
        <v>35</v>
      </c>
    </row>
    <row r="658" spans="1:5" ht="16">
      <c r="A658" s="1" t="s">
        <v>1428</v>
      </c>
      <c r="B658" s="2" t="s">
        <v>74</v>
      </c>
      <c r="C658" s="2" t="s">
        <v>1429</v>
      </c>
      <c r="D658" s="2" t="s">
        <v>440</v>
      </c>
      <c r="E658" s="3" t="s">
        <v>45</v>
      </c>
    </row>
    <row r="659" spans="1:5" ht="16">
      <c r="A659" s="1" t="s">
        <v>1430</v>
      </c>
      <c r="B659" s="2" t="s">
        <v>74</v>
      </c>
      <c r="C659" s="2" t="s">
        <v>1431</v>
      </c>
      <c r="D659" s="2" t="s">
        <v>440</v>
      </c>
      <c r="E659" s="3" t="s">
        <v>45</v>
      </c>
    </row>
    <row r="660" spans="1:5" ht="16">
      <c r="A660" s="1" t="s">
        <v>1432</v>
      </c>
      <c r="B660" s="2" t="s">
        <v>196</v>
      </c>
      <c r="C660" s="2" t="s">
        <v>1433</v>
      </c>
      <c r="D660" s="2" t="s">
        <v>192</v>
      </c>
      <c r="E660" s="3" t="s">
        <v>35</v>
      </c>
    </row>
    <row r="661" spans="1:5" ht="16">
      <c r="A661" s="1" t="s">
        <v>1434</v>
      </c>
      <c r="B661" s="2" t="s">
        <v>196</v>
      </c>
      <c r="C661" s="2" t="s">
        <v>1435</v>
      </c>
      <c r="D661" s="2" t="s">
        <v>192</v>
      </c>
      <c r="E661" s="3" t="s">
        <v>35</v>
      </c>
    </row>
    <row r="662" spans="1:5" ht="16">
      <c r="A662" s="1" t="s">
        <v>1436</v>
      </c>
      <c r="B662" s="2" t="s">
        <v>196</v>
      </c>
      <c r="C662" s="2" t="s">
        <v>1437</v>
      </c>
      <c r="D662" s="2" t="s">
        <v>192</v>
      </c>
      <c r="E662" s="3" t="s">
        <v>35</v>
      </c>
    </row>
    <row r="663" spans="1:5" ht="16">
      <c r="A663" s="1" t="s">
        <v>1438</v>
      </c>
      <c r="B663" s="2" t="s">
        <v>196</v>
      </c>
      <c r="C663" s="2" t="s">
        <v>1439</v>
      </c>
      <c r="D663" s="2" t="s">
        <v>192</v>
      </c>
      <c r="E663" s="3" t="s">
        <v>35</v>
      </c>
    </row>
    <row r="664" spans="1:5" ht="16">
      <c r="A664" s="1" t="s">
        <v>1440</v>
      </c>
      <c r="B664" s="2" t="s">
        <v>199</v>
      </c>
      <c r="C664" s="2" t="s">
        <v>1441</v>
      </c>
      <c r="D664" s="2" t="s">
        <v>192</v>
      </c>
      <c r="E664" s="3" t="s">
        <v>35</v>
      </c>
    </row>
    <row r="665" spans="1:5" ht="16">
      <c r="A665" s="1" t="s">
        <v>1442</v>
      </c>
      <c r="B665" s="2" t="s">
        <v>91</v>
      </c>
      <c r="C665" s="2" t="s">
        <v>1443</v>
      </c>
      <c r="D665" s="2" t="s">
        <v>192</v>
      </c>
      <c r="E665" s="3" t="s">
        <v>35</v>
      </c>
    </row>
    <row r="666" spans="1:5" ht="16">
      <c r="A666" s="1" t="s">
        <v>1444</v>
      </c>
      <c r="B666" s="2" t="s">
        <v>303</v>
      </c>
      <c r="C666" s="2" t="s">
        <v>1445</v>
      </c>
      <c r="D666" s="2" t="s">
        <v>192</v>
      </c>
      <c r="E666" s="3" t="s">
        <v>35</v>
      </c>
    </row>
    <row r="667" spans="1:5" ht="16">
      <c r="A667" s="1" t="s">
        <v>1446</v>
      </c>
      <c r="B667" s="2" t="s">
        <v>85</v>
      </c>
      <c r="C667" s="2" t="s">
        <v>1447</v>
      </c>
      <c r="D667" s="2" t="s">
        <v>192</v>
      </c>
      <c r="E667" s="3" t="s">
        <v>35</v>
      </c>
    </row>
    <row r="668" spans="1:5" ht="16">
      <c r="A668" s="1" t="s">
        <v>1448</v>
      </c>
      <c r="B668" s="2" t="s">
        <v>196</v>
      </c>
      <c r="C668" s="2" t="s">
        <v>1449</v>
      </c>
      <c r="D668" s="2" t="s">
        <v>192</v>
      </c>
      <c r="E668" s="3" t="s">
        <v>35</v>
      </c>
    </row>
    <row r="669" spans="1:5" ht="16">
      <c r="A669" s="1" t="s">
        <v>1450</v>
      </c>
      <c r="B669" s="2" t="s">
        <v>196</v>
      </c>
      <c r="C669" s="2" t="s">
        <v>1451</v>
      </c>
      <c r="D669" s="2" t="s">
        <v>192</v>
      </c>
      <c r="E669" s="3" t="s">
        <v>35</v>
      </c>
    </row>
    <row r="670" spans="1:5" ht="16">
      <c r="A670" s="1" t="s">
        <v>1452</v>
      </c>
      <c r="B670" s="2" t="s">
        <v>214</v>
      </c>
      <c r="C670" s="2" t="s">
        <v>1453</v>
      </c>
      <c r="D670" s="2" t="s">
        <v>192</v>
      </c>
      <c r="E670" s="3" t="s">
        <v>35</v>
      </c>
    </row>
    <row r="671" spans="1:5" ht="16">
      <c r="A671" s="1" t="s">
        <v>1454</v>
      </c>
      <c r="B671" s="2" t="s">
        <v>85</v>
      </c>
      <c r="C671" s="2" t="s">
        <v>1455</v>
      </c>
      <c r="D671" s="2" t="s">
        <v>192</v>
      </c>
      <c r="E671" s="3" t="s">
        <v>35</v>
      </c>
    </row>
    <row r="672" spans="1:5" ht="16">
      <c r="A672" s="1" t="s">
        <v>1456</v>
      </c>
      <c r="B672" s="2" t="s">
        <v>214</v>
      </c>
      <c r="C672" s="2" t="s">
        <v>1457</v>
      </c>
      <c r="D672" s="2" t="s">
        <v>192</v>
      </c>
      <c r="E672" s="3" t="s">
        <v>35</v>
      </c>
    </row>
    <row r="673" spans="1:5" ht="16">
      <c r="A673" s="1" t="s">
        <v>1458</v>
      </c>
      <c r="B673" s="2" t="s">
        <v>214</v>
      </c>
      <c r="C673" s="2" t="s">
        <v>1459</v>
      </c>
      <c r="D673" s="2" t="s">
        <v>192</v>
      </c>
      <c r="E673" s="3" t="s">
        <v>35</v>
      </c>
    </row>
    <row r="674" spans="1:5" ht="16">
      <c r="A674" s="1" t="s">
        <v>1460</v>
      </c>
      <c r="B674" s="2" t="s">
        <v>199</v>
      </c>
      <c r="C674" s="2" t="s">
        <v>1461</v>
      </c>
      <c r="D674" s="2" t="s">
        <v>192</v>
      </c>
      <c r="E674" s="3" t="s">
        <v>35</v>
      </c>
    </row>
    <row r="675" spans="1:5" ht="16">
      <c r="A675" s="1" t="s">
        <v>1462</v>
      </c>
      <c r="B675" s="2" t="s">
        <v>254</v>
      </c>
      <c r="C675" s="2" t="s">
        <v>1463</v>
      </c>
      <c r="D675" s="2" t="s">
        <v>192</v>
      </c>
      <c r="E675" s="3" t="s">
        <v>35</v>
      </c>
    </row>
    <row r="676" spans="1:5" ht="16">
      <c r="A676" s="1" t="s">
        <v>1464</v>
      </c>
      <c r="B676" s="2" t="s">
        <v>303</v>
      </c>
      <c r="C676" s="2" t="s">
        <v>1465</v>
      </c>
      <c r="D676" s="2" t="s">
        <v>192</v>
      </c>
      <c r="E676" s="3" t="s">
        <v>35</v>
      </c>
    </row>
    <row r="677" spans="1:5" ht="16">
      <c r="A677" s="1" t="s">
        <v>1466</v>
      </c>
      <c r="B677" s="2" t="s">
        <v>254</v>
      </c>
      <c r="C677" s="2" t="s">
        <v>1467</v>
      </c>
      <c r="D677" s="2" t="s">
        <v>192</v>
      </c>
      <c r="E677" s="3" t="s">
        <v>35</v>
      </c>
    </row>
    <row r="678" spans="1:5" ht="16">
      <c r="A678" s="1" t="s">
        <v>1468</v>
      </c>
      <c r="B678" s="2" t="s">
        <v>199</v>
      </c>
      <c r="C678" s="2" t="s">
        <v>1469</v>
      </c>
      <c r="D678" s="2" t="s">
        <v>192</v>
      </c>
      <c r="E678" s="3" t="s">
        <v>35</v>
      </c>
    </row>
    <row r="679" spans="1:5" ht="16">
      <c r="A679" s="1" t="s">
        <v>1470</v>
      </c>
      <c r="B679" s="2" t="s">
        <v>199</v>
      </c>
      <c r="C679" s="2" t="s">
        <v>1471</v>
      </c>
      <c r="D679" s="2" t="s">
        <v>192</v>
      </c>
      <c r="E679" s="3" t="s">
        <v>35</v>
      </c>
    </row>
    <row r="680" spans="1:5" ht="16">
      <c r="A680" s="1" t="s">
        <v>1472</v>
      </c>
      <c r="B680" s="2" t="s">
        <v>199</v>
      </c>
      <c r="C680" s="2" t="s">
        <v>1473</v>
      </c>
      <c r="D680" s="2" t="s">
        <v>192</v>
      </c>
      <c r="E680" s="3" t="s">
        <v>35</v>
      </c>
    </row>
    <row r="681" spans="1:5" ht="16">
      <c r="A681" s="1" t="s">
        <v>1474</v>
      </c>
      <c r="B681" s="2" t="s">
        <v>199</v>
      </c>
      <c r="C681" s="2" t="s">
        <v>1475</v>
      </c>
      <c r="D681" s="2" t="s">
        <v>192</v>
      </c>
      <c r="E681" s="3" t="s">
        <v>35</v>
      </c>
    </row>
    <row r="682" spans="1:5" ht="32">
      <c r="A682" s="1" t="s">
        <v>1476</v>
      </c>
      <c r="B682" s="2" t="s">
        <v>1378</v>
      </c>
      <c r="C682" s="2" t="s">
        <v>1477</v>
      </c>
      <c r="D682" s="2" t="s">
        <v>192</v>
      </c>
      <c r="E682" s="3" t="s">
        <v>35</v>
      </c>
    </row>
    <row r="683" spans="1:5" ht="16">
      <c r="A683" s="1" t="s">
        <v>1478</v>
      </c>
      <c r="B683" s="2" t="s">
        <v>1378</v>
      </c>
      <c r="C683" s="2" t="s">
        <v>1479</v>
      </c>
      <c r="D683" s="2" t="s">
        <v>192</v>
      </c>
      <c r="E683" s="3" t="s">
        <v>35</v>
      </c>
    </row>
    <row r="684" spans="1:5" ht="16">
      <c r="A684" s="1" t="s">
        <v>1480</v>
      </c>
      <c r="B684" s="2" t="s">
        <v>1378</v>
      </c>
      <c r="C684" s="2" t="s">
        <v>1481</v>
      </c>
      <c r="D684" s="2" t="s">
        <v>192</v>
      </c>
      <c r="E684" s="3" t="s">
        <v>35</v>
      </c>
    </row>
    <row r="685" spans="1:5" ht="16">
      <c r="A685" s="1" t="s">
        <v>1482</v>
      </c>
      <c r="B685" s="2" t="s">
        <v>80</v>
      </c>
      <c r="C685" s="2" t="s">
        <v>1483</v>
      </c>
      <c r="D685" s="2" t="s">
        <v>357</v>
      </c>
      <c r="E685" s="3" t="s">
        <v>45</v>
      </c>
    </row>
    <row r="686" spans="1:5" ht="16">
      <c r="A686" s="1" t="s">
        <v>1484</v>
      </c>
      <c r="B686" s="2" t="s">
        <v>199</v>
      </c>
      <c r="C686" s="2" t="s">
        <v>1485</v>
      </c>
      <c r="D686" s="2" t="s">
        <v>192</v>
      </c>
      <c r="E686" s="3" t="s">
        <v>35</v>
      </c>
    </row>
    <row r="687" spans="1:5" ht="16">
      <c r="A687" s="1" t="s">
        <v>1486</v>
      </c>
      <c r="B687" s="2" t="s">
        <v>97</v>
      </c>
      <c r="C687" s="2" t="s">
        <v>1487</v>
      </c>
      <c r="D687" s="2" t="s">
        <v>192</v>
      </c>
      <c r="E687" s="3" t="s">
        <v>35</v>
      </c>
    </row>
    <row r="688" spans="1:5" ht="16">
      <c r="A688" s="1" t="s">
        <v>1488</v>
      </c>
      <c r="B688" s="2" t="s">
        <v>196</v>
      </c>
      <c r="C688" s="2" t="s">
        <v>1489</v>
      </c>
      <c r="D688" s="2" t="s">
        <v>192</v>
      </c>
      <c r="E688" s="3" t="s">
        <v>35</v>
      </c>
    </row>
    <row r="689" spans="1:5" ht="16">
      <c r="A689" s="1" t="s">
        <v>1490</v>
      </c>
      <c r="B689" s="2" t="s">
        <v>199</v>
      </c>
      <c r="C689" s="2" t="s">
        <v>1491</v>
      </c>
      <c r="D689" s="2" t="s">
        <v>192</v>
      </c>
      <c r="E689" s="3" t="s">
        <v>35</v>
      </c>
    </row>
    <row r="690" spans="1:5" ht="16">
      <c r="A690" s="1" t="s">
        <v>1492</v>
      </c>
      <c r="B690" s="2" t="s">
        <v>214</v>
      </c>
      <c r="C690" s="2" t="s">
        <v>1493</v>
      </c>
      <c r="D690" s="2" t="s">
        <v>192</v>
      </c>
      <c r="E690" s="3" t="s">
        <v>35</v>
      </c>
    </row>
    <row r="691" spans="1:5" ht="16">
      <c r="A691" s="1" t="s">
        <v>1494</v>
      </c>
      <c r="B691" s="2" t="s">
        <v>199</v>
      </c>
      <c r="C691" s="2" t="s">
        <v>1495</v>
      </c>
      <c r="D691" s="2" t="s">
        <v>192</v>
      </c>
      <c r="E691" s="3" t="s">
        <v>35</v>
      </c>
    </row>
    <row r="692" spans="1:5" ht="16">
      <c r="A692" s="1" t="s">
        <v>1496</v>
      </c>
      <c r="B692" s="2" t="s">
        <v>1378</v>
      </c>
      <c r="C692" s="2" t="s">
        <v>1497</v>
      </c>
      <c r="D692" s="2" t="s">
        <v>192</v>
      </c>
      <c r="E692" s="3" t="s">
        <v>35</v>
      </c>
    </row>
    <row r="693" spans="1:5" ht="16">
      <c r="A693" s="1" t="s">
        <v>1498</v>
      </c>
      <c r="B693" s="2" t="s">
        <v>303</v>
      </c>
      <c r="C693" s="2" t="s">
        <v>1499</v>
      </c>
      <c r="D693" s="2" t="s">
        <v>192</v>
      </c>
      <c r="E693" s="3" t="s">
        <v>35</v>
      </c>
    </row>
    <row r="694" spans="1:5" ht="16">
      <c r="A694" s="1" t="s">
        <v>1500</v>
      </c>
      <c r="B694" s="2" t="s">
        <v>303</v>
      </c>
      <c r="C694" s="2" t="s">
        <v>1501</v>
      </c>
      <c r="D694" s="2" t="s">
        <v>192</v>
      </c>
      <c r="E694" s="3" t="s">
        <v>35</v>
      </c>
    </row>
    <row r="695" spans="1:5" ht="16">
      <c r="A695" s="1" t="s">
        <v>1502</v>
      </c>
      <c r="B695" s="2" t="s">
        <v>80</v>
      </c>
      <c r="C695" s="2" t="s">
        <v>1503</v>
      </c>
      <c r="D695" s="2" t="s">
        <v>111</v>
      </c>
      <c r="E695" s="3" t="s">
        <v>50</v>
      </c>
    </row>
    <row r="696" spans="1:5" ht="16">
      <c r="A696" s="1" t="s">
        <v>1504</v>
      </c>
      <c r="B696" s="2" t="s">
        <v>91</v>
      </c>
      <c r="C696" s="2" t="s">
        <v>1505</v>
      </c>
      <c r="D696" s="2" t="s">
        <v>192</v>
      </c>
      <c r="E696" s="3" t="s">
        <v>35</v>
      </c>
    </row>
    <row r="697" spans="1:5" ht="16">
      <c r="A697" s="1" t="s">
        <v>1506</v>
      </c>
      <c r="B697" s="2" t="s">
        <v>199</v>
      </c>
      <c r="C697" s="2" t="s">
        <v>1507</v>
      </c>
      <c r="D697" s="2" t="s">
        <v>192</v>
      </c>
      <c r="E697" s="3" t="s">
        <v>35</v>
      </c>
    </row>
    <row r="698" spans="1:5" ht="16">
      <c r="A698" s="1" t="s">
        <v>1508</v>
      </c>
      <c r="B698" s="2" t="s">
        <v>91</v>
      </c>
      <c r="C698" s="2" t="s">
        <v>1509</v>
      </c>
      <c r="D698" s="2" t="s">
        <v>192</v>
      </c>
      <c r="E698" s="3" t="s">
        <v>35</v>
      </c>
    </row>
    <row r="699" spans="1:5" ht="16">
      <c r="A699" s="1" t="s">
        <v>1510</v>
      </c>
      <c r="B699" s="2" t="s">
        <v>97</v>
      </c>
      <c r="C699" s="2" t="s">
        <v>1511</v>
      </c>
      <c r="D699" s="2" t="s">
        <v>192</v>
      </c>
      <c r="E699" s="3" t="s">
        <v>35</v>
      </c>
    </row>
    <row r="700" spans="1:5" ht="16">
      <c r="A700" s="1" t="s">
        <v>1512</v>
      </c>
      <c r="B700" s="2" t="s">
        <v>80</v>
      </c>
      <c r="C700" s="2" t="s">
        <v>1513</v>
      </c>
      <c r="D700" s="2" t="s">
        <v>111</v>
      </c>
      <c r="E700" s="3" t="s">
        <v>50</v>
      </c>
    </row>
    <row r="701" spans="1:5" ht="16">
      <c r="A701" s="1" t="s">
        <v>1514</v>
      </c>
      <c r="B701" s="2" t="s">
        <v>80</v>
      </c>
      <c r="C701" s="2" t="s">
        <v>1515</v>
      </c>
      <c r="D701" s="2" t="s">
        <v>111</v>
      </c>
      <c r="E701" s="3" t="s">
        <v>50</v>
      </c>
    </row>
    <row r="702" spans="1:5" ht="16">
      <c r="A702" s="1" t="s">
        <v>1516</v>
      </c>
      <c r="B702" s="2" t="s">
        <v>85</v>
      </c>
      <c r="C702" s="2" t="s">
        <v>1517</v>
      </c>
      <c r="D702" s="2" t="s">
        <v>192</v>
      </c>
      <c r="E702" s="3" t="s">
        <v>35</v>
      </c>
    </row>
    <row r="703" spans="1:5" ht="16">
      <c r="A703" s="1" t="s">
        <v>1518</v>
      </c>
      <c r="B703" s="2" t="s">
        <v>303</v>
      </c>
      <c r="C703" s="2" t="s">
        <v>1519</v>
      </c>
      <c r="D703" s="2" t="s">
        <v>192</v>
      </c>
      <c r="E703" s="3" t="s">
        <v>35</v>
      </c>
    </row>
    <row r="704" spans="1:5" ht="16">
      <c r="A704" s="1" t="s">
        <v>1520</v>
      </c>
      <c r="B704" s="2" t="s">
        <v>199</v>
      </c>
      <c r="C704" s="2" t="s">
        <v>1521</v>
      </c>
      <c r="D704" s="2" t="s">
        <v>192</v>
      </c>
      <c r="E704" s="3" t="s">
        <v>35</v>
      </c>
    </row>
    <row r="705" spans="1:5" ht="16">
      <c r="A705" s="1" t="s">
        <v>1522</v>
      </c>
      <c r="B705" s="2" t="s">
        <v>199</v>
      </c>
      <c r="C705" s="2" t="s">
        <v>1523</v>
      </c>
      <c r="D705" s="2" t="s">
        <v>192</v>
      </c>
      <c r="E705" s="3" t="s">
        <v>35</v>
      </c>
    </row>
    <row r="706" spans="1:5" ht="16">
      <c r="A706" s="1" t="s">
        <v>1524</v>
      </c>
      <c r="B706" s="2" t="s">
        <v>196</v>
      </c>
      <c r="C706" s="2" t="s">
        <v>1525</v>
      </c>
      <c r="D706" s="2" t="s">
        <v>192</v>
      </c>
      <c r="E706" s="3" t="s">
        <v>35</v>
      </c>
    </row>
    <row r="707" spans="1:5" ht="16">
      <c r="A707" s="1" t="s">
        <v>1526</v>
      </c>
      <c r="B707" s="2" t="s">
        <v>196</v>
      </c>
      <c r="C707" s="2" t="s">
        <v>1527</v>
      </c>
      <c r="D707" s="2" t="s">
        <v>192</v>
      </c>
      <c r="E707" s="3" t="s">
        <v>35</v>
      </c>
    </row>
    <row r="708" spans="1:5" ht="16">
      <c r="A708" s="1" t="s">
        <v>1528</v>
      </c>
      <c r="B708" s="2" t="s">
        <v>303</v>
      </c>
      <c r="C708" s="2" t="s">
        <v>1529</v>
      </c>
      <c r="D708" s="2" t="s">
        <v>192</v>
      </c>
      <c r="E708" s="3" t="s">
        <v>35</v>
      </c>
    </row>
    <row r="709" spans="1:5" ht="16">
      <c r="A709" s="1" t="s">
        <v>1530</v>
      </c>
      <c r="B709" s="2" t="s">
        <v>303</v>
      </c>
      <c r="C709" s="2" t="s">
        <v>1531</v>
      </c>
      <c r="D709" s="2" t="s">
        <v>192</v>
      </c>
      <c r="E709" s="3" t="s">
        <v>35</v>
      </c>
    </row>
    <row r="710" spans="1:5" ht="16">
      <c r="A710" s="1" t="s">
        <v>1532</v>
      </c>
      <c r="B710" s="2" t="s">
        <v>199</v>
      </c>
      <c r="C710" s="2" t="s">
        <v>1533</v>
      </c>
      <c r="D710" s="2" t="s">
        <v>192</v>
      </c>
      <c r="E710" s="3" t="s">
        <v>35</v>
      </c>
    </row>
    <row r="711" spans="1:5" ht="16">
      <c r="A711" s="1" t="s">
        <v>1534</v>
      </c>
      <c r="B711" s="2" t="s">
        <v>199</v>
      </c>
      <c r="C711" s="2" t="s">
        <v>1535</v>
      </c>
      <c r="D711" s="2" t="s">
        <v>192</v>
      </c>
      <c r="E711" s="3" t="s">
        <v>35</v>
      </c>
    </row>
    <row r="712" spans="1:5" ht="16">
      <c r="A712" s="1" t="s">
        <v>1536</v>
      </c>
      <c r="B712" s="2" t="s">
        <v>196</v>
      </c>
      <c r="C712" s="2" t="s">
        <v>1537</v>
      </c>
      <c r="D712" s="2" t="s">
        <v>192</v>
      </c>
      <c r="E712" s="3" t="s">
        <v>35</v>
      </c>
    </row>
    <row r="713" spans="1:5" ht="16">
      <c r="A713" s="1" t="s">
        <v>1538</v>
      </c>
      <c r="B713" s="2" t="s">
        <v>91</v>
      </c>
      <c r="C713" s="2" t="s">
        <v>1539</v>
      </c>
      <c r="D713" s="2" t="s">
        <v>192</v>
      </c>
      <c r="E713" s="3" t="s">
        <v>35</v>
      </c>
    </row>
    <row r="714" spans="1:5" ht="16">
      <c r="A714" s="1" t="s">
        <v>1540</v>
      </c>
      <c r="B714" s="2" t="s">
        <v>303</v>
      </c>
      <c r="C714" s="2" t="s">
        <v>1541</v>
      </c>
      <c r="D714" s="2" t="s">
        <v>192</v>
      </c>
      <c r="E714" s="3" t="s">
        <v>35</v>
      </c>
    </row>
    <row r="715" spans="1:5" ht="16">
      <c r="A715" s="1" t="s">
        <v>1542</v>
      </c>
      <c r="B715" s="2" t="s">
        <v>97</v>
      </c>
      <c r="C715" s="2" t="s">
        <v>1543</v>
      </c>
      <c r="D715" s="2" t="s">
        <v>192</v>
      </c>
      <c r="E715" s="3" t="s">
        <v>35</v>
      </c>
    </row>
    <row r="716" spans="1:5" ht="16">
      <c r="A716" s="1" t="s">
        <v>1544</v>
      </c>
      <c r="B716" s="2" t="s">
        <v>303</v>
      </c>
      <c r="C716" s="2" t="s">
        <v>1545</v>
      </c>
      <c r="D716" s="2" t="s">
        <v>192</v>
      </c>
      <c r="E716" s="3" t="s">
        <v>35</v>
      </c>
    </row>
    <row r="717" spans="1:5" ht="16">
      <c r="A717" s="1" t="s">
        <v>1546</v>
      </c>
      <c r="B717" s="2" t="s">
        <v>97</v>
      </c>
      <c r="C717" s="2" t="s">
        <v>1547</v>
      </c>
      <c r="D717" s="2" t="s">
        <v>192</v>
      </c>
      <c r="E717" s="3" t="s">
        <v>35</v>
      </c>
    </row>
    <row r="718" spans="1:5" ht="16">
      <c r="A718" s="1" t="s">
        <v>1548</v>
      </c>
      <c r="B718" s="2" t="s">
        <v>303</v>
      </c>
      <c r="C718" s="2" t="s">
        <v>1549</v>
      </c>
      <c r="D718" s="2" t="s">
        <v>192</v>
      </c>
      <c r="E718" s="3" t="s">
        <v>35</v>
      </c>
    </row>
    <row r="719" spans="1:5" ht="16">
      <c r="A719" s="1" t="s">
        <v>1550</v>
      </c>
      <c r="B719" s="2" t="s">
        <v>196</v>
      </c>
      <c r="C719" s="2" t="s">
        <v>1551</v>
      </c>
      <c r="D719" s="2" t="s">
        <v>192</v>
      </c>
      <c r="E719" s="3" t="s">
        <v>35</v>
      </c>
    </row>
    <row r="720" spans="1:5" ht="16">
      <c r="A720" s="1" t="s">
        <v>1552</v>
      </c>
      <c r="B720" s="2" t="s">
        <v>199</v>
      </c>
      <c r="C720" s="2" t="s">
        <v>1553</v>
      </c>
      <c r="D720" s="2" t="s">
        <v>192</v>
      </c>
      <c r="E720" s="3" t="s">
        <v>35</v>
      </c>
    </row>
    <row r="721" spans="1:5" ht="16">
      <c r="A721" s="1" t="s">
        <v>1554</v>
      </c>
      <c r="B721" s="2" t="s">
        <v>199</v>
      </c>
      <c r="C721" s="2" t="s">
        <v>1555</v>
      </c>
      <c r="D721" s="2" t="s">
        <v>192</v>
      </c>
      <c r="E721" s="3" t="s">
        <v>35</v>
      </c>
    </row>
    <row r="722" spans="1:5" ht="16">
      <c r="A722" s="1" t="s">
        <v>1556</v>
      </c>
      <c r="B722" s="2" t="s">
        <v>196</v>
      </c>
      <c r="C722" s="2" t="s">
        <v>1557</v>
      </c>
      <c r="D722" s="2" t="s">
        <v>192</v>
      </c>
      <c r="E722" s="3" t="s">
        <v>35</v>
      </c>
    </row>
    <row r="723" spans="1:5" ht="16">
      <c r="A723" s="1" t="s">
        <v>1558</v>
      </c>
      <c r="B723" s="2" t="s">
        <v>199</v>
      </c>
      <c r="C723" s="2" t="s">
        <v>1559</v>
      </c>
      <c r="D723" s="2" t="s">
        <v>192</v>
      </c>
      <c r="E723" s="3" t="s">
        <v>35</v>
      </c>
    </row>
    <row r="724" spans="1:5" ht="16">
      <c r="A724" s="1" t="s">
        <v>1560</v>
      </c>
      <c r="B724" s="2" t="s">
        <v>196</v>
      </c>
      <c r="C724" s="2" t="s">
        <v>1561</v>
      </c>
      <c r="D724" s="2" t="s">
        <v>192</v>
      </c>
      <c r="E724" s="3" t="s">
        <v>35</v>
      </c>
    </row>
    <row r="725" spans="1:5" ht="16">
      <c r="A725" s="1" t="s">
        <v>1562</v>
      </c>
      <c r="B725" s="2" t="s">
        <v>199</v>
      </c>
      <c r="C725" s="2" t="s">
        <v>1563</v>
      </c>
      <c r="D725" s="2" t="s">
        <v>192</v>
      </c>
      <c r="E725" s="3" t="s">
        <v>35</v>
      </c>
    </row>
    <row r="726" spans="1:5" ht="16">
      <c r="A726" s="1" t="s">
        <v>1564</v>
      </c>
      <c r="B726" s="2" t="s">
        <v>196</v>
      </c>
      <c r="C726" s="2" t="s">
        <v>1565</v>
      </c>
      <c r="D726" s="2" t="s">
        <v>192</v>
      </c>
      <c r="E726" s="3" t="s">
        <v>35</v>
      </c>
    </row>
    <row r="727" spans="1:5" ht="16">
      <c r="A727" s="1" t="s">
        <v>1566</v>
      </c>
      <c r="B727" s="2" t="s">
        <v>254</v>
      </c>
      <c r="C727" s="2" t="s">
        <v>1567</v>
      </c>
      <c r="D727" s="2" t="s">
        <v>192</v>
      </c>
      <c r="E727" s="3" t="s">
        <v>35</v>
      </c>
    </row>
    <row r="728" spans="1:5" ht="16">
      <c r="A728" s="1" t="s">
        <v>1568</v>
      </c>
      <c r="B728" s="2" t="s">
        <v>91</v>
      </c>
      <c r="C728" s="2" t="s">
        <v>1569</v>
      </c>
      <c r="D728" s="2" t="s">
        <v>192</v>
      </c>
      <c r="E728" s="3" t="s">
        <v>35</v>
      </c>
    </row>
    <row r="729" spans="1:5" ht="16">
      <c r="A729" s="1" t="s">
        <v>1570</v>
      </c>
      <c r="B729" s="2" t="s">
        <v>199</v>
      </c>
      <c r="C729" s="2" t="s">
        <v>1571</v>
      </c>
      <c r="D729" s="2" t="s">
        <v>192</v>
      </c>
      <c r="E729" s="3" t="s">
        <v>35</v>
      </c>
    </row>
    <row r="730" spans="1:5" ht="16">
      <c r="A730" s="1" t="s">
        <v>1572</v>
      </c>
      <c r="B730" s="2" t="s">
        <v>80</v>
      </c>
      <c r="C730" s="2" t="s">
        <v>1573</v>
      </c>
      <c r="D730" s="2" t="s">
        <v>440</v>
      </c>
      <c r="E730" s="3" t="s">
        <v>45</v>
      </c>
    </row>
    <row r="731" spans="1:5" ht="16">
      <c r="A731" s="1" t="s">
        <v>1574</v>
      </c>
      <c r="B731" s="2" t="s">
        <v>199</v>
      </c>
      <c r="C731" s="2" t="s">
        <v>1575</v>
      </c>
      <c r="D731" s="2" t="s">
        <v>192</v>
      </c>
      <c r="E731" s="3" t="s">
        <v>35</v>
      </c>
    </row>
    <row r="732" spans="1:5" ht="16">
      <c r="A732" s="1" t="s">
        <v>1576</v>
      </c>
      <c r="B732" s="2" t="s">
        <v>199</v>
      </c>
      <c r="C732" s="2" t="s">
        <v>1577</v>
      </c>
      <c r="D732" s="2" t="s">
        <v>192</v>
      </c>
      <c r="E732" s="3" t="s">
        <v>35</v>
      </c>
    </row>
    <row r="733" spans="1:5" ht="16">
      <c r="A733" s="1" t="s">
        <v>1578</v>
      </c>
      <c r="B733" s="2" t="s">
        <v>254</v>
      </c>
      <c r="C733" s="2" t="s">
        <v>1579</v>
      </c>
      <c r="D733" s="2" t="s">
        <v>192</v>
      </c>
      <c r="E733" s="3" t="s">
        <v>35</v>
      </c>
    </row>
    <row r="734" spans="1:5" ht="16">
      <c r="A734" s="1" t="s">
        <v>1580</v>
      </c>
      <c r="B734" s="2" t="s">
        <v>199</v>
      </c>
      <c r="C734" s="2" t="s">
        <v>1581</v>
      </c>
      <c r="D734" s="2" t="s">
        <v>192</v>
      </c>
      <c r="E734" s="3" t="s">
        <v>35</v>
      </c>
    </row>
    <row r="735" spans="1:5" ht="16">
      <c r="A735" s="1" t="s">
        <v>1582</v>
      </c>
      <c r="B735" s="2" t="s">
        <v>254</v>
      </c>
      <c r="C735" s="2" t="s">
        <v>1583</v>
      </c>
      <c r="D735" s="2" t="s">
        <v>192</v>
      </c>
      <c r="E735" s="3" t="s">
        <v>35</v>
      </c>
    </row>
    <row r="736" spans="1:5" ht="16">
      <c r="A736" s="1" t="s">
        <v>1584</v>
      </c>
      <c r="B736" s="2" t="s">
        <v>196</v>
      </c>
      <c r="C736" s="2" t="s">
        <v>1585</v>
      </c>
      <c r="D736" s="2" t="s">
        <v>192</v>
      </c>
      <c r="E736" s="3" t="s">
        <v>35</v>
      </c>
    </row>
    <row r="737" spans="1:5" ht="16">
      <c r="A737" s="1" t="s">
        <v>1586</v>
      </c>
      <c r="B737" s="2" t="s">
        <v>199</v>
      </c>
      <c r="C737" s="2" t="s">
        <v>1587</v>
      </c>
      <c r="D737" s="2" t="s">
        <v>192</v>
      </c>
      <c r="E737" s="3" t="s">
        <v>35</v>
      </c>
    </row>
    <row r="738" spans="1:5" ht="16">
      <c r="A738" s="1" t="s">
        <v>1588</v>
      </c>
      <c r="B738" s="2" t="s">
        <v>196</v>
      </c>
      <c r="C738" s="2" t="s">
        <v>1589</v>
      </c>
      <c r="D738" s="2" t="s">
        <v>192</v>
      </c>
      <c r="E738" s="3" t="s">
        <v>35</v>
      </c>
    </row>
    <row r="739" spans="1:5" ht="16">
      <c r="A739" s="1" t="s">
        <v>1590</v>
      </c>
      <c r="B739" s="2" t="s">
        <v>196</v>
      </c>
      <c r="C739" s="2" t="s">
        <v>1591</v>
      </c>
      <c r="D739" s="2" t="s">
        <v>192</v>
      </c>
      <c r="E739" s="3" t="s">
        <v>35</v>
      </c>
    </row>
    <row r="740" spans="1:5" ht="16">
      <c r="A740" s="1" t="s">
        <v>1592</v>
      </c>
      <c r="B740" s="2" t="s">
        <v>254</v>
      </c>
      <c r="C740" s="2" t="s">
        <v>1593</v>
      </c>
      <c r="D740" s="2" t="s">
        <v>192</v>
      </c>
      <c r="E740" s="3" t="s">
        <v>35</v>
      </c>
    </row>
    <row r="741" spans="1:5" ht="16">
      <c r="A741" s="1" t="s">
        <v>1594</v>
      </c>
      <c r="B741" s="2" t="s">
        <v>196</v>
      </c>
      <c r="C741" s="2" t="s">
        <v>1595</v>
      </c>
      <c r="D741" s="2" t="s">
        <v>192</v>
      </c>
      <c r="E741" s="3" t="s">
        <v>35</v>
      </c>
    </row>
    <row r="742" spans="1:5" ht="16">
      <c r="A742" s="1" t="s">
        <v>1596</v>
      </c>
      <c r="B742" s="2" t="s">
        <v>303</v>
      </c>
      <c r="C742" s="2" t="s">
        <v>1597</v>
      </c>
      <c r="D742" s="2" t="s">
        <v>192</v>
      </c>
      <c r="E742" s="3" t="s">
        <v>35</v>
      </c>
    </row>
    <row r="743" spans="1:5" ht="16">
      <c r="A743" s="1" t="s">
        <v>1598</v>
      </c>
      <c r="B743" s="2" t="s">
        <v>254</v>
      </c>
      <c r="C743" s="2" t="s">
        <v>1599</v>
      </c>
      <c r="D743" s="2" t="s">
        <v>192</v>
      </c>
      <c r="E743" s="3" t="s">
        <v>35</v>
      </c>
    </row>
    <row r="744" spans="1:5" ht="16">
      <c r="A744" s="1" t="s">
        <v>1600</v>
      </c>
      <c r="B744" s="2" t="s">
        <v>254</v>
      </c>
      <c r="C744" s="2" t="s">
        <v>1601</v>
      </c>
      <c r="D744" s="2" t="s">
        <v>192</v>
      </c>
      <c r="E744" s="3" t="s">
        <v>35</v>
      </c>
    </row>
    <row r="745" spans="1:5" ht="16">
      <c r="A745" s="1" t="s">
        <v>1602</v>
      </c>
      <c r="B745" s="2" t="s">
        <v>199</v>
      </c>
      <c r="C745" s="2" t="s">
        <v>1603</v>
      </c>
      <c r="D745" s="2" t="s">
        <v>192</v>
      </c>
      <c r="E745" s="3" t="s">
        <v>35</v>
      </c>
    </row>
    <row r="746" spans="1:5" ht="16">
      <c r="A746" s="1" t="s">
        <v>1604</v>
      </c>
      <c r="B746" s="2" t="s">
        <v>254</v>
      </c>
      <c r="C746" s="2" t="s">
        <v>1605</v>
      </c>
      <c r="D746" s="2" t="s">
        <v>192</v>
      </c>
      <c r="E746" s="3" t="s">
        <v>35</v>
      </c>
    </row>
    <row r="747" spans="1:5" ht="16">
      <c r="A747" s="1" t="s">
        <v>1606</v>
      </c>
      <c r="B747" s="2" t="s">
        <v>199</v>
      </c>
      <c r="C747" s="2" t="s">
        <v>1607</v>
      </c>
      <c r="D747" s="2" t="s">
        <v>192</v>
      </c>
      <c r="E747" s="3" t="s">
        <v>35</v>
      </c>
    </row>
    <row r="748" spans="1:5" ht="16">
      <c r="A748" s="1" t="s">
        <v>1608</v>
      </c>
      <c r="B748" s="2" t="s">
        <v>199</v>
      </c>
      <c r="C748" s="2" t="s">
        <v>1609</v>
      </c>
      <c r="D748" s="2" t="s">
        <v>192</v>
      </c>
      <c r="E748" s="3" t="s">
        <v>35</v>
      </c>
    </row>
    <row r="749" spans="1:5" ht="16">
      <c r="A749" s="1" t="s">
        <v>1610</v>
      </c>
      <c r="B749" s="2" t="s">
        <v>91</v>
      </c>
      <c r="C749" s="2" t="s">
        <v>1611</v>
      </c>
      <c r="D749" s="2" t="s">
        <v>192</v>
      </c>
      <c r="E749" s="3" t="s">
        <v>35</v>
      </c>
    </row>
    <row r="750" spans="1:5" ht="16">
      <c r="A750" s="1" t="s">
        <v>1612</v>
      </c>
      <c r="B750" s="2" t="s">
        <v>196</v>
      </c>
      <c r="C750" s="2" t="s">
        <v>1613</v>
      </c>
      <c r="D750" s="2" t="s">
        <v>192</v>
      </c>
      <c r="E750" s="3" t="s">
        <v>35</v>
      </c>
    </row>
    <row r="751" spans="1:5" ht="16">
      <c r="A751" s="1" t="s">
        <v>1614</v>
      </c>
      <c r="B751" s="2" t="s">
        <v>91</v>
      </c>
      <c r="C751" s="2" t="s">
        <v>1615</v>
      </c>
      <c r="D751" s="2" t="s">
        <v>192</v>
      </c>
      <c r="E751" s="3" t="s">
        <v>35</v>
      </c>
    </row>
    <row r="752" spans="1:5" ht="16">
      <c r="A752" s="1" t="s">
        <v>1616</v>
      </c>
      <c r="B752" s="2" t="s">
        <v>196</v>
      </c>
      <c r="C752" s="2" t="s">
        <v>1617</v>
      </c>
      <c r="D752" s="2" t="s">
        <v>192</v>
      </c>
      <c r="E752" s="3" t="s">
        <v>35</v>
      </c>
    </row>
    <row r="753" spans="1:5" ht="16">
      <c r="A753" s="1" t="s">
        <v>1618</v>
      </c>
      <c r="B753" s="2" t="s">
        <v>196</v>
      </c>
      <c r="C753" s="2" t="s">
        <v>1619</v>
      </c>
      <c r="D753" s="2" t="s">
        <v>192</v>
      </c>
      <c r="E753" s="3" t="s">
        <v>35</v>
      </c>
    </row>
    <row r="754" spans="1:5" ht="16">
      <c r="A754" s="1" t="s">
        <v>1620</v>
      </c>
      <c r="B754" s="2" t="s">
        <v>303</v>
      </c>
      <c r="C754" s="2" t="s">
        <v>1621</v>
      </c>
      <c r="D754" s="2" t="s">
        <v>192</v>
      </c>
      <c r="E754" s="3" t="s">
        <v>35</v>
      </c>
    </row>
    <row r="755" spans="1:5" ht="16">
      <c r="A755" s="1" t="s">
        <v>1622</v>
      </c>
      <c r="B755" s="2" t="s">
        <v>303</v>
      </c>
      <c r="C755" s="2" t="s">
        <v>1623</v>
      </c>
      <c r="D755" s="2" t="s">
        <v>192</v>
      </c>
      <c r="E755" s="3" t="s">
        <v>35</v>
      </c>
    </row>
    <row r="756" spans="1:5" ht="16">
      <c r="A756" s="1" t="s">
        <v>1624</v>
      </c>
      <c r="B756" s="2" t="s">
        <v>303</v>
      </c>
      <c r="C756" s="2" t="s">
        <v>1625</v>
      </c>
      <c r="D756" s="2" t="s">
        <v>192</v>
      </c>
      <c r="E756" s="3" t="s">
        <v>35</v>
      </c>
    </row>
    <row r="757" spans="1:5" ht="16">
      <c r="A757" s="1" t="s">
        <v>1626</v>
      </c>
      <c r="B757" s="2" t="s">
        <v>214</v>
      </c>
      <c r="C757" s="2" t="s">
        <v>1627</v>
      </c>
      <c r="D757" s="2" t="s">
        <v>192</v>
      </c>
      <c r="E757" s="3" t="s">
        <v>35</v>
      </c>
    </row>
    <row r="758" spans="1:5" ht="16">
      <c r="A758" s="1" t="s">
        <v>1628</v>
      </c>
      <c r="B758" s="2" t="s">
        <v>214</v>
      </c>
      <c r="C758" s="2" t="s">
        <v>1629</v>
      </c>
      <c r="D758" s="2" t="s">
        <v>192</v>
      </c>
      <c r="E758" s="3" t="s">
        <v>35</v>
      </c>
    </row>
    <row r="759" spans="1:5" ht="16">
      <c r="A759" s="1" t="s">
        <v>1630</v>
      </c>
      <c r="B759" s="2" t="s">
        <v>214</v>
      </c>
      <c r="C759" s="2" t="s">
        <v>1631</v>
      </c>
      <c r="D759" s="2" t="s">
        <v>192</v>
      </c>
      <c r="E759" s="3" t="s">
        <v>35</v>
      </c>
    </row>
    <row r="760" spans="1:5" ht="16">
      <c r="A760" s="1" t="s">
        <v>1632</v>
      </c>
      <c r="B760" s="2" t="s">
        <v>214</v>
      </c>
      <c r="C760" s="2" t="s">
        <v>1633</v>
      </c>
      <c r="D760" s="2" t="s">
        <v>192</v>
      </c>
      <c r="E760" s="3" t="s">
        <v>35</v>
      </c>
    </row>
    <row r="761" spans="1:5" ht="16">
      <c r="A761" s="1" t="s">
        <v>1634</v>
      </c>
      <c r="B761" s="2" t="s">
        <v>303</v>
      </c>
      <c r="C761" s="2" t="s">
        <v>1635</v>
      </c>
      <c r="D761" s="2" t="s">
        <v>192</v>
      </c>
      <c r="E761" s="3" t="s">
        <v>35</v>
      </c>
    </row>
    <row r="762" spans="1:5" ht="16">
      <c r="A762" s="1" t="s">
        <v>1636</v>
      </c>
      <c r="B762" s="2" t="s">
        <v>254</v>
      </c>
      <c r="C762" s="2" t="s">
        <v>1637</v>
      </c>
      <c r="D762" s="2" t="s">
        <v>192</v>
      </c>
      <c r="E762" s="3" t="s">
        <v>35</v>
      </c>
    </row>
    <row r="763" spans="1:5" ht="16">
      <c r="A763" s="1" t="s">
        <v>1638</v>
      </c>
      <c r="B763" s="2" t="s">
        <v>196</v>
      </c>
      <c r="C763" s="2" t="s">
        <v>1639</v>
      </c>
      <c r="D763" s="2" t="s">
        <v>192</v>
      </c>
      <c r="E763" s="3" t="s">
        <v>35</v>
      </c>
    </row>
    <row r="764" spans="1:5" ht="16">
      <c r="A764" s="1" t="s">
        <v>1640</v>
      </c>
      <c r="B764" s="2" t="s">
        <v>254</v>
      </c>
      <c r="C764" s="2" t="s">
        <v>1641</v>
      </c>
      <c r="D764" s="2" t="s">
        <v>192</v>
      </c>
      <c r="E764" s="3" t="s">
        <v>35</v>
      </c>
    </row>
    <row r="765" spans="1:5" ht="16">
      <c r="A765" s="1" t="s">
        <v>1642</v>
      </c>
      <c r="B765" s="2" t="s">
        <v>303</v>
      </c>
      <c r="C765" s="2" t="s">
        <v>1643</v>
      </c>
      <c r="D765" s="2" t="s">
        <v>192</v>
      </c>
      <c r="E765" s="3" t="s">
        <v>35</v>
      </c>
    </row>
    <row r="766" spans="1:5" ht="16">
      <c r="A766" s="1" t="s">
        <v>1644</v>
      </c>
      <c r="B766" s="2" t="s">
        <v>199</v>
      </c>
      <c r="C766" s="2" t="s">
        <v>1645</v>
      </c>
      <c r="D766" s="2" t="s">
        <v>192</v>
      </c>
      <c r="E766" s="3" t="s">
        <v>35</v>
      </c>
    </row>
    <row r="767" spans="1:5" ht="16">
      <c r="A767" s="1" t="s">
        <v>1646</v>
      </c>
      <c r="B767" s="2" t="s">
        <v>199</v>
      </c>
      <c r="C767" s="2" t="s">
        <v>1647</v>
      </c>
      <c r="D767" s="2" t="s">
        <v>192</v>
      </c>
      <c r="E767" s="3" t="s">
        <v>35</v>
      </c>
    </row>
    <row r="768" spans="1:5" ht="16">
      <c r="A768" s="1" t="s">
        <v>1648</v>
      </c>
      <c r="B768" s="2" t="s">
        <v>254</v>
      </c>
      <c r="C768" s="2" t="s">
        <v>1649</v>
      </c>
      <c r="D768" s="2" t="s">
        <v>192</v>
      </c>
      <c r="E768" s="3" t="s">
        <v>35</v>
      </c>
    </row>
    <row r="769" spans="1:5" ht="16">
      <c r="A769" s="1" t="s">
        <v>1650</v>
      </c>
      <c r="B769" s="2" t="s">
        <v>254</v>
      </c>
      <c r="C769" s="2" t="s">
        <v>1651</v>
      </c>
      <c r="D769" s="2" t="s">
        <v>192</v>
      </c>
      <c r="E769" s="3" t="s">
        <v>35</v>
      </c>
    </row>
    <row r="770" spans="1:5" ht="16">
      <c r="A770" s="1" t="s">
        <v>1652</v>
      </c>
      <c r="B770" s="2" t="s">
        <v>199</v>
      </c>
      <c r="C770" s="2" t="s">
        <v>1653</v>
      </c>
      <c r="D770" s="2" t="s">
        <v>192</v>
      </c>
      <c r="E770" s="3" t="s">
        <v>35</v>
      </c>
    </row>
    <row r="771" spans="1:5" ht="16">
      <c r="A771" s="1" t="s">
        <v>1654</v>
      </c>
      <c r="B771" s="2" t="s">
        <v>254</v>
      </c>
      <c r="C771" s="2" t="s">
        <v>1655</v>
      </c>
      <c r="D771" s="2" t="s">
        <v>192</v>
      </c>
      <c r="E771" s="3" t="s">
        <v>35</v>
      </c>
    </row>
    <row r="772" spans="1:5" ht="16">
      <c r="A772" s="1" t="s">
        <v>1656</v>
      </c>
      <c r="B772" s="2" t="s">
        <v>199</v>
      </c>
      <c r="C772" s="2" t="s">
        <v>1657</v>
      </c>
      <c r="D772" s="2" t="s">
        <v>192</v>
      </c>
      <c r="E772" s="3" t="s">
        <v>35</v>
      </c>
    </row>
    <row r="773" spans="1:5" ht="16">
      <c r="A773" s="1" t="s">
        <v>1658</v>
      </c>
      <c r="B773" s="2" t="s">
        <v>254</v>
      </c>
      <c r="C773" s="2" t="s">
        <v>1659</v>
      </c>
      <c r="D773" s="2" t="s">
        <v>192</v>
      </c>
      <c r="E773" s="3" t="s">
        <v>35</v>
      </c>
    </row>
    <row r="774" spans="1:5" ht="16">
      <c r="A774" s="1" t="s">
        <v>1660</v>
      </c>
      <c r="B774" s="2" t="s">
        <v>214</v>
      </c>
      <c r="C774" s="2" t="s">
        <v>1661</v>
      </c>
      <c r="D774" s="2" t="s">
        <v>192</v>
      </c>
      <c r="E774" s="3" t="s">
        <v>35</v>
      </c>
    </row>
    <row r="775" spans="1:5" ht="16">
      <c r="A775" s="1" t="s">
        <v>1662</v>
      </c>
      <c r="B775" s="2" t="s">
        <v>254</v>
      </c>
      <c r="C775" s="2" t="s">
        <v>1663</v>
      </c>
      <c r="D775" s="2" t="s">
        <v>192</v>
      </c>
      <c r="E775" s="3" t="s">
        <v>35</v>
      </c>
    </row>
    <row r="776" spans="1:5" ht="16">
      <c r="A776" s="1" t="s">
        <v>1664</v>
      </c>
      <c r="B776" s="2" t="s">
        <v>254</v>
      </c>
      <c r="C776" s="2" t="s">
        <v>1665</v>
      </c>
      <c r="D776" s="2" t="s">
        <v>192</v>
      </c>
      <c r="E776" s="3" t="s">
        <v>35</v>
      </c>
    </row>
    <row r="777" spans="1:5" ht="16">
      <c r="A777" s="1" t="s">
        <v>1666</v>
      </c>
      <c r="B777" s="2" t="s">
        <v>254</v>
      </c>
      <c r="C777" s="2" t="s">
        <v>1667</v>
      </c>
      <c r="D777" s="2" t="s">
        <v>192</v>
      </c>
      <c r="E777" s="3" t="s">
        <v>35</v>
      </c>
    </row>
    <row r="778" spans="1:5" ht="16">
      <c r="A778" s="1" t="s">
        <v>1668</v>
      </c>
      <c r="B778" s="2" t="s">
        <v>243</v>
      </c>
      <c r="C778" s="2" t="s">
        <v>1669</v>
      </c>
      <c r="D778" s="2" t="s">
        <v>192</v>
      </c>
      <c r="E778" s="3" t="s">
        <v>35</v>
      </c>
    </row>
    <row r="779" spans="1:5" ht="16">
      <c r="A779" s="1" t="s">
        <v>1670</v>
      </c>
      <c r="B779" s="2" t="s">
        <v>243</v>
      </c>
      <c r="C779" s="2" t="s">
        <v>1671</v>
      </c>
      <c r="D779" s="2" t="s">
        <v>192</v>
      </c>
      <c r="E779" s="3" t="s">
        <v>35</v>
      </c>
    </row>
    <row r="780" spans="1:5" ht="16">
      <c r="A780" s="1" t="s">
        <v>1672</v>
      </c>
      <c r="B780" s="2" t="s">
        <v>214</v>
      </c>
      <c r="C780" s="2" t="s">
        <v>1673</v>
      </c>
      <c r="D780" s="2" t="s">
        <v>192</v>
      </c>
      <c r="E780" s="3" t="s">
        <v>35</v>
      </c>
    </row>
    <row r="781" spans="1:5" ht="16">
      <c r="A781" s="1" t="s">
        <v>1674</v>
      </c>
      <c r="B781" s="2" t="s">
        <v>214</v>
      </c>
      <c r="C781" s="2" t="s">
        <v>1675</v>
      </c>
      <c r="D781" s="2" t="s">
        <v>192</v>
      </c>
      <c r="E781" s="3" t="s">
        <v>35</v>
      </c>
    </row>
    <row r="782" spans="1:5" ht="16">
      <c r="A782" s="1" t="s">
        <v>1676</v>
      </c>
      <c r="B782" s="2" t="s">
        <v>214</v>
      </c>
      <c r="C782" s="2" t="s">
        <v>1677</v>
      </c>
      <c r="D782" s="2" t="s">
        <v>192</v>
      </c>
      <c r="E782" s="3" t="s">
        <v>35</v>
      </c>
    </row>
    <row r="783" spans="1:5" ht="16">
      <c r="A783" s="1" t="s">
        <v>1678</v>
      </c>
      <c r="B783" s="2" t="s">
        <v>199</v>
      </c>
      <c r="C783" s="2" t="s">
        <v>1679</v>
      </c>
      <c r="D783" s="2" t="s">
        <v>192</v>
      </c>
      <c r="E783" s="3" t="s">
        <v>35</v>
      </c>
    </row>
    <row r="784" spans="1:5" ht="16">
      <c r="A784" s="1" t="s">
        <v>1680</v>
      </c>
      <c r="B784" s="2" t="s">
        <v>214</v>
      </c>
      <c r="C784" s="2" t="s">
        <v>1681</v>
      </c>
      <c r="D784" s="2" t="s">
        <v>192</v>
      </c>
      <c r="E784" s="3" t="s">
        <v>35</v>
      </c>
    </row>
    <row r="785" spans="1:5" ht="16">
      <c r="A785" s="1" t="s">
        <v>1682</v>
      </c>
      <c r="B785" s="2" t="s">
        <v>214</v>
      </c>
      <c r="C785" s="2" t="s">
        <v>1683</v>
      </c>
      <c r="D785" s="2" t="s">
        <v>192</v>
      </c>
      <c r="E785" s="3" t="s">
        <v>35</v>
      </c>
    </row>
    <row r="786" spans="1:5" ht="16">
      <c r="A786" s="1" t="s">
        <v>1684</v>
      </c>
      <c r="B786" s="2" t="s">
        <v>214</v>
      </c>
      <c r="C786" s="2" t="s">
        <v>1685</v>
      </c>
      <c r="D786" s="2" t="s">
        <v>192</v>
      </c>
      <c r="E786" s="3" t="s">
        <v>35</v>
      </c>
    </row>
    <row r="787" spans="1:5" ht="16">
      <c r="A787" s="1" t="s">
        <v>1686</v>
      </c>
      <c r="B787" s="2" t="s">
        <v>199</v>
      </c>
      <c r="C787" s="2" t="s">
        <v>1687</v>
      </c>
      <c r="D787" s="2" t="s">
        <v>192</v>
      </c>
      <c r="E787" s="3" t="s">
        <v>35</v>
      </c>
    </row>
    <row r="788" spans="1:5" ht="16">
      <c r="A788" s="1" t="s">
        <v>1688</v>
      </c>
      <c r="B788" s="2" t="s">
        <v>254</v>
      </c>
      <c r="C788" s="2" t="s">
        <v>1689</v>
      </c>
      <c r="D788" s="2" t="s">
        <v>192</v>
      </c>
      <c r="E788" s="3" t="s">
        <v>35</v>
      </c>
    </row>
    <row r="789" spans="1:5" ht="16">
      <c r="A789" s="1" t="s">
        <v>1690</v>
      </c>
      <c r="B789" s="2" t="s">
        <v>1378</v>
      </c>
      <c r="C789" s="2" t="s">
        <v>1691</v>
      </c>
      <c r="D789" s="2" t="s">
        <v>192</v>
      </c>
      <c r="E789" s="3" t="s">
        <v>35</v>
      </c>
    </row>
    <row r="790" spans="1:5" ht="16">
      <c r="A790" s="1" t="s">
        <v>1692</v>
      </c>
      <c r="B790" s="2" t="s">
        <v>303</v>
      </c>
      <c r="C790" s="2" t="s">
        <v>1693</v>
      </c>
      <c r="D790" s="2" t="s">
        <v>192</v>
      </c>
      <c r="E790" s="3" t="s">
        <v>35</v>
      </c>
    </row>
    <row r="791" spans="1:5" ht="16">
      <c r="A791" s="1" t="s">
        <v>1694</v>
      </c>
      <c r="B791" s="2" t="s">
        <v>1378</v>
      </c>
      <c r="C791" s="2" t="s">
        <v>1695</v>
      </c>
      <c r="D791" s="2" t="s">
        <v>192</v>
      </c>
      <c r="E791" s="3" t="s">
        <v>35</v>
      </c>
    </row>
    <row r="792" spans="1:5" ht="16">
      <c r="A792" s="1" t="s">
        <v>1696</v>
      </c>
      <c r="B792" s="2" t="s">
        <v>199</v>
      </c>
      <c r="C792" s="2" t="s">
        <v>1697</v>
      </c>
      <c r="D792" s="2" t="s">
        <v>192</v>
      </c>
      <c r="E792" s="3" t="s">
        <v>35</v>
      </c>
    </row>
    <row r="793" spans="1:5" ht="16">
      <c r="A793" s="1" t="s">
        <v>1698</v>
      </c>
      <c r="B793" s="2" t="s">
        <v>214</v>
      </c>
      <c r="C793" s="2" t="s">
        <v>1699</v>
      </c>
      <c r="D793" s="2" t="s">
        <v>192</v>
      </c>
      <c r="E793" s="3" t="s">
        <v>35</v>
      </c>
    </row>
    <row r="794" spans="1:5" ht="16">
      <c r="A794" s="1" t="s">
        <v>1700</v>
      </c>
      <c r="B794" s="2" t="s">
        <v>243</v>
      </c>
      <c r="C794" s="2" t="s">
        <v>1701</v>
      </c>
      <c r="D794" s="2" t="s">
        <v>192</v>
      </c>
      <c r="E794" s="3" t="s">
        <v>35</v>
      </c>
    </row>
    <row r="795" spans="1:5" ht="16">
      <c r="A795" s="1" t="s">
        <v>1702</v>
      </c>
      <c r="B795" s="2" t="s">
        <v>243</v>
      </c>
      <c r="C795" s="2" t="s">
        <v>1703</v>
      </c>
      <c r="D795" s="2" t="s">
        <v>192</v>
      </c>
      <c r="E795" s="3" t="s">
        <v>35</v>
      </c>
    </row>
    <row r="796" spans="1:5" ht="16">
      <c r="A796" s="1" t="s">
        <v>1704</v>
      </c>
      <c r="B796" s="2" t="s">
        <v>254</v>
      </c>
      <c r="C796" s="2" t="s">
        <v>1705</v>
      </c>
      <c r="D796" s="2" t="s">
        <v>192</v>
      </c>
      <c r="E796" s="3" t="s">
        <v>35</v>
      </c>
    </row>
    <row r="797" spans="1:5" ht="16">
      <c r="A797" s="1" t="s">
        <v>1706</v>
      </c>
      <c r="B797" s="2" t="s">
        <v>254</v>
      </c>
      <c r="C797" s="2" t="s">
        <v>1707</v>
      </c>
      <c r="D797" s="2" t="s">
        <v>192</v>
      </c>
      <c r="E797" s="3" t="s">
        <v>35</v>
      </c>
    </row>
    <row r="798" spans="1:5" ht="16">
      <c r="A798" s="1" t="s">
        <v>1708</v>
      </c>
      <c r="B798" s="2" t="s">
        <v>199</v>
      </c>
      <c r="C798" s="2" t="s">
        <v>1709</v>
      </c>
      <c r="D798" s="2" t="s">
        <v>192</v>
      </c>
      <c r="E798" s="3" t="s">
        <v>35</v>
      </c>
    </row>
    <row r="799" spans="1:5" ht="16">
      <c r="A799" s="1" t="s">
        <v>1710</v>
      </c>
      <c r="B799" s="2" t="s">
        <v>214</v>
      </c>
      <c r="C799" s="2" t="s">
        <v>1711</v>
      </c>
      <c r="D799" s="2" t="s">
        <v>192</v>
      </c>
      <c r="E799" s="3" t="s">
        <v>35</v>
      </c>
    </row>
    <row r="800" spans="1:5" ht="16">
      <c r="A800" s="1" t="s">
        <v>1712</v>
      </c>
      <c r="B800" s="2"/>
      <c r="C800" s="2" t="s">
        <v>1713</v>
      </c>
      <c r="D800" s="2" t="s">
        <v>111</v>
      </c>
      <c r="E800" s="3" t="s">
        <v>50</v>
      </c>
    </row>
    <row r="801" spans="1:5" ht="16">
      <c r="A801" s="1" t="s">
        <v>1714</v>
      </c>
      <c r="B801" s="2"/>
      <c r="C801" s="2" t="s">
        <v>1715</v>
      </c>
      <c r="D801" s="2" t="s">
        <v>111</v>
      </c>
      <c r="E801" s="3" t="s">
        <v>50</v>
      </c>
    </row>
    <row r="802" spans="1:5" ht="16">
      <c r="A802" s="1" t="s">
        <v>1716</v>
      </c>
      <c r="B802" s="2"/>
      <c r="C802" s="2" t="s">
        <v>1717</v>
      </c>
      <c r="D802" s="2" t="s">
        <v>111</v>
      </c>
      <c r="E802" s="3" t="s">
        <v>50</v>
      </c>
    </row>
    <row r="803" spans="1:5" ht="16">
      <c r="A803" s="1" t="s">
        <v>1718</v>
      </c>
      <c r="B803" s="2"/>
      <c r="C803" s="2" t="s">
        <v>1719</v>
      </c>
      <c r="D803" s="2" t="s">
        <v>111</v>
      </c>
      <c r="E803" s="3" t="s">
        <v>50</v>
      </c>
    </row>
    <row r="804" spans="1:5" ht="16">
      <c r="A804" s="1" t="s">
        <v>1720</v>
      </c>
      <c r="B804" s="2"/>
      <c r="C804" s="2" t="s">
        <v>1721</v>
      </c>
      <c r="D804" s="2" t="s">
        <v>111</v>
      </c>
      <c r="E804" s="3" t="s">
        <v>50</v>
      </c>
    </row>
    <row r="805" spans="1:5" ht="16">
      <c r="A805" s="1" t="s">
        <v>1722</v>
      </c>
      <c r="B805" s="2"/>
      <c r="C805" s="2" t="s">
        <v>1723</v>
      </c>
      <c r="D805" s="2" t="s">
        <v>111</v>
      </c>
      <c r="E805" s="3" t="s">
        <v>50</v>
      </c>
    </row>
    <row r="806" spans="1:5" ht="16">
      <c r="A806" s="1" t="s">
        <v>1724</v>
      </c>
      <c r="B806" s="2"/>
      <c r="C806" s="2" t="s">
        <v>1725</v>
      </c>
      <c r="D806" s="2" t="s">
        <v>111</v>
      </c>
      <c r="E806" s="3" t="s">
        <v>50</v>
      </c>
    </row>
    <row r="807" spans="1:5" ht="16">
      <c r="A807" s="1" t="s">
        <v>1726</v>
      </c>
      <c r="B807" s="2"/>
      <c r="C807" s="2" t="s">
        <v>1727</v>
      </c>
      <c r="D807" s="2" t="s">
        <v>111</v>
      </c>
      <c r="E807" s="3" t="s">
        <v>50</v>
      </c>
    </row>
    <row r="808" spans="1:5" ht="16">
      <c r="A808" s="1" t="s">
        <v>1728</v>
      </c>
      <c r="B808" s="2"/>
      <c r="C808" s="2" t="s">
        <v>1729</v>
      </c>
      <c r="D808" s="2" t="s">
        <v>111</v>
      </c>
      <c r="E808" s="3" t="s">
        <v>50</v>
      </c>
    </row>
    <row r="809" spans="1:5" ht="16">
      <c r="A809" s="1" t="s">
        <v>1730</v>
      </c>
      <c r="B809" s="2"/>
      <c r="C809" s="2" t="s">
        <v>1731</v>
      </c>
      <c r="D809" s="2" t="s">
        <v>111</v>
      </c>
      <c r="E809" s="3" t="s">
        <v>50</v>
      </c>
    </row>
    <row r="810" spans="1:5" ht="16">
      <c r="A810" s="1" t="s">
        <v>1732</v>
      </c>
      <c r="B810" s="2"/>
      <c r="C810" s="2" t="s">
        <v>1733</v>
      </c>
      <c r="D810" s="2" t="s">
        <v>111</v>
      </c>
      <c r="E810" s="3" t="s">
        <v>50</v>
      </c>
    </row>
    <row r="811" spans="1:5" ht="16">
      <c r="A811" s="1" t="s">
        <v>1734</v>
      </c>
      <c r="B811" s="2"/>
      <c r="C811" s="2" t="s">
        <v>1735</v>
      </c>
      <c r="D811" s="2" t="s">
        <v>111</v>
      </c>
      <c r="E811" s="3" t="s">
        <v>50</v>
      </c>
    </row>
    <row r="812" spans="1:5" ht="16">
      <c r="A812" s="1" t="s">
        <v>1736</v>
      </c>
      <c r="B812" s="2"/>
      <c r="C812" s="2" t="s">
        <v>1737</v>
      </c>
      <c r="D812" s="2" t="s">
        <v>111</v>
      </c>
      <c r="E812" s="3" t="s">
        <v>50</v>
      </c>
    </row>
    <row r="813" spans="1:5" ht="16">
      <c r="A813" s="1" t="s">
        <v>1738</v>
      </c>
      <c r="B813" s="2"/>
      <c r="C813" s="2" t="s">
        <v>1739</v>
      </c>
      <c r="D813" s="2" t="s">
        <v>111</v>
      </c>
      <c r="E813" s="3" t="s">
        <v>50</v>
      </c>
    </row>
    <row r="814" spans="1:5" ht="16">
      <c r="A814" s="1" t="s">
        <v>1740</v>
      </c>
      <c r="B814" s="2"/>
      <c r="C814" s="2" t="s">
        <v>1741</v>
      </c>
      <c r="D814" s="2" t="s">
        <v>111</v>
      </c>
      <c r="E814" s="3" t="s">
        <v>50</v>
      </c>
    </row>
    <row r="815" spans="1:5" ht="16">
      <c r="A815" s="1" t="s">
        <v>1742</v>
      </c>
      <c r="B815" s="2"/>
      <c r="C815" s="2" t="s">
        <v>1743</v>
      </c>
      <c r="D815" s="2" t="s">
        <v>111</v>
      </c>
      <c r="E815" s="3" t="s">
        <v>50</v>
      </c>
    </row>
    <row r="816" spans="1:5" ht="16">
      <c r="A816" s="1" t="s">
        <v>1744</v>
      </c>
      <c r="B816" s="2"/>
      <c r="C816" s="2" t="s">
        <v>1745</v>
      </c>
      <c r="D816" s="2" t="s">
        <v>111</v>
      </c>
      <c r="E816" s="3" t="s">
        <v>50</v>
      </c>
    </row>
    <row r="817" spans="1:5" ht="16">
      <c r="A817" s="1" t="s">
        <v>1746</v>
      </c>
      <c r="B817" s="2"/>
      <c r="C817" s="2" t="s">
        <v>1747</v>
      </c>
      <c r="D817" s="2" t="s">
        <v>111</v>
      </c>
      <c r="E817" s="3" t="s">
        <v>50</v>
      </c>
    </row>
    <row r="818" spans="1:5" ht="16">
      <c r="A818" s="1" t="s">
        <v>1748</v>
      </c>
      <c r="B818" s="2"/>
      <c r="C818" s="2" t="s">
        <v>1749</v>
      </c>
      <c r="D818" s="2" t="s">
        <v>111</v>
      </c>
      <c r="E818" s="3" t="s">
        <v>50</v>
      </c>
    </row>
    <row r="819" spans="1:5" ht="16">
      <c r="A819" s="1" t="s">
        <v>1750</v>
      </c>
      <c r="B819" s="2" t="s">
        <v>74</v>
      </c>
      <c r="C819" s="2" t="s">
        <v>1751</v>
      </c>
      <c r="D819" s="2" t="s">
        <v>111</v>
      </c>
      <c r="E819" s="3" t="s">
        <v>50</v>
      </c>
    </row>
    <row r="820" spans="1:5" ht="16">
      <c r="A820" s="1" t="s">
        <v>1752</v>
      </c>
      <c r="B820" s="2" t="s">
        <v>69</v>
      </c>
      <c r="C820" s="2" t="s">
        <v>1753</v>
      </c>
      <c r="D820" s="2" t="s">
        <v>111</v>
      </c>
      <c r="E820" s="3" t="s">
        <v>50</v>
      </c>
    </row>
    <row r="821" spans="1:5" ht="16">
      <c r="A821" s="1" t="s">
        <v>1754</v>
      </c>
      <c r="B821" s="2" t="s">
        <v>74</v>
      </c>
      <c r="C821" s="2" t="s">
        <v>1755</v>
      </c>
      <c r="D821" s="2" t="s">
        <v>111</v>
      </c>
      <c r="E821" s="3" t="s">
        <v>50</v>
      </c>
    </row>
    <row r="822" spans="1:5" ht="16">
      <c r="A822" s="1" t="s">
        <v>1756</v>
      </c>
      <c r="B822" s="2"/>
      <c r="C822" s="2" t="s">
        <v>1757</v>
      </c>
      <c r="D822" s="2" t="s">
        <v>111</v>
      </c>
      <c r="E822" s="3" t="s">
        <v>50</v>
      </c>
    </row>
    <row r="823" spans="1:5" ht="16">
      <c r="A823" s="1" t="s">
        <v>1758</v>
      </c>
      <c r="B823" s="2"/>
      <c r="C823" s="2" t="s">
        <v>1759</v>
      </c>
      <c r="D823" s="2" t="s">
        <v>111</v>
      </c>
      <c r="E823" s="3" t="s">
        <v>50</v>
      </c>
    </row>
    <row r="824" spans="1:5" ht="16">
      <c r="A824" s="1" t="s">
        <v>1760</v>
      </c>
      <c r="B824" s="2" t="s">
        <v>74</v>
      </c>
      <c r="C824" s="2" t="s">
        <v>1761</v>
      </c>
      <c r="D824" s="2" t="s">
        <v>111</v>
      </c>
      <c r="E824" s="3" t="s">
        <v>50</v>
      </c>
    </row>
    <row r="825" spans="1:5" ht="16">
      <c r="A825" s="1" t="s">
        <v>1762</v>
      </c>
      <c r="B825" s="2"/>
      <c r="C825" s="2" t="s">
        <v>1763</v>
      </c>
      <c r="D825" s="2" t="s">
        <v>111</v>
      </c>
      <c r="E825" s="3" t="s">
        <v>50</v>
      </c>
    </row>
    <row r="826" spans="1:5" ht="16">
      <c r="A826" s="1" t="s">
        <v>1764</v>
      </c>
      <c r="B826" s="2"/>
      <c r="C826" s="2" t="s">
        <v>1765</v>
      </c>
      <c r="D826" s="2" t="s">
        <v>111</v>
      </c>
      <c r="E826" s="3" t="s">
        <v>50</v>
      </c>
    </row>
    <row r="827" spans="1:5" ht="16">
      <c r="A827" s="1" t="s">
        <v>1766</v>
      </c>
      <c r="B827" s="2"/>
      <c r="C827" s="2" t="s">
        <v>1767</v>
      </c>
      <c r="D827" s="2" t="s">
        <v>111</v>
      </c>
      <c r="E827" s="3" t="s">
        <v>50</v>
      </c>
    </row>
    <row r="828" spans="1:5" ht="16">
      <c r="A828" s="1" t="s">
        <v>1768</v>
      </c>
      <c r="B828" s="2"/>
      <c r="C828" s="2" t="s">
        <v>1769</v>
      </c>
      <c r="D828" s="2" t="s">
        <v>111</v>
      </c>
      <c r="E828" s="3" t="s">
        <v>50</v>
      </c>
    </row>
    <row r="829" spans="1:5" ht="16">
      <c r="A829" s="1" t="s">
        <v>1770</v>
      </c>
      <c r="B829" s="2"/>
      <c r="C829" s="2" t="s">
        <v>1771</v>
      </c>
      <c r="D829" s="2" t="s">
        <v>111</v>
      </c>
      <c r="E829" s="3" t="s">
        <v>50</v>
      </c>
    </row>
    <row r="830" spans="1:5" ht="16">
      <c r="A830" s="1" t="s">
        <v>1772</v>
      </c>
      <c r="B830" s="2"/>
      <c r="C830" s="2" t="s">
        <v>1773</v>
      </c>
      <c r="D830" s="2" t="s">
        <v>111</v>
      </c>
      <c r="E830" s="3" t="s">
        <v>50</v>
      </c>
    </row>
    <row r="831" spans="1:5" ht="16">
      <c r="A831" s="1" t="s">
        <v>1774</v>
      </c>
      <c r="B831" s="2"/>
      <c r="C831" s="2" t="s">
        <v>1775</v>
      </c>
      <c r="D831" s="2" t="s">
        <v>111</v>
      </c>
      <c r="E831" s="3" t="s">
        <v>50</v>
      </c>
    </row>
    <row r="832" spans="1:5" ht="16">
      <c r="A832" s="1" t="s">
        <v>1776</v>
      </c>
      <c r="B832" s="2"/>
      <c r="C832" s="2" t="s">
        <v>1777</v>
      </c>
      <c r="D832" s="2" t="s">
        <v>111</v>
      </c>
      <c r="E832" s="3" t="s">
        <v>50</v>
      </c>
    </row>
    <row r="833" spans="1:5" ht="16">
      <c r="A833" s="1" t="s">
        <v>1778</v>
      </c>
      <c r="B833" s="2"/>
      <c r="C833" s="2" t="s">
        <v>1779</v>
      </c>
      <c r="D833" s="2" t="s">
        <v>111</v>
      </c>
      <c r="E833" s="3" t="s">
        <v>50</v>
      </c>
    </row>
    <row r="834" spans="1:5" ht="16">
      <c r="A834" s="1" t="s">
        <v>1780</v>
      </c>
      <c r="B834" s="2" t="s">
        <v>63</v>
      </c>
      <c r="C834" s="2" t="s">
        <v>1781</v>
      </c>
      <c r="D834" s="2" t="s">
        <v>111</v>
      </c>
      <c r="E834" s="3" t="s">
        <v>50</v>
      </c>
    </row>
    <row r="835" spans="1:5" ht="16">
      <c r="A835" s="1" t="s">
        <v>1782</v>
      </c>
      <c r="B835" s="2" t="s">
        <v>254</v>
      </c>
      <c r="C835" s="2" t="s">
        <v>1783</v>
      </c>
      <c r="D835" s="2" t="s">
        <v>111</v>
      </c>
      <c r="E835" s="3" t="s">
        <v>50</v>
      </c>
    </row>
    <row r="836" spans="1:5" ht="16">
      <c r="A836" s="1" t="s">
        <v>1784</v>
      </c>
      <c r="B836" s="2" t="s">
        <v>97</v>
      </c>
      <c r="C836" s="2" t="s">
        <v>1785</v>
      </c>
      <c r="D836" s="2" t="s">
        <v>111</v>
      </c>
      <c r="E836" s="3" t="s">
        <v>50</v>
      </c>
    </row>
    <row r="837" spans="1:5" ht="16">
      <c r="A837" s="1" t="s">
        <v>1786</v>
      </c>
      <c r="B837" s="2" t="s">
        <v>80</v>
      </c>
      <c r="C837" s="2" t="s">
        <v>1787</v>
      </c>
      <c r="D837" s="2" t="s">
        <v>111</v>
      </c>
      <c r="E837" s="3" t="s">
        <v>50</v>
      </c>
    </row>
    <row r="838" spans="1:5" ht="16">
      <c r="A838" s="1" t="s">
        <v>1788</v>
      </c>
      <c r="B838" s="2"/>
      <c r="C838" s="2" t="s">
        <v>1789</v>
      </c>
      <c r="D838" s="2" t="s">
        <v>111</v>
      </c>
      <c r="E838" s="3" t="s">
        <v>50</v>
      </c>
    </row>
    <row r="839" spans="1:5" ht="16">
      <c r="A839" s="1" t="s">
        <v>1790</v>
      </c>
      <c r="B839" s="2" t="s">
        <v>74</v>
      </c>
      <c r="C839" s="2" t="s">
        <v>1791</v>
      </c>
      <c r="D839" s="2" t="s">
        <v>111</v>
      </c>
      <c r="E839" s="3" t="s">
        <v>50</v>
      </c>
    </row>
    <row r="840" spans="1:5" ht="16">
      <c r="A840" s="1" t="s">
        <v>1792</v>
      </c>
      <c r="B840" s="2" t="s">
        <v>74</v>
      </c>
      <c r="C840" s="2" t="s">
        <v>1793</v>
      </c>
      <c r="D840" s="2" t="s">
        <v>111</v>
      </c>
      <c r="E840" s="3" t="s">
        <v>50</v>
      </c>
    </row>
    <row r="841" spans="1:5" ht="16">
      <c r="A841" s="1" t="s">
        <v>1794</v>
      </c>
      <c r="B841" s="2" t="s">
        <v>74</v>
      </c>
      <c r="C841" s="2" t="s">
        <v>1795</v>
      </c>
      <c r="D841" s="2" t="s">
        <v>111</v>
      </c>
      <c r="E841" s="3" t="s">
        <v>50</v>
      </c>
    </row>
    <row r="842" spans="1:5" ht="16">
      <c r="A842" s="1" t="s">
        <v>1796</v>
      </c>
      <c r="B842" s="2" t="s">
        <v>69</v>
      </c>
      <c r="C842" s="2" t="s">
        <v>1797</v>
      </c>
      <c r="D842" s="2" t="s">
        <v>111</v>
      </c>
      <c r="E842" s="3" t="s">
        <v>50</v>
      </c>
    </row>
    <row r="843" spans="1:5" ht="16">
      <c r="A843" s="1" t="s">
        <v>1798</v>
      </c>
      <c r="B843" s="2" t="s">
        <v>69</v>
      </c>
      <c r="C843" s="2" t="s">
        <v>1799</v>
      </c>
      <c r="D843" s="2" t="s">
        <v>111</v>
      </c>
      <c r="E843" s="3" t="s">
        <v>50</v>
      </c>
    </row>
    <row r="844" spans="1:5" ht="16">
      <c r="A844" s="1" t="s">
        <v>1800</v>
      </c>
      <c r="B844" s="2" t="s">
        <v>74</v>
      </c>
      <c r="C844" s="2" t="s">
        <v>1801</v>
      </c>
      <c r="D844" s="2" t="s">
        <v>111</v>
      </c>
      <c r="E844" s="3" t="s">
        <v>50</v>
      </c>
    </row>
    <row r="845" spans="1:5" ht="16">
      <c r="A845" s="1" t="s">
        <v>1802</v>
      </c>
      <c r="B845" s="2" t="s">
        <v>74</v>
      </c>
      <c r="C845" s="2" t="s">
        <v>1803</v>
      </c>
      <c r="D845" s="2" t="s">
        <v>111</v>
      </c>
      <c r="E845" s="3" t="s">
        <v>50</v>
      </c>
    </row>
    <row r="846" spans="1:5" ht="16">
      <c r="A846" s="1" t="s">
        <v>1804</v>
      </c>
      <c r="B846" s="2"/>
      <c r="C846" s="2" t="s">
        <v>1805</v>
      </c>
      <c r="D846" s="2" t="s">
        <v>111</v>
      </c>
      <c r="E846" s="3" t="s">
        <v>50</v>
      </c>
    </row>
    <row r="847" spans="1:5" ht="16">
      <c r="A847" s="1" t="s">
        <v>1806</v>
      </c>
      <c r="B847" s="2" t="s">
        <v>80</v>
      </c>
      <c r="C847" s="2" t="s">
        <v>1807</v>
      </c>
      <c r="D847" s="2" t="s">
        <v>111</v>
      </c>
      <c r="E847" s="3" t="s">
        <v>50</v>
      </c>
    </row>
    <row r="848" spans="1:5" ht="16">
      <c r="A848" s="1" t="s">
        <v>1808</v>
      </c>
      <c r="B848" s="2"/>
      <c r="C848" s="2" t="s">
        <v>1809</v>
      </c>
      <c r="D848" s="2" t="s">
        <v>111</v>
      </c>
      <c r="E848" s="3" t="s">
        <v>50</v>
      </c>
    </row>
    <row r="849" spans="1:5" ht="16">
      <c r="A849" s="1" t="s">
        <v>1810</v>
      </c>
      <c r="B849" s="2"/>
      <c r="C849" s="2" t="s">
        <v>1811</v>
      </c>
      <c r="D849" s="2" t="s">
        <v>111</v>
      </c>
      <c r="E849" s="3" t="s">
        <v>50</v>
      </c>
    </row>
    <row r="850" spans="1:5" ht="16">
      <c r="A850" s="1" t="s">
        <v>1812</v>
      </c>
      <c r="B850" s="2" t="s">
        <v>69</v>
      </c>
      <c r="C850" s="2" t="s">
        <v>1813</v>
      </c>
      <c r="D850" s="2" t="s">
        <v>111</v>
      </c>
      <c r="E850" s="3" t="s">
        <v>50</v>
      </c>
    </row>
    <row r="851" spans="1:5" ht="16">
      <c r="A851" s="1" t="s">
        <v>1814</v>
      </c>
      <c r="B851" s="2"/>
      <c r="C851" s="2" t="s">
        <v>1815</v>
      </c>
      <c r="D851" s="2" t="s">
        <v>111</v>
      </c>
      <c r="E851" s="3" t="s">
        <v>50</v>
      </c>
    </row>
    <row r="852" spans="1:5" ht="16">
      <c r="A852" s="1" t="s">
        <v>1816</v>
      </c>
      <c r="B852" s="2" t="s">
        <v>74</v>
      </c>
      <c r="C852" s="2" t="s">
        <v>1817</v>
      </c>
      <c r="D852" s="2" t="s">
        <v>111</v>
      </c>
      <c r="E852" s="3" t="s">
        <v>50</v>
      </c>
    </row>
    <row r="853" spans="1:5" ht="16">
      <c r="A853" s="1" t="s">
        <v>1818</v>
      </c>
      <c r="B853" s="2"/>
      <c r="C853" s="2" t="s">
        <v>1819</v>
      </c>
      <c r="D853" s="2" t="s">
        <v>111</v>
      </c>
      <c r="E853" s="3" t="s">
        <v>50</v>
      </c>
    </row>
    <row r="854" spans="1:5" ht="16">
      <c r="A854" s="1" t="s">
        <v>1820</v>
      </c>
      <c r="B854" s="2"/>
      <c r="C854" s="2" t="s">
        <v>1821</v>
      </c>
      <c r="D854" s="2" t="s">
        <v>111</v>
      </c>
      <c r="E854" s="3" t="s">
        <v>50</v>
      </c>
    </row>
    <row r="855" spans="1:5" ht="16">
      <c r="A855" s="1" t="s">
        <v>1822</v>
      </c>
      <c r="B855" s="2"/>
      <c r="C855" s="2" t="s">
        <v>1823</v>
      </c>
      <c r="D855" s="2" t="s">
        <v>111</v>
      </c>
      <c r="E855" s="3" t="s">
        <v>50</v>
      </c>
    </row>
    <row r="856" spans="1:5" ht="16">
      <c r="A856" s="1" t="s">
        <v>1824</v>
      </c>
      <c r="B856" s="2"/>
      <c r="C856" s="2" t="s">
        <v>1825</v>
      </c>
      <c r="D856" s="2" t="s">
        <v>111</v>
      </c>
      <c r="E856" s="3" t="s">
        <v>50</v>
      </c>
    </row>
    <row r="857" spans="1:5" ht="16">
      <c r="A857" s="1" t="s">
        <v>1826</v>
      </c>
      <c r="B857" s="2"/>
      <c r="C857" s="2" t="s">
        <v>1827</v>
      </c>
      <c r="D857" s="2" t="s">
        <v>111</v>
      </c>
      <c r="E857" s="3" t="s">
        <v>50</v>
      </c>
    </row>
    <row r="858" spans="1:5" ht="16">
      <c r="A858" s="1" t="s">
        <v>1828</v>
      </c>
      <c r="B858" s="2" t="s">
        <v>69</v>
      </c>
      <c r="C858" s="2" t="s">
        <v>1829</v>
      </c>
      <c r="D858" s="2" t="s">
        <v>111</v>
      </c>
      <c r="E858" s="3" t="s">
        <v>50</v>
      </c>
    </row>
    <row r="859" spans="1:5" ht="16">
      <c r="A859" s="1" t="s">
        <v>1830</v>
      </c>
      <c r="B859" s="2" t="s">
        <v>69</v>
      </c>
      <c r="C859" s="2" t="s">
        <v>1831</v>
      </c>
      <c r="D859" s="2" t="s">
        <v>111</v>
      </c>
      <c r="E859" s="3" t="s">
        <v>50</v>
      </c>
    </row>
    <row r="860" spans="1:5" ht="16">
      <c r="A860" s="1" t="s">
        <v>1832</v>
      </c>
      <c r="B860" s="2" t="s">
        <v>80</v>
      </c>
      <c r="C860" s="2" t="s">
        <v>1833</v>
      </c>
      <c r="D860" s="2" t="s">
        <v>111</v>
      </c>
      <c r="E860" s="3" t="s">
        <v>50</v>
      </c>
    </row>
    <row r="861" spans="1:5" ht="16">
      <c r="A861" s="1" t="s">
        <v>1834</v>
      </c>
      <c r="B861" s="2" t="s">
        <v>69</v>
      </c>
      <c r="C861" s="2" t="s">
        <v>1835</v>
      </c>
      <c r="D861" s="2" t="s">
        <v>111</v>
      </c>
      <c r="E861" s="3" t="s">
        <v>50</v>
      </c>
    </row>
    <row r="862" spans="1:5" ht="16">
      <c r="A862" s="1" t="s">
        <v>1836</v>
      </c>
      <c r="B862" s="2" t="s">
        <v>74</v>
      </c>
      <c r="C862" s="2" t="s">
        <v>1837</v>
      </c>
      <c r="D862" s="2" t="s">
        <v>111</v>
      </c>
      <c r="E862" s="3" t="s">
        <v>50</v>
      </c>
    </row>
    <row r="863" spans="1:5" ht="16">
      <c r="A863" s="1" t="s">
        <v>1838</v>
      </c>
      <c r="B863" s="2" t="s">
        <v>63</v>
      </c>
      <c r="C863" s="2" t="s">
        <v>1839</v>
      </c>
      <c r="D863" s="2" t="s">
        <v>111</v>
      </c>
      <c r="E863" s="3" t="s">
        <v>50</v>
      </c>
    </row>
    <row r="864" spans="1:5" ht="16">
      <c r="A864" s="1" t="s">
        <v>1840</v>
      </c>
      <c r="B864" s="2" t="s">
        <v>80</v>
      </c>
      <c r="C864" s="2" t="s">
        <v>1841</v>
      </c>
      <c r="D864" s="2" t="s">
        <v>111</v>
      </c>
      <c r="E864" s="3" t="s">
        <v>50</v>
      </c>
    </row>
    <row r="865" spans="1:5" ht="16">
      <c r="A865" s="1" t="s">
        <v>1842</v>
      </c>
      <c r="B865" s="2" t="s">
        <v>69</v>
      </c>
      <c r="C865" s="2" t="s">
        <v>1843</v>
      </c>
      <c r="D865" s="2" t="s">
        <v>111</v>
      </c>
      <c r="E865" s="3" t="s">
        <v>50</v>
      </c>
    </row>
    <row r="866" spans="1:5" ht="16">
      <c r="A866" s="1" t="s">
        <v>1844</v>
      </c>
      <c r="B866" s="2" t="s">
        <v>80</v>
      </c>
      <c r="C866" s="2" t="s">
        <v>1845</v>
      </c>
      <c r="D866" s="2" t="s">
        <v>111</v>
      </c>
      <c r="E866" s="3" t="s">
        <v>50</v>
      </c>
    </row>
    <row r="867" spans="1:5" ht="16">
      <c r="A867" s="1" t="s">
        <v>1846</v>
      </c>
      <c r="B867" s="2" t="s">
        <v>69</v>
      </c>
      <c r="C867" s="2" t="s">
        <v>1847</v>
      </c>
      <c r="D867" s="2" t="s">
        <v>111</v>
      </c>
      <c r="E867" s="3" t="s">
        <v>50</v>
      </c>
    </row>
    <row r="868" spans="1:5" ht="16">
      <c r="A868" s="1" t="s">
        <v>1848</v>
      </c>
      <c r="B868" s="2" t="s">
        <v>80</v>
      </c>
      <c r="C868" s="2" t="s">
        <v>1849</v>
      </c>
      <c r="D868" s="2" t="s">
        <v>111</v>
      </c>
      <c r="E868" s="3" t="s">
        <v>50</v>
      </c>
    </row>
    <row r="869" spans="1:5" ht="16">
      <c r="A869" s="1" t="s">
        <v>1850</v>
      </c>
      <c r="B869" s="2"/>
      <c r="C869" s="2" t="s">
        <v>1851</v>
      </c>
      <c r="D869" s="2" t="s">
        <v>111</v>
      </c>
      <c r="E869" s="3" t="s">
        <v>50</v>
      </c>
    </row>
    <row r="870" spans="1:5" ht="16">
      <c r="A870" s="1" t="s">
        <v>1852</v>
      </c>
      <c r="B870" s="2" t="s">
        <v>69</v>
      </c>
      <c r="C870" s="2" t="s">
        <v>1853</v>
      </c>
      <c r="D870" s="2" t="s">
        <v>111</v>
      </c>
      <c r="E870" s="3" t="s">
        <v>50</v>
      </c>
    </row>
    <row r="871" spans="1:5" ht="16">
      <c r="A871" s="1" t="s">
        <v>1854</v>
      </c>
      <c r="B871" s="2" t="s">
        <v>80</v>
      </c>
      <c r="C871" s="2" t="s">
        <v>1855</v>
      </c>
      <c r="D871" s="2" t="s">
        <v>111</v>
      </c>
      <c r="E871" s="3" t="s">
        <v>50</v>
      </c>
    </row>
    <row r="872" spans="1:5" ht="16">
      <c r="A872" s="1" t="s">
        <v>1856</v>
      </c>
      <c r="B872" s="2" t="s">
        <v>80</v>
      </c>
      <c r="C872" s="2" t="s">
        <v>1857</v>
      </c>
      <c r="D872" s="2" t="s">
        <v>111</v>
      </c>
      <c r="E872" s="3" t="s">
        <v>50</v>
      </c>
    </row>
    <row r="873" spans="1:5" ht="16">
      <c r="A873" s="1" t="s">
        <v>1858</v>
      </c>
      <c r="B873" s="2"/>
      <c r="C873" s="2" t="s">
        <v>1859</v>
      </c>
      <c r="D873" s="2" t="s">
        <v>111</v>
      </c>
      <c r="E873" s="3" t="s">
        <v>50</v>
      </c>
    </row>
    <row r="874" spans="1:5" ht="16">
      <c r="A874" s="1" t="s">
        <v>1860</v>
      </c>
      <c r="B874" s="2" t="s">
        <v>80</v>
      </c>
      <c r="C874" s="2" t="s">
        <v>1861</v>
      </c>
      <c r="D874" s="2" t="s">
        <v>111</v>
      </c>
      <c r="E874" s="3" t="s">
        <v>50</v>
      </c>
    </row>
    <row r="875" spans="1:5" ht="16">
      <c r="A875" s="1" t="s">
        <v>1862</v>
      </c>
      <c r="B875" s="2" t="s">
        <v>80</v>
      </c>
      <c r="C875" s="2" t="s">
        <v>1863</v>
      </c>
      <c r="D875" s="2" t="s">
        <v>111</v>
      </c>
      <c r="E875" s="3" t="s">
        <v>50</v>
      </c>
    </row>
    <row r="876" spans="1:5" ht="16">
      <c r="A876" s="1" t="s">
        <v>1864</v>
      </c>
      <c r="B876" s="2" t="s">
        <v>80</v>
      </c>
      <c r="C876" s="2" t="s">
        <v>1865</v>
      </c>
      <c r="D876" s="2" t="s">
        <v>111</v>
      </c>
      <c r="E876" s="3" t="s">
        <v>50</v>
      </c>
    </row>
    <row r="877" spans="1:5" ht="16">
      <c r="A877" s="1" t="s">
        <v>1866</v>
      </c>
      <c r="B877" s="2" t="s">
        <v>69</v>
      </c>
      <c r="C877" s="2" t="s">
        <v>1867</v>
      </c>
      <c r="D877" s="2" t="s">
        <v>111</v>
      </c>
      <c r="E877" s="3" t="s">
        <v>50</v>
      </c>
    </row>
    <row r="878" spans="1:5" ht="16">
      <c r="A878" s="1" t="s">
        <v>1868</v>
      </c>
      <c r="B878" s="2" t="s">
        <v>63</v>
      </c>
      <c r="C878" s="2" t="s">
        <v>1869</v>
      </c>
      <c r="D878" s="2" t="s">
        <v>111</v>
      </c>
      <c r="E878" s="3" t="s">
        <v>50</v>
      </c>
    </row>
    <row r="879" spans="1:5" ht="16">
      <c r="A879" s="1" t="s">
        <v>1870</v>
      </c>
      <c r="B879" s="2" t="s">
        <v>69</v>
      </c>
      <c r="C879" s="2" t="s">
        <v>1871</v>
      </c>
      <c r="D879" s="2" t="s">
        <v>111</v>
      </c>
      <c r="E879" s="3" t="s">
        <v>50</v>
      </c>
    </row>
    <row r="880" spans="1:5" ht="16">
      <c r="A880" s="1" t="s">
        <v>1872</v>
      </c>
      <c r="B880" s="2" t="s">
        <v>69</v>
      </c>
      <c r="C880" s="2" t="s">
        <v>1873</v>
      </c>
      <c r="D880" s="2" t="s">
        <v>111</v>
      </c>
      <c r="E880" s="3" t="s">
        <v>50</v>
      </c>
    </row>
    <row r="881" spans="1:5" ht="16">
      <c r="A881" s="1" t="s">
        <v>1874</v>
      </c>
      <c r="B881" s="2" t="s">
        <v>74</v>
      </c>
      <c r="C881" s="2" t="s">
        <v>1875</v>
      </c>
      <c r="D881" s="2" t="s">
        <v>111</v>
      </c>
      <c r="E881" s="3" t="s">
        <v>50</v>
      </c>
    </row>
    <row r="882" spans="1:5" ht="16">
      <c r="A882" s="1" t="s">
        <v>1876</v>
      </c>
      <c r="B882" s="2" t="s">
        <v>74</v>
      </c>
      <c r="C882" s="2" t="s">
        <v>1877</v>
      </c>
      <c r="D882" s="2" t="s">
        <v>111</v>
      </c>
      <c r="E882" s="3" t="s">
        <v>50</v>
      </c>
    </row>
    <row r="883" spans="1:5" ht="16">
      <c r="A883" s="1" t="s">
        <v>1878</v>
      </c>
      <c r="B883" s="2" t="s">
        <v>69</v>
      </c>
      <c r="C883" s="2" t="s">
        <v>1879</v>
      </c>
      <c r="D883" s="2" t="s">
        <v>111</v>
      </c>
      <c r="E883" s="3" t="s">
        <v>50</v>
      </c>
    </row>
    <row r="884" spans="1:5" ht="16">
      <c r="A884" s="1" t="s">
        <v>1880</v>
      </c>
      <c r="B884" s="2" t="s">
        <v>80</v>
      </c>
      <c r="C884" s="2" t="s">
        <v>1881</v>
      </c>
      <c r="D884" s="2" t="s">
        <v>111</v>
      </c>
      <c r="E884" s="3" t="s">
        <v>50</v>
      </c>
    </row>
    <row r="885" spans="1:5" ht="16">
      <c r="A885" s="1" t="s">
        <v>1882</v>
      </c>
      <c r="B885" s="2" t="s">
        <v>74</v>
      </c>
      <c r="C885" s="2" t="s">
        <v>1883</v>
      </c>
      <c r="D885" s="2" t="s">
        <v>111</v>
      </c>
      <c r="E885" s="3" t="s">
        <v>50</v>
      </c>
    </row>
    <row r="886" spans="1:5" ht="16">
      <c r="A886" s="1" t="s">
        <v>1884</v>
      </c>
      <c r="B886" s="2" t="s">
        <v>74</v>
      </c>
      <c r="C886" s="2" t="s">
        <v>1885</v>
      </c>
      <c r="D886" s="2" t="s">
        <v>111</v>
      </c>
      <c r="E886" s="3" t="s">
        <v>50</v>
      </c>
    </row>
    <row r="887" spans="1:5" ht="16">
      <c r="A887" s="1" t="s">
        <v>1886</v>
      </c>
      <c r="B887" s="2" t="s">
        <v>74</v>
      </c>
      <c r="C887" s="2" t="s">
        <v>1887</v>
      </c>
      <c r="D887" s="2" t="s">
        <v>111</v>
      </c>
      <c r="E887" s="3" t="s">
        <v>50</v>
      </c>
    </row>
    <row r="888" spans="1:5" ht="16">
      <c r="A888" s="1" t="s">
        <v>1888</v>
      </c>
      <c r="B888" s="2"/>
      <c r="C888" s="2" t="s">
        <v>1889</v>
      </c>
      <c r="D888" s="2" t="s">
        <v>111</v>
      </c>
      <c r="E888" s="3" t="s">
        <v>50</v>
      </c>
    </row>
    <row r="889" spans="1:5" ht="16">
      <c r="A889" s="1" t="s">
        <v>1890</v>
      </c>
      <c r="B889" s="2"/>
      <c r="C889" s="2" t="s">
        <v>1891</v>
      </c>
      <c r="D889" s="2" t="s">
        <v>111</v>
      </c>
      <c r="E889" s="3" t="s">
        <v>50</v>
      </c>
    </row>
    <row r="890" spans="1:5" ht="16">
      <c r="A890" s="1" t="s">
        <v>1892</v>
      </c>
      <c r="B890" s="2" t="s">
        <v>303</v>
      </c>
      <c r="C890" s="2" t="s">
        <v>1893</v>
      </c>
      <c r="D890" s="2" t="s">
        <v>192</v>
      </c>
      <c r="E890" s="3" t="s">
        <v>35</v>
      </c>
    </row>
    <row r="891" spans="1:5" ht="16">
      <c r="A891" s="1" t="s">
        <v>1894</v>
      </c>
      <c r="B891" s="2" t="s">
        <v>97</v>
      </c>
      <c r="C891" s="2" t="s">
        <v>1895</v>
      </c>
      <c r="D891" s="2" t="s">
        <v>192</v>
      </c>
      <c r="E891" s="3" t="s">
        <v>35</v>
      </c>
    </row>
    <row r="892" spans="1:5" ht="16">
      <c r="A892" s="1" t="s">
        <v>1896</v>
      </c>
      <c r="B892" s="2" t="s">
        <v>97</v>
      </c>
      <c r="C892" s="2" t="s">
        <v>1897</v>
      </c>
      <c r="D892" s="2" t="s">
        <v>192</v>
      </c>
      <c r="E892" s="3" t="s">
        <v>35</v>
      </c>
    </row>
    <row r="893" spans="1:5" ht="16">
      <c r="A893" s="1" t="s">
        <v>1898</v>
      </c>
      <c r="B893" s="2" t="s">
        <v>97</v>
      </c>
      <c r="C893" s="2" t="s">
        <v>1899</v>
      </c>
      <c r="D893" s="2" t="s">
        <v>192</v>
      </c>
      <c r="E893" s="3" t="s">
        <v>35</v>
      </c>
    </row>
    <row r="894" spans="1:5" ht="16">
      <c r="A894" s="1" t="s">
        <v>1900</v>
      </c>
      <c r="B894" s="2" t="s">
        <v>303</v>
      </c>
      <c r="C894" s="2" t="s">
        <v>1901</v>
      </c>
      <c r="D894" s="2" t="s">
        <v>192</v>
      </c>
      <c r="E894" s="3" t="s">
        <v>35</v>
      </c>
    </row>
    <row r="895" spans="1:5" ht="16">
      <c r="A895" s="1" t="s">
        <v>1902</v>
      </c>
      <c r="B895" s="2" t="s">
        <v>97</v>
      </c>
      <c r="C895" s="2" t="s">
        <v>1903</v>
      </c>
      <c r="D895" s="2" t="s">
        <v>192</v>
      </c>
      <c r="E895" s="3" t="s">
        <v>35</v>
      </c>
    </row>
    <row r="896" spans="1:5" ht="16">
      <c r="A896" s="1" t="s">
        <v>1904</v>
      </c>
      <c r="B896" s="2" t="s">
        <v>303</v>
      </c>
      <c r="C896" s="2" t="s">
        <v>1905</v>
      </c>
      <c r="D896" s="2" t="s">
        <v>192</v>
      </c>
      <c r="E896" s="3" t="s">
        <v>35</v>
      </c>
    </row>
    <row r="897" spans="1:5" ht="16">
      <c r="A897" s="1" t="s">
        <v>1906</v>
      </c>
      <c r="B897" s="2" t="s">
        <v>196</v>
      </c>
      <c r="C897" s="2" t="s">
        <v>1907</v>
      </c>
      <c r="D897" s="2" t="s">
        <v>192</v>
      </c>
      <c r="E897" s="3" t="s">
        <v>35</v>
      </c>
    </row>
    <row r="898" spans="1:5" ht="16">
      <c r="A898" s="1" t="s">
        <v>1908</v>
      </c>
      <c r="B898" s="2" t="s">
        <v>199</v>
      </c>
      <c r="C898" s="2" t="s">
        <v>1909</v>
      </c>
      <c r="D898" s="2" t="s">
        <v>192</v>
      </c>
      <c r="E898" s="3" t="s">
        <v>35</v>
      </c>
    </row>
    <row r="899" spans="1:5" ht="16">
      <c r="A899" s="1" t="s">
        <v>1910</v>
      </c>
      <c r="B899" s="2" t="s">
        <v>97</v>
      </c>
      <c r="C899" s="2" t="s">
        <v>1911</v>
      </c>
      <c r="D899" s="2" t="s">
        <v>192</v>
      </c>
      <c r="E899" s="3" t="s">
        <v>35</v>
      </c>
    </row>
    <row r="900" spans="1:5" ht="16">
      <c r="A900" s="1" t="s">
        <v>1912</v>
      </c>
      <c r="B900" s="2" t="s">
        <v>196</v>
      </c>
      <c r="C900" s="2" t="s">
        <v>1913</v>
      </c>
      <c r="D900" s="2" t="s">
        <v>192</v>
      </c>
      <c r="E900" s="3" t="s">
        <v>35</v>
      </c>
    </row>
    <row r="901" spans="1:5" ht="16">
      <c r="A901" s="1" t="s">
        <v>1914</v>
      </c>
      <c r="B901" s="2" t="s">
        <v>91</v>
      </c>
      <c r="C901" s="2" t="s">
        <v>1915</v>
      </c>
      <c r="D901" s="2" t="s">
        <v>192</v>
      </c>
      <c r="E901" s="3" t="s">
        <v>35</v>
      </c>
    </row>
    <row r="902" spans="1:5" ht="16">
      <c r="A902" s="1" t="s">
        <v>1916</v>
      </c>
      <c r="B902" s="2" t="s">
        <v>97</v>
      </c>
      <c r="C902" s="2" t="s">
        <v>1917</v>
      </c>
      <c r="D902" s="2" t="s">
        <v>192</v>
      </c>
      <c r="E902" s="3" t="s">
        <v>35</v>
      </c>
    </row>
    <row r="903" spans="1:5" ht="16">
      <c r="A903" s="1" t="s">
        <v>1918</v>
      </c>
      <c r="B903" s="2" t="s">
        <v>97</v>
      </c>
      <c r="C903" s="2" t="s">
        <v>1919</v>
      </c>
      <c r="D903" s="2" t="s">
        <v>192</v>
      </c>
      <c r="E903" s="3" t="s">
        <v>35</v>
      </c>
    </row>
    <row r="904" spans="1:5" ht="16">
      <c r="A904" s="1" t="s">
        <v>1920</v>
      </c>
      <c r="B904" s="2" t="s">
        <v>196</v>
      </c>
      <c r="C904" s="2" t="s">
        <v>1921</v>
      </c>
      <c r="D904" s="2" t="s">
        <v>192</v>
      </c>
      <c r="E904" s="3" t="s">
        <v>35</v>
      </c>
    </row>
    <row r="905" spans="1:5" ht="16">
      <c r="A905" s="1" t="s">
        <v>1922</v>
      </c>
      <c r="B905" s="2" t="s">
        <v>196</v>
      </c>
      <c r="C905" s="2" t="s">
        <v>1923</v>
      </c>
      <c r="D905" s="2" t="s">
        <v>192</v>
      </c>
      <c r="E905" s="3" t="s">
        <v>35</v>
      </c>
    </row>
    <row r="906" spans="1:5" ht="16">
      <c r="A906" s="1" t="s">
        <v>1924</v>
      </c>
      <c r="B906" s="2" t="s">
        <v>196</v>
      </c>
      <c r="C906" s="2" t="s">
        <v>1925</v>
      </c>
      <c r="D906" s="2" t="s">
        <v>192</v>
      </c>
      <c r="E906" s="3" t="s">
        <v>35</v>
      </c>
    </row>
    <row r="907" spans="1:5" ht="16">
      <c r="A907" s="1" t="s">
        <v>1926</v>
      </c>
      <c r="B907" s="2" t="s">
        <v>254</v>
      </c>
      <c r="C907" s="2" t="s">
        <v>1927</v>
      </c>
      <c r="D907" s="2" t="s">
        <v>192</v>
      </c>
      <c r="E907" s="3" t="s">
        <v>35</v>
      </c>
    </row>
    <row r="908" spans="1:5" ht="16">
      <c r="A908" s="1" t="s">
        <v>1928</v>
      </c>
      <c r="B908" s="2" t="s">
        <v>254</v>
      </c>
      <c r="C908" s="2" t="s">
        <v>1929</v>
      </c>
      <c r="D908" s="2" t="s">
        <v>192</v>
      </c>
      <c r="E908" s="3" t="s">
        <v>35</v>
      </c>
    </row>
    <row r="909" spans="1:5" ht="16">
      <c r="A909" s="1" t="s">
        <v>1930</v>
      </c>
      <c r="B909" s="2" t="s">
        <v>243</v>
      </c>
      <c r="C909" s="2" t="s">
        <v>1931</v>
      </c>
      <c r="D909" s="2" t="s">
        <v>192</v>
      </c>
      <c r="E909" s="3" t="s">
        <v>35</v>
      </c>
    </row>
    <row r="910" spans="1:5" ht="16">
      <c r="A910" s="1" t="s">
        <v>1932</v>
      </c>
      <c r="B910" s="2" t="s">
        <v>303</v>
      </c>
      <c r="C910" s="2" t="s">
        <v>1933</v>
      </c>
      <c r="D910" s="2" t="s">
        <v>192</v>
      </c>
      <c r="E910" s="3" t="s">
        <v>35</v>
      </c>
    </row>
    <row r="911" spans="1:5" ht="16">
      <c r="A911" s="1" t="s">
        <v>1934</v>
      </c>
      <c r="B911" s="2" t="s">
        <v>303</v>
      </c>
      <c r="C911" s="2" t="s">
        <v>1935</v>
      </c>
      <c r="D911" s="2" t="s">
        <v>192</v>
      </c>
      <c r="E911" s="3" t="s">
        <v>35</v>
      </c>
    </row>
    <row r="912" spans="1:5" ht="16">
      <c r="A912" s="1" t="s">
        <v>1936</v>
      </c>
      <c r="B912" s="2" t="s">
        <v>303</v>
      </c>
      <c r="C912" s="2" t="s">
        <v>1937</v>
      </c>
      <c r="D912" s="2" t="s">
        <v>192</v>
      </c>
      <c r="E912" s="3" t="s">
        <v>35</v>
      </c>
    </row>
    <row r="913" spans="1:5" ht="16">
      <c r="A913" s="1" t="s">
        <v>1938</v>
      </c>
      <c r="B913" s="2" t="s">
        <v>199</v>
      </c>
      <c r="C913" s="2" t="s">
        <v>1939</v>
      </c>
      <c r="D913" s="2" t="s">
        <v>192</v>
      </c>
      <c r="E913" s="3" t="s">
        <v>35</v>
      </c>
    </row>
    <row r="914" spans="1:5" ht="16">
      <c r="A914" s="1" t="s">
        <v>1940</v>
      </c>
      <c r="B914" s="2" t="s">
        <v>303</v>
      </c>
      <c r="C914" s="2" t="s">
        <v>1941</v>
      </c>
      <c r="D914" s="2" t="s">
        <v>192</v>
      </c>
      <c r="E914" s="3" t="s">
        <v>35</v>
      </c>
    </row>
    <row r="915" spans="1:5" ht="16">
      <c r="A915" s="1" t="s">
        <v>1942</v>
      </c>
      <c r="B915" s="2" t="s">
        <v>303</v>
      </c>
      <c r="C915" s="2" t="s">
        <v>1943</v>
      </c>
      <c r="D915" s="2" t="s">
        <v>192</v>
      </c>
      <c r="E915" s="3" t="s">
        <v>35</v>
      </c>
    </row>
    <row r="916" spans="1:5" ht="16">
      <c r="A916" s="1" t="s">
        <v>1944</v>
      </c>
      <c r="B916" s="2" t="s">
        <v>303</v>
      </c>
      <c r="C916" s="2" t="s">
        <v>1945</v>
      </c>
      <c r="D916" s="2" t="s">
        <v>192</v>
      </c>
      <c r="E916" s="3" t="s">
        <v>35</v>
      </c>
    </row>
    <row r="917" spans="1:5" ht="16">
      <c r="A917" s="1" t="s">
        <v>1946</v>
      </c>
      <c r="B917" s="2" t="s">
        <v>97</v>
      </c>
      <c r="C917" s="2" t="s">
        <v>1947</v>
      </c>
      <c r="D917" s="2" t="s">
        <v>192</v>
      </c>
      <c r="E917" s="3" t="s">
        <v>35</v>
      </c>
    </row>
    <row r="918" spans="1:5" ht="16">
      <c r="A918" s="1" t="s">
        <v>1948</v>
      </c>
      <c r="B918" s="2" t="s">
        <v>196</v>
      </c>
      <c r="C918" s="2" t="s">
        <v>1949</v>
      </c>
      <c r="D918" s="2" t="s">
        <v>192</v>
      </c>
      <c r="E918" s="3" t="s">
        <v>35</v>
      </c>
    </row>
    <row r="919" spans="1:5" ht="16">
      <c r="A919" s="1" t="s">
        <v>1950</v>
      </c>
      <c r="B919" s="2" t="s">
        <v>303</v>
      </c>
      <c r="C919" s="2" t="s">
        <v>1951</v>
      </c>
      <c r="D919" s="2" t="s">
        <v>192</v>
      </c>
      <c r="E919" s="3" t="s">
        <v>35</v>
      </c>
    </row>
    <row r="920" spans="1:5" ht="16">
      <c r="A920" s="1" t="s">
        <v>1952</v>
      </c>
      <c r="B920" s="2" t="s">
        <v>97</v>
      </c>
      <c r="C920" s="2" t="s">
        <v>1953</v>
      </c>
      <c r="D920" s="2" t="s">
        <v>192</v>
      </c>
      <c r="E920" s="3" t="s">
        <v>35</v>
      </c>
    </row>
    <row r="921" spans="1:5" ht="16">
      <c r="A921" s="1" t="s">
        <v>1954</v>
      </c>
      <c r="B921" s="2" t="s">
        <v>214</v>
      </c>
      <c r="C921" s="2" t="s">
        <v>1955</v>
      </c>
      <c r="D921" s="2" t="s">
        <v>192</v>
      </c>
      <c r="E921" s="3" t="s">
        <v>35</v>
      </c>
    </row>
    <row r="922" spans="1:5" ht="16">
      <c r="A922" s="1" t="s">
        <v>1956</v>
      </c>
      <c r="B922" s="2" t="s">
        <v>214</v>
      </c>
      <c r="C922" s="2" t="s">
        <v>1957</v>
      </c>
      <c r="D922" s="2" t="s">
        <v>192</v>
      </c>
      <c r="E922" s="3" t="s">
        <v>35</v>
      </c>
    </row>
    <row r="923" spans="1:5" ht="16">
      <c r="A923" s="1" t="s">
        <v>1958</v>
      </c>
      <c r="B923" s="2" t="s">
        <v>303</v>
      </c>
      <c r="C923" s="2" t="s">
        <v>1959</v>
      </c>
      <c r="D923" s="2" t="s">
        <v>192</v>
      </c>
      <c r="E923" s="3" t="s">
        <v>35</v>
      </c>
    </row>
    <row r="924" spans="1:5" ht="16">
      <c r="A924" s="1" t="s">
        <v>1960</v>
      </c>
      <c r="B924" s="2" t="s">
        <v>196</v>
      </c>
      <c r="C924" s="2" t="s">
        <v>1961</v>
      </c>
      <c r="D924" s="2" t="s">
        <v>192</v>
      </c>
      <c r="E924" s="3" t="s">
        <v>35</v>
      </c>
    </row>
    <row r="925" spans="1:5" ht="16">
      <c r="A925" s="1" t="s">
        <v>1962</v>
      </c>
      <c r="B925" s="2" t="s">
        <v>199</v>
      </c>
      <c r="C925" s="2" t="s">
        <v>1963</v>
      </c>
      <c r="D925" s="2" t="s">
        <v>192</v>
      </c>
      <c r="E925" s="3" t="s">
        <v>35</v>
      </c>
    </row>
    <row r="926" spans="1:5" ht="16">
      <c r="A926" s="1" t="s">
        <v>1964</v>
      </c>
      <c r="B926" s="2" t="s">
        <v>303</v>
      </c>
      <c r="C926" s="2" t="s">
        <v>1965</v>
      </c>
      <c r="D926" s="2" t="s">
        <v>192</v>
      </c>
      <c r="E926" s="3" t="s">
        <v>35</v>
      </c>
    </row>
    <row r="927" spans="1:5" ht="16">
      <c r="A927" s="1" t="s">
        <v>1966</v>
      </c>
      <c r="B927" s="2" t="s">
        <v>214</v>
      </c>
      <c r="C927" s="2" t="s">
        <v>1967</v>
      </c>
      <c r="D927" s="2" t="s">
        <v>192</v>
      </c>
      <c r="E927" s="3" t="s">
        <v>35</v>
      </c>
    </row>
    <row r="928" spans="1:5" ht="16">
      <c r="A928" s="1" t="s">
        <v>1968</v>
      </c>
      <c r="B928" s="2" t="s">
        <v>196</v>
      </c>
      <c r="C928" s="2" t="s">
        <v>1969</v>
      </c>
      <c r="D928" s="2" t="s">
        <v>192</v>
      </c>
      <c r="E928" s="3" t="s">
        <v>35</v>
      </c>
    </row>
    <row r="929" spans="1:5" ht="16">
      <c r="A929" s="1" t="s">
        <v>1970</v>
      </c>
      <c r="B929" s="2" t="s">
        <v>303</v>
      </c>
      <c r="C929" s="2" t="s">
        <v>1971</v>
      </c>
      <c r="D929" s="2" t="s">
        <v>192</v>
      </c>
      <c r="E929" s="3" t="s">
        <v>35</v>
      </c>
    </row>
    <row r="930" spans="1:5" ht="16">
      <c r="A930" s="1" t="s">
        <v>1972</v>
      </c>
      <c r="B930" s="2" t="s">
        <v>303</v>
      </c>
      <c r="C930" s="2" t="s">
        <v>1973</v>
      </c>
      <c r="D930" s="2" t="s">
        <v>192</v>
      </c>
      <c r="E930" s="3" t="s">
        <v>35</v>
      </c>
    </row>
    <row r="931" spans="1:5" ht="16">
      <c r="A931" s="1" t="s">
        <v>1974</v>
      </c>
      <c r="B931" s="2" t="s">
        <v>199</v>
      </c>
      <c r="C931" s="2" t="s">
        <v>1975</v>
      </c>
      <c r="D931" s="2" t="s">
        <v>192</v>
      </c>
      <c r="E931" s="3" t="s">
        <v>35</v>
      </c>
    </row>
    <row r="932" spans="1:5" ht="16">
      <c r="A932" s="1" t="s">
        <v>1976</v>
      </c>
      <c r="B932" s="2" t="s">
        <v>214</v>
      </c>
      <c r="C932" s="2" t="s">
        <v>1977</v>
      </c>
      <c r="D932" s="2" t="s">
        <v>192</v>
      </c>
      <c r="E932" s="3" t="s">
        <v>35</v>
      </c>
    </row>
    <row r="933" spans="1:5" ht="16">
      <c r="A933" s="1" t="s">
        <v>1978</v>
      </c>
      <c r="B933" s="2" t="s">
        <v>214</v>
      </c>
      <c r="C933" s="2" t="s">
        <v>1979</v>
      </c>
      <c r="D933" s="2" t="s">
        <v>192</v>
      </c>
      <c r="E933" s="3" t="s">
        <v>35</v>
      </c>
    </row>
    <row r="934" spans="1:5" ht="16">
      <c r="A934" s="1" t="s">
        <v>1980</v>
      </c>
      <c r="B934" s="2" t="s">
        <v>97</v>
      </c>
      <c r="C934" s="2" t="s">
        <v>1981</v>
      </c>
      <c r="D934" s="2" t="s">
        <v>192</v>
      </c>
      <c r="E934" s="3" t="s">
        <v>35</v>
      </c>
    </row>
    <row r="935" spans="1:5" ht="16">
      <c r="A935" s="1" t="s">
        <v>1982</v>
      </c>
      <c r="B935" s="2" t="s">
        <v>196</v>
      </c>
      <c r="C935" s="2" t="s">
        <v>1983</v>
      </c>
      <c r="D935" s="2" t="s">
        <v>192</v>
      </c>
      <c r="E935" s="3" t="s">
        <v>35</v>
      </c>
    </row>
    <row r="936" spans="1:5" ht="16">
      <c r="A936" s="1" t="s">
        <v>1984</v>
      </c>
      <c r="B936" s="2" t="s">
        <v>303</v>
      </c>
      <c r="C936" s="2" t="s">
        <v>1985</v>
      </c>
      <c r="D936" s="2" t="s">
        <v>192</v>
      </c>
      <c r="E936" s="3" t="s">
        <v>35</v>
      </c>
    </row>
    <row r="937" spans="1:5" ht="16">
      <c r="A937" s="1" t="s">
        <v>1986</v>
      </c>
      <c r="B937" s="2" t="s">
        <v>196</v>
      </c>
      <c r="C937" s="2" t="s">
        <v>1987</v>
      </c>
      <c r="D937" s="2" t="s">
        <v>192</v>
      </c>
      <c r="E937" s="3" t="s">
        <v>35</v>
      </c>
    </row>
    <row r="938" spans="1:5" ht="16">
      <c r="A938" s="1" t="s">
        <v>1988</v>
      </c>
      <c r="B938" s="2" t="s">
        <v>303</v>
      </c>
      <c r="C938" s="2" t="s">
        <v>1989</v>
      </c>
      <c r="D938" s="2" t="s">
        <v>192</v>
      </c>
      <c r="E938" s="3" t="s">
        <v>35</v>
      </c>
    </row>
    <row r="939" spans="1:5" ht="16">
      <c r="A939" s="1" t="s">
        <v>1990</v>
      </c>
      <c r="B939" s="2" t="s">
        <v>97</v>
      </c>
      <c r="C939" s="2" t="s">
        <v>1991</v>
      </c>
      <c r="D939" s="2" t="s">
        <v>192</v>
      </c>
      <c r="E939" s="3" t="s">
        <v>35</v>
      </c>
    </row>
    <row r="940" spans="1:5" ht="16">
      <c r="A940" s="1" t="s">
        <v>1992</v>
      </c>
      <c r="B940" s="2" t="s">
        <v>97</v>
      </c>
      <c r="C940" s="2" t="s">
        <v>1993</v>
      </c>
      <c r="D940" s="2" t="s">
        <v>192</v>
      </c>
      <c r="E940" s="3" t="s">
        <v>35</v>
      </c>
    </row>
    <row r="941" spans="1:5" ht="16">
      <c r="A941" s="1" t="s">
        <v>1994</v>
      </c>
      <c r="B941" s="2" t="s">
        <v>97</v>
      </c>
      <c r="C941" s="2" t="s">
        <v>1995</v>
      </c>
      <c r="D941" s="2" t="s">
        <v>192</v>
      </c>
      <c r="E941" s="3" t="s">
        <v>35</v>
      </c>
    </row>
    <row r="942" spans="1:5" ht="16">
      <c r="A942" s="1" t="s">
        <v>1996</v>
      </c>
      <c r="B942" s="2" t="s">
        <v>303</v>
      </c>
      <c r="C942" s="2" t="s">
        <v>1997</v>
      </c>
      <c r="D942" s="2" t="s">
        <v>192</v>
      </c>
      <c r="E942" s="3" t="s">
        <v>35</v>
      </c>
    </row>
    <row r="943" spans="1:5" ht="16">
      <c r="A943" s="1" t="s">
        <v>1998</v>
      </c>
      <c r="B943" s="2" t="s">
        <v>97</v>
      </c>
      <c r="C943" s="2" t="s">
        <v>1999</v>
      </c>
      <c r="D943" s="2" t="s">
        <v>192</v>
      </c>
      <c r="E943" s="3" t="s">
        <v>35</v>
      </c>
    </row>
    <row r="944" spans="1:5" ht="16">
      <c r="A944" s="1" t="s">
        <v>2000</v>
      </c>
      <c r="B944" s="2" t="s">
        <v>97</v>
      </c>
      <c r="C944" s="2" t="s">
        <v>2001</v>
      </c>
      <c r="D944" s="2" t="s">
        <v>192</v>
      </c>
      <c r="E944" s="3" t="s">
        <v>35</v>
      </c>
    </row>
    <row r="945" spans="1:5" ht="16">
      <c r="A945" s="1" t="s">
        <v>2002</v>
      </c>
      <c r="B945" s="2" t="s">
        <v>91</v>
      </c>
      <c r="C945" s="2" t="s">
        <v>2003</v>
      </c>
      <c r="D945" s="2" t="s">
        <v>192</v>
      </c>
      <c r="E945" s="3" t="s">
        <v>35</v>
      </c>
    </row>
    <row r="946" spans="1:5" ht="16">
      <c r="A946" s="1" t="s">
        <v>2004</v>
      </c>
      <c r="B946" s="2" t="s">
        <v>303</v>
      </c>
      <c r="C946" s="2" t="s">
        <v>2005</v>
      </c>
      <c r="D946" s="2" t="s">
        <v>192</v>
      </c>
      <c r="E946" s="3" t="s">
        <v>35</v>
      </c>
    </row>
    <row r="947" spans="1:5" ht="16">
      <c r="A947" s="1" t="s">
        <v>2006</v>
      </c>
      <c r="B947" s="2" t="s">
        <v>97</v>
      </c>
      <c r="C947" s="2" t="s">
        <v>2007</v>
      </c>
      <c r="D947" s="2" t="s">
        <v>192</v>
      </c>
      <c r="E947" s="3" t="s">
        <v>35</v>
      </c>
    </row>
    <row r="948" spans="1:5" ht="16">
      <c r="A948" s="1" t="s">
        <v>2008</v>
      </c>
      <c r="B948" s="2" t="s">
        <v>97</v>
      </c>
      <c r="C948" s="2" t="s">
        <v>2009</v>
      </c>
      <c r="D948" s="2" t="s">
        <v>192</v>
      </c>
      <c r="E948" s="3" t="s">
        <v>35</v>
      </c>
    </row>
    <row r="949" spans="1:5" ht="16">
      <c r="A949" s="1" t="s">
        <v>2010</v>
      </c>
      <c r="B949" s="2" t="s">
        <v>97</v>
      </c>
      <c r="C949" s="2" t="s">
        <v>2011</v>
      </c>
      <c r="D949" s="2" t="s">
        <v>192</v>
      </c>
      <c r="E949" s="3" t="s">
        <v>35</v>
      </c>
    </row>
    <row r="950" spans="1:5" ht="16">
      <c r="A950" s="1" t="s">
        <v>2012</v>
      </c>
      <c r="B950" s="2" t="s">
        <v>303</v>
      </c>
      <c r="C950" s="2" t="s">
        <v>2013</v>
      </c>
      <c r="D950" s="2" t="s">
        <v>192</v>
      </c>
      <c r="E950" s="3" t="s">
        <v>35</v>
      </c>
    </row>
    <row r="951" spans="1:5" ht="16">
      <c r="A951" s="1" t="s">
        <v>2014</v>
      </c>
      <c r="B951" s="2" t="s">
        <v>97</v>
      </c>
      <c r="C951" s="2" t="s">
        <v>2015</v>
      </c>
      <c r="D951" s="2" t="s">
        <v>192</v>
      </c>
      <c r="E951" s="3" t="s">
        <v>35</v>
      </c>
    </row>
    <row r="952" spans="1:5" ht="16">
      <c r="A952" s="1" t="s">
        <v>2016</v>
      </c>
      <c r="B952" s="2" t="s">
        <v>196</v>
      </c>
      <c r="C952" s="2" t="s">
        <v>2017</v>
      </c>
      <c r="D952" s="2" t="s">
        <v>192</v>
      </c>
      <c r="E952" s="3" t="s">
        <v>35</v>
      </c>
    </row>
    <row r="953" spans="1:5" ht="16">
      <c r="A953" s="1" t="s">
        <v>2018</v>
      </c>
      <c r="B953" s="2" t="s">
        <v>199</v>
      </c>
      <c r="C953" s="2" t="s">
        <v>2019</v>
      </c>
      <c r="D953" s="2" t="s">
        <v>192</v>
      </c>
      <c r="E953" s="3" t="s">
        <v>35</v>
      </c>
    </row>
    <row r="954" spans="1:5" ht="16">
      <c r="A954" s="1" t="s">
        <v>2020</v>
      </c>
      <c r="B954" s="2" t="s">
        <v>199</v>
      </c>
      <c r="C954" s="2" t="s">
        <v>2021</v>
      </c>
      <c r="D954" s="2" t="s">
        <v>192</v>
      </c>
      <c r="E954" s="3" t="s">
        <v>35</v>
      </c>
    </row>
    <row r="955" spans="1:5" ht="16">
      <c r="A955" s="1" t="s">
        <v>2022</v>
      </c>
      <c r="B955" s="2" t="s">
        <v>196</v>
      </c>
      <c r="C955" s="2" t="s">
        <v>2023</v>
      </c>
      <c r="D955" s="2" t="s">
        <v>192</v>
      </c>
      <c r="E955" s="3" t="s">
        <v>35</v>
      </c>
    </row>
    <row r="956" spans="1:5" ht="16">
      <c r="A956" s="1" t="s">
        <v>2024</v>
      </c>
      <c r="B956" s="2" t="s">
        <v>97</v>
      </c>
      <c r="C956" s="2" t="s">
        <v>2025</v>
      </c>
      <c r="D956" s="2" t="s">
        <v>192</v>
      </c>
      <c r="E956" s="3" t="s">
        <v>35</v>
      </c>
    </row>
    <row r="957" spans="1:5" ht="16">
      <c r="A957" s="1" t="s">
        <v>2026</v>
      </c>
      <c r="B957" s="2" t="s">
        <v>97</v>
      </c>
      <c r="C957" s="2" t="s">
        <v>2027</v>
      </c>
      <c r="D957" s="2" t="s">
        <v>192</v>
      </c>
      <c r="E957" s="3" t="s">
        <v>35</v>
      </c>
    </row>
    <row r="958" spans="1:5" ht="16">
      <c r="A958" s="1" t="s">
        <v>2028</v>
      </c>
      <c r="B958" s="2" t="s">
        <v>196</v>
      </c>
      <c r="C958" s="2" t="s">
        <v>2029</v>
      </c>
      <c r="D958" s="2" t="s">
        <v>192</v>
      </c>
      <c r="E958" s="3" t="s">
        <v>35</v>
      </c>
    </row>
    <row r="959" spans="1:5" ht="16">
      <c r="A959" s="1" t="s">
        <v>2030</v>
      </c>
      <c r="B959" s="2" t="s">
        <v>303</v>
      </c>
      <c r="C959" s="2" t="s">
        <v>2031</v>
      </c>
      <c r="D959" s="2" t="s">
        <v>192</v>
      </c>
      <c r="E959" s="3" t="s">
        <v>35</v>
      </c>
    </row>
    <row r="960" spans="1:5" ht="16">
      <c r="A960" s="1" t="s">
        <v>2032</v>
      </c>
      <c r="B960" s="2" t="s">
        <v>196</v>
      </c>
      <c r="C960" s="2" t="s">
        <v>2033</v>
      </c>
      <c r="D960" s="2" t="s">
        <v>192</v>
      </c>
      <c r="E960" s="3" t="s">
        <v>35</v>
      </c>
    </row>
    <row r="961" spans="1:5" ht="16">
      <c r="A961" s="1" t="s">
        <v>2034</v>
      </c>
      <c r="B961" s="2" t="s">
        <v>303</v>
      </c>
      <c r="C961" s="2" t="s">
        <v>2035</v>
      </c>
      <c r="D961" s="2" t="s">
        <v>192</v>
      </c>
      <c r="E961" s="3" t="s">
        <v>35</v>
      </c>
    </row>
    <row r="962" spans="1:5" ht="16">
      <c r="A962" s="1" t="s">
        <v>2036</v>
      </c>
      <c r="B962" s="2" t="s">
        <v>303</v>
      </c>
      <c r="C962" s="2" t="s">
        <v>2037</v>
      </c>
      <c r="D962" s="2" t="s">
        <v>192</v>
      </c>
      <c r="E962" s="3" t="s">
        <v>35</v>
      </c>
    </row>
    <row r="963" spans="1:5" ht="16">
      <c r="A963" s="1" t="s">
        <v>2038</v>
      </c>
      <c r="B963" s="2" t="s">
        <v>254</v>
      </c>
      <c r="C963" s="2" t="s">
        <v>2039</v>
      </c>
      <c r="D963" s="2" t="s">
        <v>192</v>
      </c>
      <c r="E963" s="3" t="s">
        <v>35</v>
      </c>
    </row>
    <row r="964" spans="1:5" ht="16">
      <c r="A964" s="1" t="s">
        <v>2040</v>
      </c>
      <c r="B964" s="2" t="s">
        <v>254</v>
      </c>
      <c r="C964" s="2" t="s">
        <v>2041</v>
      </c>
      <c r="D964" s="2" t="s">
        <v>192</v>
      </c>
      <c r="E964" s="3" t="s">
        <v>35</v>
      </c>
    </row>
    <row r="965" spans="1:5" ht="16">
      <c r="A965" s="1" t="s">
        <v>2042</v>
      </c>
      <c r="B965" s="2" t="s">
        <v>199</v>
      </c>
      <c r="C965" s="2" t="s">
        <v>2043</v>
      </c>
      <c r="D965" s="2" t="s">
        <v>192</v>
      </c>
      <c r="E965" s="3" t="s">
        <v>35</v>
      </c>
    </row>
    <row r="966" spans="1:5" ht="16">
      <c r="A966" s="1" t="s">
        <v>2044</v>
      </c>
      <c r="B966" s="2" t="s">
        <v>303</v>
      </c>
      <c r="C966" s="2" t="s">
        <v>2045</v>
      </c>
      <c r="D966" s="2" t="s">
        <v>192</v>
      </c>
      <c r="E966" s="3" t="s">
        <v>35</v>
      </c>
    </row>
    <row r="967" spans="1:5" ht="16">
      <c r="A967" s="1" t="s">
        <v>2046</v>
      </c>
      <c r="B967" s="2" t="s">
        <v>97</v>
      </c>
      <c r="C967" s="2" t="s">
        <v>2047</v>
      </c>
      <c r="D967" s="2" t="s">
        <v>192</v>
      </c>
      <c r="E967" s="3" t="s">
        <v>35</v>
      </c>
    </row>
    <row r="968" spans="1:5" ht="16">
      <c r="A968" s="1" t="s">
        <v>2048</v>
      </c>
      <c r="B968" s="2" t="s">
        <v>196</v>
      </c>
      <c r="C968" s="2" t="s">
        <v>2049</v>
      </c>
      <c r="D968" s="2" t="s">
        <v>192</v>
      </c>
      <c r="E968" s="3" t="s">
        <v>35</v>
      </c>
    </row>
    <row r="969" spans="1:5" ht="16">
      <c r="A969" s="1" t="s">
        <v>2050</v>
      </c>
      <c r="B969" s="2" t="s">
        <v>303</v>
      </c>
      <c r="C969" s="2" t="s">
        <v>2051</v>
      </c>
      <c r="D969" s="2" t="s">
        <v>192</v>
      </c>
      <c r="E969" s="3" t="s">
        <v>35</v>
      </c>
    </row>
    <row r="970" spans="1:5" ht="16">
      <c r="A970" s="1" t="s">
        <v>2052</v>
      </c>
      <c r="B970" s="2" t="s">
        <v>196</v>
      </c>
      <c r="C970" s="2" t="s">
        <v>2053</v>
      </c>
      <c r="D970" s="2" t="s">
        <v>192</v>
      </c>
      <c r="E970" s="3" t="s">
        <v>35</v>
      </c>
    </row>
    <row r="971" spans="1:5" ht="16">
      <c r="A971" s="1" t="s">
        <v>2054</v>
      </c>
      <c r="B971" s="2" t="s">
        <v>254</v>
      </c>
      <c r="C971" s="2" t="s">
        <v>2055</v>
      </c>
      <c r="D971" s="2" t="s">
        <v>192</v>
      </c>
      <c r="E971" s="3" t="s">
        <v>35</v>
      </c>
    </row>
    <row r="972" spans="1:5" ht="16">
      <c r="A972" s="1" t="s">
        <v>2056</v>
      </c>
      <c r="B972" s="2" t="s">
        <v>199</v>
      </c>
      <c r="C972" s="2" t="s">
        <v>2057</v>
      </c>
      <c r="D972" s="2" t="s">
        <v>192</v>
      </c>
      <c r="E972" s="3" t="s">
        <v>35</v>
      </c>
    </row>
    <row r="973" spans="1:5" ht="16">
      <c r="A973" s="1" t="s">
        <v>2058</v>
      </c>
      <c r="B973" s="2" t="s">
        <v>214</v>
      </c>
      <c r="C973" s="2" t="s">
        <v>2059</v>
      </c>
      <c r="D973" s="2" t="s">
        <v>192</v>
      </c>
      <c r="E973" s="3" t="s">
        <v>35</v>
      </c>
    </row>
    <row r="974" spans="1:5" ht="16">
      <c r="A974" s="1" t="s">
        <v>2060</v>
      </c>
      <c r="B974" s="2" t="s">
        <v>196</v>
      </c>
      <c r="C974" s="2" t="s">
        <v>2061</v>
      </c>
      <c r="D974" s="2" t="s">
        <v>192</v>
      </c>
      <c r="E974" s="3" t="s">
        <v>35</v>
      </c>
    </row>
    <row r="975" spans="1:5" ht="16">
      <c r="A975" s="1" t="s">
        <v>2062</v>
      </c>
      <c r="B975" s="2" t="s">
        <v>254</v>
      </c>
      <c r="C975" s="2" t="s">
        <v>2063</v>
      </c>
      <c r="D975" s="2" t="s">
        <v>192</v>
      </c>
      <c r="E975" s="3" t="s">
        <v>35</v>
      </c>
    </row>
    <row r="976" spans="1:5" ht="16">
      <c r="A976" s="1" t="s">
        <v>2064</v>
      </c>
      <c r="B976" s="2" t="s">
        <v>254</v>
      </c>
      <c r="C976" s="2" t="s">
        <v>2065</v>
      </c>
      <c r="D976" s="2" t="s">
        <v>192</v>
      </c>
      <c r="E976" s="3" t="s">
        <v>35</v>
      </c>
    </row>
    <row r="977" spans="1:5" ht="16">
      <c r="A977" s="1" t="s">
        <v>2066</v>
      </c>
      <c r="B977" s="2" t="s">
        <v>199</v>
      </c>
      <c r="C977" s="2" t="s">
        <v>2067</v>
      </c>
      <c r="D977" s="2" t="s">
        <v>192</v>
      </c>
      <c r="E977" s="3" t="s">
        <v>35</v>
      </c>
    </row>
    <row r="978" spans="1:5" ht="16">
      <c r="A978" s="1" t="s">
        <v>2068</v>
      </c>
      <c r="B978" s="2" t="s">
        <v>214</v>
      </c>
      <c r="C978" s="2" t="s">
        <v>2069</v>
      </c>
      <c r="D978" s="2" t="s">
        <v>192</v>
      </c>
      <c r="E978" s="3" t="s">
        <v>35</v>
      </c>
    </row>
    <row r="979" spans="1:5" ht="16">
      <c r="A979" s="1" t="s">
        <v>2070</v>
      </c>
      <c r="B979" s="2" t="s">
        <v>199</v>
      </c>
      <c r="C979" s="2" t="s">
        <v>2071</v>
      </c>
      <c r="D979" s="2" t="s">
        <v>192</v>
      </c>
      <c r="E979" s="3" t="s">
        <v>35</v>
      </c>
    </row>
    <row r="980" spans="1:5" ht="16">
      <c r="A980" s="1" t="s">
        <v>2072</v>
      </c>
      <c r="B980" s="2" t="s">
        <v>214</v>
      </c>
      <c r="C980" s="2" t="s">
        <v>2073</v>
      </c>
      <c r="D980" s="2" t="s">
        <v>192</v>
      </c>
      <c r="E980" s="3" t="s">
        <v>35</v>
      </c>
    </row>
    <row r="981" spans="1:5" ht="16">
      <c r="A981" s="1" t="s">
        <v>2074</v>
      </c>
      <c r="B981" s="2" t="s">
        <v>199</v>
      </c>
      <c r="C981" s="2" t="s">
        <v>2075</v>
      </c>
      <c r="D981" s="2" t="s">
        <v>192</v>
      </c>
      <c r="E981" s="3" t="s">
        <v>35</v>
      </c>
    </row>
    <row r="982" spans="1:5" ht="16">
      <c r="A982" s="1" t="s">
        <v>2076</v>
      </c>
      <c r="B982" s="2" t="s">
        <v>214</v>
      </c>
      <c r="C982" s="2" t="s">
        <v>2077</v>
      </c>
      <c r="D982" s="2" t="s">
        <v>192</v>
      </c>
      <c r="E982" s="3" t="s">
        <v>35</v>
      </c>
    </row>
    <row r="983" spans="1:5" ht="16">
      <c r="A983" s="1" t="s">
        <v>2078</v>
      </c>
      <c r="B983" s="2" t="s">
        <v>199</v>
      </c>
      <c r="C983" s="2" t="s">
        <v>2079</v>
      </c>
      <c r="D983" s="2" t="s">
        <v>192</v>
      </c>
      <c r="E983" s="3" t="s">
        <v>35</v>
      </c>
    </row>
    <row r="984" spans="1:5" ht="16">
      <c r="A984" s="1" t="s">
        <v>2080</v>
      </c>
      <c r="B984" s="2" t="s">
        <v>1378</v>
      </c>
      <c r="C984" s="2" t="s">
        <v>2081</v>
      </c>
      <c r="D984" s="2" t="s">
        <v>192</v>
      </c>
      <c r="E984" s="3" t="s">
        <v>35</v>
      </c>
    </row>
    <row r="985" spans="1:5" ht="16">
      <c r="A985" s="1" t="s">
        <v>2082</v>
      </c>
      <c r="B985" s="2" t="s">
        <v>303</v>
      </c>
      <c r="C985" s="2" t="s">
        <v>2083</v>
      </c>
      <c r="D985" s="2" t="s">
        <v>192</v>
      </c>
      <c r="E985" s="3" t="s">
        <v>35</v>
      </c>
    </row>
    <row r="986" spans="1:5" ht="16">
      <c r="A986" s="1" t="s">
        <v>2084</v>
      </c>
      <c r="B986" s="2" t="s">
        <v>199</v>
      </c>
      <c r="C986" s="2" t="s">
        <v>2085</v>
      </c>
      <c r="D986" s="2" t="s">
        <v>192</v>
      </c>
      <c r="E986" s="3" t="s">
        <v>35</v>
      </c>
    </row>
    <row r="987" spans="1:5" ht="16">
      <c r="A987" s="1" t="s">
        <v>2086</v>
      </c>
      <c r="B987" s="2" t="s">
        <v>214</v>
      </c>
      <c r="C987" s="2" t="s">
        <v>2087</v>
      </c>
      <c r="D987" s="2" t="s">
        <v>192</v>
      </c>
      <c r="E987" s="3" t="s">
        <v>35</v>
      </c>
    </row>
    <row r="988" spans="1:5" ht="16">
      <c r="A988" s="1" t="s">
        <v>2088</v>
      </c>
      <c r="B988" s="2" t="s">
        <v>199</v>
      </c>
      <c r="C988" s="2" t="s">
        <v>2089</v>
      </c>
      <c r="D988" s="2" t="s">
        <v>192</v>
      </c>
      <c r="E988" s="3" t="s">
        <v>35</v>
      </c>
    </row>
    <row r="989" spans="1:5" ht="16">
      <c r="A989" s="1" t="s">
        <v>2090</v>
      </c>
      <c r="B989" s="2" t="s">
        <v>214</v>
      </c>
      <c r="C989" s="2" t="s">
        <v>2091</v>
      </c>
      <c r="D989" s="2" t="s">
        <v>192</v>
      </c>
      <c r="E989" s="3" t="s">
        <v>35</v>
      </c>
    </row>
    <row r="990" spans="1:5" ht="16">
      <c r="A990" s="1" t="s">
        <v>2092</v>
      </c>
      <c r="B990" s="2" t="s">
        <v>199</v>
      </c>
      <c r="C990" s="2" t="s">
        <v>2093</v>
      </c>
      <c r="D990" s="2" t="s">
        <v>192</v>
      </c>
      <c r="E990" s="3" t="s">
        <v>35</v>
      </c>
    </row>
    <row r="991" spans="1:5" ht="16">
      <c r="A991" s="1" t="s">
        <v>2094</v>
      </c>
      <c r="B991" s="2" t="s">
        <v>196</v>
      </c>
      <c r="C991" s="2" t="s">
        <v>2095</v>
      </c>
      <c r="D991" s="2" t="s">
        <v>192</v>
      </c>
      <c r="E991" s="3" t="s">
        <v>35</v>
      </c>
    </row>
    <row r="992" spans="1:5" ht="16">
      <c r="A992" s="1" t="s">
        <v>2096</v>
      </c>
      <c r="B992" s="2" t="s">
        <v>199</v>
      </c>
      <c r="C992" s="2" t="s">
        <v>2097</v>
      </c>
      <c r="D992" s="2" t="s">
        <v>192</v>
      </c>
      <c r="E992" s="3" t="s">
        <v>35</v>
      </c>
    </row>
    <row r="993" spans="1:5" ht="16">
      <c r="A993" s="1" t="s">
        <v>2098</v>
      </c>
      <c r="B993" s="2" t="s">
        <v>214</v>
      </c>
      <c r="C993" s="2" t="s">
        <v>2099</v>
      </c>
      <c r="D993" s="2" t="s">
        <v>192</v>
      </c>
      <c r="E993" s="3" t="s">
        <v>35</v>
      </c>
    </row>
    <row r="994" spans="1:5" ht="16">
      <c r="A994" s="1" t="s">
        <v>2100</v>
      </c>
      <c r="B994" s="2" t="s">
        <v>303</v>
      </c>
      <c r="C994" s="2" t="s">
        <v>2101</v>
      </c>
      <c r="D994" s="2" t="s">
        <v>192</v>
      </c>
      <c r="E994" s="3" t="s">
        <v>35</v>
      </c>
    </row>
    <row r="995" spans="1:5" ht="16">
      <c r="A995" s="1" t="s">
        <v>2102</v>
      </c>
      <c r="B995" s="2" t="s">
        <v>199</v>
      </c>
      <c r="C995" s="2" t="s">
        <v>2103</v>
      </c>
      <c r="D995" s="2" t="s">
        <v>192</v>
      </c>
      <c r="E995" s="3" t="s">
        <v>35</v>
      </c>
    </row>
    <row r="996" spans="1:5" ht="16">
      <c r="A996" s="1" t="s">
        <v>2104</v>
      </c>
      <c r="B996" s="2" t="s">
        <v>303</v>
      </c>
      <c r="C996" s="2" t="s">
        <v>2105</v>
      </c>
      <c r="D996" s="2" t="s">
        <v>192</v>
      </c>
      <c r="E996" s="3" t="s">
        <v>35</v>
      </c>
    </row>
    <row r="997" spans="1:5" ht="16">
      <c r="A997" s="1" t="s">
        <v>2106</v>
      </c>
      <c r="B997" s="2" t="s">
        <v>303</v>
      </c>
      <c r="C997" s="2" t="s">
        <v>2107</v>
      </c>
      <c r="D997" s="2" t="s">
        <v>192</v>
      </c>
      <c r="E997" s="3" t="s">
        <v>35</v>
      </c>
    </row>
    <row r="998" spans="1:5" ht="16">
      <c r="A998" s="1" t="s">
        <v>2108</v>
      </c>
      <c r="B998" s="2" t="s">
        <v>214</v>
      </c>
      <c r="C998" s="2" t="s">
        <v>2109</v>
      </c>
      <c r="D998" s="2" t="s">
        <v>192</v>
      </c>
      <c r="E998" s="3" t="s">
        <v>35</v>
      </c>
    </row>
    <row r="999" spans="1:5" ht="16">
      <c r="A999" s="1" t="s">
        <v>2110</v>
      </c>
      <c r="B999" s="2" t="s">
        <v>214</v>
      </c>
      <c r="C999" s="2" t="s">
        <v>2111</v>
      </c>
      <c r="D999" s="2" t="s">
        <v>192</v>
      </c>
      <c r="E999" s="3" t="s">
        <v>35</v>
      </c>
    </row>
    <row r="1000" spans="1:5" ht="16">
      <c r="A1000" s="1" t="s">
        <v>2112</v>
      </c>
      <c r="B1000" s="2" t="s">
        <v>303</v>
      </c>
      <c r="C1000" s="2" t="s">
        <v>2113</v>
      </c>
      <c r="D1000" s="2" t="s">
        <v>192</v>
      </c>
      <c r="E1000" s="3" t="s">
        <v>35</v>
      </c>
    </row>
    <row r="1001" spans="1:5" ht="16">
      <c r="A1001" s="1" t="s">
        <v>2114</v>
      </c>
      <c r="B1001" s="2" t="s">
        <v>303</v>
      </c>
      <c r="C1001" s="2" t="s">
        <v>2115</v>
      </c>
      <c r="D1001" s="2" t="s">
        <v>192</v>
      </c>
      <c r="E1001" s="3" t="s">
        <v>35</v>
      </c>
    </row>
    <row r="1002" spans="1:5" ht="16">
      <c r="A1002" s="1" t="s">
        <v>2116</v>
      </c>
      <c r="B1002" s="2" t="s">
        <v>85</v>
      </c>
      <c r="C1002" s="2" t="s">
        <v>2117</v>
      </c>
      <c r="D1002" s="2" t="s">
        <v>192</v>
      </c>
      <c r="E1002" s="3" t="s">
        <v>35</v>
      </c>
    </row>
    <row r="1003" spans="1:5" ht="16">
      <c r="A1003" s="1" t="s">
        <v>2118</v>
      </c>
      <c r="B1003" s="2" t="s">
        <v>80</v>
      </c>
      <c r="C1003" s="2" t="s">
        <v>2119</v>
      </c>
      <c r="D1003" s="2" t="s">
        <v>440</v>
      </c>
      <c r="E1003" s="3" t="s">
        <v>45</v>
      </c>
    </row>
    <row r="1004" spans="1:5" ht="16">
      <c r="A1004" s="1" t="s">
        <v>2120</v>
      </c>
      <c r="B1004" s="2" t="s">
        <v>80</v>
      </c>
      <c r="C1004" s="2" t="s">
        <v>2121</v>
      </c>
      <c r="D1004" s="2" t="s">
        <v>440</v>
      </c>
      <c r="E1004" s="3" t="s">
        <v>45</v>
      </c>
    </row>
    <row r="1005" spans="1:5" ht="16">
      <c r="A1005" s="1" t="s">
        <v>2122</v>
      </c>
      <c r="B1005" s="2" t="s">
        <v>85</v>
      </c>
      <c r="C1005" s="2" t="s">
        <v>2123</v>
      </c>
      <c r="D1005" s="2" t="s">
        <v>192</v>
      </c>
      <c r="E1005" s="3" t="s">
        <v>35</v>
      </c>
    </row>
    <row r="1006" spans="1:5" ht="16">
      <c r="A1006" s="1" t="s">
        <v>2124</v>
      </c>
      <c r="B1006" s="2" t="s">
        <v>303</v>
      </c>
      <c r="C1006" s="2" t="s">
        <v>2125</v>
      </c>
      <c r="D1006" s="2" t="s">
        <v>192</v>
      </c>
      <c r="E1006" s="3" t="s">
        <v>35</v>
      </c>
    </row>
    <row r="1007" spans="1:5" ht="16">
      <c r="A1007" s="1" t="s">
        <v>2126</v>
      </c>
      <c r="B1007" s="2" t="s">
        <v>80</v>
      </c>
      <c r="C1007" s="2" t="s">
        <v>2127</v>
      </c>
      <c r="D1007" s="2" t="s">
        <v>440</v>
      </c>
      <c r="E1007" s="3" t="s">
        <v>45</v>
      </c>
    </row>
    <row r="1008" spans="1:5" ht="16">
      <c r="A1008" s="1" t="s">
        <v>2128</v>
      </c>
      <c r="B1008" s="2" t="s">
        <v>91</v>
      </c>
      <c r="C1008" s="2" t="s">
        <v>2129</v>
      </c>
      <c r="D1008" s="2" t="s">
        <v>192</v>
      </c>
      <c r="E1008" s="3" t="s">
        <v>35</v>
      </c>
    </row>
    <row r="1009" spans="1:5" ht="16">
      <c r="A1009" s="1" t="s">
        <v>2130</v>
      </c>
      <c r="B1009" s="2" t="s">
        <v>85</v>
      </c>
      <c r="C1009" s="2" t="s">
        <v>2131</v>
      </c>
      <c r="D1009" s="2" t="s">
        <v>192</v>
      </c>
      <c r="E1009" s="3" t="s">
        <v>35</v>
      </c>
    </row>
    <row r="1010" spans="1:5" ht="16">
      <c r="A1010" s="1" t="s">
        <v>2132</v>
      </c>
      <c r="B1010" s="2" t="s">
        <v>85</v>
      </c>
      <c r="C1010" s="2" t="s">
        <v>2133</v>
      </c>
      <c r="D1010" s="2" t="s">
        <v>192</v>
      </c>
      <c r="E1010" s="3" t="s">
        <v>35</v>
      </c>
    </row>
    <row r="1011" spans="1:5" ht="16">
      <c r="A1011" s="1" t="s">
        <v>2134</v>
      </c>
      <c r="B1011" s="2" t="s">
        <v>91</v>
      </c>
      <c r="C1011" s="2" t="s">
        <v>2135</v>
      </c>
      <c r="D1011" s="2" t="s">
        <v>192</v>
      </c>
      <c r="E1011" s="3" t="s">
        <v>35</v>
      </c>
    </row>
    <row r="1012" spans="1:5" ht="16">
      <c r="A1012" s="1" t="s">
        <v>2136</v>
      </c>
      <c r="B1012" s="2" t="s">
        <v>97</v>
      </c>
      <c r="C1012" s="2" t="s">
        <v>2137</v>
      </c>
      <c r="D1012" s="2" t="s">
        <v>192</v>
      </c>
      <c r="E1012" s="3" t="s">
        <v>35</v>
      </c>
    </row>
    <row r="1013" spans="1:5" ht="16">
      <c r="A1013" s="1" t="s">
        <v>2138</v>
      </c>
      <c r="B1013" s="2" t="s">
        <v>97</v>
      </c>
      <c r="C1013" s="2" t="s">
        <v>2139</v>
      </c>
      <c r="D1013" s="2" t="s">
        <v>192</v>
      </c>
      <c r="E1013" s="3" t="s">
        <v>35</v>
      </c>
    </row>
    <row r="1014" spans="1:5" ht="16">
      <c r="A1014" s="1" t="s">
        <v>2140</v>
      </c>
      <c r="B1014" s="2" t="s">
        <v>303</v>
      </c>
      <c r="C1014" s="2" t="s">
        <v>2141</v>
      </c>
      <c r="D1014" s="2" t="s">
        <v>192</v>
      </c>
      <c r="E1014" s="3" t="s">
        <v>35</v>
      </c>
    </row>
    <row r="1015" spans="1:5" ht="16">
      <c r="A1015" s="1" t="s">
        <v>2142</v>
      </c>
      <c r="B1015" s="2" t="s">
        <v>303</v>
      </c>
      <c r="C1015" s="2" t="s">
        <v>2143</v>
      </c>
      <c r="D1015" s="2" t="s">
        <v>192</v>
      </c>
      <c r="E1015" s="3" t="s">
        <v>35</v>
      </c>
    </row>
    <row r="1016" spans="1:5" ht="16">
      <c r="A1016" s="1" t="s">
        <v>2144</v>
      </c>
      <c r="B1016" s="2" t="s">
        <v>91</v>
      </c>
      <c r="C1016" s="2" t="s">
        <v>2145</v>
      </c>
      <c r="D1016" s="2" t="s">
        <v>192</v>
      </c>
      <c r="E1016" s="3" t="s">
        <v>35</v>
      </c>
    </row>
    <row r="1017" spans="1:5" ht="16">
      <c r="A1017" s="1" t="s">
        <v>2146</v>
      </c>
      <c r="B1017" s="2" t="s">
        <v>85</v>
      </c>
      <c r="C1017" s="2" t="s">
        <v>2147</v>
      </c>
      <c r="D1017" s="2" t="s">
        <v>192</v>
      </c>
      <c r="E1017" s="3" t="s">
        <v>35</v>
      </c>
    </row>
    <row r="1018" spans="1:5" ht="16">
      <c r="A1018" s="1" t="s">
        <v>2148</v>
      </c>
      <c r="B1018" s="2" t="s">
        <v>91</v>
      </c>
      <c r="C1018" s="2" t="s">
        <v>2149</v>
      </c>
      <c r="D1018" s="2" t="s">
        <v>192</v>
      </c>
      <c r="E1018" s="3" t="s">
        <v>35</v>
      </c>
    </row>
    <row r="1019" spans="1:5" ht="16">
      <c r="A1019" s="1" t="s">
        <v>2150</v>
      </c>
      <c r="B1019" s="2" t="s">
        <v>74</v>
      </c>
      <c r="C1019" s="2" t="s">
        <v>2151</v>
      </c>
      <c r="D1019" s="2" t="s">
        <v>440</v>
      </c>
      <c r="E1019" s="3" t="s">
        <v>45</v>
      </c>
    </row>
    <row r="1020" spans="1:5" ht="16">
      <c r="A1020" s="1" t="s">
        <v>2152</v>
      </c>
      <c r="B1020" s="2" t="s">
        <v>196</v>
      </c>
      <c r="C1020" s="2" t="s">
        <v>2153</v>
      </c>
      <c r="D1020" s="2" t="s">
        <v>192</v>
      </c>
      <c r="E1020" s="3" t="s">
        <v>35</v>
      </c>
    </row>
    <row r="1021" spans="1:5" ht="16">
      <c r="A1021" s="1" t="s">
        <v>2154</v>
      </c>
      <c r="B1021" s="2" t="s">
        <v>97</v>
      </c>
      <c r="C1021" s="2" t="s">
        <v>2155</v>
      </c>
      <c r="D1021" s="2" t="s">
        <v>192</v>
      </c>
      <c r="E1021" s="3" t="s">
        <v>35</v>
      </c>
    </row>
    <row r="1022" spans="1:5" ht="16">
      <c r="A1022" s="1" t="s">
        <v>2156</v>
      </c>
      <c r="B1022" s="2" t="s">
        <v>91</v>
      </c>
      <c r="C1022" s="2" t="s">
        <v>2157</v>
      </c>
      <c r="D1022" s="2" t="s">
        <v>192</v>
      </c>
      <c r="E1022" s="3" t="s">
        <v>35</v>
      </c>
    </row>
    <row r="1023" spans="1:5" ht="16">
      <c r="A1023" s="1" t="s">
        <v>2158</v>
      </c>
      <c r="B1023" s="2" t="s">
        <v>97</v>
      </c>
      <c r="C1023" s="2" t="s">
        <v>2159</v>
      </c>
      <c r="D1023" s="2" t="s">
        <v>192</v>
      </c>
      <c r="E1023" s="3" t="s">
        <v>35</v>
      </c>
    </row>
    <row r="1024" spans="1:5" ht="16">
      <c r="A1024" s="1" t="s">
        <v>2160</v>
      </c>
      <c r="B1024" s="2" t="s">
        <v>303</v>
      </c>
      <c r="C1024" s="2" t="s">
        <v>2161</v>
      </c>
      <c r="D1024" s="2" t="s">
        <v>192</v>
      </c>
      <c r="E1024" s="3" t="s">
        <v>35</v>
      </c>
    </row>
    <row r="1025" spans="1:5" ht="16">
      <c r="A1025" s="1" t="s">
        <v>2162</v>
      </c>
      <c r="B1025" s="2" t="s">
        <v>85</v>
      </c>
      <c r="C1025" s="2" t="s">
        <v>2163</v>
      </c>
      <c r="D1025" s="2" t="s">
        <v>192</v>
      </c>
      <c r="E1025" s="3" t="s">
        <v>35</v>
      </c>
    </row>
    <row r="1026" spans="1:5" ht="16">
      <c r="A1026" s="1" t="s">
        <v>2164</v>
      </c>
      <c r="B1026" s="2" t="s">
        <v>303</v>
      </c>
      <c r="C1026" s="2" t="s">
        <v>2165</v>
      </c>
      <c r="D1026" s="2" t="s">
        <v>192</v>
      </c>
      <c r="E1026" s="3" t="s">
        <v>35</v>
      </c>
    </row>
    <row r="1027" spans="1:5" ht="16">
      <c r="A1027" s="1" t="s">
        <v>2166</v>
      </c>
      <c r="B1027" s="2" t="s">
        <v>91</v>
      </c>
      <c r="C1027" s="2" t="s">
        <v>2167</v>
      </c>
      <c r="D1027" s="2" t="s">
        <v>192</v>
      </c>
      <c r="E1027" s="3" t="s">
        <v>35</v>
      </c>
    </row>
    <row r="1028" spans="1:5" ht="16">
      <c r="A1028" s="1" t="s">
        <v>2168</v>
      </c>
      <c r="B1028" s="2" t="s">
        <v>214</v>
      </c>
      <c r="C1028" s="2" t="s">
        <v>2169</v>
      </c>
      <c r="D1028" s="2" t="s">
        <v>192</v>
      </c>
      <c r="E1028" s="3" t="s">
        <v>35</v>
      </c>
    </row>
    <row r="1029" spans="1:5" ht="16">
      <c r="A1029" s="1" t="s">
        <v>2170</v>
      </c>
      <c r="B1029" s="2" t="s">
        <v>91</v>
      </c>
      <c r="C1029" s="2" t="s">
        <v>2171</v>
      </c>
      <c r="D1029" s="2" t="s">
        <v>192</v>
      </c>
      <c r="E1029" s="3" t="s">
        <v>35</v>
      </c>
    </row>
    <row r="1030" spans="1:5" ht="16">
      <c r="A1030" s="1" t="s">
        <v>2172</v>
      </c>
      <c r="B1030" s="2" t="s">
        <v>91</v>
      </c>
      <c r="C1030" s="2" t="s">
        <v>2173</v>
      </c>
      <c r="D1030" s="2" t="s">
        <v>192</v>
      </c>
      <c r="E1030" s="3" t="s">
        <v>35</v>
      </c>
    </row>
    <row r="1031" spans="1:5" ht="16">
      <c r="A1031" s="1" t="s">
        <v>2174</v>
      </c>
      <c r="B1031" s="2" t="s">
        <v>254</v>
      </c>
      <c r="C1031" s="2" t="s">
        <v>2175</v>
      </c>
      <c r="D1031" s="2" t="s">
        <v>192</v>
      </c>
      <c r="E1031" s="3" t="s">
        <v>35</v>
      </c>
    </row>
    <row r="1032" spans="1:5" ht="16">
      <c r="A1032" s="1" t="s">
        <v>2176</v>
      </c>
      <c r="B1032" s="2" t="s">
        <v>214</v>
      </c>
      <c r="C1032" s="2" t="s">
        <v>2177</v>
      </c>
      <c r="D1032" s="2" t="s">
        <v>192</v>
      </c>
      <c r="E1032" s="3" t="s">
        <v>35</v>
      </c>
    </row>
    <row r="1033" spans="1:5" ht="16">
      <c r="A1033" s="1" t="s">
        <v>2178</v>
      </c>
      <c r="B1033" s="2" t="s">
        <v>196</v>
      </c>
      <c r="C1033" s="2" t="s">
        <v>2179</v>
      </c>
      <c r="D1033" s="2" t="s">
        <v>192</v>
      </c>
      <c r="E1033" s="3" t="s">
        <v>35</v>
      </c>
    </row>
    <row r="1034" spans="1:5" ht="16">
      <c r="A1034" s="1" t="s">
        <v>2180</v>
      </c>
      <c r="B1034" s="2" t="s">
        <v>199</v>
      </c>
      <c r="C1034" s="2" t="s">
        <v>2181</v>
      </c>
      <c r="D1034" s="2" t="s">
        <v>192</v>
      </c>
      <c r="E1034" s="3" t="s">
        <v>35</v>
      </c>
    </row>
    <row r="1035" spans="1:5" ht="16">
      <c r="A1035" s="1" t="s">
        <v>2182</v>
      </c>
      <c r="B1035" s="2" t="s">
        <v>85</v>
      </c>
      <c r="C1035" s="2" t="s">
        <v>2183</v>
      </c>
      <c r="D1035" s="2" t="s">
        <v>192</v>
      </c>
      <c r="E1035" s="3" t="s">
        <v>35</v>
      </c>
    </row>
    <row r="1036" spans="1:5" ht="16">
      <c r="A1036" s="1" t="s">
        <v>2184</v>
      </c>
      <c r="B1036" s="2" t="s">
        <v>199</v>
      </c>
      <c r="C1036" s="2" t="s">
        <v>2185</v>
      </c>
      <c r="D1036" s="2" t="s">
        <v>192</v>
      </c>
      <c r="E1036" s="3" t="s">
        <v>35</v>
      </c>
    </row>
    <row r="1037" spans="1:5" ht="16">
      <c r="A1037" s="1" t="s">
        <v>2186</v>
      </c>
      <c r="B1037" s="2" t="s">
        <v>214</v>
      </c>
      <c r="C1037" s="2" t="s">
        <v>2187</v>
      </c>
      <c r="D1037" s="2" t="s">
        <v>192</v>
      </c>
      <c r="E1037" s="3" t="s">
        <v>35</v>
      </c>
    </row>
    <row r="1038" spans="1:5" ht="16">
      <c r="A1038" s="1" t="s">
        <v>2188</v>
      </c>
      <c r="B1038" s="2" t="s">
        <v>214</v>
      </c>
      <c r="C1038" s="2" t="s">
        <v>2189</v>
      </c>
      <c r="D1038" s="2" t="s">
        <v>192</v>
      </c>
      <c r="E1038" s="3" t="s">
        <v>35</v>
      </c>
    </row>
    <row r="1039" spans="1:5" ht="16">
      <c r="A1039" s="1" t="s">
        <v>2190</v>
      </c>
      <c r="B1039" s="2" t="s">
        <v>199</v>
      </c>
      <c r="C1039" s="2" t="s">
        <v>2191</v>
      </c>
      <c r="D1039" s="2" t="s">
        <v>192</v>
      </c>
      <c r="E1039" s="3" t="s">
        <v>35</v>
      </c>
    </row>
    <row r="1040" spans="1:5" ht="16">
      <c r="A1040" s="1" t="s">
        <v>2192</v>
      </c>
      <c r="B1040" s="2"/>
      <c r="C1040" s="2" t="s">
        <v>2193</v>
      </c>
      <c r="D1040" s="2" t="s">
        <v>111</v>
      </c>
      <c r="E1040" s="3" t="s">
        <v>50</v>
      </c>
    </row>
    <row r="1041" spans="1:5" ht="16">
      <c r="A1041" s="1" t="s">
        <v>2194</v>
      </c>
      <c r="B1041" s="2" t="s">
        <v>85</v>
      </c>
      <c r="C1041" s="2" t="s">
        <v>2195</v>
      </c>
      <c r="D1041" s="2" t="s">
        <v>111</v>
      </c>
      <c r="E1041" s="3" t="s">
        <v>50</v>
      </c>
    </row>
    <row r="1042" spans="1:5" ht="16">
      <c r="A1042" s="1" t="s">
        <v>2196</v>
      </c>
      <c r="B1042" s="2" t="s">
        <v>80</v>
      </c>
      <c r="C1042" s="2" t="s">
        <v>2197</v>
      </c>
      <c r="D1042" s="2" t="s">
        <v>111</v>
      </c>
      <c r="E1042" s="3" t="s">
        <v>50</v>
      </c>
    </row>
    <row r="1043" spans="1:5" ht="16">
      <c r="A1043" s="1" t="s">
        <v>2198</v>
      </c>
      <c r="B1043" s="2" t="s">
        <v>85</v>
      </c>
      <c r="C1043" s="2" t="s">
        <v>2199</v>
      </c>
      <c r="D1043" s="2" t="s">
        <v>111</v>
      </c>
      <c r="E1043" s="3" t="s">
        <v>50</v>
      </c>
    </row>
    <row r="1044" spans="1:5" ht="16">
      <c r="A1044" s="1" t="s">
        <v>2200</v>
      </c>
      <c r="B1044" s="2" t="s">
        <v>69</v>
      </c>
      <c r="C1044" s="2" t="s">
        <v>2201</v>
      </c>
      <c r="D1044" s="2" t="s">
        <v>111</v>
      </c>
      <c r="E1044" s="3" t="s">
        <v>50</v>
      </c>
    </row>
    <row r="1045" spans="1:5" ht="16">
      <c r="A1045" s="1" t="s">
        <v>2202</v>
      </c>
      <c r="B1045" s="2" t="s">
        <v>74</v>
      </c>
      <c r="C1045" s="2" t="s">
        <v>2203</v>
      </c>
      <c r="D1045" s="2" t="s">
        <v>111</v>
      </c>
      <c r="E1045" s="3" t="s">
        <v>50</v>
      </c>
    </row>
    <row r="1046" spans="1:5" ht="16">
      <c r="A1046" s="1" t="s">
        <v>2204</v>
      </c>
      <c r="B1046" s="2" t="s">
        <v>74</v>
      </c>
      <c r="C1046" s="2" t="s">
        <v>2205</v>
      </c>
      <c r="D1046" s="2" t="s">
        <v>111</v>
      </c>
      <c r="E1046" s="3" t="s">
        <v>50</v>
      </c>
    </row>
    <row r="1047" spans="1:5" ht="16">
      <c r="A1047" s="1" t="s">
        <v>2206</v>
      </c>
      <c r="B1047" s="2" t="s">
        <v>74</v>
      </c>
      <c r="C1047" s="2" t="s">
        <v>2207</v>
      </c>
      <c r="D1047" s="2" t="s">
        <v>111</v>
      </c>
      <c r="E1047" s="3" t="s">
        <v>50</v>
      </c>
    </row>
    <row r="1048" spans="1:5" ht="16">
      <c r="A1048" s="1" t="s">
        <v>2208</v>
      </c>
      <c r="B1048" s="2" t="s">
        <v>74</v>
      </c>
      <c r="C1048" s="2" t="s">
        <v>2209</v>
      </c>
      <c r="D1048" s="2" t="s">
        <v>111</v>
      </c>
      <c r="E1048" s="3" t="s">
        <v>50</v>
      </c>
    </row>
    <row r="1049" spans="1:5" ht="16">
      <c r="A1049" s="1" t="s">
        <v>2210</v>
      </c>
      <c r="B1049" s="2"/>
      <c r="C1049" s="2" t="s">
        <v>2211</v>
      </c>
      <c r="D1049" s="2" t="s">
        <v>111</v>
      </c>
      <c r="E1049" s="3" t="s">
        <v>50</v>
      </c>
    </row>
    <row r="1050" spans="1:5" ht="16">
      <c r="A1050" s="1" t="s">
        <v>2212</v>
      </c>
      <c r="B1050" s="2"/>
      <c r="C1050" s="2" t="s">
        <v>2213</v>
      </c>
      <c r="D1050" s="2" t="s">
        <v>111</v>
      </c>
      <c r="E1050" s="3" t="s">
        <v>50</v>
      </c>
    </row>
    <row r="1051" spans="1:5" ht="16">
      <c r="A1051" s="1" t="s">
        <v>2214</v>
      </c>
      <c r="B1051" s="2"/>
      <c r="C1051" s="2" t="s">
        <v>2215</v>
      </c>
      <c r="D1051" s="2" t="s">
        <v>111</v>
      </c>
      <c r="E1051" s="3" t="s">
        <v>50</v>
      </c>
    </row>
    <row r="1052" spans="1:5" ht="16">
      <c r="A1052" s="1" t="s">
        <v>2216</v>
      </c>
      <c r="B1052" s="2" t="s">
        <v>85</v>
      </c>
      <c r="C1052" s="2" t="s">
        <v>2217</v>
      </c>
      <c r="D1052" s="2" t="s">
        <v>111</v>
      </c>
      <c r="E1052" s="3" t="s">
        <v>50</v>
      </c>
    </row>
    <row r="1053" spans="1:5" ht="16">
      <c r="A1053" s="1" t="s">
        <v>2218</v>
      </c>
      <c r="B1053" s="2" t="s">
        <v>74</v>
      </c>
      <c r="C1053" s="2" t="s">
        <v>2219</v>
      </c>
      <c r="D1053" s="2" t="s">
        <v>111</v>
      </c>
      <c r="E1053" s="3" t="s">
        <v>50</v>
      </c>
    </row>
    <row r="1054" spans="1:5" ht="16">
      <c r="A1054" s="1" t="s">
        <v>2220</v>
      </c>
      <c r="B1054" s="2"/>
      <c r="C1054" s="2" t="s">
        <v>2221</v>
      </c>
      <c r="D1054" s="2" t="s">
        <v>111</v>
      </c>
      <c r="E1054" s="3" t="s">
        <v>50</v>
      </c>
    </row>
    <row r="1055" spans="1:5" ht="16">
      <c r="A1055" s="1" t="s">
        <v>2222</v>
      </c>
      <c r="B1055" s="2" t="s">
        <v>74</v>
      </c>
      <c r="C1055" s="2" t="s">
        <v>2223</v>
      </c>
      <c r="D1055" s="2" t="s">
        <v>111</v>
      </c>
      <c r="E1055" s="3" t="s">
        <v>50</v>
      </c>
    </row>
    <row r="1056" spans="1:5" ht="16">
      <c r="A1056" s="1" t="s">
        <v>2224</v>
      </c>
      <c r="B1056" s="2" t="s">
        <v>69</v>
      </c>
      <c r="C1056" s="2" t="s">
        <v>2225</v>
      </c>
      <c r="D1056" s="2" t="s">
        <v>111</v>
      </c>
      <c r="E1056" s="3" t="s">
        <v>50</v>
      </c>
    </row>
    <row r="1057" spans="1:5" ht="16">
      <c r="A1057" s="1" t="s">
        <v>2226</v>
      </c>
      <c r="B1057" s="2"/>
      <c r="C1057" s="2" t="s">
        <v>2227</v>
      </c>
      <c r="D1057" s="2" t="s">
        <v>111</v>
      </c>
      <c r="E1057" s="3" t="s">
        <v>50</v>
      </c>
    </row>
    <row r="1058" spans="1:5" ht="16">
      <c r="A1058" s="1" t="s">
        <v>2228</v>
      </c>
      <c r="B1058" s="2"/>
      <c r="C1058" s="2" t="s">
        <v>2229</v>
      </c>
      <c r="D1058" s="2" t="s">
        <v>111</v>
      </c>
      <c r="E1058" s="3" t="s">
        <v>50</v>
      </c>
    </row>
    <row r="1059" spans="1:5" ht="16">
      <c r="A1059" s="1" t="s">
        <v>2230</v>
      </c>
      <c r="B1059" s="2"/>
      <c r="C1059" s="2" t="s">
        <v>2231</v>
      </c>
      <c r="D1059" s="2" t="s">
        <v>111</v>
      </c>
      <c r="E1059" s="3" t="s">
        <v>50</v>
      </c>
    </row>
    <row r="1060" spans="1:5" ht="16">
      <c r="A1060" s="1" t="s">
        <v>2232</v>
      </c>
      <c r="B1060" s="2"/>
      <c r="C1060" s="2" t="s">
        <v>2233</v>
      </c>
      <c r="D1060" s="2" t="s">
        <v>111</v>
      </c>
      <c r="E1060" s="3" t="s">
        <v>50</v>
      </c>
    </row>
    <row r="1061" spans="1:5" ht="16">
      <c r="A1061" s="1" t="s">
        <v>2234</v>
      </c>
      <c r="B1061" s="2"/>
      <c r="C1061" s="2" t="s">
        <v>2235</v>
      </c>
      <c r="D1061" s="2" t="s">
        <v>111</v>
      </c>
      <c r="E1061" s="3" t="s">
        <v>50</v>
      </c>
    </row>
    <row r="1062" spans="1:5" ht="16">
      <c r="A1062" s="1" t="s">
        <v>2236</v>
      </c>
      <c r="B1062" s="2" t="s">
        <v>74</v>
      </c>
      <c r="C1062" s="2" t="s">
        <v>2237</v>
      </c>
      <c r="D1062" s="2" t="s">
        <v>111</v>
      </c>
      <c r="E1062" s="3" t="s">
        <v>50</v>
      </c>
    </row>
    <row r="1063" spans="1:5" ht="16">
      <c r="A1063" s="1" t="s">
        <v>2238</v>
      </c>
      <c r="B1063" s="2" t="s">
        <v>80</v>
      </c>
      <c r="C1063" s="2" t="s">
        <v>2239</v>
      </c>
      <c r="D1063" s="2" t="s">
        <v>111</v>
      </c>
      <c r="E1063" s="3" t="s">
        <v>50</v>
      </c>
    </row>
    <row r="1064" spans="1:5" ht="16">
      <c r="A1064" s="1" t="s">
        <v>2240</v>
      </c>
      <c r="B1064" s="2" t="s">
        <v>69</v>
      </c>
      <c r="C1064" s="2" t="s">
        <v>2241</v>
      </c>
      <c r="D1064" s="2" t="s">
        <v>111</v>
      </c>
      <c r="E1064" s="3" t="s">
        <v>50</v>
      </c>
    </row>
    <row r="1065" spans="1:5" ht="16">
      <c r="A1065" s="1" t="s">
        <v>2242</v>
      </c>
      <c r="B1065" s="2" t="s">
        <v>80</v>
      </c>
      <c r="C1065" s="2" t="s">
        <v>2243</v>
      </c>
      <c r="D1065" s="2" t="s">
        <v>111</v>
      </c>
      <c r="E1065" s="3" t="s">
        <v>50</v>
      </c>
    </row>
    <row r="1066" spans="1:5" ht="16">
      <c r="A1066" s="1" t="s">
        <v>2244</v>
      </c>
      <c r="B1066" s="2" t="s">
        <v>80</v>
      </c>
      <c r="C1066" s="2" t="s">
        <v>2245</v>
      </c>
      <c r="D1066" s="2" t="s">
        <v>111</v>
      </c>
      <c r="E1066" s="3" t="s">
        <v>50</v>
      </c>
    </row>
    <row r="1067" spans="1:5" ht="16">
      <c r="A1067" s="1" t="s">
        <v>2246</v>
      </c>
      <c r="B1067" s="2"/>
      <c r="C1067" s="2" t="s">
        <v>2247</v>
      </c>
      <c r="D1067" s="2" t="s">
        <v>111</v>
      </c>
      <c r="E1067" s="3" t="s">
        <v>50</v>
      </c>
    </row>
    <row r="1068" spans="1:5" ht="16">
      <c r="A1068" s="1" t="s">
        <v>2248</v>
      </c>
      <c r="B1068" s="2"/>
      <c r="C1068" s="2" t="s">
        <v>2249</v>
      </c>
      <c r="D1068" s="2" t="s">
        <v>111</v>
      </c>
      <c r="E1068" s="3" t="s">
        <v>50</v>
      </c>
    </row>
    <row r="1069" spans="1:5" ht="16">
      <c r="A1069" s="1" t="s">
        <v>2250</v>
      </c>
      <c r="B1069" s="2"/>
      <c r="C1069" s="2" t="s">
        <v>2251</v>
      </c>
      <c r="D1069" s="2" t="s">
        <v>111</v>
      </c>
      <c r="E1069" s="3" t="s">
        <v>50</v>
      </c>
    </row>
    <row r="1070" spans="1:5" ht="16">
      <c r="A1070" s="1" t="s">
        <v>2252</v>
      </c>
      <c r="B1070" s="2" t="s">
        <v>254</v>
      </c>
      <c r="C1070" s="2" t="s">
        <v>2253</v>
      </c>
      <c r="D1070" s="2" t="s">
        <v>192</v>
      </c>
      <c r="E1070" s="3" t="s">
        <v>35</v>
      </c>
    </row>
    <row r="1071" spans="1:5" ht="16">
      <c r="A1071" s="1" t="s">
        <v>2254</v>
      </c>
      <c r="B1071" s="2" t="s">
        <v>243</v>
      </c>
      <c r="C1071" s="2" t="s">
        <v>2255</v>
      </c>
      <c r="D1071" s="2" t="s">
        <v>192</v>
      </c>
      <c r="E1071" s="3" t="s">
        <v>35</v>
      </c>
    </row>
    <row r="1072" spans="1:5" ht="16">
      <c r="A1072" s="1" t="s">
        <v>2256</v>
      </c>
      <c r="B1072" s="2" t="s">
        <v>243</v>
      </c>
      <c r="C1072" s="2" t="s">
        <v>2257</v>
      </c>
      <c r="D1072" s="2" t="s">
        <v>192</v>
      </c>
      <c r="E1072" s="3" t="s">
        <v>35</v>
      </c>
    </row>
    <row r="1073" spans="1:5" ht="16">
      <c r="A1073" s="1" t="s">
        <v>2258</v>
      </c>
      <c r="B1073" s="2" t="s">
        <v>303</v>
      </c>
      <c r="C1073" s="2" t="s">
        <v>2259</v>
      </c>
      <c r="D1073" s="2" t="s">
        <v>192</v>
      </c>
      <c r="E1073" s="3" t="s">
        <v>35</v>
      </c>
    </row>
    <row r="1074" spans="1:5" ht="16">
      <c r="A1074" s="1" t="s">
        <v>2260</v>
      </c>
      <c r="B1074" s="2" t="s">
        <v>303</v>
      </c>
      <c r="C1074" s="2" t="s">
        <v>2261</v>
      </c>
      <c r="D1074" s="2" t="s">
        <v>192</v>
      </c>
      <c r="E1074" s="3" t="s">
        <v>35</v>
      </c>
    </row>
    <row r="1075" spans="1:5" ht="16">
      <c r="A1075" s="1" t="s">
        <v>2262</v>
      </c>
      <c r="B1075" s="2" t="s">
        <v>97</v>
      </c>
      <c r="C1075" s="2" t="s">
        <v>2263</v>
      </c>
      <c r="D1075" s="2" t="s">
        <v>192</v>
      </c>
      <c r="E1075" s="3" t="s">
        <v>35</v>
      </c>
    </row>
    <row r="1076" spans="1:5" ht="16">
      <c r="A1076" s="1" t="s">
        <v>2264</v>
      </c>
      <c r="B1076" s="2" t="s">
        <v>196</v>
      </c>
      <c r="C1076" s="2" t="s">
        <v>2265</v>
      </c>
      <c r="D1076" s="2" t="s">
        <v>192</v>
      </c>
      <c r="E1076" s="3" t="s">
        <v>35</v>
      </c>
    </row>
    <row r="1077" spans="1:5" ht="16">
      <c r="A1077" s="1" t="s">
        <v>2266</v>
      </c>
      <c r="B1077" s="2" t="s">
        <v>196</v>
      </c>
      <c r="C1077" s="2" t="s">
        <v>2267</v>
      </c>
      <c r="D1077" s="2" t="s">
        <v>192</v>
      </c>
      <c r="E1077" s="3" t="s">
        <v>35</v>
      </c>
    </row>
    <row r="1078" spans="1:5" ht="16">
      <c r="A1078" s="1" t="s">
        <v>2268</v>
      </c>
      <c r="B1078" s="2" t="s">
        <v>303</v>
      </c>
      <c r="C1078" s="2" t="s">
        <v>2269</v>
      </c>
      <c r="D1078" s="2" t="s">
        <v>192</v>
      </c>
      <c r="E1078" s="3" t="s">
        <v>35</v>
      </c>
    </row>
    <row r="1079" spans="1:5" ht="16">
      <c r="A1079" s="1" t="s">
        <v>2270</v>
      </c>
      <c r="B1079" s="2" t="s">
        <v>303</v>
      </c>
      <c r="C1079" s="2" t="s">
        <v>2271</v>
      </c>
      <c r="D1079" s="2" t="s">
        <v>192</v>
      </c>
      <c r="E1079" s="3" t="s">
        <v>35</v>
      </c>
    </row>
    <row r="1080" spans="1:5" ht="16">
      <c r="A1080" s="1" t="s">
        <v>2272</v>
      </c>
      <c r="B1080" s="2" t="s">
        <v>303</v>
      </c>
      <c r="C1080" s="2" t="s">
        <v>2273</v>
      </c>
      <c r="D1080" s="2" t="s">
        <v>192</v>
      </c>
      <c r="E1080" s="3" t="s">
        <v>35</v>
      </c>
    </row>
    <row r="1081" spans="1:5" ht="16">
      <c r="A1081" s="1" t="s">
        <v>2274</v>
      </c>
      <c r="B1081" s="2" t="s">
        <v>303</v>
      </c>
      <c r="C1081" s="2" t="s">
        <v>2275</v>
      </c>
      <c r="D1081" s="2" t="s">
        <v>192</v>
      </c>
      <c r="E1081" s="3" t="s">
        <v>35</v>
      </c>
    </row>
    <row r="1082" spans="1:5" ht="16">
      <c r="A1082" s="1" t="s">
        <v>2276</v>
      </c>
      <c r="B1082" s="2" t="s">
        <v>196</v>
      </c>
      <c r="C1082" s="2" t="s">
        <v>2277</v>
      </c>
      <c r="D1082" s="2" t="s">
        <v>192</v>
      </c>
      <c r="E1082" s="3" t="s">
        <v>35</v>
      </c>
    </row>
    <row r="1083" spans="1:5" ht="16">
      <c r="A1083" s="1" t="s">
        <v>2278</v>
      </c>
      <c r="B1083" s="2" t="s">
        <v>303</v>
      </c>
      <c r="C1083" s="2" t="s">
        <v>2279</v>
      </c>
      <c r="D1083" s="2" t="s">
        <v>192</v>
      </c>
      <c r="E1083" s="3" t="s">
        <v>35</v>
      </c>
    </row>
    <row r="1084" spans="1:5" ht="16">
      <c r="A1084" s="1" t="s">
        <v>2280</v>
      </c>
      <c r="B1084" s="2" t="s">
        <v>196</v>
      </c>
      <c r="C1084" s="2" t="s">
        <v>2281</v>
      </c>
      <c r="D1084" s="2" t="s">
        <v>192</v>
      </c>
      <c r="E1084" s="3" t="s">
        <v>35</v>
      </c>
    </row>
    <row r="1085" spans="1:5" ht="16">
      <c r="A1085" s="1" t="s">
        <v>2282</v>
      </c>
      <c r="B1085" s="2" t="s">
        <v>303</v>
      </c>
      <c r="C1085" s="2" t="s">
        <v>2283</v>
      </c>
      <c r="D1085" s="2" t="s">
        <v>192</v>
      </c>
      <c r="E1085" s="3" t="s">
        <v>35</v>
      </c>
    </row>
    <row r="1086" spans="1:5" ht="16">
      <c r="A1086" s="1" t="s">
        <v>2284</v>
      </c>
      <c r="B1086" s="2" t="s">
        <v>97</v>
      </c>
      <c r="C1086" s="2" t="s">
        <v>2285</v>
      </c>
      <c r="D1086" s="2" t="s">
        <v>192</v>
      </c>
      <c r="E1086" s="3" t="s">
        <v>35</v>
      </c>
    </row>
    <row r="1087" spans="1:5" ht="16">
      <c r="A1087" s="1" t="s">
        <v>2286</v>
      </c>
      <c r="B1087" s="2" t="s">
        <v>85</v>
      </c>
      <c r="C1087" s="2" t="s">
        <v>2287</v>
      </c>
      <c r="D1087" s="2" t="s">
        <v>192</v>
      </c>
      <c r="E1087" s="3" t="s">
        <v>35</v>
      </c>
    </row>
    <row r="1088" spans="1:5" ht="16">
      <c r="A1088" s="1" t="s">
        <v>2288</v>
      </c>
      <c r="B1088" s="2" t="s">
        <v>196</v>
      </c>
      <c r="C1088" s="2" t="s">
        <v>2289</v>
      </c>
      <c r="D1088" s="2" t="s">
        <v>192</v>
      </c>
      <c r="E1088" s="3" t="s">
        <v>35</v>
      </c>
    </row>
    <row r="1089" spans="1:5" ht="16">
      <c r="A1089" s="1" t="s">
        <v>2290</v>
      </c>
      <c r="B1089" s="2" t="s">
        <v>303</v>
      </c>
      <c r="C1089" s="2" t="s">
        <v>2291</v>
      </c>
      <c r="D1089" s="2" t="s">
        <v>192</v>
      </c>
      <c r="E1089" s="3" t="s">
        <v>35</v>
      </c>
    </row>
    <row r="1090" spans="1:5" ht="16">
      <c r="A1090" s="1" t="s">
        <v>2292</v>
      </c>
      <c r="B1090" s="2" t="s">
        <v>196</v>
      </c>
      <c r="C1090" s="2" t="s">
        <v>2293</v>
      </c>
      <c r="D1090" s="2" t="s">
        <v>192</v>
      </c>
      <c r="E1090" s="3" t="s">
        <v>35</v>
      </c>
    </row>
    <row r="1091" spans="1:5" ht="16">
      <c r="A1091" s="1" t="s">
        <v>2294</v>
      </c>
      <c r="B1091" s="2" t="s">
        <v>303</v>
      </c>
      <c r="C1091" s="2" t="s">
        <v>2295</v>
      </c>
      <c r="D1091" s="2" t="s">
        <v>192</v>
      </c>
      <c r="E1091" s="3" t="s">
        <v>35</v>
      </c>
    </row>
    <row r="1092" spans="1:5" ht="16">
      <c r="A1092" s="1" t="s">
        <v>2296</v>
      </c>
      <c r="B1092" s="2" t="s">
        <v>303</v>
      </c>
      <c r="C1092" s="2" t="s">
        <v>2297</v>
      </c>
      <c r="D1092" s="2" t="s">
        <v>192</v>
      </c>
      <c r="E1092" s="3" t="s">
        <v>35</v>
      </c>
    </row>
    <row r="1093" spans="1:5" ht="16">
      <c r="A1093" s="1" t="s">
        <v>2298</v>
      </c>
      <c r="B1093" s="2" t="s">
        <v>254</v>
      </c>
      <c r="C1093" s="2" t="s">
        <v>2299</v>
      </c>
      <c r="D1093" s="2" t="s">
        <v>192</v>
      </c>
      <c r="E1093" s="3" t="s">
        <v>35</v>
      </c>
    </row>
    <row r="1094" spans="1:5" ht="16">
      <c r="A1094" s="1" t="s">
        <v>2300</v>
      </c>
      <c r="B1094" s="2" t="s">
        <v>196</v>
      </c>
      <c r="C1094" s="2" t="s">
        <v>2301</v>
      </c>
      <c r="D1094" s="2" t="s">
        <v>192</v>
      </c>
      <c r="E1094" s="3" t="s">
        <v>35</v>
      </c>
    </row>
    <row r="1095" spans="1:5" ht="16">
      <c r="A1095" s="1" t="s">
        <v>2302</v>
      </c>
      <c r="B1095" s="2" t="s">
        <v>97</v>
      </c>
      <c r="C1095" s="2" t="s">
        <v>2303</v>
      </c>
      <c r="D1095" s="2" t="s">
        <v>192</v>
      </c>
      <c r="E1095" s="3" t="s">
        <v>35</v>
      </c>
    </row>
    <row r="1096" spans="1:5" ht="16">
      <c r="A1096" s="1" t="s">
        <v>2304</v>
      </c>
      <c r="B1096" s="2" t="s">
        <v>97</v>
      </c>
      <c r="C1096" s="2" t="s">
        <v>2305</v>
      </c>
      <c r="D1096" s="2" t="s">
        <v>192</v>
      </c>
      <c r="E1096" s="3" t="s">
        <v>35</v>
      </c>
    </row>
    <row r="1097" spans="1:5" ht="16">
      <c r="A1097" s="1" t="s">
        <v>2306</v>
      </c>
      <c r="B1097" s="2" t="s">
        <v>303</v>
      </c>
      <c r="C1097" s="2" t="s">
        <v>2307</v>
      </c>
      <c r="D1097" s="2" t="s">
        <v>192</v>
      </c>
      <c r="E1097" s="3" t="s">
        <v>35</v>
      </c>
    </row>
    <row r="1098" spans="1:5" ht="16">
      <c r="A1098" s="1" t="s">
        <v>2308</v>
      </c>
      <c r="B1098" s="2" t="s">
        <v>303</v>
      </c>
      <c r="C1098" s="2" t="s">
        <v>2309</v>
      </c>
      <c r="D1098" s="2" t="s">
        <v>192</v>
      </c>
      <c r="E1098" s="3" t="s">
        <v>35</v>
      </c>
    </row>
    <row r="1099" spans="1:5" ht="16">
      <c r="A1099" s="1" t="s">
        <v>2310</v>
      </c>
      <c r="B1099" s="2" t="s">
        <v>303</v>
      </c>
      <c r="C1099" s="2" t="s">
        <v>2311</v>
      </c>
      <c r="D1099" s="2" t="s">
        <v>192</v>
      </c>
      <c r="E1099" s="3" t="s">
        <v>35</v>
      </c>
    </row>
    <row r="1100" spans="1:5" ht="16">
      <c r="A1100" s="1" t="s">
        <v>2312</v>
      </c>
      <c r="B1100" s="2" t="s">
        <v>97</v>
      </c>
      <c r="C1100" s="2" t="s">
        <v>2313</v>
      </c>
      <c r="D1100" s="2" t="s">
        <v>192</v>
      </c>
      <c r="E1100" s="3" t="s">
        <v>35</v>
      </c>
    </row>
    <row r="1101" spans="1:5" ht="16">
      <c r="A1101" s="1" t="s">
        <v>2314</v>
      </c>
      <c r="B1101" s="2" t="s">
        <v>199</v>
      </c>
      <c r="C1101" s="2" t="s">
        <v>2315</v>
      </c>
      <c r="D1101" s="2" t="s">
        <v>192</v>
      </c>
      <c r="E1101" s="3" t="s">
        <v>35</v>
      </c>
    </row>
    <row r="1102" spans="1:5" ht="16">
      <c r="A1102" s="1" t="s">
        <v>2316</v>
      </c>
      <c r="B1102" s="2" t="s">
        <v>196</v>
      </c>
      <c r="C1102" s="2" t="s">
        <v>2317</v>
      </c>
      <c r="D1102" s="2" t="s">
        <v>192</v>
      </c>
      <c r="E1102" s="3" t="s">
        <v>35</v>
      </c>
    </row>
    <row r="1103" spans="1:5" ht="16">
      <c r="A1103" s="1" t="s">
        <v>2318</v>
      </c>
      <c r="B1103" s="2" t="s">
        <v>196</v>
      </c>
      <c r="C1103" s="2" t="s">
        <v>2319</v>
      </c>
      <c r="D1103" s="2" t="s">
        <v>192</v>
      </c>
      <c r="E1103" s="3" t="s">
        <v>35</v>
      </c>
    </row>
    <row r="1104" spans="1:5" ht="16">
      <c r="A1104" s="1" t="s">
        <v>2320</v>
      </c>
      <c r="B1104" s="2" t="s">
        <v>303</v>
      </c>
      <c r="C1104" s="2" t="s">
        <v>2321</v>
      </c>
      <c r="D1104" s="2" t="s">
        <v>192</v>
      </c>
      <c r="E1104" s="3" t="s">
        <v>35</v>
      </c>
    </row>
    <row r="1105" spans="1:5" ht="16">
      <c r="A1105" s="1" t="s">
        <v>2322</v>
      </c>
      <c r="B1105" s="2" t="s">
        <v>97</v>
      </c>
      <c r="C1105" s="2" t="s">
        <v>2323</v>
      </c>
      <c r="D1105" s="2" t="s">
        <v>192</v>
      </c>
      <c r="E1105" s="3" t="s">
        <v>35</v>
      </c>
    </row>
    <row r="1106" spans="1:5" ht="16">
      <c r="A1106" s="1" t="s">
        <v>2324</v>
      </c>
      <c r="B1106" s="2" t="s">
        <v>97</v>
      </c>
      <c r="C1106" s="2" t="s">
        <v>2325</v>
      </c>
      <c r="D1106" s="2" t="s">
        <v>192</v>
      </c>
      <c r="E1106" s="3" t="s">
        <v>35</v>
      </c>
    </row>
    <row r="1107" spans="1:5" ht="16">
      <c r="A1107" s="1" t="s">
        <v>2326</v>
      </c>
      <c r="B1107" s="2" t="s">
        <v>303</v>
      </c>
      <c r="C1107" s="2" t="s">
        <v>2327</v>
      </c>
      <c r="D1107" s="2" t="s">
        <v>192</v>
      </c>
      <c r="E1107" s="3" t="s">
        <v>35</v>
      </c>
    </row>
    <row r="1108" spans="1:5" ht="16">
      <c r="A1108" s="1" t="s">
        <v>2328</v>
      </c>
      <c r="B1108" s="2" t="s">
        <v>303</v>
      </c>
      <c r="C1108" s="2" t="s">
        <v>2329</v>
      </c>
      <c r="D1108" s="2" t="s">
        <v>192</v>
      </c>
      <c r="E1108" s="3" t="s">
        <v>35</v>
      </c>
    </row>
    <row r="1109" spans="1:5" ht="16">
      <c r="A1109" s="1" t="s">
        <v>2330</v>
      </c>
      <c r="B1109" s="2" t="s">
        <v>85</v>
      </c>
      <c r="C1109" s="2" t="s">
        <v>2331</v>
      </c>
      <c r="D1109" s="2" t="s">
        <v>192</v>
      </c>
      <c r="E1109" s="3" t="s">
        <v>35</v>
      </c>
    </row>
    <row r="1110" spans="1:5" ht="16">
      <c r="A1110" s="1" t="s">
        <v>2332</v>
      </c>
      <c r="B1110" s="2" t="s">
        <v>303</v>
      </c>
      <c r="C1110" s="2" t="s">
        <v>2333</v>
      </c>
      <c r="D1110" s="2" t="s">
        <v>192</v>
      </c>
      <c r="E1110" s="3" t="s">
        <v>35</v>
      </c>
    </row>
    <row r="1111" spans="1:5" ht="16">
      <c r="A1111" s="1" t="s">
        <v>2334</v>
      </c>
      <c r="B1111" s="2" t="s">
        <v>85</v>
      </c>
      <c r="C1111" s="2" t="s">
        <v>2335</v>
      </c>
      <c r="D1111" s="2" t="s">
        <v>192</v>
      </c>
      <c r="E1111" s="3" t="s">
        <v>35</v>
      </c>
    </row>
    <row r="1112" spans="1:5" ht="16">
      <c r="A1112" s="1" t="s">
        <v>2336</v>
      </c>
      <c r="B1112" s="2" t="s">
        <v>85</v>
      </c>
      <c r="C1112" s="2" t="s">
        <v>2337</v>
      </c>
      <c r="D1112" s="2" t="s">
        <v>192</v>
      </c>
      <c r="E1112" s="3" t="s">
        <v>35</v>
      </c>
    </row>
    <row r="1113" spans="1:5" ht="16">
      <c r="A1113" s="1" t="s">
        <v>2338</v>
      </c>
      <c r="B1113" s="2" t="s">
        <v>85</v>
      </c>
      <c r="C1113" s="2" t="s">
        <v>2339</v>
      </c>
      <c r="D1113" s="2" t="s">
        <v>192</v>
      </c>
      <c r="E1113" s="3" t="s">
        <v>35</v>
      </c>
    </row>
    <row r="1114" spans="1:5" ht="16">
      <c r="A1114" s="1" t="s">
        <v>2340</v>
      </c>
      <c r="B1114" s="2" t="s">
        <v>85</v>
      </c>
      <c r="C1114" s="2" t="s">
        <v>2341</v>
      </c>
      <c r="D1114" s="2" t="s">
        <v>192</v>
      </c>
      <c r="E1114" s="3" t="s">
        <v>35</v>
      </c>
    </row>
    <row r="1115" spans="1:5" ht="16">
      <c r="A1115" s="1" t="s">
        <v>2342</v>
      </c>
      <c r="B1115" s="2" t="s">
        <v>85</v>
      </c>
      <c r="C1115" s="2" t="s">
        <v>2343</v>
      </c>
      <c r="D1115" s="2" t="s">
        <v>192</v>
      </c>
      <c r="E1115" s="3" t="s">
        <v>35</v>
      </c>
    </row>
    <row r="1116" spans="1:5" ht="16">
      <c r="A1116" s="1" t="s">
        <v>2344</v>
      </c>
      <c r="B1116" s="2" t="s">
        <v>303</v>
      </c>
      <c r="C1116" s="2" t="s">
        <v>2345</v>
      </c>
      <c r="D1116" s="2" t="s">
        <v>192</v>
      </c>
      <c r="E1116" s="3" t="s">
        <v>35</v>
      </c>
    </row>
    <row r="1117" spans="1:5" ht="16">
      <c r="A1117" s="1" t="s">
        <v>2346</v>
      </c>
      <c r="B1117" s="2" t="s">
        <v>303</v>
      </c>
      <c r="C1117" s="2" t="s">
        <v>2347</v>
      </c>
      <c r="D1117" s="2" t="s">
        <v>192</v>
      </c>
      <c r="E1117" s="3" t="s">
        <v>35</v>
      </c>
    </row>
    <row r="1118" spans="1:5" ht="16">
      <c r="A1118" s="1" t="s">
        <v>2348</v>
      </c>
      <c r="B1118" s="2" t="s">
        <v>199</v>
      </c>
      <c r="C1118" s="2" t="s">
        <v>2349</v>
      </c>
      <c r="D1118" s="2" t="s">
        <v>192</v>
      </c>
      <c r="E1118" s="3" t="s">
        <v>35</v>
      </c>
    </row>
    <row r="1119" spans="1:5" ht="16">
      <c r="A1119" s="1" t="s">
        <v>2350</v>
      </c>
      <c r="B1119" s="2" t="s">
        <v>85</v>
      </c>
      <c r="C1119" s="2" t="s">
        <v>2351</v>
      </c>
      <c r="D1119" s="2" t="s">
        <v>192</v>
      </c>
      <c r="E1119" s="3" t="s">
        <v>35</v>
      </c>
    </row>
    <row r="1120" spans="1:5" ht="16">
      <c r="A1120" s="1" t="s">
        <v>2352</v>
      </c>
      <c r="B1120" s="2" t="s">
        <v>91</v>
      </c>
      <c r="C1120" s="2" t="s">
        <v>2353</v>
      </c>
      <c r="D1120" s="2" t="s">
        <v>192</v>
      </c>
      <c r="E1120" s="3" t="s">
        <v>35</v>
      </c>
    </row>
    <row r="1121" spans="1:5" ht="16">
      <c r="A1121" s="1" t="s">
        <v>2354</v>
      </c>
      <c r="B1121" s="2" t="s">
        <v>85</v>
      </c>
      <c r="C1121" s="2" t="s">
        <v>2355</v>
      </c>
      <c r="D1121" s="2" t="s">
        <v>192</v>
      </c>
      <c r="E1121" s="3" t="s">
        <v>35</v>
      </c>
    </row>
    <row r="1122" spans="1:5" ht="16">
      <c r="A1122" s="1" t="s">
        <v>2356</v>
      </c>
      <c r="B1122" s="2" t="s">
        <v>91</v>
      </c>
      <c r="C1122" s="2" t="s">
        <v>2357</v>
      </c>
      <c r="D1122" s="2" t="s">
        <v>192</v>
      </c>
      <c r="E1122" s="3" t="s">
        <v>35</v>
      </c>
    </row>
    <row r="1123" spans="1:5" ht="16">
      <c r="A1123" s="1" t="s">
        <v>2358</v>
      </c>
      <c r="B1123" s="2" t="s">
        <v>85</v>
      </c>
      <c r="C1123" s="2" t="s">
        <v>2359</v>
      </c>
      <c r="D1123" s="2" t="s">
        <v>192</v>
      </c>
      <c r="E1123" s="3" t="s">
        <v>35</v>
      </c>
    </row>
    <row r="1124" spans="1:5" ht="16">
      <c r="A1124" s="1" t="s">
        <v>2360</v>
      </c>
      <c r="B1124" s="2" t="s">
        <v>85</v>
      </c>
      <c r="C1124" s="2" t="s">
        <v>2361</v>
      </c>
      <c r="D1124" s="2" t="s">
        <v>192</v>
      </c>
      <c r="E1124" s="3" t="s">
        <v>35</v>
      </c>
    </row>
    <row r="1125" spans="1:5" ht="16">
      <c r="A1125" s="1" t="s">
        <v>2362</v>
      </c>
      <c r="B1125" s="2" t="s">
        <v>85</v>
      </c>
      <c r="C1125" s="2" t="s">
        <v>2363</v>
      </c>
      <c r="D1125" s="2" t="s">
        <v>192</v>
      </c>
      <c r="E1125" s="3" t="s">
        <v>35</v>
      </c>
    </row>
    <row r="1126" spans="1:5" ht="16">
      <c r="A1126" s="1" t="s">
        <v>2364</v>
      </c>
      <c r="B1126" s="2" t="s">
        <v>85</v>
      </c>
      <c r="C1126" s="2" t="s">
        <v>2365</v>
      </c>
      <c r="D1126" s="2" t="s">
        <v>192</v>
      </c>
      <c r="E1126" s="3" t="s">
        <v>35</v>
      </c>
    </row>
    <row r="1127" spans="1:5" ht="16">
      <c r="A1127" s="1" t="s">
        <v>2366</v>
      </c>
      <c r="B1127" s="2" t="s">
        <v>85</v>
      </c>
      <c r="C1127" s="2" t="s">
        <v>2367</v>
      </c>
      <c r="D1127" s="2" t="s">
        <v>192</v>
      </c>
      <c r="E1127" s="3" t="s">
        <v>35</v>
      </c>
    </row>
    <row r="1128" spans="1:5" ht="16">
      <c r="A1128" s="1" t="s">
        <v>2368</v>
      </c>
      <c r="B1128" s="2" t="s">
        <v>91</v>
      </c>
      <c r="C1128" s="2" t="s">
        <v>2369</v>
      </c>
      <c r="D1128" s="2" t="s">
        <v>192</v>
      </c>
      <c r="E1128" s="3" t="s">
        <v>35</v>
      </c>
    </row>
    <row r="1129" spans="1:5" ht="16">
      <c r="A1129" s="1" t="s">
        <v>2370</v>
      </c>
      <c r="B1129" s="2" t="s">
        <v>254</v>
      </c>
      <c r="C1129" s="2" t="s">
        <v>2371</v>
      </c>
      <c r="D1129" s="2" t="s">
        <v>192</v>
      </c>
      <c r="E1129" s="3" t="s">
        <v>35</v>
      </c>
    </row>
    <row r="1130" spans="1:5" ht="16">
      <c r="A1130" s="1" t="s">
        <v>2372</v>
      </c>
      <c r="B1130" s="2" t="s">
        <v>97</v>
      </c>
      <c r="C1130" s="2" t="s">
        <v>2373</v>
      </c>
      <c r="D1130" s="2" t="s">
        <v>192</v>
      </c>
      <c r="E1130" s="3" t="s">
        <v>35</v>
      </c>
    </row>
    <row r="1131" spans="1:5" ht="16">
      <c r="A1131" s="1" t="s">
        <v>2374</v>
      </c>
      <c r="B1131" s="2" t="s">
        <v>85</v>
      </c>
      <c r="C1131" s="2" t="s">
        <v>2375</v>
      </c>
      <c r="D1131" s="2" t="s">
        <v>192</v>
      </c>
      <c r="E1131" s="3" t="s">
        <v>35</v>
      </c>
    </row>
    <row r="1132" spans="1:5" ht="16">
      <c r="A1132" s="1" t="s">
        <v>2376</v>
      </c>
      <c r="B1132" s="2" t="s">
        <v>97</v>
      </c>
      <c r="C1132" s="2" t="s">
        <v>2377</v>
      </c>
      <c r="D1132" s="2" t="s">
        <v>192</v>
      </c>
      <c r="E1132" s="3" t="s">
        <v>35</v>
      </c>
    </row>
    <row r="1133" spans="1:5" ht="16">
      <c r="A1133" s="1" t="s">
        <v>2378</v>
      </c>
      <c r="B1133" s="2" t="s">
        <v>85</v>
      </c>
      <c r="C1133" s="2" t="s">
        <v>2379</v>
      </c>
      <c r="D1133" s="2" t="s">
        <v>192</v>
      </c>
      <c r="E1133" s="3" t="s">
        <v>35</v>
      </c>
    </row>
    <row r="1134" spans="1:5" ht="16">
      <c r="A1134" s="1" t="s">
        <v>2380</v>
      </c>
      <c r="B1134" s="2" t="s">
        <v>85</v>
      </c>
      <c r="C1134" s="2" t="s">
        <v>2381</v>
      </c>
      <c r="D1134" s="2" t="s">
        <v>192</v>
      </c>
      <c r="E1134" s="3" t="s">
        <v>35</v>
      </c>
    </row>
    <row r="1135" spans="1:5" ht="16">
      <c r="A1135" s="1" t="s">
        <v>2382</v>
      </c>
      <c r="B1135" s="2" t="s">
        <v>85</v>
      </c>
      <c r="C1135" s="2" t="s">
        <v>2383</v>
      </c>
      <c r="D1135" s="2" t="s">
        <v>192</v>
      </c>
      <c r="E1135" s="3" t="s">
        <v>35</v>
      </c>
    </row>
    <row r="1136" spans="1:5" ht="16">
      <c r="A1136" s="1" t="s">
        <v>2384</v>
      </c>
      <c r="B1136" s="2" t="s">
        <v>85</v>
      </c>
      <c r="C1136" s="2" t="s">
        <v>2385</v>
      </c>
      <c r="D1136" s="2" t="s">
        <v>192</v>
      </c>
      <c r="E1136" s="3" t="s">
        <v>35</v>
      </c>
    </row>
    <row r="1137" spans="1:5" ht="16">
      <c r="A1137" s="1" t="s">
        <v>2386</v>
      </c>
      <c r="B1137" s="2" t="s">
        <v>91</v>
      </c>
      <c r="C1137" s="2" t="s">
        <v>2387</v>
      </c>
      <c r="D1137" s="2" t="s">
        <v>192</v>
      </c>
      <c r="E1137" s="3" t="s">
        <v>35</v>
      </c>
    </row>
    <row r="1138" spans="1:5" ht="16">
      <c r="A1138" s="1" t="s">
        <v>2388</v>
      </c>
      <c r="B1138" s="2" t="s">
        <v>303</v>
      </c>
      <c r="C1138" s="2" t="s">
        <v>2389</v>
      </c>
      <c r="D1138" s="2" t="s">
        <v>192</v>
      </c>
      <c r="E1138" s="3" t="s">
        <v>35</v>
      </c>
    </row>
    <row r="1139" spans="1:5" ht="16">
      <c r="A1139" s="1" t="s">
        <v>2390</v>
      </c>
      <c r="B1139" s="2" t="s">
        <v>80</v>
      </c>
      <c r="C1139" s="2" t="s">
        <v>2391</v>
      </c>
      <c r="D1139" s="2" t="s">
        <v>440</v>
      </c>
      <c r="E1139" s="3" t="s">
        <v>45</v>
      </c>
    </row>
    <row r="1140" spans="1:5" ht="16">
      <c r="A1140" s="1" t="s">
        <v>2392</v>
      </c>
      <c r="B1140" s="2" t="s">
        <v>91</v>
      </c>
      <c r="C1140" s="2" t="s">
        <v>2393</v>
      </c>
      <c r="D1140" s="2" t="s">
        <v>192</v>
      </c>
      <c r="E1140" s="3" t="s">
        <v>35</v>
      </c>
    </row>
    <row r="1141" spans="1:5" ht="16">
      <c r="A1141" s="1" t="s">
        <v>2394</v>
      </c>
      <c r="B1141" s="2" t="s">
        <v>85</v>
      </c>
      <c r="C1141" s="2" t="s">
        <v>2395</v>
      </c>
      <c r="D1141" s="2" t="s">
        <v>192</v>
      </c>
      <c r="E1141" s="3" t="s">
        <v>35</v>
      </c>
    </row>
    <row r="1142" spans="1:5" ht="16">
      <c r="A1142" s="1" t="s">
        <v>2396</v>
      </c>
      <c r="B1142" s="2" t="s">
        <v>85</v>
      </c>
      <c r="C1142" s="2" t="s">
        <v>2397</v>
      </c>
      <c r="D1142" s="2" t="s">
        <v>192</v>
      </c>
      <c r="E1142" s="3" t="s">
        <v>35</v>
      </c>
    </row>
    <row r="1143" spans="1:5" ht="16">
      <c r="A1143" s="1" t="s">
        <v>2398</v>
      </c>
      <c r="B1143" s="2" t="s">
        <v>80</v>
      </c>
      <c r="C1143" s="2" t="s">
        <v>2399</v>
      </c>
      <c r="D1143" s="2" t="s">
        <v>440</v>
      </c>
      <c r="E1143" s="3" t="s">
        <v>45</v>
      </c>
    </row>
    <row r="1144" spans="1:5" ht="16">
      <c r="A1144" s="1" t="s">
        <v>2400</v>
      </c>
      <c r="B1144" s="2" t="s">
        <v>97</v>
      </c>
      <c r="C1144" s="2" t="s">
        <v>2401</v>
      </c>
      <c r="D1144" s="2" t="s">
        <v>192</v>
      </c>
      <c r="E1144" s="3" t="s">
        <v>35</v>
      </c>
    </row>
    <row r="1145" spans="1:5" ht="16">
      <c r="A1145" s="1" t="s">
        <v>2402</v>
      </c>
      <c r="B1145" s="2" t="s">
        <v>199</v>
      </c>
      <c r="C1145" s="2" t="s">
        <v>2403</v>
      </c>
      <c r="D1145" s="2" t="s">
        <v>192</v>
      </c>
      <c r="E1145" s="3" t="s">
        <v>35</v>
      </c>
    </row>
    <row r="1146" spans="1:5" ht="16">
      <c r="A1146" s="1" t="s">
        <v>2404</v>
      </c>
      <c r="B1146" s="2" t="s">
        <v>196</v>
      </c>
      <c r="C1146" s="2" t="s">
        <v>2405</v>
      </c>
      <c r="D1146" s="2" t="s">
        <v>192</v>
      </c>
      <c r="E1146" s="3" t="s">
        <v>35</v>
      </c>
    </row>
    <row r="1147" spans="1:5" ht="16">
      <c r="A1147" s="1" t="s">
        <v>2406</v>
      </c>
      <c r="B1147" s="2" t="s">
        <v>196</v>
      </c>
      <c r="C1147" s="2" t="s">
        <v>2407</v>
      </c>
      <c r="D1147" s="2" t="s">
        <v>192</v>
      </c>
      <c r="E1147" s="3" t="s">
        <v>35</v>
      </c>
    </row>
    <row r="1148" spans="1:5" ht="16">
      <c r="A1148" s="1" t="s">
        <v>2408</v>
      </c>
      <c r="B1148" s="2" t="s">
        <v>196</v>
      </c>
      <c r="C1148" s="2" t="s">
        <v>2409</v>
      </c>
      <c r="D1148" s="2" t="s">
        <v>192</v>
      </c>
      <c r="E1148" s="3" t="s">
        <v>35</v>
      </c>
    </row>
    <row r="1149" spans="1:5" ht="16">
      <c r="A1149" s="1" t="s">
        <v>2410</v>
      </c>
      <c r="B1149" s="2" t="s">
        <v>63</v>
      </c>
      <c r="C1149" s="2" t="s">
        <v>2411</v>
      </c>
      <c r="D1149" s="2" t="s">
        <v>111</v>
      </c>
      <c r="E1149" s="3" t="s">
        <v>50</v>
      </c>
    </row>
    <row r="1150" spans="1:5" ht="16">
      <c r="A1150" s="1" t="s">
        <v>2412</v>
      </c>
      <c r="B1150" s="2" t="s">
        <v>80</v>
      </c>
      <c r="C1150" s="2" t="s">
        <v>2413</v>
      </c>
      <c r="D1150" s="2" t="s">
        <v>111</v>
      </c>
      <c r="E1150" s="3" t="s">
        <v>50</v>
      </c>
    </row>
    <row r="1151" spans="1:5" ht="16">
      <c r="A1151" s="1" t="s">
        <v>2414</v>
      </c>
      <c r="B1151" s="2" t="s">
        <v>80</v>
      </c>
      <c r="C1151" s="2" t="s">
        <v>2415</v>
      </c>
      <c r="D1151" s="2" t="s">
        <v>111</v>
      </c>
      <c r="E1151" s="3" t="s">
        <v>50</v>
      </c>
    </row>
    <row r="1152" spans="1:5" ht="16">
      <c r="A1152" s="1" t="s">
        <v>2416</v>
      </c>
      <c r="B1152" s="2" t="s">
        <v>74</v>
      </c>
      <c r="C1152" s="2" t="s">
        <v>2417</v>
      </c>
      <c r="D1152" s="2" t="s">
        <v>111</v>
      </c>
      <c r="E1152" s="3" t="s">
        <v>50</v>
      </c>
    </row>
    <row r="1153" spans="1:5" ht="16">
      <c r="A1153" s="1" t="s">
        <v>2418</v>
      </c>
      <c r="B1153" s="2"/>
      <c r="C1153" s="2" t="s">
        <v>2419</v>
      </c>
      <c r="D1153" s="2" t="s">
        <v>111</v>
      </c>
      <c r="E1153" s="3" t="s">
        <v>50</v>
      </c>
    </row>
    <row r="1154" spans="1:5" ht="16">
      <c r="A1154" s="1" t="s">
        <v>2420</v>
      </c>
      <c r="B1154" s="2"/>
      <c r="C1154" s="2" t="s">
        <v>2421</v>
      </c>
      <c r="D1154" s="2" t="s">
        <v>111</v>
      </c>
      <c r="E1154" s="3" t="s">
        <v>50</v>
      </c>
    </row>
    <row r="1155" spans="1:5" ht="16">
      <c r="A1155" s="1" t="s">
        <v>2422</v>
      </c>
      <c r="B1155" s="2" t="s">
        <v>74</v>
      </c>
      <c r="C1155" s="2" t="s">
        <v>2423</v>
      </c>
      <c r="D1155" s="2" t="s">
        <v>111</v>
      </c>
      <c r="E1155" s="3" t="s">
        <v>50</v>
      </c>
    </row>
    <row r="1156" spans="1:5" ht="16">
      <c r="A1156" s="1" t="s">
        <v>2424</v>
      </c>
      <c r="B1156" s="2" t="s">
        <v>74</v>
      </c>
      <c r="C1156" s="2" t="s">
        <v>2425</v>
      </c>
      <c r="D1156" s="2" t="s">
        <v>111</v>
      </c>
      <c r="E1156" s="3" t="s">
        <v>50</v>
      </c>
    </row>
    <row r="1157" spans="1:5" ht="16">
      <c r="A1157" s="1" t="s">
        <v>2426</v>
      </c>
      <c r="B1157" s="2" t="s">
        <v>69</v>
      </c>
      <c r="C1157" s="2" t="s">
        <v>2427</v>
      </c>
      <c r="D1157" s="2" t="s">
        <v>111</v>
      </c>
      <c r="E1157" s="3" t="s">
        <v>50</v>
      </c>
    </row>
    <row r="1158" spans="1:5" ht="16">
      <c r="A1158" s="1" t="s">
        <v>2428</v>
      </c>
      <c r="B1158" s="2" t="s">
        <v>69</v>
      </c>
      <c r="C1158" s="2" t="s">
        <v>2429</v>
      </c>
      <c r="D1158" s="2" t="s">
        <v>111</v>
      </c>
      <c r="E1158" s="3" t="s">
        <v>50</v>
      </c>
    </row>
    <row r="1159" spans="1:5" ht="16">
      <c r="A1159" s="1" t="s">
        <v>2430</v>
      </c>
      <c r="B1159" s="2" t="s">
        <v>69</v>
      </c>
      <c r="C1159" s="2" t="s">
        <v>2431</v>
      </c>
      <c r="D1159" s="2" t="s">
        <v>111</v>
      </c>
      <c r="E1159" s="3" t="s">
        <v>50</v>
      </c>
    </row>
    <row r="1160" spans="1:5" ht="16">
      <c r="A1160" s="1" t="s">
        <v>2432</v>
      </c>
      <c r="B1160" s="2"/>
      <c r="C1160" s="2" t="s">
        <v>2433</v>
      </c>
      <c r="D1160" s="2" t="s">
        <v>111</v>
      </c>
      <c r="E1160" s="3" t="s">
        <v>50</v>
      </c>
    </row>
    <row r="1161" spans="1:5" ht="16">
      <c r="A1161" s="1" t="s">
        <v>2434</v>
      </c>
      <c r="B1161" s="2"/>
      <c r="C1161" s="2" t="s">
        <v>2435</v>
      </c>
      <c r="D1161" s="2" t="s">
        <v>111</v>
      </c>
      <c r="E1161" s="3" t="s">
        <v>50</v>
      </c>
    </row>
    <row r="1162" spans="1:5" ht="16">
      <c r="A1162" s="1" t="s">
        <v>2436</v>
      </c>
      <c r="B1162" s="2" t="s">
        <v>74</v>
      </c>
      <c r="C1162" s="2" t="s">
        <v>2437</v>
      </c>
      <c r="D1162" s="2" t="s">
        <v>111</v>
      </c>
      <c r="E1162" s="3" t="s">
        <v>50</v>
      </c>
    </row>
    <row r="1163" spans="1:5" ht="16">
      <c r="A1163" s="1" t="s">
        <v>2438</v>
      </c>
      <c r="B1163" s="2"/>
      <c r="C1163" s="2" t="s">
        <v>2439</v>
      </c>
      <c r="D1163" s="2" t="s">
        <v>111</v>
      </c>
      <c r="E1163" s="3" t="s">
        <v>50</v>
      </c>
    </row>
    <row r="1164" spans="1:5" ht="16">
      <c r="A1164" s="1" t="s">
        <v>2440</v>
      </c>
      <c r="B1164" s="2"/>
      <c r="C1164" s="2" t="s">
        <v>2441</v>
      </c>
      <c r="D1164" s="2" t="s">
        <v>111</v>
      </c>
      <c r="E1164" s="3" t="s">
        <v>50</v>
      </c>
    </row>
    <row r="1165" spans="1:5" ht="16">
      <c r="A1165" s="1" t="s">
        <v>2442</v>
      </c>
      <c r="B1165" s="2"/>
      <c r="C1165" s="2" t="s">
        <v>2443</v>
      </c>
      <c r="D1165" s="2" t="s">
        <v>111</v>
      </c>
      <c r="E1165" s="3" t="s">
        <v>50</v>
      </c>
    </row>
    <row r="1166" spans="1:5" ht="16">
      <c r="A1166" s="1" t="s">
        <v>2444</v>
      </c>
      <c r="B1166" s="2"/>
      <c r="C1166" s="2" t="s">
        <v>2445</v>
      </c>
      <c r="D1166" s="2" t="s">
        <v>111</v>
      </c>
      <c r="E1166" s="3" t="s">
        <v>50</v>
      </c>
    </row>
    <row r="1167" spans="1:5" ht="16">
      <c r="A1167" s="1" t="s">
        <v>2446</v>
      </c>
      <c r="B1167" s="2" t="s">
        <v>74</v>
      </c>
      <c r="C1167" s="2" t="s">
        <v>2447</v>
      </c>
      <c r="D1167" s="2" t="s">
        <v>440</v>
      </c>
      <c r="E1167" s="3" t="s">
        <v>45</v>
      </c>
    </row>
    <row r="1168" spans="1:5" ht="16">
      <c r="A1168" s="1" t="s">
        <v>2448</v>
      </c>
      <c r="B1168" s="2" t="s">
        <v>91</v>
      </c>
      <c r="C1168" s="2" t="s">
        <v>2449</v>
      </c>
      <c r="D1168" s="2" t="s">
        <v>192</v>
      </c>
      <c r="E1168" s="3" t="s">
        <v>35</v>
      </c>
    </row>
    <row r="1169" spans="1:5" ht="16">
      <c r="A1169" s="1" t="s">
        <v>2450</v>
      </c>
      <c r="B1169" s="2" t="s">
        <v>97</v>
      </c>
      <c r="C1169" s="2" t="s">
        <v>2451</v>
      </c>
      <c r="D1169" s="2" t="s">
        <v>192</v>
      </c>
      <c r="E1169" s="3" t="s">
        <v>35</v>
      </c>
    </row>
    <row r="1170" spans="1:5" ht="16">
      <c r="A1170" s="1" t="s">
        <v>2452</v>
      </c>
      <c r="B1170" s="2" t="s">
        <v>85</v>
      </c>
      <c r="C1170" s="2" t="s">
        <v>2453</v>
      </c>
      <c r="D1170" s="2" t="s">
        <v>192</v>
      </c>
      <c r="E1170" s="3" t="s">
        <v>35</v>
      </c>
    </row>
    <row r="1171" spans="1:5" ht="16">
      <c r="A1171" s="1" t="s">
        <v>2454</v>
      </c>
      <c r="B1171" s="2" t="s">
        <v>85</v>
      </c>
      <c r="C1171" s="2" t="s">
        <v>2455</v>
      </c>
      <c r="D1171" s="2" t="s">
        <v>192</v>
      </c>
      <c r="E1171" s="3" t="s">
        <v>35</v>
      </c>
    </row>
    <row r="1172" spans="1:5" ht="16">
      <c r="A1172" s="1" t="s">
        <v>2456</v>
      </c>
      <c r="B1172" s="2" t="s">
        <v>97</v>
      </c>
      <c r="C1172" s="2" t="s">
        <v>2457</v>
      </c>
      <c r="D1172" s="2" t="s">
        <v>192</v>
      </c>
      <c r="E1172" s="3" t="s">
        <v>35</v>
      </c>
    </row>
    <row r="1173" spans="1:5" ht="16">
      <c r="A1173" s="1" t="s">
        <v>2458</v>
      </c>
      <c r="B1173" s="2" t="s">
        <v>97</v>
      </c>
      <c r="C1173" s="2" t="s">
        <v>2459</v>
      </c>
      <c r="D1173" s="2" t="s">
        <v>192</v>
      </c>
      <c r="E1173" s="3" t="s">
        <v>35</v>
      </c>
    </row>
    <row r="1174" spans="1:5" ht="16">
      <c r="A1174" s="1" t="s">
        <v>2460</v>
      </c>
      <c r="B1174" s="2" t="s">
        <v>97</v>
      </c>
      <c r="C1174" s="2" t="s">
        <v>2461</v>
      </c>
      <c r="D1174" s="2" t="s">
        <v>192</v>
      </c>
      <c r="E1174" s="3" t="s">
        <v>35</v>
      </c>
    </row>
    <row r="1175" spans="1:5" ht="16">
      <c r="A1175" s="1" t="s">
        <v>2462</v>
      </c>
      <c r="B1175" s="2" t="s">
        <v>97</v>
      </c>
      <c r="C1175" s="2" t="s">
        <v>2463</v>
      </c>
      <c r="D1175" s="2" t="s">
        <v>192</v>
      </c>
      <c r="E1175" s="3" t="s">
        <v>35</v>
      </c>
    </row>
    <row r="1176" spans="1:5" ht="16">
      <c r="A1176" s="1" t="s">
        <v>2464</v>
      </c>
      <c r="B1176" s="2" t="s">
        <v>97</v>
      </c>
      <c r="C1176" s="2" t="s">
        <v>2465</v>
      </c>
      <c r="D1176" s="2" t="s">
        <v>192</v>
      </c>
      <c r="E1176" s="3" t="s">
        <v>35</v>
      </c>
    </row>
    <row r="1177" spans="1:5" ht="16">
      <c r="A1177" s="1" t="s">
        <v>2466</v>
      </c>
      <c r="B1177" s="2" t="s">
        <v>196</v>
      </c>
      <c r="C1177" s="2" t="s">
        <v>2467</v>
      </c>
      <c r="D1177" s="2" t="s">
        <v>192</v>
      </c>
      <c r="E1177" s="3" t="s">
        <v>35</v>
      </c>
    </row>
    <row r="1178" spans="1:5" ht="16">
      <c r="A1178" s="1" t="s">
        <v>2468</v>
      </c>
      <c r="B1178" s="2" t="s">
        <v>303</v>
      </c>
      <c r="C1178" s="2" t="s">
        <v>2469</v>
      </c>
      <c r="D1178" s="2" t="s">
        <v>192</v>
      </c>
      <c r="E1178" s="3" t="s">
        <v>35</v>
      </c>
    </row>
    <row r="1179" spans="1:5" ht="16">
      <c r="A1179" s="1" t="s">
        <v>2470</v>
      </c>
      <c r="B1179" s="2" t="s">
        <v>303</v>
      </c>
      <c r="C1179" s="2" t="s">
        <v>2471</v>
      </c>
      <c r="D1179" s="2" t="s">
        <v>192</v>
      </c>
      <c r="E1179" s="3" t="s">
        <v>35</v>
      </c>
    </row>
    <row r="1180" spans="1:5" ht="16">
      <c r="A1180" s="1" t="s">
        <v>2472</v>
      </c>
      <c r="B1180" s="2" t="s">
        <v>303</v>
      </c>
      <c r="C1180" s="2" t="s">
        <v>2473</v>
      </c>
      <c r="D1180" s="2" t="s">
        <v>192</v>
      </c>
      <c r="E1180" s="3" t="s">
        <v>35</v>
      </c>
    </row>
    <row r="1181" spans="1:5" ht="16">
      <c r="A1181" s="1" t="s">
        <v>2474</v>
      </c>
      <c r="B1181" s="2" t="s">
        <v>303</v>
      </c>
      <c r="C1181" s="2" t="s">
        <v>2475</v>
      </c>
      <c r="D1181" s="2" t="s">
        <v>192</v>
      </c>
      <c r="E1181" s="3" t="s">
        <v>35</v>
      </c>
    </row>
    <row r="1182" spans="1:5" ht="16">
      <c r="A1182" s="1" t="s">
        <v>2476</v>
      </c>
      <c r="B1182" s="2" t="s">
        <v>303</v>
      </c>
      <c r="C1182" s="2" t="s">
        <v>2477</v>
      </c>
      <c r="D1182" s="2" t="s">
        <v>192</v>
      </c>
      <c r="E1182" s="3" t="s">
        <v>35</v>
      </c>
    </row>
    <row r="1183" spans="1:5" ht="16">
      <c r="A1183" s="1" t="s">
        <v>2478</v>
      </c>
      <c r="B1183" s="2" t="s">
        <v>85</v>
      </c>
      <c r="C1183" s="2" t="s">
        <v>2479</v>
      </c>
      <c r="D1183" s="2" t="s">
        <v>192</v>
      </c>
      <c r="E1183" s="3" t="s">
        <v>35</v>
      </c>
    </row>
    <row r="1184" spans="1:5" ht="16">
      <c r="A1184" s="1" t="s">
        <v>2480</v>
      </c>
      <c r="B1184" s="2" t="s">
        <v>243</v>
      </c>
      <c r="C1184" s="2" t="s">
        <v>2481</v>
      </c>
      <c r="D1184" s="2" t="s">
        <v>192</v>
      </c>
      <c r="E1184" s="3" t="s">
        <v>35</v>
      </c>
    </row>
    <row r="1185" spans="1:5" ht="16">
      <c r="A1185" s="1" t="s">
        <v>2482</v>
      </c>
      <c r="B1185" s="2" t="s">
        <v>303</v>
      </c>
      <c r="C1185" s="2" t="s">
        <v>2483</v>
      </c>
      <c r="D1185" s="2" t="s">
        <v>192</v>
      </c>
      <c r="E1185" s="3" t="s">
        <v>35</v>
      </c>
    </row>
    <row r="1186" spans="1:5" ht="16">
      <c r="A1186" s="1" t="s">
        <v>2484</v>
      </c>
      <c r="B1186" s="2" t="s">
        <v>199</v>
      </c>
      <c r="C1186" s="2" t="s">
        <v>2485</v>
      </c>
      <c r="D1186" s="2" t="s">
        <v>192</v>
      </c>
      <c r="E1186" s="3" t="s">
        <v>35</v>
      </c>
    </row>
    <row r="1187" spans="1:5" ht="16">
      <c r="A1187" s="1" t="s">
        <v>2486</v>
      </c>
      <c r="B1187" s="2" t="s">
        <v>303</v>
      </c>
      <c r="C1187" s="2" t="s">
        <v>2487</v>
      </c>
      <c r="D1187" s="2" t="s">
        <v>192</v>
      </c>
      <c r="E1187" s="3" t="s">
        <v>35</v>
      </c>
    </row>
    <row r="1188" spans="1:5" ht="16">
      <c r="A1188" s="1" t="s">
        <v>2488</v>
      </c>
      <c r="B1188" s="2" t="s">
        <v>303</v>
      </c>
      <c r="C1188" s="2" t="s">
        <v>2489</v>
      </c>
      <c r="D1188" s="2" t="s">
        <v>192</v>
      </c>
      <c r="E1188" s="3" t="s">
        <v>35</v>
      </c>
    </row>
    <row r="1189" spans="1:5" ht="16">
      <c r="A1189" s="1" t="s">
        <v>2490</v>
      </c>
      <c r="B1189" s="2" t="s">
        <v>303</v>
      </c>
      <c r="C1189" s="2" t="s">
        <v>2491</v>
      </c>
      <c r="D1189" s="2" t="s">
        <v>192</v>
      </c>
      <c r="E1189" s="3" t="s">
        <v>35</v>
      </c>
    </row>
    <row r="1190" spans="1:5" ht="16">
      <c r="A1190" s="1" t="s">
        <v>2492</v>
      </c>
      <c r="B1190" s="2" t="s">
        <v>80</v>
      </c>
      <c r="C1190" s="2" t="s">
        <v>2493</v>
      </c>
      <c r="D1190" s="2" t="s">
        <v>440</v>
      </c>
      <c r="E1190" s="3" t="s">
        <v>45</v>
      </c>
    </row>
    <row r="1191" spans="1:5" ht="16">
      <c r="A1191" s="1" t="s">
        <v>2494</v>
      </c>
      <c r="B1191" s="2" t="s">
        <v>85</v>
      </c>
      <c r="C1191" s="2" t="s">
        <v>2495</v>
      </c>
      <c r="D1191" s="2" t="s">
        <v>192</v>
      </c>
      <c r="E1191" s="3" t="s">
        <v>35</v>
      </c>
    </row>
    <row r="1192" spans="1:5" ht="16">
      <c r="A1192" s="1" t="s">
        <v>2496</v>
      </c>
      <c r="B1192" s="2" t="s">
        <v>85</v>
      </c>
      <c r="C1192" s="2" t="s">
        <v>2497</v>
      </c>
      <c r="D1192" s="2" t="s">
        <v>192</v>
      </c>
      <c r="E1192" s="3" t="s">
        <v>35</v>
      </c>
    </row>
    <row r="1193" spans="1:5" ht="16">
      <c r="A1193" s="1" t="s">
        <v>2498</v>
      </c>
      <c r="B1193" s="2" t="s">
        <v>91</v>
      </c>
      <c r="C1193" s="2" t="s">
        <v>2499</v>
      </c>
      <c r="D1193" s="2" t="s">
        <v>192</v>
      </c>
      <c r="E1193" s="3" t="s">
        <v>35</v>
      </c>
    </row>
    <row r="1194" spans="1:5" ht="16">
      <c r="A1194" s="1" t="s">
        <v>2500</v>
      </c>
      <c r="B1194" s="2" t="s">
        <v>303</v>
      </c>
      <c r="C1194" s="2" t="s">
        <v>2501</v>
      </c>
      <c r="D1194" s="2" t="s">
        <v>192</v>
      </c>
      <c r="E1194" s="3" t="s">
        <v>35</v>
      </c>
    </row>
    <row r="1195" spans="1:5" ht="16">
      <c r="A1195" s="1" t="s">
        <v>2502</v>
      </c>
      <c r="B1195" s="2" t="s">
        <v>97</v>
      </c>
      <c r="C1195" s="2" t="s">
        <v>2503</v>
      </c>
      <c r="D1195" s="2" t="s">
        <v>192</v>
      </c>
      <c r="E1195" s="3" t="s">
        <v>35</v>
      </c>
    </row>
    <row r="1196" spans="1:5" ht="16">
      <c r="A1196" s="1" t="s">
        <v>2504</v>
      </c>
      <c r="B1196" s="2" t="s">
        <v>85</v>
      </c>
      <c r="C1196" s="2" t="s">
        <v>2505</v>
      </c>
      <c r="D1196" s="2" t="s">
        <v>192</v>
      </c>
      <c r="E1196" s="3" t="s">
        <v>35</v>
      </c>
    </row>
    <row r="1197" spans="1:5" ht="16">
      <c r="A1197" s="1" t="s">
        <v>2506</v>
      </c>
      <c r="B1197" s="2" t="s">
        <v>80</v>
      </c>
      <c r="C1197" s="2" t="s">
        <v>2507</v>
      </c>
      <c r="D1197" s="2" t="s">
        <v>440</v>
      </c>
      <c r="E1197" s="3" t="s">
        <v>45</v>
      </c>
    </row>
    <row r="1198" spans="1:5" ht="16">
      <c r="A1198" s="1" t="s">
        <v>2508</v>
      </c>
      <c r="B1198" s="2" t="s">
        <v>85</v>
      </c>
      <c r="C1198" s="2" t="s">
        <v>2509</v>
      </c>
      <c r="D1198" s="2" t="s">
        <v>192</v>
      </c>
      <c r="E1198" s="3" t="s">
        <v>35</v>
      </c>
    </row>
    <row r="1199" spans="1:5" ht="16">
      <c r="A1199" s="1" t="s">
        <v>2510</v>
      </c>
      <c r="B1199" s="2" t="s">
        <v>303</v>
      </c>
      <c r="C1199" s="2" t="s">
        <v>2511</v>
      </c>
      <c r="D1199" s="2" t="s">
        <v>192</v>
      </c>
      <c r="E1199" s="3" t="s">
        <v>35</v>
      </c>
    </row>
    <row r="1200" spans="1:5" ht="16">
      <c r="A1200" s="1" t="s">
        <v>2512</v>
      </c>
      <c r="B1200" s="2" t="s">
        <v>91</v>
      </c>
      <c r="C1200" s="2" t="s">
        <v>2513</v>
      </c>
      <c r="D1200" s="2" t="s">
        <v>192</v>
      </c>
      <c r="E1200" s="3" t="s">
        <v>35</v>
      </c>
    </row>
    <row r="1201" spans="1:5" ht="16">
      <c r="A1201" s="1" t="s">
        <v>2514</v>
      </c>
      <c r="B1201" s="2" t="s">
        <v>85</v>
      </c>
      <c r="C1201" s="2" t="s">
        <v>2515</v>
      </c>
      <c r="D1201" s="2" t="s">
        <v>192</v>
      </c>
      <c r="E1201" s="3" t="s">
        <v>35</v>
      </c>
    </row>
    <row r="1202" spans="1:5" ht="16">
      <c r="A1202" s="1" t="s">
        <v>2516</v>
      </c>
      <c r="B1202" s="2" t="s">
        <v>97</v>
      </c>
      <c r="C1202" s="2" t="s">
        <v>2517</v>
      </c>
      <c r="D1202" s="2" t="s">
        <v>192</v>
      </c>
      <c r="E1202" s="3" t="s">
        <v>35</v>
      </c>
    </row>
    <row r="1203" spans="1:5" ht="16">
      <c r="A1203" s="1" t="s">
        <v>2518</v>
      </c>
      <c r="B1203" s="2" t="s">
        <v>85</v>
      </c>
      <c r="C1203" s="2" t="s">
        <v>2519</v>
      </c>
      <c r="D1203" s="2" t="s">
        <v>192</v>
      </c>
      <c r="E1203" s="3" t="s">
        <v>35</v>
      </c>
    </row>
    <row r="1204" spans="1:5" ht="16">
      <c r="A1204" s="1" t="s">
        <v>2520</v>
      </c>
      <c r="B1204" s="2" t="s">
        <v>303</v>
      </c>
      <c r="C1204" s="2" t="s">
        <v>2521</v>
      </c>
      <c r="D1204" s="2" t="s">
        <v>192</v>
      </c>
      <c r="E1204" s="3" t="s">
        <v>35</v>
      </c>
    </row>
    <row r="1205" spans="1:5" ht="16">
      <c r="A1205" s="1" t="s">
        <v>2522</v>
      </c>
      <c r="B1205" s="2" t="s">
        <v>214</v>
      </c>
      <c r="C1205" s="2" t="s">
        <v>2523</v>
      </c>
      <c r="D1205" s="2" t="s">
        <v>192</v>
      </c>
      <c r="E1205" s="3" t="s">
        <v>35</v>
      </c>
    </row>
    <row r="1206" spans="1:5" ht="16">
      <c r="A1206" s="1" t="s">
        <v>2524</v>
      </c>
      <c r="B1206" s="2" t="s">
        <v>214</v>
      </c>
      <c r="C1206" s="2" t="s">
        <v>2525</v>
      </c>
      <c r="D1206" s="2" t="s">
        <v>192</v>
      </c>
      <c r="E1206" s="3" t="s">
        <v>35</v>
      </c>
    </row>
    <row r="1207" spans="1:5" ht="16">
      <c r="A1207" s="1" t="s">
        <v>2526</v>
      </c>
      <c r="B1207" s="2" t="s">
        <v>199</v>
      </c>
      <c r="C1207" s="2" t="s">
        <v>2527</v>
      </c>
      <c r="D1207" s="2" t="s">
        <v>192</v>
      </c>
      <c r="E1207" s="3" t="s">
        <v>35</v>
      </c>
    </row>
    <row r="1208" spans="1:5" ht="16">
      <c r="A1208" s="1" t="s">
        <v>2528</v>
      </c>
      <c r="B1208" s="2" t="s">
        <v>1378</v>
      </c>
      <c r="C1208" s="2" t="s">
        <v>2529</v>
      </c>
      <c r="D1208" s="2" t="s">
        <v>192</v>
      </c>
      <c r="E1208" s="3" t="s">
        <v>35</v>
      </c>
    </row>
    <row r="1209" spans="1:5" ht="16">
      <c r="A1209" s="1" t="s">
        <v>2530</v>
      </c>
      <c r="B1209" s="2" t="s">
        <v>199</v>
      </c>
      <c r="C1209" s="2" t="s">
        <v>2531</v>
      </c>
      <c r="D1209" s="2" t="s">
        <v>192</v>
      </c>
      <c r="E1209" s="3" t="s">
        <v>35</v>
      </c>
    </row>
    <row r="1210" spans="1:5" ht="16">
      <c r="A1210" s="1" t="s">
        <v>2532</v>
      </c>
      <c r="B1210" s="2" t="s">
        <v>85</v>
      </c>
      <c r="C1210" s="2" t="s">
        <v>2533</v>
      </c>
      <c r="D1210" s="2" t="s">
        <v>111</v>
      </c>
      <c r="E1210" s="3" t="s">
        <v>50</v>
      </c>
    </row>
    <row r="1211" spans="1:5" ht="16">
      <c r="A1211" s="1" t="s">
        <v>2534</v>
      </c>
      <c r="B1211" s="2" t="s">
        <v>243</v>
      </c>
      <c r="C1211" s="2" t="s">
        <v>2535</v>
      </c>
      <c r="D1211" s="2" t="s">
        <v>111</v>
      </c>
      <c r="E1211" s="3" t="s">
        <v>50</v>
      </c>
    </row>
    <row r="1212" spans="1:5" ht="16">
      <c r="A1212" s="1" t="s">
        <v>2536</v>
      </c>
      <c r="B1212" s="2" t="s">
        <v>243</v>
      </c>
      <c r="C1212" s="2" t="s">
        <v>2537</v>
      </c>
      <c r="D1212" s="2" t="s">
        <v>111</v>
      </c>
      <c r="E1212" s="3" t="s">
        <v>50</v>
      </c>
    </row>
    <row r="1213" spans="1:5" ht="16">
      <c r="A1213" s="1" t="s">
        <v>2538</v>
      </c>
      <c r="B1213" s="2" t="s">
        <v>85</v>
      </c>
      <c r="C1213" s="2" t="s">
        <v>2539</v>
      </c>
      <c r="D1213" s="2" t="s">
        <v>111</v>
      </c>
      <c r="E1213" s="3" t="s">
        <v>50</v>
      </c>
    </row>
    <row r="1214" spans="1:5" ht="16">
      <c r="A1214" s="1" t="s">
        <v>2540</v>
      </c>
      <c r="B1214" s="2" t="s">
        <v>80</v>
      </c>
      <c r="C1214" s="2" t="s">
        <v>2541</v>
      </c>
      <c r="D1214" s="2" t="s">
        <v>111</v>
      </c>
      <c r="E1214" s="3" t="s">
        <v>50</v>
      </c>
    </row>
    <row r="1215" spans="1:5" ht="16">
      <c r="A1215" s="1" t="s">
        <v>2542</v>
      </c>
      <c r="B1215" s="2" t="s">
        <v>80</v>
      </c>
      <c r="C1215" s="2" t="s">
        <v>2543</v>
      </c>
      <c r="D1215" s="2" t="s">
        <v>111</v>
      </c>
      <c r="E1215" s="3" t="s">
        <v>50</v>
      </c>
    </row>
    <row r="1216" spans="1:5" ht="16">
      <c r="A1216" s="1" t="s">
        <v>2544</v>
      </c>
      <c r="B1216" s="2" t="s">
        <v>80</v>
      </c>
      <c r="C1216" s="2" t="s">
        <v>2545</v>
      </c>
      <c r="D1216" s="2" t="s">
        <v>111</v>
      </c>
      <c r="E1216" s="3" t="s">
        <v>50</v>
      </c>
    </row>
    <row r="1217" spans="1:5" ht="16">
      <c r="A1217" s="1" t="s">
        <v>2546</v>
      </c>
      <c r="B1217" s="2" t="s">
        <v>303</v>
      </c>
      <c r="C1217" s="2" t="s">
        <v>2547</v>
      </c>
      <c r="D1217" s="2" t="s">
        <v>192</v>
      </c>
      <c r="E1217" s="3" t="s">
        <v>35</v>
      </c>
    </row>
    <row r="1218" spans="1:5" ht="16">
      <c r="A1218" s="1" t="s">
        <v>2548</v>
      </c>
      <c r="B1218" s="2" t="s">
        <v>97</v>
      </c>
      <c r="C1218" s="2" t="s">
        <v>2549</v>
      </c>
      <c r="D1218" s="2" t="s">
        <v>192</v>
      </c>
      <c r="E1218" s="3" t="s">
        <v>35</v>
      </c>
    </row>
    <row r="1219" spans="1:5" ht="16">
      <c r="A1219" s="1" t="s">
        <v>2550</v>
      </c>
      <c r="B1219" s="2" t="s">
        <v>69</v>
      </c>
      <c r="C1219" s="2" t="s">
        <v>2551</v>
      </c>
      <c r="D1219" s="2" t="s">
        <v>111</v>
      </c>
      <c r="E1219" s="3" t="s">
        <v>50</v>
      </c>
    </row>
    <row r="1220" spans="1:5" ht="16">
      <c r="A1220" s="1" t="s">
        <v>2552</v>
      </c>
      <c r="B1220" s="2"/>
      <c r="C1220" s="2" t="s">
        <v>2553</v>
      </c>
      <c r="D1220" s="2" t="s">
        <v>111</v>
      </c>
      <c r="E1220" s="3" t="s">
        <v>50</v>
      </c>
    </row>
    <row r="1221" spans="1:5" ht="16">
      <c r="A1221" s="1" t="s">
        <v>2554</v>
      </c>
      <c r="B1221" s="2" t="s">
        <v>69</v>
      </c>
      <c r="C1221" s="2" t="s">
        <v>2555</v>
      </c>
      <c r="D1221" s="2" t="s">
        <v>111</v>
      </c>
      <c r="E1221" s="3" t="s">
        <v>50</v>
      </c>
    </row>
    <row r="1222" spans="1:5" ht="16">
      <c r="A1222" s="1" t="s">
        <v>2556</v>
      </c>
      <c r="B1222" s="2" t="s">
        <v>199</v>
      </c>
      <c r="C1222" s="2" t="s">
        <v>2557</v>
      </c>
      <c r="D1222" s="2" t="s">
        <v>192</v>
      </c>
      <c r="E1222" s="3" t="s">
        <v>35</v>
      </c>
    </row>
    <row r="1223" spans="1:5" ht="16">
      <c r="A1223" s="1" t="s">
        <v>2558</v>
      </c>
      <c r="B1223" s="2" t="s">
        <v>214</v>
      </c>
      <c r="C1223" s="2" t="s">
        <v>2559</v>
      </c>
      <c r="D1223" s="2" t="s">
        <v>192</v>
      </c>
      <c r="E1223" s="3" t="s">
        <v>35</v>
      </c>
    </row>
    <row r="1224" spans="1:5" ht="16">
      <c r="A1224" s="1" t="s">
        <v>2560</v>
      </c>
      <c r="B1224" s="2" t="s">
        <v>199</v>
      </c>
      <c r="C1224" s="2" t="s">
        <v>2561</v>
      </c>
      <c r="D1224" s="2" t="s">
        <v>192</v>
      </c>
      <c r="E1224" s="3" t="s">
        <v>35</v>
      </c>
    </row>
    <row r="1225" spans="1:5" ht="16">
      <c r="A1225" s="1" t="s">
        <v>2562</v>
      </c>
      <c r="B1225" s="2" t="s">
        <v>214</v>
      </c>
      <c r="C1225" s="2" t="s">
        <v>2563</v>
      </c>
      <c r="D1225" s="2" t="s">
        <v>192</v>
      </c>
      <c r="E1225" s="3" t="s">
        <v>35</v>
      </c>
    </row>
    <row r="1226" spans="1:5" ht="16">
      <c r="A1226" s="1" t="s">
        <v>2564</v>
      </c>
      <c r="B1226" s="2" t="s">
        <v>85</v>
      </c>
      <c r="C1226" s="2" t="s">
        <v>2565</v>
      </c>
      <c r="D1226" s="2" t="s">
        <v>192</v>
      </c>
      <c r="E1226" s="3" t="s">
        <v>35</v>
      </c>
    </row>
    <row r="1227" spans="1:5" ht="16">
      <c r="A1227" s="1" t="s">
        <v>2566</v>
      </c>
      <c r="B1227" s="2" t="s">
        <v>91</v>
      </c>
      <c r="C1227" s="2" t="s">
        <v>2567</v>
      </c>
      <c r="D1227" s="2" t="s">
        <v>111</v>
      </c>
      <c r="E1227" s="3" t="s">
        <v>50</v>
      </c>
    </row>
    <row r="1228" spans="1:5" ht="16">
      <c r="A1228" s="1" t="s">
        <v>2568</v>
      </c>
      <c r="B1228" s="2" t="s">
        <v>91</v>
      </c>
      <c r="C1228" s="2" t="s">
        <v>2569</v>
      </c>
      <c r="D1228" s="2" t="s">
        <v>111</v>
      </c>
      <c r="E1228" s="3" t="s">
        <v>50</v>
      </c>
    </row>
    <row r="1229" spans="1:5" ht="16">
      <c r="A1229" s="1" t="s">
        <v>2570</v>
      </c>
      <c r="B1229" s="2"/>
      <c r="C1229" s="2" t="s">
        <v>2571</v>
      </c>
      <c r="D1229" s="2" t="s">
        <v>111</v>
      </c>
      <c r="E1229" s="3" t="s">
        <v>50</v>
      </c>
    </row>
    <row r="1230" spans="1:5" ht="16">
      <c r="A1230" s="1" t="s">
        <v>2572</v>
      </c>
      <c r="B1230" s="2"/>
      <c r="C1230" s="2" t="s">
        <v>2573</v>
      </c>
      <c r="D1230" s="2" t="s">
        <v>111</v>
      </c>
      <c r="E1230" s="3" t="s">
        <v>50</v>
      </c>
    </row>
    <row r="1231" spans="1:5" ht="16">
      <c r="A1231" s="1" t="s">
        <v>2574</v>
      </c>
      <c r="B1231" s="2"/>
      <c r="C1231" s="2" t="s">
        <v>2575</v>
      </c>
      <c r="D1231" s="2" t="s">
        <v>111</v>
      </c>
      <c r="E1231" s="3" t="s">
        <v>50</v>
      </c>
    </row>
    <row r="1232" spans="1:5" ht="16">
      <c r="A1232" s="1" t="s">
        <v>2576</v>
      </c>
      <c r="B1232" s="2" t="s">
        <v>74</v>
      </c>
      <c r="C1232" s="2" t="s">
        <v>2577</v>
      </c>
      <c r="D1232" s="2" t="s">
        <v>440</v>
      </c>
      <c r="E1232" s="3" t="s">
        <v>45</v>
      </c>
    </row>
    <row r="1233" spans="1:5" ht="16">
      <c r="A1233" s="1" t="s">
        <v>2578</v>
      </c>
      <c r="B1233" s="2" t="s">
        <v>74</v>
      </c>
      <c r="C1233" s="2" t="s">
        <v>2579</v>
      </c>
      <c r="D1233" s="2" t="s">
        <v>440</v>
      </c>
      <c r="E1233" s="3" t="s">
        <v>45</v>
      </c>
    </row>
    <row r="1234" spans="1:5" ht="16">
      <c r="A1234" s="1" t="s">
        <v>2580</v>
      </c>
      <c r="B1234" s="2" t="s">
        <v>74</v>
      </c>
      <c r="C1234" s="2" t="s">
        <v>2581</v>
      </c>
      <c r="D1234" s="2" t="s">
        <v>440</v>
      </c>
      <c r="E1234" s="3" t="s">
        <v>45</v>
      </c>
    </row>
    <row r="1235" spans="1:5" ht="16">
      <c r="A1235" s="1" t="s">
        <v>2582</v>
      </c>
      <c r="B1235" s="2" t="s">
        <v>74</v>
      </c>
      <c r="C1235" s="2" t="s">
        <v>2583</v>
      </c>
      <c r="D1235" s="2" t="s">
        <v>440</v>
      </c>
      <c r="E1235" s="3" t="s">
        <v>45</v>
      </c>
    </row>
    <row r="1236" spans="1:5" ht="16">
      <c r="A1236" s="1" t="s">
        <v>2584</v>
      </c>
      <c r="B1236" s="2" t="s">
        <v>74</v>
      </c>
      <c r="C1236" s="2" t="s">
        <v>2585</v>
      </c>
      <c r="D1236" s="2" t="s">
        <v>440</v>
      </c>
      <c r="E1236" s="3" t="s">
        <v>45</v>
      </c>
    </row>
    <row r="1237" spans="1:5" ht="16">
      <c r="A1237" s="1" t="s">
        <v>2586</v>
      </c>
      <c r="B1237" s="2" t="s">
        <v>69</v>
      </c>
      <c r="C1237" s="2" t="s">
        <v>2587</v>
      </c>
      <c r="D1237" s="2" t="s">
        <v>440</v>
      </c>
      <c r="E1237" s="3" t="s">
        <v>45</v>
      </c>
    </row>
    <row r="1238" spans="1:5" ht="16">
      <c r="A1238" s="1" t="s">
        <v>2588</v>
      </c>
      <c r="B1238" s="2" t="s">
        <v>80</v>
      </c>
      <c r="C1238" s="2" t="s">
        <v>2589</v>
      </c>
      <c r="D1238" s="2" t="s">
        <v>440</v>
      </c>
      <c r="E1238" s="3" t="s">
        <v>45</v>
      </c>
    </row>
    <row r="1239" spans="1:5" ht="16">
      <c r="A1239" s="1" t="s">
        <v>2590</v>
      </c>
      <c r="B1239" s="2" t="s">
        <v>85</v>
      </c>
      <c r="C1239" s="2" t="s">
        <v>2591</v>
      </c>
      <c r="D1239" s="2" t="s">
        <v>192</v>
      </c>
      <c r="E1239" s="3" t="s">
        <v>35</v>
      </c>
    </row>
    <row r="1240" spans="1:5" ht="16">
      <c r="A1240" s="1" t="s">
        <v>2592</v>
      </c>
      <c r="B1240" s="2" t="s">
        <v>80</v>
      </c>
      <c r="C1240" s="2" t="s">
        <v>2593</v>
      </c>
      <c r="D1240" s="2" t="s">
        <v>440</v>
      </c>
      <c r="E1240" s="3" t="s">
        <v>45</v>
      </c>
    </row>
    <row r="1241" spans="1:5" ht="16">
      <c r="A1241" s="1" t="s">
        <v>2594</v>
      </c>
      <c r="B1241" s="2" t="s">
        <v>91</v>
      </c>
      <c r="C1241" s="2" t="s">
        <v>2595</v>
      </c>
      <c r="D1241" s="2" t="s">
        <v>192</v>
      </c>
      <c r="E1241" s="3" t="s">
        <v>35</v>
      </c>
    </row>
    <row r="1242" spans="1:5" ht="16">
      <c r="A1242" s="1" t="s">
        <v>2596</v>
      </c>
      <c r="B1242" s="2" t="s">
        <v>85</v>
      </c>
      <c r="C1242" s="2" t="s">
        <v>2597</v>
      </c>
      <c r="D1242" s="2" t="s">
        <v>192</v>
      </c>
      <c r="E1242" s="3" t="s">
        <v>35</v>
      </c>
    </row>
    <row r="1243" spans="1:5" ht="16">
      <c r="A1243" s="1" t="s">
        <v>2598</v>
      </c>
      <c r="B1243" s="2" t="s">
        <v>85</v>
      </c>
      <c r="C1243" s="2" t="s">
        <v>2599</v>
      </c>
      <c r="D1243" s="2" t="s">
        <v>192</v>
      </c>
      <c r="E1243" s="3" t="s">
        <v>35</v>
      </c>
    </row>
    <row r="1244" spans="1:5" ht="16">
      <c r="A1244" s="1" t="s">
        <v>2600</v>
      </c>
      <c r="B1244" s="2" t="s">
        <v>91</v>
      </c>
      <c r="C1244" s="2" t="s">
        <v>2601</v>
      </c>
      <c r="D1244" s="2" t="s">
        <v>192</v>
      </c>
      <c r="E1244" s="3" t="s">
        <v>35</v>
      </c>
    </row>
    <row r="1245" spans="1:5" ht="16">
      <c r="A1245" s="1" t="s">
        <v>2602</v>
      </c>
      <c r="B1245" s="2" t="s">
        <v>91</v>
      </c>
      <c r="C1245" s="2" t="s">
        <v>2603</v>
      </c>
      <c r="D1245" s="2" t="s">
        <v>192</v>
      </c>
      <c r="E1245" s="3" t="s">
        <v>35</v>
      </c>
    </row>
    <row r="1246" spans="1:5" ht="16">
      <c r="A1246" s="1" t="s">
        <v>2604</v>
      </c>
      <c r="B1246" s="2" t="s">
        <v>91</v>
      </c>
      <c r="C1246" s="2" t="s">
        <v>2605</v>
      </c>
      <c r="D1246" s="2" t="s">
        <v>192</v>
      </c>
      <c r="E1246" s="3" t="s">
        <v>35</v>
      </c>
    </row>
    <row r="1247" spans="1:5" ht="16">
      <c r="A1247" s="1" t="s">
        <v>2606</v>
      </c>
      <c r="B1247" s="2" t="s">
        <v>85</v>
      </c>
      <c r="C1247" s="2" t="s">
        <v>2607</v>
      </c>
      <c r="D1247" s="2" t="s">
        <v>192</v>
      </c>
      <c r="E1247" s="3" t="s">
        <v>35</v>
      </c>
    </row>
    <row r="1248" spans="1:5" ht="16">
      <c r="A1248" s="1" t="s">
        <v>2608</v>
      </c>
      <c r="B1248" s="2" t="s">
        <v>91</v>
      </c>
      <c r="C1248" s="2" t="s">
        <v>2609</v>
      </c>
      <c r="D1248" s="2" t="s">
        <v>192</v>
      </c>
      <c r="E1248" s="3" t="s">
        <v>35</v>
      </c>
    </row>
    <row r="1249" spans="1:5" ht="16">
      <c r="A1249" s="1" t="s">
        <v>2610</v>
      </c>
      <c r="B1249" s="2" t="s">
        <v>254</v>
      </c>
      <c r="C1249" s="2" t="s">
        <v>2611</v>
      </c>
      <c r="D1249" s="2" t="s">
        <v>192</v>
      </c>
      <c r="E1249" s="3" t="s">
        <v>35</v>
      </c>
    </row>
    <row r="1250" spans="1:5" ht="16">
      <c r="A1250" s="1" t="s">
        <v>2612</v>
      </c>
      <c r="B1250" s="2" t="s">
        <v>80</v>
      </c>
      <c r="C1250" s="2" t="s">
        <v>2613</v>
      </c>
      <c r="D1250" s="2" t="s">
        <v>440</v>
      </c>
      <c r="E1250" s="3" t="s">
        <v>45</v>
      </c>
    </row>
    <row r="1251" spans="1:5" ht="16">
      <c r="A1251" s="1" t="s">
        <v>2614</v>
      </c>
      <c r="B1251" s="2" t="s">
        <v>80</v>
      </c>
      <c r="C1251" s="2" t="s">
        <v>2615</v>
      </c>
      <c r="D1251" s="2" t="s">
        <v>440</v>
      </c>
      <c r="E1251" s="3" t="s">
        <v>45</v>
      </c>
    </row>
    <row r="1252" spans="1:5" ht="16">
      <c r="A1252" s="1" t="s">
        <v>2616</v>
      </c>
      <c r="B1252" s="2" t="s">
        <v>97</v>
      </c>
      <c r="C1252" s="2" t="s">
        <v>2617</v>
      </c>
      <c r="D1252" s="2" t="s">
        <v>192</v>
      </c>
      <c r="E1252" s="3" t="s">
        <v>35</v>
      </c>
    </row>
    <row r="1253" spans="1:5" ht="16">
      <c r="A1253" s="1" t="s">
        <v>2618</v>
      </c>
      <c r="B1253" s="2" t="s">
        <v>97</v>
      </c>
      <c r="C1253" s="2" t="s">
        <v>2619</v>
      </c>
      <c r="D1253" s="2" t="s">
        <v>192</v>
      </c>
      <c r="E1253" s="3" t="s">
        <v>35</v>
      </c>
    </row>
    <row r="1254" spans="1:5" ht="16">
      <c r="A1254" s="1" t="s">
        <v>2620</v>
      </c>
      <c r="B1254" s="2" t="s">
        <v>97</v>
      </c>
      <c r="C1254" s="2" t="s">
        <v>2621</v>
      </c>
      <c r="D1254" s="2" t="s">
        <v>192</v>
      </c>
      <c r="E1254" s="3" t="s">
        <v>35</v>
      </c>
    </row>
    <row r="1255" spans="1:5" ht="16">
      <c r="A1255" s="1" t="s">
        <v>2622</v>
      </c>
      <c r="B1255" s="2" t="s">
        <v>97</v>
      </c>
      <c r="C1255" s="2" t="s">
        <v>2623</v>
      </c>
      <c r="D1255" s="2" t="s">
        <v>192</v>
      </c>
      <c r="E1255" s="3" t="s">
        <v>35</v>
      </c>
    </row>
    <row r="1256" spans="1:5" ht="16">
      <c r="A1256" s="1" t="s">
        <v>2624</v>
      </c>
      <c r="B1256" s="2" t="s">
        <v>97</v>
      </c>
      <c r="C1256" s="2" t="s">
        <v>2625</v>
      </c>
      <c r="D1256" s="2" t="s">
        <v>192</v>
      </c>
      <c r="E1256" s="3" t="s">
        <v>35</v>
      </c>
    </row>
    <row r="1257" spans="1:5" ht="16">
      <c r="A1257" s="1" t="s">
        <v>2626</v>
      </c>
      <c r="B1257" s="2" t="s">
        <v>97</v>
      </c>
      <c r="C1257" s="2" t="s">
        <v>2627</v>
      </c>
      <c r="D1257" s="2" t="s">
        <v>192</v>
      </c>
      <c r="E1257" s="3" t="s">
        <v>35</v>
      </c>
    </row>
    <row r="1258" spans="1:5" ht="16">
      <c r="A1258" s="1" t="s">
        <v>2628</v>
      </c>
      <c r="B1258" s="2" t="s">
        <v>97</v>
      </c>
      <c r="C1258" s="2" t="s">
        <v>2629</v>
      </c>
      <c r="D1258" s="2" t="s">
        <v>192</v>
      </c>
      <c r="E1258" s="3" t="s">
        <v>35</v>
      </c>
    </row>
    <row r="1259" spans="1:5" ht="16">
      <c r="A1259" s="1" t="s">
        <v>2630</v>
      </c>
      <c r="B1259" s="2" t="s">
        <v>254</v>
      </c>
      <c r="C1259" s="2" t="s">
        <v>2631</v>
      </c>
      <c r="D1259" s="2" t="s">
        <v>192</v>
      </c>
      <c r="E1259" s="3" t="s">
        <v>35</v>
      </c>
    </row>
    <row r="1260" spans="1:5" ht="16">
      <c r="A1260" s="1" t="s">
        <v>2632</v>
      </c>
      <c r="B1260" s="2" t="s">
        <v>85</v>
      </c>
      <c r="C1260" s="2" t="s">
        <v>2633</v>
      </c>
      <c r="D1260" s="2" t="s">
        <v>192</v>
      </c>
      <c r="E1260" s="3" t="s">
        <v>35</v>
      </c>
    </row>
    <row r="1261" spans="1:5" ht="16">
      <c r="A1261" s="1" t="s">
        <v>2634</v>
      </c>
      <c r="B1261" s="2" t="s">
        <v>91</v>
      </c>
      <c r="C1261" s="2" t="s">
        <v>2635</v>
      </c>
      <c r="D1261" s="2" t="s">
        <v>192</v>
      </c>
      <c r="E1261" s="3" t="s">
        <v>35</v>
      </c>
    </row>
    <row r="1262" spans="1:5" ht="16">
      <c r="A1262" s="1" t="s">
        <v>2636</v>
      </c>
      <c r="B1262" s="2" t="s">
        <v>196</v>
      </c>
      <c r="C1262" s="2" t="s">
        <v>2637</v>
      </c>
      <c r="D1262" s="2" t="s">
        <v>192</v>
      </c>
      <c r="E1262" s="3" t="s">
        <v>35</v>
      </c>
    </row>
    <row r="1263" spans="1:5" ht="16">
      <c r="A1263" s="1" t="s">
        <v>2638</v>
      </c>
      <c r="B1263" s="2" t="s">
        <v>74</v>
      </c>
      <c r="C1263" s="2" t="s">
        <v>2639</v>
      </c>
      <c r="D1263" s="2" t="s">
        <v>440</v>
      </c>
      <c r="E1263" s="3" t="s">
        <v>45</v>
      </c>
    </row>
    <row r="1264" spans="1:5" ht="16">
      <c r="A1264" s="1" t="s">
        <v>2640</v>
      </c>
      <c r="B1264" s="2" t="s">
        <v>85</v>
      </c>
      <c r="C1264" s="2" t="s">
        <v>2641</v>
      </c>
      <c r="D1264" s="2" t="s">
        <v>192</v>
      </c>
      <c r="E1264" s="3" t="s">
        <v>35</v>
      </c>
    </row>
    <row r="1265" spans="1:5" ht="16">
      <c r="A1265" s="1" t="s">
        <v>2642</v>
      </c>
      <c r="B1265" s="2" t="s">
        <v>69</v>
      </c>
      <c r="C1265" s="2" t="s">
        <v>2643</v>
      </c>
      <c r="D1265" s="2" t="s">
        <v>440</v>
      </c>
      <c r="E1265" s="3" t="s">
        <v>45</v>
      </c>
    </row>
    <row r="1266" spans="1:5" ht="16">
      <c r="A1266" s="1" t="s">
        <v>2644</v>
      </c>
      <c r="B1266" s="2" t="s">
        <v>80</v>
      </c>
      <c r="C1266" s="2" t="s">
        <v>2645</v>
      </c>
      <c r="D1266" s="2" t="s">
        <v>440</v>
      </c>
      <c r="E1266" s="3" t="s">
        <v>45</v>
      </c>
    </row>
    <row r="1267" spans="1:5" ht="16">
      <c r="A1267" s="1" t="s">
        <v>2646</v>
      </c>
      <c r="B1267" s="2" t="s">
        <v>80</v>
      </c>
      <c r="C1267" s="2" t="s">
        <v>2647</v>
      </c>
      <c r="D1267" s="2" t="s">
        <v>440</v>
      </c>
      <c r="E1267" s="3" t="s">
        <v>45</v>
      </c>
    </row>
    <row r="1268" spans="1:5" ht="16">
      <c r="A1268" s="1" t="s">
        <v>2648</v>
      </c>
      <c r="B1268" s="2" t="s">
        <v>80</v>
      </c>
      <c r="C1268" s="2" t="s">
        <v>2649</v>
      </c>
      <c r="D1268" s="2" t="s">
        <v>440</v>
      </c>
      <c r="E1268" s="3" t="s">
        <v>45</v>
      </c>
    </row>
    <row r="1269" spans="1:5" ht="16">
      <c r="A1269" s="1" t="s">
        <v>2650</v>
      </c>
      <c r="B1269" s="2" t="s">
        <v>85</v>
      </c>
      <c r="C1269" s="2" t="s">
        <v>2651</v>
      </c>
      <c r="D1269" s="2" t="s">
        <v>192</v>
      </c>
      <c r="E1269" s="3" t="s">
        <v>35</v>
      </c>
    </row>
    <row r="1270" spans="1:5" ht="16">
      <c r="A1270" s="1" t="s">
        <v>2652</v>
      </c>
      <c r="B1270" s="2" t="s">
        <v>254</v>
      </c>
      <c r="C1270" s="2" t="s">
        <v>2653</v>
      </c>
      <c r="D1270" s="2" t="s">
        <v>192</v>
      </c>
      <c r="E1270" s="3" t="s">
        <v>35</v>
      </c>
    </row>
    <row r="1271" spans="1:5" ht="16">
      <c r="A1271" s="1" t="s">
        <v>2654</v>
      </c>
      <c r="B1271" s="2" t="s">
        <v>199</v>
      </c>
      <c r="C1271" s="2" t="s">
        <v>2655</v>
      </c>
      <c r="D1271" s="2" t="s">
        <v>192</v>
      </c>
      <c r="E1271" s="3" t="s">
        <v>35</v>
      </c>
    </row>
    <row r="1272" spans="1:5" ht="16">
      <c r="A1272" s="1" t="s">
        <v>2656</v>
      </c>
      <c r="B1272" s="2" t="s">
        <v>199</v>
      </c>
      <c r="C1272" s="2" t="s">
        <v>2657</v>
      </c>
      <c r="D1272" s="2" t="s">
        <v>192</v>
      </c>
      <c r="E1272" s="3" t="s">
        <v>35</v>
      </c>
    </row>
    <row r="1273" spans="1:5" ht="16">
      <c r="A1273" s="1" t="s">
        <v>2658</v>
      </c>
      <c r="B1273" s="2" t="s">
        <v>97</v>
      </c>
      <c r="C1273" s="2" t="s">
        <v>2659</v>
      </c>
      <c r="D1273" s="2" t="s">
        <v>192</v>
      </c>
      <c r="E1273" s="3" t="s">
        <v>35</v>
      </c>
    </row>
    <row r="1274" spans="1:5" ht="16">
      <c r="A1274" s="1" t="s">
        <v>2660</v>
      </c>
      <c r="B1274" s="2" t="s">
        <v>85</v>
      </c>
      <c r="C1274" s="2" t="s">
        <v>2661</v>
      </c>
      <c r="D1274" s="2" t="s">
        <v>192</v>
      </c>
      <c r="E1274" s="3" t="s">
        <v>35</v>
      </c>
    </row>
    <row r="1275" spans="1:5" ht="16">
      <c r="A1275" s="1" t="s">
        <v>2662</v>
      </c>
      <c r="B1275" s="2" t="s">
        <v>91</v>
      </c>
      <c r="C1275" s="2" t="s">
        <v>2663</v>
      </c>
      <c r="D1275" s="2" t="s">
        <v>192</v>
      </c>
      <c r="E1275" s="3" t="s">
        <v>35</v>
      </c>
    </row>
    <row r="1276" spans="1:5" ht="16">
      <c r="A1276" s="1" t="s">
        <v>2664</v>
      </c>
      <c r="B1276" s="2" t="s">
        <v>97</v>
      </c>
      <c r="C1276" s="2" t="s">
        <v>2665</v>
      </c>
      <c r="D1276" s="2" t="s">
        <v>192</v>
      </c>
      <c r="E1276" s="3" t="s">
        <v>35</v>
      </c>
    </row>
    <row r="1277" spans="1:5" ht="16">
      <c r="A1277" s="1" t="s">
        <v>2666</v>
      </c>
      <c r="B1277" s="2" t="s">
        <v>91</v>
      </c>
      <c r="C1277" s="2" t="s">
        <v>2667</v>
      </c>
      <c r="D1277" s="2" t="s">
        <v>192</v>
      </c>
      <c r="E1277" s="3" t="s">
        <v>35</v>
      </c>
    </row>
    <row r="1278" spans="1:5" ht="16">
      <c r="A1278" s="1" t="s">
        <v>2668</v>
      </c>
      <c r="B1278" s="2" t="s">
        <v>85</v>
      </c>
      <c r="C1278" s="2" t="s">
        <v>2669</v>
      </c>
      <c r="D1278" s="2" t="s">
        <v>192</v>
      </c>
      <c r="E1278" s="3" t="s">
        <v>35</v>
      </c>
    </row>
    <row r="1279" spans="1:5" ht="16">
      <c r="A1279" s="1" t="s">
        <v>2670</v>
      </c>
      <c r="B1279" s="2" t="s">
        <v>97</v>
      </c>
      <c r="C1279" s="2" t="s">
        <v>2671</v>
      </c>
      <c r="D1279" s="2" t="s">
        <v>192</v>
      </c>
      <c r="E1279" s="3" t="s">
        <v>35</v>
      </c>
    </row>
    <row r="1280" spans="1:5" ht="16">
      <c r="A1280" s="1" t="s">
        <v>2672</v>
      </c>
      <c r="B1280" s="2" t="s">
        <v>97</v>
      </c>
      <c r="C1280" s="2" t="s">
        <v>2673</v>
      </c>
      <c r="D1280" s="2" t="s">
        <v>192</v>
      </c>
      <c r="E1280" s="3" t="s">
        <v>35</v>
      </c>
    </row>
    <row r="1281" spans="1:5" ht="16">
      <c r="A1281" s="1" t="s">
        <v>2674</v>
      </c>
      <c r="B1281" s="2" t="s">
        <v>91</v>
      </c>
      <c r="C1281" s="2" t="s">
        <v>2675</v>
      </c>
      <c r="D1281" s="2" t="s">
        <v>192</v>
      </c>
      <c r="E1281" s="3" t="s">
        <v>35</v>
      </c>
    </row>
    <row r="1282" spans="1:5" ht="16">
      <c r="A1282" s="1" t="s">
        <v>2676</v>
      </c>
      <c r="B1282" s="2" t="s">
        <v>97</v>
      </c>
      <c r="C1282" s="2" t="s">
        <v>2677</v>
      </c>
      <c r="D1282" s="2" t="s">
        <v>192</v>
      </c>
      <c r="E1282" s="3" t="s">
        <v>35</v>
      </c>
    </row>
    <row r="1283" spans="1:5" ht="16">
      <c r="A1283" s="1" t="s">
        <v>2678</v>
      </c>
      <c r="B1283" s="2" t="s">
        <v>91</v>
      </c>
      <c r="C1283" s="2" t="s">
        <v>2679</v>
      </c>
      <c r="D1283" s="2" t="s">
        <v>192</v>
      </c>
      <c r="E1283" s="3" t="s">
        <v>35</v>
      </c>
    </row>
    <row r="1284" spans="1:5" ht="16">
      <c r="A1284" s="1" t="s">
        <v>2680</v>
      </c>
      <c r="B1284" s="2" t="s">
        <v>91</v>
      </c>
      <c r="C1284" s="2" t="s">
        <v>2681</v>
      </c>
      <c r="D1284" s="2" t="s">
        <v>192</v>
      </c>
      <c r="E1284" s="3" t="s">
        <v>35</v>
      </c>
    </row>
    <row r="1285" spans="1:5" ht="16">
      <c r="A1285" s="1" t="s">
        <v>2682</v>
      </c>
      <c r="B1285" s="2" t="s">
        <v>91</v>
      </c>
      <c r="C1285" s="2" t="s">
        <v>2683</v>
      </c>
      <c r="D1285" s="2" t="s">
        <v>192</v>
      </c>
      <c r="E1285" s="3" t="s">
        <v>35</v>
      </c>
    </row>
    <row r="1286" spans="1:5" ht="16">
      <c r="A1286" s="1" t="s">
        <v>2684</v>
      </c>
      <c r="B1286" s="2" t="s">
        <v>91</v>
      </c>
      <c r="C1286" s="2" t="s">
        <v>2685</v>
      </c>
      <c r="D1286" s="2" t="s">
        <v>192</v>
      </c>
      <c r="E1286" s="3" t="s">
        <v>35</v>
      </c>
    </row>
    <row r="1287" spans="1:5" ht="16">
      <c r="A1287" s="1" t="s">
        <v>2686</v>
      </c>
      <c r="B1287" s="2" t="s">
        <v>91</v>
      </c>
      <c r="C1287" s="2" t="s">
        <v>2687</v>
      </c>
      <c r="D1287" s="2" t="s">
        <v>192</v>
      </c>
      <c r="E1287" s="3" t="s">
        <v>35</v>
      </c>
    </row>
    <row r="1288" spans="1:5" ht="16">
      <c r="A1288" s="1" t="s">
        <v>2688</v>
      </c>
      <c r="B1288" s="2" t="s">
        <v>97</v>
      </c>
      <c r="C1288" s="2" t="s">
        <v>2689</v>
      </c>
      <c r="D1288" s="2" t="s">
        <v>192</v>
      </c>
      <c r="E1288" s="3" t="s">
        <v>35</v>
      </c>
    </row>
    <row r="1289" spans="1:5" ht="16">
      <c r="A1289" s="1" t="s">
        <v>2690</v>
      </c>
      <c r="B1289" s="2" t="s">
        <v>91</v>
      </c>
      <c r="C1289" s="2" t="s">
        <v>2691</v>
      </c>
      <c r="D1289" s="2" t="s">
        <v>192</v>
      </c>
      <c r="E1289" s="3" t="s">
        <v>35</v>
      </c>
    </row>
    <row r="1290" spans="1:5" ht="16">
      <c r="A1290" s="1" t="s">
        <v>2692</v>
      </c>
      <c r="B1290" s="2" t="s">
        <v>97</v>
      </c>
      <c r="C1290" s="2" t="s">
        <v>2693</v>
      </c>
      <c r="D1290" s="2" t="s">
        <v>192</v>
      </c>
      <c r="E1290" s="3" t="s">
        <v>35</v>
      </c>
    </row>
    <row r="1291" spans="1:5" ht="16">
      <c r="A1291" s="1" t="s">
        <v>2694</v>
      </c>
      <c r="B1291" s="2" t="s">
        <v>199</v>
      </c>
      <c r="C1291" s="2" t="s">
        <v>2695</v>
      </c>
      <c r="D1291" s="2" t="s">
        <v>192</v>
      </c>
      <c r="E1291" s="3" t="s">
        <v>35</v>
      </c>
    </row>
    <row r="1292" spans="1:5" ht="16">
      <c r="A1292" s="1" t="s">
        <v>2696</v>
      </c>
      <c r="B1292" s="2" t="s">
        <v>91</v>
      </c>
      <c r="C1292" s="2" t="s">
        <v>2697</v>
      </c>
      <c r="D1292" s="2" t="s">
        <v>192</v>
      </c>
      <c r="E1292" s="3" t="s">
        <v>35</v>
      </c>
    </row>
    <row r="1293" spans="1:5" ht="16">
      <c r="A1293" s="1" t="s">
        <v>2698</v>
      </c>
      <c r="B1293" s="2" t="s">
        <v>85</v>
      </c>
      <c r="C1293" s="2" t="s">
        <v>2699</v>
      </c>
      <c r="D1293" s="2" t="s">
        <v>192</v>
      </c>
      <c r="E1293" s="3" t="s">
        <v>35</v>
      </c>
    </row>
    <row r="1294" spans="1:5" ht="16">
      <c r="A1294" s="1" t="s">
        <v>2700</v>
      </c>
      <c r="B1294" s="2" t="s">
        <v>91</v>
      </c>
      <c r="C1294" s="2" t="s">
        <v>2701</v>
      </c>
      <c r="D1294" s="2" t="s">
        <v>192</v>
      </c>
      <c r="E1294" s="3" t="s">
        <v>35</v>
      </c>
    </row>
    <row r="1295" spans="1:5" ht="16">
      <c r="A1295" s="1" t="s">
        <v>2702</v>
      </c>
      <c r="B1295" s="2" t="s">
        <v>91</v>
      </c>
      <c r="C1295" s="2" t="s">
        <v>2703</v>
      </c>
      <c r="D1295" s="2" t="s">
        <v>192</v>
      </c>
      <c r="E1295" s="3" t="s">
        <v>35</v>
      </c>
    </row>
    <row r="1296" spans="1:5" ht="16">
      <c r="A1296" s="1" t="s">
        <v>2704</v>
      </c>
      <c r="B1296" s="2" t="s">
        <v>91</v>
      </c>
      <c r="C1296" s="2" t="s">
        <v>2705</v>
      </c>
      <c r="D1296" s="2" t="s">
        <v>192</v>
      </c>
      <c r="E1296" s="3" t="s">
        <v>35</v>
      </c>
    </row>
    <row r="1297" spans="1:5" ht="16">
      <c r="A1297" s="1" t="s">
        <v>2706</v>
      </c>
      <c r="B1297" s="2" t="s">
        <v>97</v>
      </c>
      <c r="C1297" s="2" t="s">
        <v>2707</v>
      </c>
      <c r="D1297" s="2" t="s">
        <v>192</v>
      </c>
      <c r="E1297" s="3" t="s">
        <v>35</v>
      </c>
    </row>
    <row r="1298" spans="1:5" ht="16">
      <c r="A1298" s="1" t="s">
        <v>2708</v>
      </c>
      <c r="B1298" s="2" t="s">
        <v>97</v>
      </c>
      <c r="C1298" s="2" t="s">
        <v>2709</v>
      </c>
      <c r="D1298" s="2" t="s">
        <v>192</v>
      </c>
      <c r="E1298" s="3" t="s">
        <v>35</v>
      </c>
    </row>
    <row r="1299" spans="1:5" ht="16">
      <c r="A1299" s="1" t="s">
        <v>2710</v>
      </c>
      <c r="B1299" s="2" t="s">
        <v>97</v>
      </c>
      <c r="C1299" s="2" t="s">
        <v>2711</v>
      </c>
      <c r="D1299" s="2" t="s">
        <v>192</v>
      </c>
      <c r="E1299" s="3" t="s">
        <v>35</v>
      </c>
    </row>
    <row r="1300" spans="1:5" ht="16">
      <c r="A1300" s="1" t="s">
        <v>2712</v>
      </c>
      <c r="B1300" s="2" t="s">
        <v>91</v>
      </c>
      <c r="C1300" s="2" t="s">
        <v>2713</v>
      </c>
      <c r="D1300" s="2" t="s">
        <v>192</v>
      </c>
      <c r="E1300" s="3" t="s">
        <v>35</v>
      </c>
    </row>
    <row r="1301" spans="1:5" ht="16">
      <c r="A1301" s="1" t="s">
        <v>2714</v>
      </c>
      <c r="B1301" s="2" t="s">
        <v>91</v>
      </c>
      <c r="C1301" s="2" t="s">
        <v>2715</v>
      </c>
      <c r="D1301" s="2" t="s">
        <v>192</v>
      </c>
      <c r="E1301" s="3" t="s">
        <v>35</v>
      </c>
    </row>
    <row r="1302" spans="1:5" ht="16">
      <c r="A1302" s="1" t="s">
        <v>2716</v>
      </c>
      <c r="B1302" s="2" t="s">
        <v>91</v>
      </c>
      <c r="C1302" s="2" t="s">
        <v>2717</v>
      </c>
      <c r="D1302" s="2" t="s">
        <v>192</v>
      </c>
      <c r="E1302" s="3" t="s">
        <v>35</v>
      </c>
    </row>
    <row r="1303" spans="1:5" ht="16">
      <c r="A1303" s="1" t="s">
        <v>2718</v>
      </c>
      <c r="B1303" s="2" t="s">
        <v>91</v>
      </c>
      <c r="C1303" s="2" t="s">
        <v>2719</v>
      </c>
      <c r="D1303" s="2" t="s">
        <v>192</v>
      </c>
      <c r="E1303" s="3" t="s">
        <v>35</v>
      </c>
    </row>
    <row r="1304" spans="1:5" ht="16">
      <c r="A1304" s="1" t="s">
        <v>2720</v>
      </c>
      <c r="B1304" s="2" t="s">
        <v>91</v>
      </c>
      <c r="C1304" s="2" t="s">
        <v>2721</v>
      </c>
      <c r="D1304" s="2" t="s">
        <v>192</v>
      </c>
      <c r="E1304" s="3" t="s">
        <v>35</v>
      </c>
    </row>
    <row r="1305" spans="1:5" ht="16">
      <c r="A1305" s="1" t="s">
        <v>2722</v>
      </c>
      <c r="B1305" s="2" t="s">
        <v>91</v>
      </c>
      <c r="C1305" s="2" t="s">
        <v>2723</v>
      </c>
      <c r="D1305" s="2" t="s">
        <v>192</v>
      </c>
      <c r="E1305" s="3" t="s">
        <v>35</v>
      </c>
    </row>
    <row r="1306" spans="1:5" ht="16">
      <c r="A1306" s="1" t="s">
        <v>2724</v>
      </c>
      <c r="B1306" s="2" t="s">
        <v>91</v>
      </c>
      <c r="C1306" s="2" t="s">
        <v>2725</v>
      </c>
      <c r="D1306" s="2" t="s">
        <v>192</v>
      </c>
      <c r="E1306" s="3" t="s">
        <v>35</v>
      </c>
    </row>
    <row r="1307" spans="1:5" ht="16">
      <c r="A1307" s="1" t="s">
        <v>2726</v>
      </c>
      <c r="B1307" s="2" t="s">
        <v>91</v>
      </c>
      <c r="C1307" s="2" t="s">
        <v>2727</v>
      </c>
      <c r="D1307" s="2" t="s">
        <v>192</v>
      </c>
      <c r="E1307" s="3" t="s">
        <v>35</v>
      </c>
    </row>
    <row r="1308" spans="1:5" ht="16">
      <c r="A1308" s="1" t="s">
        <v>2728</v>
      </c>
      <c r="B1308" s="2" t="s">
        <v>199</v>
      </c>
      <c r="C1308" s="2" t="s">
        <v>2729</v>
      </c>
      <c r="D1308" s="2" t="s">
        <v>192</v>
      </c>
      <c r="E1308" s="3" t="s">
        <v>35</v>
      </c>
    </row>
    <row r="1309" spans="1:5" ht="16">
      <c r="A1309" s="1" t="s">
        <v>2730</v>
      </c>
      <c r="B1309" s="2" t="s">
        <v>85</v>
      </c>
      <c r="C1309" s="2" t="s">
        <v>2731</v>
      </c>
      <c r="D1309" s="2" t="s">
        <v>192</v>
      </c>
      <c r="E1309" s="3" t="s">
        <v>35</v>
      </c>
    </row>
    <row r="1310" spans="1:5" ht="16">
      <c r="A1310" s="1" t="s">
        <v>2732</v>
      </c>
      <c r="B1310" s="2" t="s">
        <v>85</v>
      </c>
      <c r="C1310" s="2" t="s">
        <v>2733</v>
      </c>
      <c r="D1310" s="2" t="s">
        <v>192</v>
      </c>
      <c r="E1310" s="3" t="s">
        <v>35</v>
      </c>
    </row>
    <row r="1311" spans="1:5" ht="16">
      <c r="A1311" s="1" t="s">
        <v>2734</v>
      </c>
      <c r="B1311" s="2" t="s">
        <v>85</v>
      </c>
      <c r="C1311" s="2" t="s">
        <v>2735</v>
      </c>
      <c r="D1311" s="2" t="s">
        <v>192</v>
      </c>
      <c r="E1311" s="3" t="s">
        <v>35</v>
      </c>
    </row>
    <row r="1312" spans="1:5" ht="16">
      <c r="A1312" s="1" t="s">
        <v>2736</v>
      </c>
      <c r="B1312" s="2" t="s">
        <v>85</v>
      </c>
      <c r="C1312" s="2" t="s">
        <v>2737</v>
      </c>
      <c r="D1312" s="2" t="s">
        <v>192</v>
      </c>
      <c r="E1312" s="3" t="s">
        <v>35</v>
      </c>
    </row>
    <row r="1313" spans="1:5" ht="16">
      <c r="A1313" s="1" t="s">
        <v>2738</v>
      </c>
      <c r="B1313" s="2" t="s">
        <v>91</v>
      </c>
      <c r="C1313" s="2" t="s">
        <v>2739</v>
      </c>
      <c r="D1313" s="2" t="s">
        <v>192</v>
      </c>
      <c r="E1313" s="3" t="s">
        <v>35</v>
      </c>
    </row>
    <row r="1314" spans="1:5" ht="16">
      <c r="A1314" s="1" t="s">
        <v>2740</v>
      </c>
      <c r="B1314" s="2" t="s">
        <v>91</v>
      </c>
      <c r="C1314" s="2" t="s">
        <v>2741</v>
      </c>
      <c r="D1314" s="2" t="s">
        <v>192</v>
      </c>
      <c r="E1314" s="3" t="s">
        <v>35</v>
      </c>
    </row>
    <row r="1315" spans="1:5" ht="16">
      <c r="A1315" s="1" t="s">
        <v>2742</v>
      </c>
      <c r="B1315" s="2" t="s">
        <v>85</v>
      </c>
      <c r="C1315" s="2" t="s">
        <v>2743</v>
      </c>
      <c r="D1315" s="2" t="s">
        <v>192</v>
      </c>
      <c r="E1315" s="3" t="s">
        <v>35</v>
      </c>
    </row>
    <row r="1316" spans="1:5" ht="16">
      <c r="A1316" s="1" t="s">
        <v>2744</v>
      </c>
      <c r="B1316" s="2" t="s">
        <v>80</v>
      </c>
      <c r="C1316" s="2" t="s">
        <v>2745</v>
      </c>
      <c r="D1316" s="2" t="s">
        <v>440</v>
      </c>
      <c r="E1316" s="3" t="s">
        <v>45</v>
      </c>
    </row>
    <row r="1317" spans="1:5" ht="16">
      <c r="A1317" s="1" t="s">
        <v>2746</v>
      </c>
      <c r="B1317" s="2" t="s">
        <v>91</v>
      </c>
      <c r="C1317" s="2" t="s">
        <v>2747</v>
      </c>
      <c r="D1317" s="2" t="s">
        <v>192</v>
      </c>
      <c r="E1317" s="3" t="s">
        <v>35</v>
      </c>
    </row>
    <row r="1318" spans="1:5" ht="16">
      <c r="A1318" s="1" t="s">
        <v>2748</v>
      </c>
      <c r="B1318" s="2" t="s">
        <v>80</v>
      </c>
      <c r="C1318" s="2" t="s">
        <v>2749</v>
      </c>
      <c r="D1318" s="2" t="s">
        <v>440</v>
      </c>
      <c r="E1318" s="3" t="s">
        <v>45</v>
      </c>
    </row>
    <row r="1319" spans="1:5" ht="16">
      <c r="A1319" s="1" t="s">
        <v>2750</v>
      </c>
      <c r="B1319" s="2" t="s">
        <v>85</v>
      </c>
      <c r="C1319" s="2" t="s">
        <v>2751</v>
      </c>
      <c r="D1319" s="2" t="s">
        <v>192</v>
      </c>
      <c r="E1319" s="3" t="s">
        <v>35</v>
      </c>
    </row>
    <row r="1320" spans="1:5" ht="16">
      <c r="A1320" s="1" t="s">
        <v>2752</v>
      </c>
      <c r="B1320" s="2" t="s">
        <v>85</v>
      </c>
      <c r="C1320" s="2" t="s">
        <v>2753</v>
      </c>
      <c r="D1320" s="2" t="s">
        <v>192</v>
      </c>
      <c r="E1320" s="3" t="s">
        <v>35</v>
      </c>
    </row>
    <row r="1321" spans="1:5" ht="16">
      <c r="A1321" s="1" t="s">
        <v>2754</v>
      </c>
      <c r="B1321" s="2" t="s">
        <v>80</v>
      </c>
      <c r="C1321" s="2" t="s">
        <v>2755</v>
      </c>
      <c r="D1321" s="2" t="s">
        <v>440</v>
      </c>
      <c r="E1321" s="3" t="s">
        <v>45</v>
      </c>
    </row>
    <row r="1322" spans="1:5" ht="16">
      <c r="A1322" s="1" t="s">
        <v>2756</v>
      </c>
      <c r="B1322" s="2" t="s">
        <v>74</v>
      </c>
      <c r="C1322" s="2" t="s">
        <v>2757</v>
      </c>
      <c r="D1322" s="2" t="s">
        <v>440</v>
      </c>
      <c r="E1322" s="3" t="s">
        <v>45</v>
      </c>
    </row>
    <row r="1323" spans="1:5" ht="16">
      <c r="A1323" s="1" t="s">
        <v>2758</v>
      </c>
      <c r="B1323" s="2" t="s">
        <v>80</v>
      </c>
      <c r="C1323" s="2" t="s">
        <v>2759</v>
      </c>
      <c r="D1323" s="2" t="s">
        <v>440</v>
      </c>
      <c r="E1323" s="3" t="s">
        <v>45</v>
      </c>
    </row>
    <row r="1324" spans="1:5" ht="16">
      <c r="A1324" s="1" t="s">
        <v>2760</v>
      </c>
      <c r="B1324" s="2" t="s">
        <v>91</v>
      </c>
      <c r="C1324" s="2" t="s">
        <v>2761</v>
      </c>
      <c r="D1324" s="2" t="s">
        <v>192</v>
      </c>
      <c r="E1324" s="3" t="s">
        <v>35</v>
      </c>
    </row>
    <row r="1325" spans="1:5" ht="16">
      <c r="A1325" s="1" t="s">
        <v>2762</v>
      </c>
      <c r="B1325" s="2" t="s">
        <v>97</v>
      </c>
      <c r="C1325" s="2" t="s">
        <v>2763</v>
      </c>
      <c r="D1325" s="2" t="s">
        <v>192</v>
      </c>
      <c r="E1325" s="3" t="s">
        <v>35</v>
      </c>
    </row>
    <row r="1326" spans="1:5" ht="16">
      <c r="A1326" s="1" t="s">
        <v>2764</v>
      </c>
      <c r="B1326" s="2" t="s">
        <v>91</v>
      </c>
      <c r="C1326" s="2" t="s">
        <v>2765</v>
      </c>
      <c r="D1326" s="2" t="s">
        <v>192</v>
      </c>
      <c r="E1326" s="3" t="s">
        <v>35</v>
      </c>
    </row>
    <row r="1327" spans="1:5" ht="16">
      <c r="A1327" s="1" t="s">
        <v>2766</v>
      </c>
      <c r="B1327" s="2" t="s">
        <v>80</v>
      </c>
      <c r="C1327" s="2" t="s">
        <v>2767</v>
      </c>
      <c r="D1327" s="2" t="s">
        <v>440</v>
      </c>
      <c r="E1327" s="3" t="s">
        <v>45</v>
      </c>
    </row>
    <row r="1328" spans="1:5" ht="16">
      <c r="A1328" s="1" t="s">
        <v>2768</v>
      </c>
      <c r="B1328" s="2" t="s">
        <v>69</v>
      </c>
      <c r="C1328" s="2" t="s">
        <v>2769</v>
      </c>
      <c r="D1328" s="2" t="s">
        <v>440</v>
      </c>
      <c r="E1328" s="3" t="s">
        <v>45</v>
      </c>
    </row>
    <row r="1329" spans="1:5" ht="16">
      <c r="A1329" s="1" t="s">
        <v>2770</v>
      </c>
      <c r="B1329" s="2" t="s">
        <v>97</v>
      </c>
      <c r="C1329" s="2" t="s">
        <v>2771</v>
      </c>
      <c r="D1329" s="2" t="s">
        <v>192</v>
      </c>
      <c r="E1329" s="3" t="s">
        <v>35</v>
      </c>
    </row>
    <row r="1330" spans="1:5" ht="16">
      <c r="A1330" s="1" t="s">
        <v>2772</v>
      </c>
      <c r="B1330" s="2" t="s">
        <v>254</v>
      </c>
      <c r="C1330" s="2" t="s">
        <v>2773</v>
      </c>
      <c r="D1330" s="2" t="s">
        <v>192</v>
      </c>
      <c r="E1330" s="3" t="s">
        <v>35</v>
      </c>
    </row>
    <row r="1331" spans="1:5" ht="16">
      <c r="A1331" s="1" t="s">
        <v>2774</v>
      </c>
      <c r="B1331" s="2" t="s">
        <v>91</v>
      </c>
      <c r="C1331" s="2" t="s">
        <v>2775</v>
      </c>
      <c r="D1331" s="2" t="s">
        <v>192</v>
      </c>
      <c r="E1331" s="3" t="s">
        <v>35</v>
      </c>
    </row>
    <row r="1332" spans="1:5" ht="16">
      <c r="A1332" s="1" t="s">
        <v>2776</v>
      </c>
      <c r="B1332" s="2" t="s">
        <v>303</v>
      </c>
      <c r="C1332" s="2" t="s">
        <v>2777</v>
      </c>
      <c r="D1332" s="2" t="s">
        <v>192</v>
      </c>
      <c r="E1332" s="3" t="s">
        <v>35</v>
      </c>
    </row>
    <row r="1333" spans="1:5" ht="16">
      <c r="A1333" s="1" t="s">
        <v>2778</v>
      </c>
      <c r="B1333" s="2" t="s">
        <v>85</v>
      </c>
      <c r="C1333" s="2" t="s">
        <v>2779</v>
      </c>
      <c r="D1333" s="2" t="s">
        <v>192</v>
      </c>
      <c r="E1333" s="3" t="s">
        <v>35</v>
      </c>
    </row>
    <row r="1334" spans="1:5" ht="16">
      <c r="A1334" s="1" t="s">
        <v>2780</v>
      </c>
      <c r="B1334" s="2" t="s">
        <v>303</v>
      </c>
      <c r="C1334" s="2" t="s">
        <v>2781</v>
      </c>
      <c r="D1334" s="2" t="s">
        <v>192</v>
      </c>
      <c r="E1334" s="3" t="s">
        <v>35</v>
      </c>
    </row>
    <row r="1335" spans="1:5" ht="16">
      <c r="A1335" s="1" t="s">
        <v>2782</v>
      </c>
      <c r="B1335" s="2" t="s">
        <v>85</v>
      </c>
      <c r="C1335" s="2" t="s">
        <v>2783</v>
      </c>
      <c r="D1335" s="2" t="s">
        <v>192</v>
      </c>
      <c r="E1335" s="3" t="s">
        <v>35</v>
      </c>
    </row>
    <row r="1336" spans="1:5" ht="16">
      <c r="A1336" s="1" t="s">
        <v>2784</v>
      </c>
      <c r="B1336" s="2" t="s">
        <v>85</v>
      </c>
      <c r="C1336" s="2" t="s">
        <v>2785</v>
      </c>
      <c r="D1336" s="2" t="s">
        <v>192</v>
      </c>
      <c r="E1336" s="3" t="s">
        <v>35</v>
      </c>
    </row>
    <row r="1337" spans="1:5" ht="16">
      <c r="A1337" s="1" t="s">
        <v>2786</v>
      </c>
      <c r="B1337" s="2" t="s">
        <v>74</v>
      </c>
      <c r="C1337" s="2" t="s">
        <v>2787</v>
      </c>
      <c r="D1337" s="2" t="s">
        <v>440</v>
      </c>
      <c r="E1337" s="3" t="s">
        <v>45</v>
      </c>
    </row>
    <row r="1338" spans="1:5" ht="16">
      <c r="A1338" s="1" t="s">
        <v>2788</v>
      </c>
      <c r="B1338" s="2" t="s">
        <v>254</v>
      </c>
      <c r="C1338" s="2" t="s">
        <v>2789</v>
      </c>
      <c r="D1338" s="2" t="s">
        <v>192</v>
      </c>
      <c r="E1338" s="3" t="s">
        <v>35</v>
      </c>
    </row>
    <row r="1339" spans="1:5" ht="16">
      <c r="A1339" s="1" t="s">
        <v>2790</v>
      </c>
      <c r="B1339" s="2" t="s">
        <v>85</v>
      </c>
      <c r="C1339" s="2" t="s">
        <v>2791</v>
      </c>
      <c r="D1339" s="2" t="s">
        <v>192</v>
      </c>
      <c r="E1339" s="3" t="s">
        <v>35</v>
      </c>
    </row>
    <row r="1340" spans="1:5" ht="16">
      <c r="A1340" s="1" t="s">
        <v>2792</v>
      </c>
      <c r="B1340" s="2" t="s">
        <v>199</v>
      </c>
      <c r="C1340" s="2" t="s">
        <v>2793</v>
      </c>
      <c r="D1340" s="2" t="s">
        <v>192</v>
      </c>
      <c r="E1340" s="3" t="s">
        <v>35</v>
      </c>
    </row>
    <row r="1341" spans="1:5" ht="16">
      <c r="A1341" s="1" t="s">
        <v>2794</v>
      </c>
      <c r="B1341" s="2" t="s">
        <v>243</v>
      </c>
      <c r="C1341" s="2" t="s">
        <v>2795</v>
      </c>
      <c r="D1341" s="2" t="s">
        <v>192</v>
      </c>
      <c r="E1341" s="3" t="s">
        <v>35</v>
      </c>
    </row>
    <row r="1342" spans="1:5" ht="16">
      <c r="A1342" s="1" t="s">
        <v>2796</v>
      </c>
      <c r="B1342" s="2" t="s">
        <v>199</v>
      </c>
      <c r="C1342" s="2" t="s">
        <v>2797</v>
      </c>
      <c r="D1342" s="2" t="s">
        <v>192</v>
      </c>
      <c r="E1342" s="3" t="s">
        <v>35</v>
      </c>
    </row>
    <row r="1343" spans="1:5" ht="16">
      <c r="A1343" s="1" t="s">
        <v>2798</v>
      </c>
      <c r="B1343" s="2" t="s">
        <v>254</v>
      </c>
      <c r="C1343" s="2" t="s">
        <v>2799</v>
      </c>
      <c r="D1343" s="2" t="s">
        <v>192</v>
      </c>
      <c r="E1343" s="3" t="s">
        <v>35</v>
      </c>
    </row>
    <row r="1344" spans="1:5" ht="16">
      <c r="A1344" s="1" t="s">
        <v>2800</v>
      </c>
      <c r="B1344" s="2" t="s">
        <v>85</v>
      </c>
      <c r="C1344" s="2" t="s">
        <v>2801</v>
      </c>
      <c r="D1344" s="2" t="s">
        <v>192</v>
      </c>
      <c r="E1344" s="3" t="s">
        <v>35</v>
      </c>
    </row>
    <row r="1345" spans="1:5" ht="16">
      <c r="A1345" s="1" t="s">
        <v>2802</v>
      </c>
      <c r="B1345" s="2" t="s">
        <v>254</v>
      </c>
      <c r="C1345" s="2" t="s">
        <v>2803</v>
      </c>
      <c r="D1345" s="2" t="s">
        <v>192</v>
      </c>
      <c r="E1345" s="3" t="s">
        <v>35</v>
      </c>
    </row>
    <row r="1346" spans="1:5" ht="16">
      <c r="A1346" s="1" t="s">
        <v>2804</v>
      </c>
      <c r="B1346" s="2" t="s">
        <v>85</v>
      </c>
      <c r="C1346" s="2" t="s">
        <v>2805</v>
      </c>
      <c r="D1346" s="2" t="s">
        <v>192</v>
      </c>
      <c r="E1346" s="3" t="s">
        <v>35</v>
      </c>
    </row>
    <row r="1347" spans="1:5" ht="16">
      <c r="A1347" s="1" t="s">
        <v>2806</v>
      </c>
      <c r="B1347" s="2" t="s">
        <v>97</v>
      </c>
      <c r="C1347" s="2" t="s">
        <v>2807</v>
      </c>
      <c r="D1347" s="2" t="s">
        <v>192</v>
      </c>
      <c r="E1347" s="3" t="s">
        <v>35</v>
      </c>
    </row>
    <row r="1348" spans="1:5" ht="16">
      <c r="A1348" s="1" t="s">
        <v>2808</v>
      </c>
      <c r="B1348" s="2" t="s">
        <v>303</v>
      </c>
      <c r="C1348" s="2" t="s">
        <v>2809</v>
      </c>
      <c r="D1348" s="2" t="s">
        <v>192</v>
      </c>
      <c r="E1348" s="3" t="s">
        <v>35</v>
      </c>
    </row>
    <row r="1349" spans="1:5" ht="16">
      <c r="A1349" s="1" t="s">
        <v>2810</v>
      </c>
      <c r="B1349" s="2" t="s">
        <v>303</v>
      </c>
      <c r="C1349" s="2" t="s">
        <v>2811</v>
      </c>
      <c r="D1349" s="2" t="s">
        <v>192</v>
      </c>
      <c r="E1349" s="3" t="s">
        <v>35</v>
      </c>
    </row>
    <row r="1350" spans="1:5" ht="16">
      <c r="A1350" s="1" t="s">
        <v>2812</v>
      </c>
      <c r="B1350" s="2" t="s">
        <v>303</v>
      </c>
      <c r="C1350" s="2" t="s">
        <v>2813</v>
      </c>
      <c r="D1350" s="2" t="s">
        <v>192</v>
      </c>
      <c r="E1350" s="3" t="s">
        <v>35</v>
      </c>
    </row>
    <row r="1351" spans="1:5" ht="16">
      <c r="A1351" s="1" t="s">
        <v>2814</v>
      </c>
      <c r="B1351" s="2" t="s">
        <v>243</v>
      </c>
      <c r="C1351" s="2" t="s">
        <v>2815</v>
      </c>
      <c r="D1351" s="2" t="s">
        <v>192</v>
      </c>
      <c r="E1351" s="3" t="s">
        <v>35</v>
      </c>
    </row>
    <row r="1352" spans="1:5" ht="16">
      <c r="A1352" s="1" t="s">
        <v>2816</v>
      </c>
      <c r="B1352" s="2" t="s">
        <v>214</v>
      </c>
      <c r="C1352" s="2" t="s">
        <v>2817</v>
      </c>
      <c r="D1352" s="2" t="s">
        <v>192</v>
      </c>
      <c r="E1352" s="3" t="s">
        <v>35</v>
      </c>
    </row>
    <row r="1353" spans="1:5" ht="16">
      <c r="A1353" s="1" t="s">
        <v>2818</v>
      </c>
      <c r="B1353" s="2" t="s">
        <v>199</v>
      </c>
      <c r="C1353" s="2" t="s">
        <v>2819</v>
      </c>
      <c r="D1353" s="2" t="s">
        <v>192</v>
      </c>
      <c r="E1353" s="3" t="s">
        <v>35</v>
      </c>
    </row>
    <row r="1354" spans="1:5" ht="16">
      <c r="A1354" s="1" t="s">
        <v>2820</v>
      </c>
      <c r="B1354" s="2" t="s">
        <v>254</v>
      </c>
      <c r="C1354" s="2" t="s">
        <v>2821</v>
      </c>
      <c r="D1354" s="2" t="s">
        <v>192</v>
      </c>
      <c r="E1354" s="3" t="s">
        <v>35</v>
      </c>
    </row>
    <row r="1355" spans="1:5" ht="16">
      <c r="A1355" s="1" t="s">
        <v>2822</v>
      </c>
      <c r="B1355" s="2" t="s">
        <v>303</v>
      </c>
      <c r="C1355" s="2" t="s">
        <v>2823</v>
      </c>
      <c r="D1355" s="2" t="s">
        <v>192</v>
      </c>
      <c r="E1355" s="3" t="s">
        <v>35</v>
      </c>
    </row>
    <row r="1356" spans="1:5" ht="16">
      <c r="A1356" s="1" t="s">
        <v>2824</v>
      </c>
      <c r="B1356" s="2" t="s">
        <v>199</v>
      </c>
      <c r="C1356" s="2" t="s">
        <v>2825</v>
      </c>
      <c r="D1356" s="2" t="s">
        <v>192</v>
      </c>
      <c r="E1356" s="3" t="s">
        <v>35</v>
      </c>
    </row>
    <row r="1357" spans="1:5" ht="16">
      <c r="A1357" s="1" t="s">
        <v>2826</v>
      </c>
      <c r="B1357" s="2" t="s">
        <v>303</v>
      </c>
      <c r="C1357" s="2" t="s">
        <v>2827</v>
      </c>
      <c r="D1357" s="2" t="s">
        <v>192</v>
      </c>
      <c r="E1357" s="3" t="s">
        <v>35</v>
      </c>
    </row>
    <row r="1358" spans="1:5" ht="16">
      <c r="A1358" s="1" t="s">
        <v>2828</v>
      </c>
      <c r="B1358" s="2" t="s">
        <v>97</v>
      </c>
      <c r="C1358" s="2" t="s">
        <v>2829</v>
      </c>
      <c r="D1358" s="2" t="s">
        <v>192</v>
      </c>
      <c r="E1358" s="3" t="s">
        <v>35</v>
      </c>
    </row>
    <row r="1359" spans="1:5" ht="16">
      <c r="A1359" s="1" t="s">
        <v>2830</v>
      </c>
      <c r="B1359" s="2" t="s">
        <v>303</v>
      </c>
      <c r="C1359" s="2" t="s">
        <v>2831</v>
      </c>
      <c r="D1359" s="2" t="s">
        <v>192</v>
      </c>
      <c r="E1359" s="3" t="s">
        <v>35</v>
      </c>
    </row>
    <row r="1360" spans="1:5" ht="16">
      <c r="A1360" s="1" t="s">
        <v>2832</v>
      </c>
      <c r="B1360" s="2" t="s">
        <v>199</v>
      </c>
      <c r="C1360" s="2" t="s">
        <v>2833</v>
      </c>
      <c r="D1360" s="2" t="s">
        <v>192</v>
      </c>
      <c r="E1360" s="3" t="s">
        <v>35</v>
      </c>
    </row>
    <row r="1361" spans="1:5" ht="16">
      <c r="A1361" s="1" t="s">
        <v>2834</v>
      </c>
      <c r="B1361" s="2" t="s">
        <v>303</v>
      </c>
      <c r="C1361" s="2" t="s">
        <v>2835</v>
      </c>
      <c r="D1361" s="2" t="s">
        <v>192</v>
      </c>
      <c r="E1361" s="3" t="s">
        <v>35</v>
      </c>
    </row>
    <row r="1362" spans="1:5" ht="16">
      <c r="A1362" s="1" t="s">
        <v>2836</v>
      </c>
      <c r="B1362" s="2" t="s">
        <v>97</v>
      </c>
      <c r="C1362" s="2" t="s">
        <v>2837</v>
      </c>
      <c r="D1362" s="2" t="s">
        <v>192</v>
      </c>
      <c r="E1362" s="3" t="s">
        <v>35</v>
      </c>
    </row>
    <row r="1363" spans="1:5" ht="16">
      <c r="A1363" s="1" t="s">
        <v>2838</v>
      </c>
      <c r="B1363" s="2" t="s">
        <v>196</v>
      </c>
      <c r="C1363" s="2" t="s">
        <v>2839</v>
      </c>
      <c r="D1363" s="2" t="s">
        <v>192</v>
      </c>
      <c r="E1363" s="3" t="s">
        <v>35</v>
      </c>
    </row>
    <row r="1364" spans="1:5" ht="16">
      <c r="A1364" s="1" t="s">
        <v>2840</v>
      </c>
      <c r="B1364" s="2" t="s">
        <v>303</v>
      </c>
      <c r="C1364" s="2" t="s">
        <v>2841</v>
      </c>
      <c r="D1364" s="2" t="s">
        <v>192</v>
      </c>
      <c r="E1364" s="3" t="s">
        <v>35</v>
      </c>
    </row>
    <row r="1365" spans="1:5" ht="16">
      <c r="A1365" s="1" t="s">
        <v>2842</v>
      </c>
      <c r="B1365" s="2" t="s">
        <v>97</v>
      </c>
      <c r="C1365" s="2" t="s">
        <v>2843</v>
      </c>
      <c r="D1365" s="2" t="s">
        <v>192</v>
      </c>
      <c r="E1365" s="3" t="s">
        <v>35</v>
      </c>
    </row>
    <row r="1366" spans="1:5" ht="16">
      <c r="A1366" s="1" t="s">
        <v>2844</v>
      </c>
      <c r="B1366" s="2" t="s">
        <v>303</v>
      </c>
      <c r="C1366" s="2" t="s">
        <v>2845</v>
      </c>
      <c r="D1366" s="2" t="s">
        <v>192</v>
      </c>
      <c r="E1366" s="3" t="s">
        <v>35</v>
      </c>
    </row>
    <row r="1367" spans="1:5" ht="16">
      <c r="A1367" s="1" t="s">
        <v>2846</v>
      </c>
      <c r="B1367" s="2" t="s">
        <v>97</v>
      </c>
      <c r="C1367" s="2" t="s">
        <v>2847</v>
      </c>
      <c r="D1367" s="2" t="s">
        <v>192</v>
      </c>
      <c r="E1367" s="3" t="s">
        <v>35</v>
      </c>
    </row>
    <row r="1368" spans="1:5" ht="16">
      <c r="A1368" s="1" t="s">
        <v>2848</v>
      </c>
      <c r="B1368" s="2" t="s">
        <v>303</v>
      </c>
      <c r="C1368" s="2" t="s">
        <v>2849</v>
      </c>
      <c r="D1368" s="2" t="s">
        <v>192</v>
      </c>
      <c r="E1368" s="3" t="s">
        <v>35</v>
      </c>
    </row>
    <row r="1369" spans="1:5" ht="16">
      <c r="A1369" s="1" t="s">
        <v>2850</v>
      </c>
      <c r="B1369" s="2" t="s">
        <v>303</v>
      </c>
      <c r="C1369" s="2" t="s">
        <v>2851</v>
      </c>
      <c r="D1369" s="2" t="s">
        <v>192</v>
      </c>
      <c r="E1369" s="3" t="s">
        <v>35</v>
      </c>
    </row>
    <row r="1370" spans="1:5" ht="16">
      <c r="A1370" s="1" t="s">
        <v>2852</v>
      </c>
      <c r="B1370" s="2" t="s">
        <v>303</v>
      </c>
      <c r="C1370" s="2" t="s">
        <v>2853</v>
      </c>
      <c r="D1370" s="2" t="s">
        <v>192</v>
      </c>
      <c r="E1370" s="3" t="s">
        <v>35</v>
      </c>
    </row>
    <row r="1371" spans="1:5" ht="16">
      <c r="A1371" s="1" t="s">
        <v>2854</v>
      </c>
      <c r="B1371" s="2" t="s">
        <v>196</v>
      </c>
      <c r="C1371" s="2" t="s">
        <v>2855</v>
      </c>
      <c r="D1371" s="2" t="s">
        <v>192</v>
      </c>
      <c r="E1371" s="3" t="s">
        <v>35</v>
      </c>
    </row>
    <row r="1372" spans="1:5" ht="16">
      <c r="A1372" s="1" t="s">
        <v>2856</v>
      </c>
      <c r="B1372" s="2" t="s">
        <v>199</v>
      </c>
      <c r="C1372" s="2" t="s">
        <v>2857</v>
      </c>
      <c r="D1372" s="2" t="s">
        <v>192</v>
      </c>
      <c r="E1372" s="3" t="s">
        <v>35</v>
      </c>
    </row>
    <row r="1373" spans="1:5" ht="16">
      <c r="A1373" s="1" t="s">
        <v>2858</v>
      </c>
      <c r="B1373" s="2" t="s">
        <v>303</v>
      </c>
      <c r="C1373" s="2" t="s">
        <v>2859</v>
      </c>
      <c r="D1373" s="2" t="s">
        <v>192</v>
      </c>
      <c r="E1373" s="3" t="s">
        <v>35</v>
      </c>
    </row>
    <row r="1374" spans="1:5" ht="16">
      <c r="A1374" s="1" t="s">
        <v>2860</v>
      </c>
      <c r="B1374" s="2" t="s">
        <v>85</v>
      </c>
      <c r="C1374" s="2" t="s">
        <v>2861</v>
      </c>
      <c r="D1374" s="2" t="s">
        <v>192</v>
      </c>
      <c r="E1374" s="3" t="s">
        <v>35</v>
      </c>
    </row>
    <row r="1375" spans="1:5" ht="16">
      <c r="A1375" s="1" t="s">
        <v>2862</v>
      </c>
      <c r="B1375" s="2" t="s">
        <v>91</v>
      </c>
      <c r="C1375" s="2" t="s">
        <v>2863</v>
      </c>
      <c r="D1375" s="2" t="s">
        <v>192</v>
      </c>
      <c r="E1375" s="3" t="s">
        <v>35</v>
      </c>
    </row>
    <row r="1376" spans="1:5" ht="16">
      <c r="A1376" s="1" t="s">
        <v>2864</v>
      </c>
      <c r="B1376" s="2" t="s">
        <v>199</v>
      </c>
      <c r="C1376" s="2" t="s">
        <v>2865</v>
      </c>
      <c r="D1376" s="2" t="s">
        <v>192</v>
      </c>
      <c r="E1376" s="3" t="s">
        <v>35</v>
      </c>
    </row>
    <row r="1377" spans="1:5" ht="16">
      <c r="A1377" s="1" t="s">
        <v>2866</v>
      </c>
      <c r="B1377" s="2" t="s">
        <v>91</v>
      </c>
      <c r="C1377" s="2" t="s">
        <v>2867</v>
      </c>
      <c r="D1377" s="2" t="s">
        <v>192</v>
      </c>
      <c r="E1377" s="3" t="s">
        <v>35</v>
      </c>
    </row>
    <row r="1378" spans="1:5" ht="16">
      <c r="A1378" s="1" t="s">
        <v>2868</v>
      </c>
      <c r="B1378" s="2" t="s">
        <v>199</v>
      </c>
      <c r="C1378" s="2" t="s">
        <v>2869</v>
      </c>
      <c r="D1378" s="2" t="s">
        <v>192</v>
      </c>
      <c r="E1378" s="3" t="s">
        <v>35</v>
      </c>
    </row>
    <row r="1379" spans="1:5" ht="16">
      <c r="A1379" s="1" t="s">
        <v>2870</v>
      </c>
      <c r="B1379" s="2" t="s">
        <v>91</v>
      </c>
      <c r="C1379" s="2" t="s">
        <v>2871</v>
      </c>
      <c r="D1379" s="2" t="s">
        <v>192</v>
      </c>
      <c r="E1379" s="3" t="s">
        <v>35</v>
      </c>
    </row>
    <row r="1380" spans="1:5" ht="16">
      <c r="A1380" s="1" t="s">
        <v>2872</v>
      </c>
      <c r="B1380" s="2" t="s">
        <v>97</v>
      </c>
      <c r="C1380" s="2" t="s">
        <v>2873</v>
      </c>
      <c r="D1380" s="2" t="s">
        <v>192</v>
      </c>
      <c r="E1380" s="3" t="s">
        <v>35</v>
      </c>
    </row>
    <row r="1381" spans="1:5" ht="16">
      <c r="A1381" s="1" t="s">
        <v>2874</v>
      </c>
      <c r="B1381" s="2" t="s">
        <v>97</v>
      </c>
      <c r="C1381" s="2" t="s">
        <v>2875</v>
      </c>
      <c r="D1381" s="2" t="s">
        <v>192</v>
      </c>
      <c r="E1381" s="3" t="s">
        <v>35</v>
      </c>
    </row>
    <row r="1382" spans="1:5" ht="16">
      <c r="A1382" s="1" t="s">
        <v>2876</v>
      </c>
      <c r="B1382" s="2" t="s">
        <v>91</v>
      </c>
      <c r="C1382" s="2" t="s">
        <v>2877</v>
      </c>
      <c r="D1382" s="2" t="s">
        <v>192</v>
      </c>
      <c r="E1382" s="3" t="s">
        <v>35</v>
      </c>
    </row>
    <row r="1383" spans="1:5" ht="16">
      <c r="A1383" s="1" t="s">
        <v>2878</v>
      </c>
      <c r="B1383" s="2" t="s">
        <v>91</v>
      </c>
      <c r="C1383" s="2" t="s">
        <v>2879</v>
      </c>
      <c r="D1383" s="2" t="s">
        <v>192</v>
      </c>
      <c r="E1383" s="3" t="s">
        <v>35</v>
      </c>
    </row>
    <row r="1384" spans="1:5" ht="16">
      <c r="A1384" s="1" t="s">
        <v>2880</v>
      </c>
      <c r="B1384" s="2" t="s">
        <v>91</v>
      </c>
      <c r="C1384" s="2" t="s">
        <v>2881</v>
      </c>
      <c r="D1384" s="2" t="s">
        <v>192</v>
      </c>
      <c r="E1384" s="3" t="s">
        <v>35</v>
      </c>
    </row>
    <row r="1385" spans="1:5" ht="16">
      <c r="A1385" s="1" t="s">
        <v>2882</v>
      </c>
      <c r="B1385" s="2" t="s">
        <v>80</v>
      </c>
      <c r="C1385" s="2" t="s">
        <v>2883</v>
      </c>
      <c r="D1385" s="2" t="s">
        <v>440</v>
      </c>
      <c r="E1385" s="3" t="s">
        <v>45</v>
      </c>
    </row>
    <row r="1386" spans="1:5" ht="16">
      <c r="A1386" s="1" t="s">
        <v>2884</v>
      </c>
      <c r="B1386" s="2" t="s">
        <v>91</v>
      </c>
      <c r="C1386" s="2" t="s">
        <v>2885</v>
      </c>
      <c r="D1386" s="2" t="s">
        <v>192</v>
      </c>
      <c r="E1386" s="3" t="s">
        <v>35</v>
      </c>
    </row>
    <row r="1387" spans="1:5" ht="16">
      <c r="A1387" s="1" t="s">
        <v>2886</v>
      </c>
      <c r="B1387" s="2" t="s">
        <v>91</v>
      </c>
      <c r="C1387" s="2" t="s">
        <v>2887</v>
      </c>
      <c r="D1387" s="2" t="s">
        <v>192</v>
      </c>
      <c r="E1387" s="3" t="s">
        <v>35</v>
      </c>
    </row>
    <row r="1388" spans="1:5" ht="16">
      <c r="A1388" s="1" t="s">
        <v>2888</v>
      </c>
      <c r="B1388" s="2" t="s">
        <v>91</v>
      </c>
      <c r="C1388" s="2" t="s">
        <v>2889</v>
      </c>
      <c r="D1388" s="2" t="s">
        <v>192</v>
      </c>
      <c r="E1388" s="3" t="s">
        <v>35</v>
      </c>
    </row>
    <row r="1389" spans="1:5" ht="16">
      <c r="A1389" s="1" t="s">
        <v>2890</v>
      </c>
      <c r="B1389" s="2" t="s">
        <v>303</v>
      </c>
      <c r="C1389" s="2" t="s">
        <v>2891</v>
      </c>
      <c r="D1389" s="2" t="s">
        <v>192</v>
      </c>
      <c r="E1389" s="3" t="s">
        <v>35</v>
      </c>
    </row>
    <row r="1390" spans="1:5" ht="16">
      <c r="A1390" s="1" t="s">
        <v>2892</v>
      </c>
      <c r="B1390" s="2" t="s">
        <v>303</v>
      </c>
      <c r="C1390" s="2" t="s">
        <v>2893</v>
      </c>
      <c r="D1390" s="2" t="s">
        <v>192</v>
      </c>
      <c r="E1390" s="3" t="s">
        <v>35</v>
      </c>
    </row>
    <row r="1391" spans="1:5" ht="16">
      <c r="A1391" s="1" t="s">
        <v>2894</v>
      </c>
      <c r="B1391" s="2" t="s">
        <v>85</v>
      </c>
      <c r="C1391" s="2" t="s">
        <v>2895</v>
      </c>
      <c r="D1391" s="2" t="s">
        <v>192</v>
      </c>
      <c r="E1391" s="3" t="s">
        <v>35</v>
      </c>
    </row>
    <row r="1392" spans="1:5" ht="16">
      <c r="A1392" s="1" t="s">
        <v>2896</v>
      </c>
      <c r="B1392" s="2" t="s">
        <v>91</v>
      </c>
      <c r="C1392" s="2" t="s">
        <v>2897</v>
      </c>
      <c r="D1392" s="2" t="s">
        <v>192</v>
      </c>
      <c r="E1392" s="3" t="s">
        <v>35</v>
      </c>
    </row>
    <row r="1393" spans="1:5" ht="16">
      <c r="A1393" s="1" t="s">
        <v>2898</v>
      </c>
      <c r="B1393" s="2" t="s">
        <v>91</v>
      </c>
      <c r="C1393" s="2" t="s">
        <v>2899</v>
      </c>
      <c r="D1393" s="2" t="s">
        <v>192</v>
      </c>
      <c r="E1393" s="3" t="s">
        <v>35</v>
      </c>
    </row>
    <row r="1394" spans="1:5" ht="16">
      <c r="A1394" s="1" t="s">
        <v>2900</v>
      </c>
      <c r="B1394" s="2" t="s">
        <v>196</v>
      </c>
      <c r="C1394" s="2" t="s">
        <v>2901</v>
      </c>
      <c r="D1394" s="2" t="s">
        <v>192</v>
      </c>
      <c r="E1394" s="3" t="s">
        <v>35</v>
      </c>
    </row>
    <row r="1395" spans="1:5" ht="16">
      <c r="A1395" s="1" t="s">
        <v>2902</v>
      </c>
      <c r="B1395" s="2" t="s">
        <v>85</v>
      </c>
      <c r="C1395" s="2" t="s">
        <v>2903</v>
      </c>
      <c r="D1395" s="2" t="s">
        <v>192</v>
      </c>
      <c r="E1395" s="3" t="s">
        <v>35</v>
      </c>
    </row>
    <row r="1396" spans="1:5" ht="16">
      <c r="A1396" s="1" t="s">
        <v>2904</v>
      </c>
      <c r="B1396" s="2" t="s">
        <v>97</v>
      </c>
      <c r="C1396" s="2" t="s">
        <v>2905</v>
      </c>
      <c r="D1396" s="2" t="s">
        <v>192</v>
      </c>
      <c r="E1396" s="3" t="s">
        <v>35</v>
      </c>
    </row>
    <row r="1397" spans="1:5" ht="16">
      <c r="A1397" s="1" t="s">
        <v>2906</v>
      </c>
      <c r="B1397" s="2" t="s">
        <v>91</v>
      </c>
      <c r="C1397" s="2" t="s">
        <v>2907</v>
      </c>
      <c r="D1397" s="2" t="s">
        <v>192</v>
      </c>
      <c r="E1397" s="3" t="s">
        <v>35</v>
      </c>
    </row>
    <row r="1398" spans="1:5" ht="16">
      <c r="A1398" s="1" t="s">
        <v>2908</v>
      </c>
      <c r="B1398" s="2" t="s">
        <v>196</v>
      </c>
      <c r="C1398" s="2" t="s">
        <v>2909</v>
      </c>
      <c r="D1398" s="2" t="s">
        <v>192</v>
      </c>
      <c r="E1398" s="3" t="s">
        <v>35</v>
      </c>
    </row>
    <row r="1399" spans="1:5" ht="16">
      <c r="A1399" s="1" t="s">
        <v>2910</v>
      </c>
      <c r="B1399" s="2" t="s">
        <v>199</v>
      </c>
      <c r="C1399" s="2" t="s">
        <v>2911</v>
      </c>
      <c r="D1399" s="2" t="s">
        <v>192</v>
      </c>
      <c r="E1399" s="3" t="s">
        <v>35</v>
      </c>
    </row>
    <row r="1400" spans="1:5" ht="16">
      <c r="A1400" s="1" t="s">
        <v>2912</v>
      </c>
      <c r="B1400" s="2" t="s">
        <v>91</v>
      </c>
      <c r="C1400" s="2" t="s">
        <v>2913</v>
      </c>
      <c r="D1400" s="2" t="s">
        <v>192</v>
      </c>
      <c r="E1400" s="3" t="s">
        <v>35</v>
      </c>
    </row>
    <row r="1401" spans="1:5" ht="16">
      <c r="A1401" s="1" t="s">
        <v>2914</v>
      </c>
      <c r="B1401" s="2" t="s">
        <v>97</v>
      </c>
      <c r="C1401" s="2" t="s">
        <v>2915</v>
      </c>
      <c r="D1401" s="2" t="s">
        <v>192</v>
      </c>
      <c r="E1401" s="3" t="s">
        <v>35</v>
      </c>
    </row>
    <row r="1402" spans="1:5" ht="16">
      <c r="A1402" s="1" t="s">
        <v>2916</v>
      </c>
      <c r="B1402" s="2" t="s">
        <v>85</v>
      </c>
      <c r="C1402" s="2" t="s">
        <v>2917</v>
      </c>
      <c r="D1402" s="2" t="s">
        <v>192</v>
      </c>
      <c r="E1402" s="3" t="s">
        <v>35</v>
      </c>
    </row>
    <row r="1403" spans="1:5" ht="16">
      <c r="A1403" s="1" t="s">
        <v>2918</v>
      </c>
      <c r="B1403" s="2" t="s">
        <v>91</v>
      </c>
      <c r="C1403" s="2" t="s">
        <v>2919</v>
      </c>
      <c r="D1403" s="2" t="s">
        <v>192</v>
      </c>
      <c r="E1403" s="3" t="s">
        <v>35</v>
      </c>
    </row>
    <row r="1404" spans="1:5" ht="16">
      <c r="A1404" s="1" t="s">
        <v>2920</v>
      </c>
      <c r="B1404" s="2" t="s">
        <v>97</v>
      </c>
      <c r="C1404" s="2" t="s">
        <v>2921</v>
      </c>
      <c r="D1404" s="2" t="s">
        <v>192</v>
      </c>
      <c r="E1404" s="3" t="s">
        <v>35</v>
      </c>
    </row>
    <row r="1405" spans="1:5" ht="16">
      <c r="A1405" s="1" t="s">
        <v>2922</v>
      </c>
      <c r="B1405" s="2" t="s">
        <v>97</v>
      </c>
      <c r="C1405" s="2" t="s">
        <v>2923</v>
      </c>
      <c r="D1405" s="2" t="s">
        <v>192</v>
      </c>
      <c r="E1405" s="3" t="s">
        <v>35</v>
      </c>
    </row>
    <row r="1406" spans="1:5" ht="16">
      <c r="A1406" s="1" t="s">
        <v>2924</v>
      </c>
      <c r="B1406" s="2" t="s">
        <v>91</v>
      </c>
      <c r="C1406" s="2" t="s">
        <v>2925</v>
      </c>
      <c r="D1406" s="2" t="s">
        <v>192</v>
      </c>
      <c r="E1406" s="3" t="s">
        <v>35</v>
      </c>
    </row>
    <row r="1407" spans="1:5" ht="16">
      <c r="A1407" s="1" t="s">
        <v>2926</v>
      </c>
      <c r="B1407" s="2" t="s">
        <v>91</v>
      </c>
      <c r="C1407" s="2" t="s">
        <v>2927</v>
      </c>
      <c r="D1407" s="2" t="s">
        <v>192</v>
      </c>
      <c r="E1407" s="3" t="s">
        <v>35</v>
      </c>
    </row>
    <row r="1408" spans="1:5" ht="16">
      <c r="A1408" s="1" t="s">
        <v>2928</v>
      </c>
      <c r="B1408" s="2" t="s">
        <v>85</v>
      </c>
      <c r="C1408" s="2" t="s">
        <v>2929</v>
      </c>
      <c r="D1408" s="2" t="s">
        <v>192</v>
      </c>
      <c r="E1408" s="3" t="s">
        <v>35</v>
      </c>
    </row>
    <row r="1409" spans="1:5" ht="16">
      <c r="A1409" s="1" t="s">
        <v>2930</v>
      </c>
      <c r="B1409" s="2" t="s">
        <v>91</v>
      </c>
      <c r="C1409" s="2" t="s">
        <v>2931</v>
      </c>
      <c r="D1409" s="2" t="s">
        <v>192</v>
      </c>
      <c r="E1409" s="3" t="s">
        <v>35</v>
      </c>
    </row>
    <row r="1410" spans="1:5" ht="16">
      <c r="A1410" s="1" t="s">
        <v>2932</v>
      </c>
      <c r="B1410" s="2" t="s">
        <v>97</v>
      </c>
      <c r="C1410" s="2" t="s">
        <v>2933</v>
      </c>
      <c r="D1410" s="2" t="s">
        <v>192</v>
      </c>
      <c r="E1410" s="3" t="s">
        <v>35</v>
      </c>
    </row>
    <row r="1411" spans="1:5" ht="16">
      <c r="A1411" s="1" t="s">
        <v>2934</v>
      </c>
      <c r="B1411" s="2" t="s">
        <v>91</v>
      </c>
      <c r="C1411" s="2" t="s">
        <v>2935</v>
      </c>
      <c r="D1411" s="2" t="s">
        <v>192</v>
      </c>
      <c r="E1411" s="3" t="s">
        <v>35</v>
      </c>
    </row>
    <row r="1412" spans="1:5" ht="16">
      <c r="A1412" s="1" t="s">
        <v>2936</v>
      </c>
      <c r="B1412" s="2" t="s">
        <v>85</v>
      </c>
      <c r="C1412" s="2" t="s">
        <v>2937</v>
      </c>
      <c r="D1412" s="2" t="s">
        <v>192</v>
      </c>
      <c r="E1412" s="3" t="s">
        <v>35</v>
      </c>
    </row>
    <row r="1413" spans="1:5" ht="16">
      <c r="A1413" s="1" t="s">
        <v>2938</v>
      </c>
      <c r="B1413" s="2" t="s">
        <v>85</v>
      </c>
      <c r="C1413" s="2" t="s">
        <v>2939</v>
      </c>
      <c r="D1413" s="2" t="s">
        <v>192</v>
      </c>
      <c r="E1413" s="3" t="s">
        <v>35</v>
      </c>
    </row>
    <row r="1414" spans="1:5" ht="16">
      <c r="A1414" s="1" t="s">
        <v>2940</v>
      </c>
      <c r="B1414" s="2" t="s">
        <v>85</v>
      </c>
      <c r="C1414" s="2" t="s">
        <v>2941</v>
      </c>
      <c r="D1414" s="2" t="s">
        <v>192</v>
      </c>
      <c r="E1414" s="3" t="s">
        <v>35</v>
      </c>
    </row>
    <row r="1415" spans="1:5" ht="16">
      <c r="A1415" s="1" t="s">
        <v>2942</v>
      </c>
      <c r="B1415" s="2" t="s">
        <v>85</v>
      </c>
      <c r="C1415" s="2" t="s">
        <v>2943</v>
      </c>
      <c r="D1415" s="2" t="s">
        <v>192</v>
      </c>
      <c r="E1415" s="3" t="s">
        <v>35</v>
      </c>
    </row>
    <row r="1416" spans="1:5" ht="16">
      <c r="A1416" s="1" t="s">
        <v>2944</v>
      </c>
      <c r="B1416" s="2" t="s">
        <v>91</v>
      </c>
      <c r="C1416" s="2" t="s">
        <v>2945</v>
      </c>
      <c r="D1416" s="2" t="s">
        <v>192</v>
      </c>
      <c r="E1416" s="3" t="s">
        <v>35</v>
      </c>
    </row>
    <row r="1417" spans="1:5" ht="16">
      <c r="A1417" s="1" t="s">
        <v>2946</v>
      </c>
      <c r="B1417" s="2" t="s">
        <v>91</v>
      </c>
      <c r="C1417" s="2" t="s">
        <v>2947</v>
      </c>
      <c r="D1417" s="2" t="s">
        <v>192</v>
      </c>
      <c r="E1417" s="3" t="s">
        <v>35</v>
      </c>
    </row>
    <row r="1418" spans="1:5" ht="16">
      <c r="A1418" s="1" t="s">
        <v>2948</v>
      </c>
      <c r="B1418" s="2" t="s">
        <v>85</v>
      </c>
      <c r="C1418" s="2" t="s">
        <v>2949</v>
      </c>
      <c r="D1418" s="2" t="s">
        <v>192</v>
      </c>
      <c r="E1418" s="3" t="s">
        <v>35</v>
      </c>
    </row>
    <row r="1419" spans="1:5" ht="16">
      <c r="A1419" s="1" t="s">
        <v>2950</v>
      </c>
      <c r="B1419" s="2" t="s">
        <v>85</v>
      </c>
      <c r="C1419" s="2" t="s">
        <v>2951</v>
      </c>
      <c r="D1419" s="2" t="s">
        <v>192</v>
      </c>
      <c r="E1419" s="3" t="s">
        <v>35</v>
      </c>
    </row>
    <row r="1420" spans="1:5" ht="16">
      <c r="A1420" s="1" t="s">
        <v>2952</v>
      </c>
      <c r="B1420" s="2" t="s">
        <v>85</v>
      </c>
      <c r="C1420" s="2" t="s">
        <v>2953</v>
      </c>
      <c r="D1420" s="2" t="s">
        <v>192</v>
      </c>
      <c r="E1420" s="3" t="s">
        <v>35</v>
      </c>
    </row>
    <row r="1421" spans="1:5" ht="16">
      <c r="A1421" s="1" t="s">
        <v>2954</v>
      </c>
      <c r="B1421" s="2" t="s">
        <v>91</v>
      </c>
      <c r="C1421" s="2" t="s">
        <v>2955</v>
      </c>
      <c r="D1421" s="2" t="s">
        <v>192</v>
      </c>
      <c r="E1421" s="3" t="s">
        <v>35</v>
      </c>
    </row>
    <row r="1422" spans="1:5" ht="16">
      <c r="A1422" s="1" t="s">
        <v>2956</v>
      </c>
      <c r="B1422" s="2" t="s">
        <v>85</v>
      </c>
      <c r="C1422" s="2" t="s">
        <v>2957</v>
      </c>
      <c r="D1422" s="2" t="s">
        <v>192</v>
      </c>
      <c r="E1422" s="3" t="s">
        <v>35</v>
      </c>
    </row>
    <row r="1423" spans="1:5" ht="16">
      <c r="A1423" s="1" t="s">
        <v>2958</v>
      </c>
      <c r="B1423" s="2" t="s">
        <v>85</v>
      </c>
      <c r="C1423" s="2" t="s">
        <v>2959</v>
      </c>
      <c r="D1423" s="2" t="s">
        <v>192</v>
      </c>
      <c r="E1423" s="3" t="s">
        <v>35</v>
      </c>
    </row>
    <row r="1424" spans="1:5" ht="16">
      <c r="A1424" s="1" t="s">
        <v>2960</v>
      </c>
      <c r="B1424" s="2" t="s">
        <v>91</v>
      </c>
      <c r="C1424" s="2" t="s">
        <v>2961</v>
      </c>
      <c r="D1424" s="2" t="s">
        <v>192</v>
      </c>
      <c r="E1424" s="3" t="s">
        <v>35</v>
      </c>
    </row>
    <row r="1425" spans="1:5" ht="16">
      <c r="A1425" s="1" t="s">
        <v>2962</v>
      </c>
      <c r="B1425" s="2" t="s">
        <v>85</v>
      </c>
      <c r="C1425" s="2" t="s">
        <v>2963</v>
      </c>
      <c r="D1425" s="2" t="s">
        <v>192</v>
      </c>
      <c r="E1425" s="3" t="s">
        <v>35</v>
      </c>
    </row>
    <row r="1426" spans="1:5" ht="16">
      <c r="A1426" s="1" t="s">
        <v>2964</v>
      </c>
      <c r="B1426" s="2" t="s">
        <v>85</v>
      </c>
      <c r="C1426" s="2" t="s">
        <v>2965</v>
      </c>
      <c r="D1426" s="2" t="s">
        <v>192</v>
      </c>
      <c r="E1426" s="3" t="s">
        <v>35</v>
      </c>
    </row>
    <row r="1427" spans="1:5" ht="16">
      <c r="A1427" s="1" t="s">
        <v>2966</v>
      </c>
      <c r="B1427" s="2" t="s">
        <v>91</v>
      </c>
      <c r="C1427" s="2" t="s">
        <v>2967</v>
      </c>
      <c r="D1427" s="2" t="s">
        <v>192</v>
      </c>
      <c r="E1427" s="3" t="s">
        <v>35</v>
      </c>
    </row>
    <row r="1428" spans="1:5" ht="16">
      <c r="A1428" s="1" t="s">
        <v>2968</v>
      </c>
      <c r="B1428" s="2" t="s">
        <v>80</v>
      </c>
      <c r="C1428" s="2" t="s">
        <v>2969</v>
      </c>
      <c r="D1428" s="2" t="s">
        <v>357</v>
      </c>
      <c r="E1428" s="3" t="s">
        <v>45</v>
      </c>
    </row>
    <row r="1429" spans="1:5" ht="16">
      <c r="A1429" s="1" t="s">
        <v>2970</v>
      </c>
      <c r="B1429" s="2" t="s">
        <v>199</v>
      </c>
      <c r="C1429" s="2" t="s">
        <v>2971</v>
      </c>
      <c r="D1429" s="2" t="s">
        <v>192</v>
      </c>
      <c r="E1429" s="3" t="s">
        <v>35</v>
      </c>
    </row>
    <row r="1430" spans="1:5" ht="16">
      <c r="A1430" s="1" t="s">
        <v>2972</v>
      </c>
      <c r="B1430" s="2" t="s">
        <v>199</v>
      </c>
      <c r="C1430" s="2" t="s">
        <v>2973</v>
      </c>
      <c r="D1430" s="2" t="s">
        <v>192</v>
      </c>
      <c r="E1430" s="3" t="s">
        <v>35</v>
      </c>
    </row>
    <row r="1431" spans="1:5" ht="16">
      <c r="A1431" s="1" t="s">
        <v>2974</v>
      </c>
      <c r="B1431" s="2" t="s">
        <v>243</v>
      </c>
      <c r="C1431" s="2" t="s">
        <v>2975</v>
      </c>
      <c r="D1431" s="2" t="s">
        <v>192</v>
      </c>
      <c r="E1431" s="3" t="s">
        <v>35</v>
      </c>
    </row>
    <row r="1432" spans="1:5" ht="16">
      <c r="A1432" s="1" t="s">
        <v>2976</v>
      </c>
      <c r="B1432" s="2" t="s">
        <v>199</v>
      </c>
      <c r="C1432" s="2" t="s">
        <v>2977</v>
      </c>
      <c r="D1432" s="2" t="s">
        <v>192</v>
      </c>
      <c r="E1432" s="3" t="s">
        <v>35</v>
      </c>
    </row>
    <row r="1433" spans="1:5" ht="16">
      <c r="A1433" s="1" t="s">
        <v>2978</v>
      </c>
      <c r="B1433" s="2" t="s">
        <v>254</v>
      </c>
      <c r="C1433" s="2" t="s">
        <v>2979</v>
      </c>
      <c r="D1433" s="2" t="s">
        <v>192</v>
      </c>
      <c r="E1433" s="3" t="s">
        <v>35</v>
      </c>
    </row>
    <row r="1434" spans="1:5" ht="16">
      <c r="A1434" s="1" t="s">
        <v>2980</v>
      </c>
      <c r="B1434" s="2" t="s">
        <v>199</v>
      </c>
      <c r="C1434" s="2" t="s">
        <v>2981</v>
      </c>
      <c r="D1434" s="2" t="s">
        <v>192</v>
      </c>
      <c r="E1434" s="3" t="s">
        <v>35</v>
      </c>
    </row>
    <row r="1435" spans="1:5" ht="16">
      <c r="A1435" s="1" t="s">
        <v>2982</v>
      </c>
      <c r="B1435" s="2" t="s">
        <v>303</v>
      </c>
      <c r="C1435" s="2" t="s">
        <v>2983</v>
      </c>
      <c r="D1435" s="2" t="s">
        <v>192</v>
      </c>
      <c r="E1435" s="3" t="s">
        <v>35</v>
      </c>
    </row>
    <row r="1436" spans="1:5" ht="16">
      <c r="A1436" s="1" t="s">
        <v>2984</v>
      </c>
      <c r="B1436" s="2" t="s">
        <v>303</v>
      </c>
      <c r="C1436" s="2" t="s">
        <v>2985</v>
      </c>
      <c r="D1436" s="2" t="s">
        <v>192</v>
      </c>
      <c r="E1436" s="3" t="s">
        <v>35</v>
      </c>
    </row>
    <row r="1437" spans="1:5" ht="16">
      <c r="A1437" s="1" t="s">
        <v>2986</v>
      </c>
      <c r="B1437" s="2" t="s">
        <v>303</v>
      </c>
      <c r="C1437" s="2" t="s">
        <v>2987</v>
      </c>
      <c r="D1437" s="2" t="s">
        <v>192</v>
      </c>
      <c r="E1437" s="3" t="s">
        <v>35</v>
      </c>
    </row>
    <row r="1438" spans="1:5" ht="16">
      <c r="A1438" s="1" t="s">
        <v>2988</v>
      </c>
      <c r="B1438" s="2" t="s">
        <v>303</v>
      </c>
      <c r="C1438" s="2" t="s">
        <v>2989</v>
      </c>
      <c r="D1438" s="2" t="s">
        <v>192</v>
      </c>
      <c r="E1438" s="3" t="s">
        <v>35</v>
      </c>
    </row>
    <row r="1439" spans="1:5" ht="16">
      <c r="A1439" s="1" t="s">
        <v>2990</v>
      </c>
      <c r="B1439" s="2" t="s">
        <v>214</v>
      </c>
      <c r="C1439" s="2" t="s">
        <v>2991</v>
      </c>
      <c r="D1439" s="2" t="s">
        <v>192</v>
      </c>
      <c r="E1439" s="3" t="s">
        <v>35</v>
      </c>
    </row>
    <row r="1440" spans="1:5" ht="16">
      <c r="A1440" s="1" t="s">
        <v>2992</v>
      </c>
      <c r="B1440" s="2" t="s">
        <v>1378</v>
      </c>
      <c r="C1440" s="2" t="s">
        <v>2993</v>
      </c>
      <c r="D1440" s="2" t="s">
        <v>192</v>
      </c>
      <c r="E1440" s="3" t="s">
        <v>35</v>
      </c>
    </row>
    <row r="1441" spans="1:5" ht="16">
      <c r="A1441" s="1" t="s">
        <v>2994</v>
      </c>
      <c r="B1441" s="2" t="s">
        <v>69</v>
      </c>
      <c r="C1441" s="2" t="s">
        <v>2995</v>
      </c>
      <c r="D1441" s="2" t="s">
        <v>111</v>
      </c>
      <c r="E1441" s="3" t="s">
        <v>50</v>
      </c>
    </row>
    <row r="1442" spans="1:5" ht="16">
      <c r="A1442" s="1" t="s">
        <v>2996</v>
      </c>
      <c r="B1442" s="2" t="s">
        <v>69</v>
      </c>
      <c r="C1442" s="2" t="s">
        <v>2997</v>
      </c>
      <c r="D1442" s="2" t="s">
        <v>111</v>
      </c>
      <c r="E1442" s="3" t="s">
        <v>50</v>
      </c>
    </row>
    <row r="1443" spans="1:5" ht="16">
      <c r="A1443" s="1" t="s">
        <v>2998</v>
      </c>
      <c r="B1443" s="2" t="s">
        <v>63</v>
      </c>
      <c r="C1443" s="2" t="s">
        <v>2999</v>
      </c>
      <c r="D1443" s="2" t="s">
        <v>111</v>
      </c>
      <c r="E1443" s="3" t="s">
        <v>50</v>
      </c>
    </row>
    <row r="1444" spans="1:5" ht="16">
      <c r="A1444" s="1" t="s">
        <v>3000</v>
      </c>
      <c r="B1444" s="2" t="s">
        <v>69</v>
      </c>
      <c r="C1444" s="2" t="s">
        <v>3001</v>
      </c>
      <c r="D1444" s="2" t="s">
        <v>111</v>
      </c>
      <c r="E1444" s="3" t="s">
        <v>50</v>
      </c>
    </row>
    <row r="1445" spans="1:5" ht="16">
      <c r="A1445" s="1" t="s">
        <v>3002</v>
      </c>
      <c r="B1445" s="2" t="s">
        <v>69</v>
      </c>
      <c r="C1445" s="2" t="s">
        <v>3003</v>
      </c>
      <c r="D1445" s="2" t="s">
        <v>111</v>
      </c>
      <c r="E1445" s="3" t="s">
        <v>50</v>
      </c>
    </row>
    <row r="1446" spans="1:5" ht="16">
      <c r="A1446" s="1" t="s">
        <v>3004</v>
      </c>
      <c r="B1446" s="2" t="s">
        <v>69</v>
      </c>
      <c r="C1446" s="2" t="s">
        <v>3005</v>
      </c>
      <c r="D1446" s="2" t="s">
        <v>111</v>
      </c>
      <c r="E1446" s="3" t="s">
        <v>50</v>
      </c>
    </row>
    <row r="1447" spans="1:5" ht="16">
      <c r="A1447" s="1" t="s">
        <v>3006</v>
      </c>
      <c r="B1447" s="2" t="s">
        <v>69</v>
      </c>
      <c r="C1447" s="2" t="s">
        <v>3007</v>
      </c>
      <c r="D1447" s="2" t="s">
        <v>111</v>
      </c>
      <c r="E1447" s="3" t="s">
        <v>50</v>
      </c>
    </row>
    <row r="1448" spans="1:5" ht="16">
      <c r="A1448" s="1" t="s">
        <v>3008</v>
      </c>
      <c r="B1448" s="2" t="s">
        <v>69</v>
      </c>
      <c r="C1448" s="2" t="s">
        <v>3009</v>
      </c>
      <c r="D1448" s="2" t="s">
        <v>111</v>
      </c>
      <c r="E1448" s="3" t="s">
        <v>50</v>
      </c>
    </row>
    <row r="1449" spans="1:5" ht="16">
      <c r="A1449" s="1" t="s">
        <v>3010</v>
      </c>
      <c r="B1449" s="2" t="s">
        <v>69</v>
      </c>
      <c r="C1449" s="2" t="s">
        <v>3011</v>
      </c>
      <c r="D1449" s="2" t="s">
        <v>111</v>
      </c>
      <c r="E1449" s="3" t="s">
        <v>50</v>
      </c>
    </row>
    <row r="1450" spans="1:5" ht="16">
      <c r="A1450" s="1" t="s">
        <v>3012</v>
      </c>
      <c r="B1450" s="2" t="s">
        <v>196</v>
      </c>
      <c r="C1450" s="2" t="s">
        <v>3013</v>
      </c>
      <c r="D1450" s="2" t="s">
        <v>192</v>
      </c>
      <c r="E1450" s="3" t="s">
        <v>35</v>
      </c>
    </row>
    <row r="1451" spans="1:5" ht="16">
      <c r="A1451" s="1" t="s">
        <v>3014</v>
      </c>
      <c r="B1451" s="2" t="s">
        <v>85</v>
      </c>
      <c r="C1451" s="2" t="s">
        <v>3015</v>
      </c>
      <c r="D1451" s="2" t="s">
        <v>192</v>
      </c>
      <c r="E1451" s="3" t="s">
        <v>35</v>
      </c>
    </row>
    <row r="1452" spans="1:5" ht="16">
      <c r="A1452" s="1" t="s">
        <v>3016</v>
      </c>
      <c r="B1452" s="2" t="s">
        <v>85</v>
      </c>
      <c r="C1452" s="2" t="s">
        <v>3017</v>
      </c>
      <c r="D1452" s="2" t="s">
        <v>192</v>
      </c>
      <c r="E1452" s="3" t="s">
        <v>35</v>
      </c>
    </row>
    <row r="1453" spans="1:5" ht="16">
      <c r="A1453" s="1" t="s">
        <v>3018</v>
      </c>
      <c r="B1453" s="2" t="s">
        <v>74</v>
      </c>
      <c r="C1453" s="2" t="s">
        <v>3019</v>
      </c>
      <c r="D1453" s="2" t="s">
        <v>111</v>
      </c>
      <c r="E1453" s="3" t="s">
        <v>50</v>
      </c>
    </row>
    <row r="1454" spans="1:5" ht="16">
      <c r="A1454" s="1" t="s">
        <v>3020</v>
      </c>
      <c r="B1454" s="2" t="s">
        <v>80</v>
      </c>
      <c r="C1454" s="2" t="s">
        <v>3021</v>
      </c>
      <c r="D1454" s="2" t="s">
        <v>111</v>
      </c>
      <c r="E1454" s="3" t="s">
        <v>35</v>
      </c>
    </row>
    <row r="1455" spans="1:5" ht="16">
      <c r="A1455" s="1" t="s">
        <v>3022</v>
      </c>
      <c r="B1455" s="2" t="s">
        <v>74</v>
      </c>
      <c r="C1455" s="2" t="s">
        <v>3023</v>
      </c>
      <c r="D1455" s="2" t="s">
        <v>111</v>
      </c>
      <c r="E1455" s="3" t="s">
        <v>45</v>
      </c>
    </row>
    <row r="1456" spans="1:5" ht="16">
      <c r="A1456" s="1" t="s">
        <v>3024</v>
      </c>
      <c r="B1456" s="2" t="s">
        <v>80</v>
      </c>
      <c r="C1456" s="2" t="s">
        <v>3025</v>
      </c>
      <c r="D1456" s="2" t="s">
        <v>111</v>
      </c>
      <c r="E1456" s="3" t="s">
        <v>35</v>
      </c>
    </row>
    <row r="1457" spans="1:5" ht="16">
      <c r="A1457" s="1" t="s">
        <v>3026</v>
      </c>
      <c r="B1457" s="2" t="s">
        <v>74</v>
      </c>
      <c r="C1457" s="2" t="s">
        <v>3027</v>
      </c>
      <c r="D1457" s="2" t="s">
        <v>111</v>
      </c>
      <c r="E1457" s="3" t="s">
        <v>50</v>
      </c>
    </row>
    <row r="1458" spans="1:5" ht="16">
      <c r="A1458" s="1" t="s">
        <v>3028</v>
      </c>
      <c r="B1458" s="2" t="s">
        <v>74</v>
      </c>
      <c r="C1458" s="2" t="s">
        <v>3029</v>
      </c>
      <c r="D1458" s="2" t="s">
        <v>111</v>
      </c>
      <c r="E1458" s="3" t="s">
        <v>45</v>
      </c>
    </row>
    <row r="1459" spans="1:5" ht="16">
      <c r="A1459" s="1" t="s">
        <v>3030</v>
      </c>
      <c r="B1459" s="2" t="s">
        <v>80</v>
      </c>
      <c r="C1459" s="2" t="s">
        <v>3031</v>
      </c>
      <c r="D1459" s="2" t="s">
        <v>111</v>
      </c>
      <c r="E1459" s="3" t="s">
        <v>50</v>
      </c>
    </row>
    <row r="1460" spans="1:5" ht="16">
      <c r="A1460" s="1" t="s">
        <v>3032</v>
      </c>
      <c r="B1460" s="2"/>
      <c r="C1460" s="2" t="s">
        <v>3033</v>
      </c>
      <c r="D1460" s="2" t="s">
        <v>111</v>
      </c>
      <c r="E1460" s="3" t="s">
        <v>50</v>
      </c>
    </row>
    <row r="1461" spans="1:5" ht="16">
      <c r="A1461" s="1" t="s">
        <v>3034</v>
      </c>
      <c r="B1461" s="2"/>
      <c r="C1461" s="2" t="s">
        <v>3035</v>
      </c>
      <c r="D1461" s="2" t="s">
        <v>111</v>
      </c>
      <c r="E1461" s="3" t="s">
        <v>50</v>
      </c>
    </row>
    <row r="1462" spans="1:5" ht="16">
      <c r="A1462" s="1" t="s">
        <v>3036</v>
      </c>
      <c r="B1462" s="2"/>
      <c r="C1462" s="2" t="s">
        <v>3037</v>
      </c>
      <c r="D1462" s="2" t="s">
        <v>111</v>
      </c>
      <c r="E1462" s="3" t="s">
        <v>50</v>
      </c>
    </row>
    <row r="1463" spans="1:5" ht="16">
      <c r="A1463" s="1" t="s">
        <v>3038</v>
      </c>
      <c r="B1463" s="2"/>
      <c r="C1463" s="2" t="s">
        <v>3039</v>
      </c>
      <c r="D1463" s="2" t="s">
        <v>111</v>
      </c>
      <c r="E1463" s="3" t="s">
        <v>50</v>
      </c>
    </row>
    <row r="1464" spans="1:5" ht="16">
      <c r="A1464" s="1" t="s">
        <v>3040</v>
      </c>
      <c r="B1464" s="2"/>
      <c r="C1464" s="2" t="s">
        <v>3041</v>
      </c>
      <c r="D1464" s="2" t="s">
        <v>111</v>
      </c>
      <c r="E1464" s="3" t="s">
        <v>50</v>
      </c>
    </row>
    <row r="1465" spans="1:5" ht="16">
      <c r="A1465" s="1" t="s">
        <v>3042</v>
      </c>
      <c r="B1465" s="2"/>
      <c r="C1465" s="2" t="s">
        <v>3043</v>
      </c>
      <c r="D1465" s="2" t="s">
        <v>111</v>
      </c>
      <c r="E1465" s="3" t="s">
        <v>50</v>
      </c>
    </row>
    <row r="1466" spans="1:5" ht="16">
      <c r="A1466" s="1" t="s">
        <v>3044</v>
      </c>
      <c r="B1466" s="2"/>
      <c r="C1466" s="2" t="s">
        <v>3045</v>
      </c>
      <c r="D1466" s="2" t="s">
        <v>111</v>
      </c>
      <c r="E1466" s="3" t="s">
        <v>50</v>
      </c>
    </row>
    <row r="1467" spans="1:5" ht="16">
      <c r="A1467" s="1" t="s">
        <v>3046</v>
      </c>
      <c r="B1467" s="2"/>
      <c r="C1467" s="2" t="s">
        <v>3047</v>
      </c>
      <c r="D1467" s="2" t="s">
        <v>111</v>
      </c>
      <c r="E1467" s="3" t="s">
        <v>50</v>
      </c>
    </row>
    <row r="1468" spans="1:5" ht="16">
      <c r="A1468" s="1" t="s">
        <v>3048</v>
      </c>
      <c r="B1468" s="2"/>
      <c r="C1468" s="2" t="s">
        <v>3049</v>
      </c>
      <c r="D1468" s="2" t="s">
        <v>111</v>
      </c>
      <c r="E1468" s="3" t="s">
        <v>50</v>
      </c>
    </row>
    <row r="1469" spans="1:5" ht="16">
      <c r="A1469" s="1" t="s">
        <v>3050</v>
      </c>
      <c r="B1469" s="2"/>
      <c r="C1469" s="2" t="s">
        <v>3051</v>
      </c>
      <c r="D1469" s="2" t="s">
        <v>111</v>
      </c>
      <c r="E1469" s="3" t="s">
        <v>50</v>
      </c>
    </row>
    <row r="1470" spans="1:5" ht="16">
      <c r="A1470" s="1" t="s">
        <v>3052</v>
      </c>
      <c r="B1470" s="2"/>
      <c r="C1470" s="2" t="s">
        <v>3053</v>
      </c>
      <c r="D1470" s="2" t="s">
        <v>111</v>
      </c>
      <c r="E1470" s="3" t="s">
        <v>50</v>
      </c>
    </row>
    <row r="1471" spans="1:5" ht="16">
      <c r="A1471" s="1" t="s">
        <v>3054</v>
      </c>
      <c r="B1471" s="2"/>
      <c r="C1471" s="2" t="s">
        <v>3055</v>
      </c>
      <c r="D1471" s="2" t="s">
        <v>111</v>
      </c>
      <c r="E1471" s="3" t="s">
        <v>50</v>
      </c>
    </row>
    <row r="1472" spans="1:5" ht="16">
      <c r="A1472" s="1" t="s">
        <v>3056</v>
      </c>
      <c r="B1472" s="2"/>
      <c r="C1472" s="2" t="s">
        <v>3057</v>
      </c>
      <c r="D1472" s="2" t="s">
        <v>111</v>
      </c>
      <c r="E1472" s="3" t="s">
        <v>50</v>
      </c>
    </row>
    <row r="1473" spans="1:5" ht="16">
      <c r="A1473" s="1" t="s">
        <v>3058</v>
      </c>
      <c r="B1473" s="2"/>
      <c r="C1473" s="2" t="s">
        <v>3059</v>
      </c>
      <c r="D1473" s="2" t="s">
        <v>111</v>
      </c>
      <c r="E1473" s="3" t="s">
        <v>50</v>
      </c>
    </row>
    <row r="1474" spans="1:5" ht="16">
      <c r="A1474" s="1" t="s">
        <v>3060</v>
      </c>
      <c r="B1474" s="2"/>
      <c r="C1474" s="2" t="s">
        <v>3061</v>
      </c>
      <c r="D1474" s="2" t="s">
        <v>111</v>
      </c>
      <c r="E1474" s="3" t="s">
        <v>50</v>
      </c>
    </row>
    <row r="1475" spans="1:5" ht="16">
      <c r="A1475" s="1" t="s">
        <v>3062</v>
      </c>
      <c r="B1475" s="2"/>
      <c r="C1475" s="2" t="s">
        <v>3063</v>
      </c>
      <c r="D1475" s="2" t="s">
        <v>111</v>
      </c>
      <c r="E1475" s="3" t="s">
        <v>50</v>
      </c>
    </row>
    <row r="1476" spans="1:5" ht="16">
      <c r="A1476" s="1" t="s">
        <v>3064</v>
      </c>
      <c r="B1476" s="2"/>
      <c r="C1476" s="2" t="s">
        <v>3065</v>
      </c>
      <c r="D1476" s="2" t="s">
        <v>111</v>
      </c>
      <c r="E1476" s="3" t="s">
        <v>50</v>
      </c>
    </row>
    <row r="1477" spans="1:5" ht="16">
      <c r="A1477" s="1" t="s">
        <v>3066</v>
      </c>
      <c r="B1477" s="2"/>
      <c r="C1477" s="2" t="s">
        <v>3067</v>
      </c>
      <c r="D1477" s="2" t="s">
        <v>111</v>
      </c>
      <c r="E1477" s="3" t="s">
        <v>50</v>
      </c>
    </row>
    <row r="1478" spans="1:5" ht="16">
      <c r="A1478" s="1" t="s">
        <v>3068</v>
      </c>
      <c r="B1478" s="2"/>
      <c r="C1478" s="2" t="s">
        <v>3069</v>
      </c>
      <c r="D1478" s="2" t="s">
        <v>111</v>
      </c>
      <c r="E1478" s="3" t="s">
        <v>50</v>
      </c>
    </row>
    <row r="1479" spans="1:5" ht="16">
      <c r="A1479" s="1" t="s">
        <v>3070</v>
      </c>
      <c r="B1479" s="2"/>
      <c r="C1479" s="2" t="s">
        <v>3071</v>
      </c>
      <c r="D1479" s="2" t="s">
        <v>111</v>
      </c>
      <c r="E1479" s="3" t="s">
        <v>50</v>
      </c>
    </row>
    <row r="1480" spans="1:5" ht="16">
      <c r="A1480" s="1" t="s">
        <v>3072</v>
      </c>
      <c r="B1480" s="2"/>
      <c r="C1480" s="2" t="s">
        <v>3073</v>
      </c>
      <c r="D1480" s="2" t="s">
        <v>111</v>
      </c>
      <c r="E1480" s="3" t="s">
        <v>50</v>
      </c>
    </row>
    <row r="1481" spans="1:5" ht="16">
      <c r="A1481" s="1" t="s">
        <v>3074</v>
      </c>
      <c r="B1481" s="2"/>
      <c r="C1481" s="2" t="s">
        <v>3075</v>
      </c>
      <c r="D1481" s="2" t="s">
        <v>111</v>
      </c>
      <c r="E1481" s="3" t="s">
        <v>50</v>
      </c>
    </row>
    <row r="1482" spans="1:5" ht="16">
      <c r="A1482" s="1" t="s">
        <v>3076</v>
      </c>
      <c r="B1482" s="2"/>
      <c r="C1482" s="2" t="s">
        <v>3077</v>
      </c>
      <c r="D1482" s="2" t="s">
        <v>111</v>
      </c>
      <c r="E1482" s="3" t="s">
        <v>50</v>
      </c>
    </row>
    <row r="1483" spans="1:5" ht="16">
      <c r="A1483" s="1" t="s">
        <v>3078</v>
      </c>
      <c r="B1483" s="2"/>
      <c r="C1483" s="2" t="s">
        <v>3079</v>
      </c>
      <c r="D1483" s="2" t="s">
        <v>111</v>
      </c>
      <c r="E1483" s="3" t="s">
        <v>50</v>
      </c>
    </row>
    <row r="1484" spans="1:5" ht="16">
      <c r="A1484" s="1" t="s">
        <v>3080</v>
      </c>
      <c r="B1484" s="2"/>
      <c r="C1484" s="2" t="s">
        <v>3081</v>
      </c>
      <c r="D1484" s="2" t="s">
        <v>111</v>
      </c>
      <c r="E1484" s="3" t="s">
        <v>50</v>
      </c>
    </row>
    <row r="1485" spans="1:5" ht="16">
      <c r="A1485" s="1" t="s">
        <v>3082</v>
      </c>
      <c r="B1485" s="2"/>
      <c r="C1485" s="2" t="s">
        <v>3083</v>
      </c>
      <c r="D1485" s="2" t="s">
        <v>111</v>
      </c>
      <c r="E1485" s="3" t="s">
        <v>50</v>
      </c>
    </row>
    <row r="1486" spans="1:5" ht="16">
      <c r="A1486" s="1" t="s">
        <v>3084</v>
      </c>
      <c r="B1486" s="2"/>
      <c r="C1486" s="2" t="s">
        <v>3085</v>
      </c>
      <c r="D1486" s="2" t="s">
        <v>111</v>
      </c>
      <c r="E1486" s="3" t="s">
        <v>50</v>
      </c>
    </row>
    <row r="1487" spans="1:5" ht="16">
      <c r="A1487" s="1" t="s">
        <v>3086</v>
      </c>
      <c r="B1487" s="2"/>
      <c r="C1487" s="2" t="s">
        <v>3087</v>
      </c>
      <c r="D1487" s="2" t="s">
        <v>111</v>
      </c>
      <c r="E1487" s="3" t="s">
        <v>50</v>
      </c>
    </row>
    <row r="1488" spans="1:5" ht="16">
      <c r="A1488" s="1" t="s">
        <v>3088</v>
      </c>
      <c r="B1488" s="2"/>
      <c r="C1488" s="2" t="s">
        <v>3089</v>
      </c>
      <c r="D1488" s="2" t="s">
        <v>111</v>
      </c>
      <c r="E1488" s="3" t="s">
        <v>50</v>
      </c>
    </row>
    <row r="1489" spans="1:5" ht="16">
      <c r="A1489" s="1" t="s">
        <v>3090</v>
      </c>
      <c r="B1489" s="2"/>
      <c r="C1489" s="2" t="s">
        <v>3091</v>
      </c>
      <c r="D1489" s="2" t="s">
        <v>111</v>
      </c>
      <c r="E1489" s="3" t="s">
        <v>50</v>
      </c>
    </row>
    <row r="1490" spans="1:5" ht="16">
      <c r="A1490" s="1" t="s">
        <v>3092</v>
      </c>
      <c r="B1490" s="2"/>
      <c r="C1490" s="2" t="s">
        <v>3093</v>
      </c>
      <c r="D1490" s="2" t="s">
        <v>111</v>
      </c>
      <c r="E1490" s="3" t="s">
        <v>50</v>
      </c>
    </row>
    <row r="1491" spans="1:5" ht="16">
      <c r="A1491" s="1" t="s">
        <v>3094</v>
      </c>
      <c r="B1491" s="2"/>
      <c r="C1491" s="2" t="s">
        <v>3095</v>
      </c>
      <c r="D1491" s="2" t="s">
        <v>111</v>
      </c>
      <c r="E1491" s="3" t="s">
        <v>50</v>
      </c>
    </row>
    <row r="1492" spans="1:5" ht="16">
      <c r="A1492" s="1" t="s">
        <v>3096</v>
      </c>
      <c r="B1492" s="2"/>
      <c r="C1492" s="2" t="s">
        <v>3097</v>
      </c>
      <c r="D1492" s="2" t="s">
        <v>111</v>
      </c>
      <c r="E1492" s="3" t="s">
        <v>50</v>
      </c>
    </row>
    <row r="1493" spans="1:5" ht="16">
      <c r="A1493" s="1" t="s">
        <v>3098</v>
      </c>
      <c r="B1493" s="2"/>
      <c r="C1493" s="2" t="s">
        <v>3099</v>
      </c>
      <c r="D1493" s="2" t="s">
        <v>111</v>
      </c>
      <c r="E1493" s="3" t="s">
        <v>50</v>
      </c>
    </row>
    <row r="1494" spans="1:5" ht="16">
      <c r="A1494" s="1" t="s">
        <v>3100</v>
      </c>
      <c r="B1494" s="2"/>
      <c r="C1494" s="2" t="s">
        <v>3101</v>
      </c>
      <c r="D1494" s="2" t="s">
        <v>111</v>
      </c>
      <c r="E1494" s="3" t="s">
        <v>50</v>
      </c>
    </row>
    <row r="1495" spans="1:5" ht="16">
      <c r="A1495" s="1" t="s">
        <v>3102</v>
      </c>
      <c r="B1495" s="2"/>
      <c r="C1495" s="2" t="s">
        <v>3103</v>
      </c>
      <c r="D1495" s="2" t="s">
        <v>111</v>
      </c>
      <c r="E1495" s="3" t="s">
        <v>50</v>
      </c>
    </row>
    <row r="1496" spans="1:5" ht="16">
      <c r="A1496" s="1" t="s">
        <v>3104</v>
      </c>
      <c r="B1496" s="2"/>
      <c r="C1496" s="2" t="s">
        <v>3105</v>
      </c>
      <c r="D1496" s="2" t="s">
        <v>111</v>
      </c>
      <c r="E1496" s="3" t="s">
        <v>50</v>
      </c>
    </row>
    <row r="1497" spans="1:5" ht="16">
      <c r="A1497" s="1" t="s">
        <v>3106</v>
      </c>
      <c r="B1497" s="2"/>
      <c r="C1497" s="2" t="s">
        <v>3107</v>
      </c>
      <c r="D1497" s="2" t="s">
        <v>111</v>
      </c>
      <c r="E1497" s="3" t="s">
        <v>50</v>
      </c>
    </row>
    <row r="1498" spans="1:5" ht="16">
      <c r="A1498" s="1" t="s">
        <v>3108</v>
      </c>
      <c r="B1498" s="2"/>
      <c r="C1498" s="2" t="s">
        <v>3109</v>
      </c>
      <c r="D1498" s="2" t="s">
        <v>111</v>
      </c>
      <c r="E1498" s="3" t="s">
        <v>50</v>
      </c>
    </row>
    <row r="1499" spans="1:5" ht="16">
      <c r="A1499" s="1" t="s">
        <v>3110</v>
      </c>
      <c r="B1499" s="2"/>
      <c r="C1499" s="2" t="s">
        <v>3111</v>
      </c>
      <c r="D1499" s="2" t="s">
        <v>111</v>
      </c>
      <c r="E1499" s="3" t="s">
        <v>50</v>
      </c>
    </row>
    <row r="1500" spans="1:5" ht="16">
      <c r="A1500" s="1" t="s">
        <v>3112</v>
      </c>
      <c r="B1500" s="2"/>
      <c r="C1500" s="2" t="s">
        <v>3113</v>
      </c>
      <c r="D1500" s="2" t="s">
        <v>111</v>
      </c>
      <c r="E1500" s="3" t="s">
        <v>50</v>
      </c>
    </row>
    <row r="1501" spans="1:5" ht="16">
      <c r="A1501" s="1" t="s">
        <v>3114</v>
      </c>
      <c r="B1501" s="2"/>
      <c r="C1501" s="2" t="s">
        <v>3115</v>
      </c>
      <c r="D1501" s="2" t="s">
        <v>111</v>
      </c>
      <c r="E1501" s="3" t="s">
        <v>50</v>
      </c>
    </row>
    <row r="1502" spans="1:5" ht="16">
      <c r="A1502" s="1" t="s">
        <v>3116</v>
      </c>
      <c r="B1502" s="2"/>
      <c r="C1502" s="2" t="s">
        <v>3117</v>
      </c>
      <c r="D1502" s="2" t="s">
        <v>111</v>
      </c>
      <c r="E1502" s="3" t="s">
        <v>50</v>
      </c>
    </row>
    <row r="1503" spans="1:5" ht="16">
      <c r="A1503" s="1" t="s">
        <v>3118</v>
      </c>
      <c r="B1503" s="2"/>
      <c r="C1503" s="2" t="s">
        <v>3119</v>
      </c>
      <c r="D1503" s="2" t="s">
        <v>111</v>
      </c>
      <c r="E1503" s="3" t="s">
        <v>50</v>
      </c>
    </row>
    <row r="1504" spans="1:5" ht="16">
      <c r="A1504" s="1" t="s">
        <v>3120</v>
      </c>
      <c r="B1504" s="2"/>
      <c r="C1504" s="2" t="s">
        <v>3121</v>
      </c>
      <c r="D1504" s="2" t="s">
        <v>111</v>
      </c>
      <c r="E1504" s="3" t="s">
        <v>50</v>
      </c>
    </row>
    <row r="1505" spans="1:5" ht="16">
      <c r="A1505" s="1" t="s">
        <v>3122</v>
      </c>
      <c r="B1505" s="2"/>
      <c r="C1505" s="2" t="s">
        <v>3123</v>
      </c>
      <c r="D1505" s="2" t="s">
        <v>111</v>
      </c>
      <c r="E1505" s="3" t="s">
        <v>50</v>
      </c>
    </row>
    <row r="1506" spans="1:5" ht="16">
      <c r="A1506" s="1" t="s">
        <v>3124</v>
      </c>
      <c r="B1506" s="2"/>
      <c r="C1506" s="2" t="s">
        <v>3125</v>
      </c>
      <c r="D1506" s="2" t="s">
        <v>111</v>
      </c>
      <c r="E1506" s="3" t="s">
        <v>50</v>
      </c>
    </row>
    <row r="1507" spans="1:5" ht="16">
      <c r="A1507" s="1" t="s">
        <v>3126</v>
      </c>
      <c r="B1507" s="2"/>
      <c r="C1507" s="2" t="s">
        <v>3127</v>
      </c>
      <c r="D1507" s="2" t="s">
        <v>111</v>
      </c>
      <c r="E1507" s="3" t="s">
        <v>50</v>
      </c>
    </row>
    <row r="1508" spans="1:5" ht="16">
      <c r="A1508" s="1" t="s">
        <v>3128</v>
      </c>
      <c r="B1508" s="2"/>
      <c r="C1508" s="2" t="s">
        <v>3129</v>
      </c>
      <c r="D1508" s="2" t="s">
        <v>111</v>
      </c>
      <c r="E1508" s="3" t="s">
        <v>50</v>
      </c>
    </row>
    <row r="1509" spans="1:5" ht="16">
      <c r="A1509" s="1" t="s">
        <v>3130</v>
      </c>
      <c r="B1509" s="2"/>
      <c r="C1509" s="2" t="s">
        <v>3131</v>
      </c>
      <c r="D1509" s="2" t="s">
        <v>111</v>
      </c>
      <c r="E1509" s="3" t="s">
        <v>50</v>
      </c>
    </row>
    <row r="1510" spans="1:5" ht="16">
      <c r="A1510" s="1" t="s">
        <v>3132</v>
      </c>
      <c r="B1510" s="2"/>
      <c r="C1510" s="2" t="s">
        <v>3133</v>
      </c>
      <c r="D1510" s="2" t="s">
        <v>111</v>
      </c>
      <c r="E1510" s="3" t="s">
        <v>50</v>
      </c>
    </row>
    <row r="1511" spans="1:5" ht="16">
      <c r="A1511" s="1" t="s">
        <v>3134</v>
      </c>
      <c r="B1511" s="2"/>
      <c r="C1511" s="2" t="s">
        <v>3135</v>
      </c>
      <c r="D1511" s="2" t="s">
        <v>111</v>
      </c>
      <c r="E1511" s="3" t="s">
        <v>50</v>
      </c>
    </row>
    <row r="1512" spans="1:5" ht="16">
      <c r="A1512" s="1" t="s">
        <v>3136</v>
      </c>
      <c r="B1512" s="2"/>
      <c r="C1512" s="2" t="s">
        <v>3137</v>
      </c>
      <c r="D1512" s="2" t="s">
        <v>111</v>
      </c>
      <c r="E1512" s="3" t="s">
        <v>50</v>
      </c>
    </row>
    <row r="1513" spans="1:5" ht="16">
      <c r="A1513" s="1" t="s">
        <v>3138</v>
      </c>
      <c r="B1513" s="2"/>
      <c r="C1513" s="2" t="s">
        <v>3139</v>
      </c>
      <c r="D1513" s="2" t="s">
        <v>111</v>
      </c>
      <c r="E1513" s="3" t="s">
        <v>50</v>
      </c>
    </row>
    <row r="1514" spans="1:5" ht="16">
      <c r="A1514" s="1" t="s">
        <v>3140</v>
      </c>
      <c r="B1514" s="2"/>
      <c r="C1514" s="2" t="s">
        <v>3141</v>
      </c>
      <c r="D1514" s="2" t="s">
        <v>111</v>
      </c>
      <c r="E1514" s="3" t="s">
        <v>50</v>
      </c>
    </row>
    <row r="1515" spans="1:5" ht="16">
      <c r="A1515" s="1" t="s">
        <v>3142</v>
      </c>
      <c r="B1515" s="2"/>
      <c r="C1515" s="2" t="s">
        <v>3143</v>
      </c>
      <c r="D1515" s="2" t="s">
        <v>111</v>
      </c>
      <c r="E1515" s="3" t="s">
        <v>50</v>
      </c>
    </row>
    <row r="1516" spans="1:5" ht="16">
      <c r="A1516" s="1" t="s">
        <v>3144</v>
      </c>
      <c r="B1516" s="2"/>
      <c r="C1516" s="2" t="s">
        <v>3145</v>
      </c>
      <c r="D1516" s="2" t="s">
        <v>111</v>
      </c>
      <c r="E1516" s="3" t="s">
        <v>50</v>
      </c>
    </row>
    <row r="1517" spans="1:5" ht="16">
      <c r="A1517" s="1" t="s">
        <v>3146</v>
      </c>
      <c r="B1517" s="2"/>
      <c r="C1517" s="2" t="s">
        <v>3147</v>
      </c>
      <c r="D1517" s="2" t="s">
        <v>111</v>
      </c>
      <c r="E1517" s="3" t="s">
        <v>50</v>
      </c>
    </row>
    <row r="1518" spans="1:5" ht="16">
      <c r="A1518" s="1" t="s">
        <v>3148</v>
      </c>
      <c r="B1518" s="2"/>
      <c r="C1518" s="2" t="s">
        <v>3149</v>
      </c>
      <c r="D1518" s="2" t="s">
        <v>111</v>
      </c>
      <c r="E1518" s="3" t="s">
        <v>50</v>
      </c>
    </row>
    <row r="1519" spans="1:5" ht="16">
      <c r="A1519" s="1" t="s">
        <v>3150</v>
      </c>
      <c r="B1519" s="2"/>
      <c r="C1519" s="2" t="s">
        <v>3151</v>
      </c>
      <c r="D1519" s="2" t="s">
        <v>111</v>
      </c>
      <c r="E1519" s="3" t="s">
        <v>50</v>
      </c>
    </row>
    <row r="1520" spans="1:5" ht="16">
      <c r="A1520" s="1" t="s">
        <v>3152</v>
      </c>
      <c r="B1520" s="2"/>
      <c r="C1520" s="2" t="s">
        <v>3153</v>
      </c>
      <c r="D1520" s="2" t="s">
        <v>111</v>
      </c>
      <c r="E1520" s="3" t="s">
        <v>50</v>
      </c>
    </row>
    <row r="1521" spans="1:5" ht="16">
      <c r="A1521" s="1" t="s">
        <v>3154</v>
      </c>
      <c r="B1521" s="2"/>
      <c r="C1521" s="2" t="s">
        <v>3155</v>
      </c>
      <c r="D1521" s="2" t="s">
        <v>111</v>
      </c>
      <c r="E1521" s="3" t="s">
        <v>50</v>
      </c>
    </row>
    <row r="1522" spans="1:5" ht="16">
      <c r="A1522" s="1" t="s">
        <v>3156</v>
      </c>
      <c r="B1522" s="2" t="s">
        <v>63</v>
      </c>
      <c r="C1522" s="2" t="s">
        <v>3157</v>
      </c>
      <c r="D1522" s="2" t="s">
        <v>111</v>
      </c>
      <c r="E1522" s="3" t="s">
        <v>50</v>
      </c>
    </row>
    <row r="1523" spans="1:5" ht="16">
      <c r="A1523" s="1" t="s">
        <v>3158</v>
      </c>
      <c r="B1523" s="2"/>
      <c r="C1523" s="2" t="s">
        <v>3159</v>
      </c>
      <c r="D1523" s="2" t="s">
        <v>111</v>
      </c>
      <c r="E1523" s="3" t="s">
        <v>50</v>
      </c>
    </row>
    <row r="1524" spans="1:5" ht="16">
      <c r="A1524" s="1" t="s">
        <v>3160</v>
      </c>
      <c r="B1524" s="2"/>
      <c r="C1524" s="2" t="s">
        <v>3161</v>
      </c>
      <c r="D1524" s="2" t="s">
        <v>111</v>
      </c>
      <c r="E1524" s="3" t="s">
        <v>50</v>
      </c>
    </row>
    <row r="1525" spans="1:5" ht="16">
      <c r="A1525" s="1" t="s">
        <v>3162</v>
      </c>
      <c r="B1525" s="2" t="s">
        <v>63</v>
      </c>
      <c r="C1525" s="2" t="s">
        <v>3163</v>
      </c>
      <c r="D1525" s="2" t="s">
        <v>111</v>
      </c>
      <c r="E1525" s="3" t="s">
        <v>50</v>
      </c>
    </row>
    <row r="1526" spans="1:5" ht="16">
      <c r="A1526" s="1" t="s">
        <v>3164</v>
      </c>
      <c r="B1526" s="2" t="s">
        <v>74</v>
      </c>
      <c r="C1526" s="2" t="s">
        <v>3165</v>
      </c>
      <c r="D1526" s="2" t="s">
        <v>440</v>
      </c>
      <c r="E1526" s="3" t="s">
        <v>45</v>
      </c>
    </row>
    <row r="1527" spans="1:5" ht="16">
      <c r="A1527" s="1" t="s">
        <v>3166</v>
      </c>
      <c r="B1527" s="2"/>
      <c r="C1527" s="2" t="s">
        <v>3167</v>
      </c>
      <c r="D1527" s="2" t="s">
        <v>440</v>
      </c>
      <c r="E1527" s="3" t="s">
        <v>45</v>
      </c>
    </row>
    <row r="1528" spans="1:5" ht="16">
      <c r="A1528" s="1" t="s">
        <v>3168</v>
      </c>
      <c r="B1528" s="2" t="s">
        <v>85</v>
      </c>
      <c r="C1528" s="2" t="s">
        <v>3169</v>
      </c>
      <c r="D1528" s="2" t="s">
        <v>192</v>
      </c>
      <c r="E1528" s="3" t="s">
        <v>35</v>
      </c>
    </row>
    <row r="1529" spans="1:5" ht="16">
      <c r="A1529" s="1" t="s">
        <v>3170</v>
      </c>
      <c r="B1529" s="2" t="s">
        <v>91</v>
      </c>
      <c r="C1529" s="2" t="s">
        <v>3171</v>
      </c>
      <c r="D1529" s="2" t="s">
        <v>192</v>
      </c>
      <c r="E1529" s="3" t="s">
        <v>35</v>
      </c>
    </row>
    <row r="1530" spans="1:5" ht="16">
      <c r="A1530" s="1" t="s">
        <v>3172</v>
      </c>
      <c r="B1530" s="2" t="s">
        <v>91</v>
      </c>
      <c r="C1530" s="2" t="s">
        <v>3173</v>
      </c>
      <c r="D1530" s="2" t="s">
        <v>192</v>
      </c>
      <c r="E1530" s="3" t="s">
        <v>35</v>
      </c>
    </row>
    <row r="1531" spans="1:5" ht="16">
      <c r="A1531" s="1" t="s">
        <v>3174</v>
      </c>
      <c r="B1531" s="2" t="s">
        <v>91</v>
      </c>
      <c r="C1531" s="2" t="s">
        <v>3175</v>
      </c>
      <c r="D1531" s="2" t="s">
        <v>192</v>
      </c>
      <c r="E1531" s="3" t="s">
        <v>35</v>
      </c>
    </row>
    <row r="1532" spans="1:5" ht="16">
      <c r="A1532" s="1" t="s">
        <v>3176</v>
      </c>
      <c r="B1532" s="2" t="s">
        <v>74</v>
      </c>
      <c r="C1532" s="2" t="s">
        <v>3177</v>
      </c>
      <c r="D1532" s="2" t="s">
        <v>440</v>
      </c>
      <c r="E1532" s="3" t="s">
        <v>45</v>
      </c>
    </row>
    <row r="1533" spans="1:5" ht="16">
      <c r="A1533" s="1" t="s">
        <v>3178</v>
      </c>
      <c r="B1533" s="2" t="s">
        <v>91</v>
      </c>
      <c r="C1533" s="2" t="s">
        <v>3179</v>
      </c>
      <c r="D1533" s="2" t="s">
        <v>192</v>
      </c>
      <c r="E1533" s="3" t="s">
        <v>35</v>
      </c>
    </row>
    <row r="1534" spans="1:5" ht="16">
      <c r="A1534" s="1" t="s">
        <v>3180</v>
      </c>
      <c r="B1534" s="2" t="s">
        <v>74</v>
      </c>
      <c r="C1534" s="2" t="s">
        <v>3181</v>
      </c>
      <c r="D1534" s="2" t="s">
        <v>440</v>
      </c>
      <c r="E1534" s="3" t="s">
        <v>45</v>
      </c>
    </row>
    <row r="1535" spans="1:5" ht="16">
      <c r="A1535" s="1" t="s">
        <v>3182</v>
      </c>
      <c r="B1535" s="2" t="s">
        <v>74</v>
      </c>
      <c r="C1535" s="2" t="s">
        <v>3183</v>
      </c>
      <c r="D1535" s="2" t="s">
        <v>440</v>
      </c>
      <c r="E1535" s="3" t="s">
        <v>45</v>
      </c>
    </row>
    <row r="1536" spans="1:5" ht="16">
      <c r="A1536" s="1" t="s">
        <v>3184</v>
      </c>
      <c r="B1536" s="2" t="s">
        <v>91</v>
      </c>
      <c r="C1536" s="2" t="s">
        <v>3185</v>
      </c>
      <c r="D1536" s="2" t="s">
        <v>192</v>
      </c>
      <c r="E1536" s="3" t="s">
        <v>35</v>
      </c>
    </row>
    <row r="1537" spans="1:5" ht="16">
      <c r="A1537" s="1" t="s">
        <v>3186</v>
      </c>
      <c r="B1537" s="2" t="s">
        <v>91</v>
      </c>
      <c r="C1537" s="2" t="s">
        <v>3187</v>
      </c>
      <c r="D1537" s="2" t="s">
        <v>192</v>
      </c>
      <c r="E1537" s="3" t="s">
        <v>35</v>
      </c>
    </row>
    <row r="1538" spans="1:5" ht="16">
      <c r="A1538" s="1" t="s">
        <v>3188</v>
      </c>
      <c r="B1538" s="2" t="s">
        <v>74</v>
      </c>
      <c r="C1538" s="2" t="s">
        <v>3189</v>
      </c>
      <c r="D1538" s="2" t="s">
        <v>440</v>
      </c>
      <c r="E1538" s="3" t="s">
        <v>45</v>
      </c>
    </row>
    <row r="1539" spans="1:5" ht="16">
      <c r="A1539" s="1" t="s">
        <v>3190</v>
      </c>
      <c r="B1539" s="2" t="s">
        <v>69</v>
      </c>
      <c r="C1539" s="2" t="s">
        <v>3191</v>
      </c>
      <c r="D1539" s="2" t="s">
        <v>440</v>
      </c>
      <c r="E1539" s="3" t="s">
        <v>45</v>
      </c>
    </row>
    <row r="1540" spans="1:5" ht="16">
      <c r="A1540" s="1" t="s">
        <v>3192</v>
      </c>
      <c r="B1540" s="2" t="s">
        <v>85</v>
      </c>
      <c r="C1540" s="2" t="s">
        <v>3193</v>
      </c>
      <c r="D1540" s="2" t="s">
        <v>192</v>
      </c>
      <c r="E1540" s="3" t="s">
        <v>35</v>
      </c>
    </row>
    <row r="1541" spans="1:5" ht="16">
      <c r="A1541" s="1" t="s">
        <v>3194</v>
      </c>
      <c r="B1541" s="2" t="s">
        <v>74</v>
      </c>
      <c r="C1541" s="2" t="s">
        <v>3195</v>
      </c>
      <c r="D1541" s="2" t="s">
        <v>440</v>
      </c>
      <c r="E1541" s="3" t="s">
        <v>45</v>
      </c>
    </row>
    <row r="1542" spans="1:5" ht="16">
      <c r="A1542" s="1" t="s">
        <v>3196</v>
      </c>
      <c r="B1542" s="2" t="s">
        <v>74</v>
      </c>
      <c r="C1542" s="2" t="s">
        <v>3197</v>
      </c>
      <c r="D1542" s="2" t="s">
        <v>440</v>
      </c>
      <c r="E1542" s="3" t="s">
        <v>45</v>
      </c>
    </row>
    <row r="1543" spans="1:5" ht="16">
      <c r="A1543" s="1" t="s">
        <v>3198</v>
      </c>
      <c r="B1543" s="2" t="s">
        <v>80</v>
      </c>
      <c r="C1543" s="2" t="s">
        <v>3199</v>
      </c>
      <c r="D1543" s="2" t="s">
        <v>440</v>
      </c>
      <c r="E1543" s="3" t="s">
        <v>35</v>
      </c>
    </row>
    <row r="1544" spans="1:5" ht="16">
      <c r="A1544" s="1" t="s">
        <v>3200</v>
      </c>
      <c r="B1544" s="2" t="s">
        <v>80</v>
      </c>
      <c r="C1544" s="2" t="s">
        <v>3201</v>
      </c>
      <c r="D1544" s="2" t="s">
        <v>440</v>
      </c>
      <c r="E1544" s="3" t="s">
        <v>45</v>
      </c>
    </row>
    <row r="1545" spans="1:5" ht="16">
      <c r="A1545" s="1" t="s">
        <v>3202</v>
      </c>
      <c r="B1545" s="2" t="s">
        <v>74</v>
      </c>
      <c r="C1545" s="2" t="s">
        <v>3203</v>
      </c>
      <c r="D1545" s="2" t="s">
        <v>440</v>
      </c>
      <c r="E1545" s="3" t="s">
        <v>45</v>
      </c>
    </row>
    <row r="1546" spans="1:5" ht="16">
      <c r="A1546" s="1" t="s">
        <v>3204</v>
      </c>
      <c r="B1546" s="2" t="s">
        <v>91</v>
      </c>
      <c r="C1546" s="2" t="s">
        <v>3205</v>
      </c>
      <c r="D1546" s="2" t="s">
        <v>192</v>
      </c>
      <c r="E1546" s="3" t="s">
        <v>35</v>
      </c>
    </row>
    <row r="1547" spans="1:5" ht="16">
      <c r="A1547" s="1" t="s">
        <v>3206</v>
      </c>
      <c r="B1547" s="2" t="s">
        <v>91</v>
      </c>
      <c r="C1547" s="2" t="s">
        <v>3207</v>
      </c>
      <c r="D1547" s="2" t="s">
        <v>192</v>
      </c>
      <c r="E1547" s="3" t="s">
        <v>35</v>
      </c>
    </row>
    <row r="1548" spans="1:5" ht="16">
      <c r="A1548" s="1" t="s">
        <v>3208</v>
      </c>
      <c r="B1548" s="2" t="s">
        <v>74</v>
      </c>
      <c r="C1548" s="2" t="s">
        <v>3209</v>
      </c>
      <c r="D1548" s="2" t="s">
        <v>111</v>
      </c>
      <c r="E1548" s="3" t="s">
        <v>50</v>
      </c>
    </row>
    <row r="1549" spans="1:5" ht="16">
      <c r="A1549" s="1" t="s">
        <v>3210</v>
      </c>
      <c r="B1549" s="2" t="s">
        <v>80</v>
      </c>
      <c r="C1549" s="2" t="s">
        <v>3211</v>
      </c>
      <c r="D1549" s="2" t="s">
        <v>111</v>
      </c>
      <c r="E1549" s="3" t="s">
        <v>50</v>
      </c>
    </row>
    <row r="1550" spans="1:5" ht="16">
      <c r="A1550" s="1" t="s">
        <v>3212</v>
      </c>
      <c r="B1550" s="2" t="s">
        <v>85</v>
      </c>
      <c r="C1550" s="2" t="s">
        <v>3213</v>
      </c>
      <c r="D1550" s="2" t="s">
        <v>192</v>
      </c>
      <c r="E1550" s="3" t="s">
        <v>35</v>
      </c>
    </row>
    <row r="1551" spans="1:5" ht="16">
      <c r="A1551" s="4" t="s">
        <v>3214</v>
      </c>
      <c r="B1551" s="5" t="s">
        <v>85</v>
      </c>
      <c r="C1551" s="5" t="s">
        <v>3215</v>
      </c>
      <c r="D1551" s="5" t="s">
        <v>192</v>
      </c>
      <c r="E1551" s="6" t="s">
        <v>35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"/>
  <sheetViews>
    <sheetView workbookViewId="0">
      <selection sqref="A1:F1"/>
    </sheetView>
  </sheetViews>
  <sheetFormatPr baseColWidth="10" defaultColWidth="8.83203125" defaultRowHeight="15"/>
  <cols>
    <col min="1" max="6" width="48.33203125" customWidth="1"/>
  </cols>
  <sheetData>
    <row r="1" spans="1:6" ht="38" customHeight="1">
      <c r="A1" s="43" t="s">
        <v>3323</v>
      </c>
      <c r="B1" s="43" t="s">
        <v>3323</v>
      </c>
      <c r="C1" s="43" t="s">
        <v>3323</v>
      </c>
      <c r="D1" s="43" t="s">
        <v>3323</v>
      </c>
      <c r="E1" s="43" t="s">
        <v>3323</v>
      </c>
      <c r="F1" s="43" t="s">
        <v>3323</v>
      </c>
    </row>
    <row r="3" spans="1:6" ht="16">
      <c r="A3" s="27" t="s">
        <v>57</v>
      </c>
      <c r="B3" s="28" t="s">
        <v>3324</v>
      </c>
      <c r="C3" s="28" t="s">
        <v>3325</v>
      </c>
      <c r="D3" s="28" t="s">
        <v>3326</v>
      </c>
      <c r="E3" s="28" t="s">
        <v>3327</v>
      </c>
      <c r="F3" s="28" t="s">
        <v>3328</v>
      </c>
    </row>
    <row r="4" spans="1:6" ht="16">
      <c r="A4" s="1" t="s">
        <v>63</v>
      </c>
      <c r="B4" s="2" t="s">
        <v>3329</v>
      </c>
      <c r="C4" s="2" t="s">
        <v>3330</v>
      </c>
      <c r="D4" s="2" t="s">
        <v>3331</v>
      </c>
      <c r="E4" s="2" t="s">
        <v>3332</v>
      </c>
      <c r="F4" s="2" t="s">
        <v>3333</v>
      </c>
    </row>
    <row r="5" spans="1:6" ht="16">
      <c r="A5" s="1" t="s">
        <v>69</v>
      </c>
      <c r="B5" s="2" t="s">
        <v>3334</v>
      </c>
      <c r="C5" s="2" t="s">
        <v>3335</v>
      </c>
      <c r="D5" s="2" t="s">
        <v>3336</v>
      </c>
      <c r="E5" s="2" t="s">
        <v>3337</v>
      </c>
      <c r="F5" s="2" t="s">
        <v>3338</v>
      </c>
    </row>
    <row r="6" spans="1:6" ht="16">
      <c r="A6" s="1" t="s">
        <v>74</v>
      </c>
      <c r="B6" s="2" t="s">
        <v>3339</v>
      </c>
      <c r="C6" s="2" t="s">
        <v>31</v>
      </c>
      <c r="D6" s="2" t="s">
        <v>3219</v>
      </c>
      <c r="E6" s="2" t="s">
        <v>3340</v>
      </c>
      <c r="F6" s="2" t="s">
        <v>3341</v>
      </c>
    </row>
    <row r="7" spans="1:6" ht="16">
      <c r="A7" s="1" t="s">
        <v>80</v>
      </c>
      <c r="B7" s="2" t="s">
        <v>3342</v>
      </c>
      <c r="C7" s="2" t="s">
        <v>3343</v>
      </c>
      <c r="D7" s="2" t="s">
        <v>3344</v>
      </c>
      <c r="E7" s="2" t="s">
        <v>3345</v>
      </c>
      <c r="F7" s="2" t="s">
        <v>3346</v>
      </c>
    </row>
    <row r="8" spans="1:6" ht="16">
      <c r="A8" s="1" t="s">
        <v>85</v>
      </c>
      <c r="B8" s="2" t="s">
        <v>3236</v>
      </c>
      <c r="C8" s="2" t="s">
        <v>3236</v>
      </c>
      <c r="D8" s="2" t="s">
        <v>3344</v>
      </c>
      <c r="E8" s="2" t="s">
        <v>3347</v>
      </c>
      <c r="F8" s="2" t="s">
        <v>3348</v>
      </c>
    </row>
    <row r="9" spans="1:6" ht="16">
      <c r="A9" s="1" t="s">
        <v>91</v>
      </c>
      <c r="B9" s="2" t="s">
        <v>3349</v>
      </c>
      <c r="C9" s="2" t="s">
        <v>3350</v>
      </c>
      <c r="D9" s="2" t="s">
        <v>3344</v>
      </c>
      <c r="E9" s="2" t="s">
        <v>3351</v>
      </c>
      <c r="F9" s="2" t="s">
        <v>3352</v>
      </c>
    </row>
    <row r="10" spans="1:6" ht="16">
      <c r="A10" s="1" t="s">
        <v>97</v>
      </c>
      <c r="B10" s="2" t="s">
        <v>3353</v>
      </c>
      <c r="C10" s="2" t="s">
        <v>3238</v>
      </c>
      <c r="D10" s="2" t="s">
        <v>3219</v>
      </c>
      <c r="E10" s="2" t="s">
        <v>3354</v>
      </c>
      <c r="F10" s="2" t="s">
        <v>3355</v>
      </c>
    </row>
    <row r="11" spans="1:6" ht="16">
      <c r="A11" s="1" t="s">
        <v>303</v>
      </c>
      <c r="B11" s="2" t="s">
        <v>3356</v>
      </c>
      <c r="C11" s="2" t="s">
        <v>71</v>
      </c>
      <c r="D11" s="2" t="s">
        <v>3357</v>
      </c>
      <c r="E11" s="2" t="s">
        <v>3358</v>
      </c>
      <c r="F11" s="2" t="s">
        <v>3359</v>
      </c>
    </row>
    <row r="12" spans="1:6" ht="16">
      <c r="A12" s="1" t="s">
        <v>196</v>
      </c>
      <c r="B12" s="2" t="s">
        <v>3360</v>
      </c>
      <c r="C12" s="2" t="s">
        <v>3245</v>
      </c>
      <c r="D12" s="2" t="s">
        <v>3361</v>
      </c>
      <c r="E12" s="2" t="s">
        <v>3362</v>
      </c>
      <c r="F12" s="2" t="s">
        <v>3363</v>
      </c>
    </row>
    <row r="13" spans="1:6" ht="16">
      <c r="A13" s="1" t="s">
        <v>199</v>
      </c>
      <c r="B13" s="2" t="s">
        <v>3364</v>
      </c>
      <c r="C13" s="2" t="s">
        <v>3365</v>
      </c>
      <c r="D13" s="2" t="s">
        <v>3366</v>
      </c>
      <c r="E13" s="2" t="s">
        <v>3367</v>
      </c>
      <c r="F13" s="2" t="s">
        <v>3368</v>
      </c>
    </row>
    <row r="14" spans="1:6">
      <c r="A14" s="1"/>
      <c r="B14" s="2"/>
      <c r="C14" s="2"/>
      <c r="D14" s="2"/>
      <c r="E14" s="2"/>
      <c r="F14" s="2"/>
    </row>
    <row r="15" spans="1:6" ht="16">
      <c r="A15" s="1" t="s">
        <v>3369</v>
      </c>
      <c r="B15" s="2" t="s">
        <v>3370</v>
      </c>
      <c r="C15" s="2" t="s">
        <v>3371</v>
      </c>
      <c r="D15" s="2"/>
      <c r="E15" s="2"/>
      <c r="F15" s="2"/>
    </row>
    <row r="16" spans="1:6" ht="16">
      <c r="A16" s="1" t="s">
        <v>3369</v>
      </c>
      <c r="B16" s="2" t="s">
        <v>3372</v>
      </c>
      <c r="C16" s="2" t="s">
        <v>3373</v>
      </c>
      <c r="D16" s="2"/>
      <c r="E16" s="2"/>
      <c r="F16" s="2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Carga Web Cirugias</vt:lpstr>
      <vt:lpstr>Carga Eventos Diarios</vt:lpstr>
      <vt:lpstr>Catalogos</vt:lpstr>
      <vt:lpstr>Instrucciones</vt:lpstr>
      <vt:lpstr>Catalogo MINSAL</vt:lpstr>
      <vt:lpstr>Guia de carga CRR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Jazmín F</cp:lastModifiedBy>
  <dcterms:created xsi:type="dcterms:W3CDTF">2026-05-28T19:53:33Z</dcterms:created>
  <dcterms:modified xsi:type="dcterms:W3CDTF">2026-06-02T03:24:41Z</dcterms:modified>
</cp:coreProperties>
</file>