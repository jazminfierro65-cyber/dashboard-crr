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00" tabRatio="600" firstSheet="0" activeTab="0" autoFilterDateGrouping="1"/>
  </bookViews>
  <sheets>
    <sheet xmlns:r="http://schemas.openxmlformats.org/officeDocument/2006/relationships" name="Carga Web Cirugias" sheetId="1" state="visible" r:id="rId1"/>
    <sheet xmlns:r="http://schemas.openxmlformats.org/officeDocument/2006/relationships" name="Resumen Ocupacion" sheetId="2" state="visible" r:id="rId2"/>
    <sheet xmlns:r="http://schemas.openxmlformats.org/officeDocument/2006/relationships" name="Horario Pabellones" sheetId="3" state="visible" r:id="rId3"/>
    <sheet xmlns:r="http://schemas.openxmlformats.org/officeDocument/2006/relationships" name="Carga Eventos Diarios" sheetId="4" state="visible" r:id="rId4"/>
    <sheet xmlns:r="http://schemas.openxmlformats.org/officeDocument/2006/relationships" name="Catalogos" sheetId="5" state="visible" r:id="rId5"/>
    <sheet xmlns:r="http://schemas.openxmlformats.org/officeDocument/2006/relationships" name="Instrucciones" sheetId="6" state="visible" r:id="rId6"/>
    <sheet xmlns:r="http://schemas.openxmlformats.org/officeDocument/2006/relationships" name="Catalogo MINSAL" sheetId="7" state="visible" r:id="rId7"/>
    <sheet xmlns:r="http://schemas.openxmlformats.org/officeDocument/2006/relationships" name="Guia de carga CRR" sheetId="8" state="visible" r:id="rId8"/>
    <sheet xmlns:r="http://schemas.openxmlformats.org/officeDocument/2006/relationships" name="Referencias KPI" sheetId="9" state="visible" r:id="rId9"/>
  </sheets>
  <definedNames>
    <definedName name="_xlnm._FilterDatabase" localSheetId="0" hidden="1">'Carga Web Cirugias'!$A$3:$AU$500</definedName>
    <definedName name="_xlnm._FilterDatabase" localSheetId="1" hidden="1">'Resumen Ocupacion'!$A$3:$N$500</definedName>
    <definedName name="_xlnm._FilterDatabase" localSheetId="2" hidden="1">'Horario Pabellones'!$A$3:$E$17</definedName>
    <definedName name="_xlnm._FilterDatabase" localSheetId="8" hidden="1">'Referencias KPI'!$A$1:$E$8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hh:mm"/>
    <numFmt numFmtId="166" formatCode="0.0%"/>
    <numFmt numFmtId="167" formatCode="dd\-mm\-yyyy"/>
  </numFmts>
  <fonts count="60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0365A"/>
      <sz val="11"/>
    </font>
    <font>
      <name val="Carlito"/>
      <b val="1"/>
      <color rgb="FFFFFFFF"/>
      <sz val="15"/>
    </font>
    <font>
      <name val="Calibri"/>
      <family val="2"/>
      <sz val="9"/>
    </font>
    <font>
      <name val="Aptos Narrow"/>
      <sz val="9"/>
    </font>
    <font>
      <name val="Arial"/>
      <family val="2"/>
      <sz val="9"/>
    </font>
    <font>
      <name val="Arial"/>
      <family val="2"/>
      <sz val="10"/>
    </font>
    <font>
      <name val="Calibri"/>
      <family val="2"/>
      <color rgb="FF473821"/>
      <sz val="9"/>
    </font>
    <font>
      <name val="Carlito"/>
      <b val="1"/>
      <color rgb="FF60768B"/>
      <sz val="10"/>
    </font>
    <font>
      <name val="Arial"/>
      <family val="2"/>
      <sz val="8"/>
    </font>
    <font>
      <name val="Arial"/>
      <family val="2"/>
      <color rgb="FF101010"/>
      <sz val="8"/>
    </font>
    <font>
      <name val="Arial"/>
      <family val="2"/>
      <color rgb="FF465ABD"/>
      <sz val="8"/>
    </font>
    <font>
      <name val="Arial"/>
      <family val="2"/>
      <color rgb="FF0C0D0C"/>
      <sz val="8"/>
    </font>
    <font>
      <name val="Arial"/>
      <family val="2"/>
      <color rgb="FF141313"/>
      <sz val="8"/>
    </font>
    <font>
      <name val="Arial"/>
      <family val="2"/>
      <color rgb="FF473821"/>
      <sz val="8"/>
    </font>
    <font>
      <name val="Arial"/>
      <family val="2"/>
      <color rgb="FF5A3286"/>
      <sz val="8"/>
    </font>
    <font>
      <name val="Arial"/>
      <family val="2"/>
      <color rgb="FF215A6C"/>
      <sz val="8"/>
    </font>
    <font>
      <name val="Arial"/>
      <family val="2"/>
      <color rgb="FF11734B"/>
      <sz val="8"/>
    </font>
    <font>
      <name val="Arial"/>
      <family val="2"/>
      <color rgb="FFFFCFC9"/>
      <sz val="8"/>
    </font>
    <font>
      <name val="Aptos Narrow"/>
      <sz val="8"/>
    </font>
    <font>
      <name val="Arial"/>
      <family val="2"/>
      <color rgb="FFB10202"/>
      <sz val="8"/>
    </font>
    <font>
      <name val="Arial"/>
      <family val="2"/>
      <sz val="7"/>
    </font>
    <font>
      <name val="Arial"/>
      <family val="2"/>
      <color rgb="FF101010"/>
      <sz val="7"/>
    </font>
    <font>
      <name val="Arial"/>
      <family val="2"/>
      <color rgb="FF465ABD"/>
      <sz val="7"/>
    </font>
    <font>
      <name val="Arial"/>
      <family val="2"/>
      <color rgb="FF473821"/>
      <sz val="7"/>
    </font>
    <font>
      <name val="Arial"/>
      <family val="2"/>
      <color rgb="FF5A3286"/>
      <sz val="7"/>
    </font>
    <font>
      <name val="Arial"/>
      <family val="2"/>
      <color rgb="FF0A53A8"/>
      <sz val="7"/>
    </font>
    <font>
      <name val="Carlito"/>
      <b val="1"/>
      <color rgb="FF16639F"/>
      <sz val="16"/>
    </font>
    <font>
      <name val="Calibri"/>
      <family val="2"/>
      <color rgb="FF465ABD"/>
      <sz val="9"/>
    </font>
    <font>
      <name val="Calibri"/>
      <family val="2"/>
      <color rgb="FF0C0D0C"/>
      <sz val="9"/>
    </font>
    <font>
      <name val="Calibri"/>
      <family val="2"/>
      <color rgb="FF0A53A8"/>
      <sz val="9"/>
    </font>
    <font>
      <name val="Calibri"/>
      <family val="2"/>
      <color rgb="FF141313"/>
      <sz val="9"/>
    </font>
    <font>
      <name val="Calibri"/>
      <family val="2"/>
      <color rgb="FF0E0D0D"/>
      <sz val="9"/>
    </font>
    <font>
      <name val="Calibri"/>
      <family val="2"/>
      <color rgb="FF5A3286"/>
      <sz val="9"/>
    </font>
    <font>
      <name val="Carlito"/>
      <b val="1"/>
      <color rgb="FFFFFFFF"/>
      <sz val="11"/>
    </font>
    <font>
      <name val="Carlito"/>
      <b val="1"/>
      <color rgb="FF0D3559"/>
      <sz val="11"/>
    </font>
    <font>
      <name val="Carlito"/>
      <b val="1"/>
      <color rgb="FF0D3559"/>
      <sz val="13"/>
    </font>
    <font>
      <name val="Carlito"/>
      <color rgb="FF657B91"/>
      <sz val="11"/>
    </font>
    <font>
      <name val="Carlito"/>
      <b val="1"/>
      <color rgb="FF16639F"/>
      <sz val="13"/>
    </font>
    <font>
      <name val="Carlito"/>
      <b val="1"/>
      <color rgb="FFBE1E2D"/>
      <sz val="13"/>
    </font>
    <font>
      <name val="Aptos Display"/>
      <b val="1"/>
      <color rgb="FF123A5A"/>
      <sz val="18"/>
    </font>
    <font>
      <name val="Aptos"/>
      <color rgb="FF123A5A"/>
      <sz val="11"/>
    </font>
    <font>
      <name val="Aptos"/>
      <b val="1"/>
      <color rgb="FFFFFFFF"/>
      <sz val="11"/>
    </font>
    <font>
      <name val="Arial"/>
      <family val="2"/>
      <color rgb="FF465ABD"/>
      <sz val="9"/>
    </font>
    <font>
      <name val="Arial"/>
      <family val="2"/>
      <color rgb="FF101010"/>
      <sz val="9"/>
    </font>
    <font>
      <name val="Arial"/>
      <family val="2"/>
      <color rgb="FF0A53A8"/>
      <sz val="9"/>
    </font>
    <font>
      <name val="Arial"/>
      <family val="2"/>
      <color rgb="FF131314"/>
      <sz val="9"/>
    </font>
    <font>
      <name val="Arial"/>
      <family val="2"/>
      <color rgb="FF11734B"/>
      <sz val="9"/>
    </font>
    <font>
      <name val="Arial"/>
      <family val="2"/>
      <color rgb="FFFFCFC9"/>
      <sz val="9"/>
    </font>
    <font>
      <name val="Arial"/>
      <family val="2"/>
      <color rgb="FF753800"/>
      <sz val="9"/>
    </font>
    <font>
      <name val="Arial"/>
      <family val="2"/>
      <color theme="1"/>
      <sz val="8"/>
    </font>
    <font>
      <name val="Arial"/>
      <family val="2"/>
      <color rgb="FF0E0E0F"/>
      <sz val="8"/>
    </font>
    <font>
      <name val="Arial"/>
      <family val="2"/>
      <color rgb="FF753800"/>
      <sz val="8"/>
    </font>
    <font>
      <name val="Aptos"/>
      <sz val="8"/>
    </font>
    <font>
      <name val="Aptos"/>
      <b val="1"/>
      <color rgb="FF10365A"/>
      <sz val="8"/>
    </font>
    <font>
      <name val="Aptos"/>
      <color rgb="FFC6DBE1"/>
      <sz val="8"/>
    </font>
    <font>
      <name val="Aptos"/>
      <color theme="1"/>
      <sz val="8"/>
    </font>
    <font>
      <name val="Aptos"/>
      <b val="1"/>
      <color rgb="FF10365A"/>
      <sz val="11"/>
    </font>
  </fonts>
  <fills count="18">
    <fill>
      <patternFill/>
    </fill>
    <fill>
      <patternFill patternType="gray125"/>
    </fill>
    <fill>
      <patternFill patternType="solid">
        <fgColor rgb="FF16639F"/>
      </patternFill>
    </fill>
    <fill>
      <patternFill patternType="solid">
        <fgColor rgb="FF16639F"/>
      </patternFill>
    </fill>
    <fill>
      <patternFill patternType="solid">
        <fgColor rgb="FF16639F"/>
      </patternFill>
    </fill>
    <fill>
      <patternFill patternType="solid">
        <fgColor rgb="FFF5F7FA"/>
      </patternFill>
    </fill>
    <fill>
      <patternFill patternType="solid">
        <fgColor rgb="FFFFF7D6"/>
      </patternFill>
    </fill>
    <fill>
      <patternFill patternType="solid">
        <fgColor rgb="FFEAF3FB"/>
      </patternFill>
    </fill>
    <fill>
      <patternFill patternType="solid">
        <fgColor rgb="FF16639F"/>
      </patternFill>
    </fill>
    <fill>
      <patternFill patternType="solid">
        <fgColor rgb="FFE8743B"/>
      </patternFill>
    </fill>
    <fill>
      <patternFill patternType="solid">
        <fgColor rgb="FFEAF4FB"/>
      </patternFill>
    </fill>
    <fill>
      <patternFill patternType="solid">
        <fgColor rgb="FF1B69A8"/>
      </patternFill>
    </fill>
    <fill>
      <patternFill patternType="solid">
        <fgColor rgb="FFEE7036"/>
      </patternFill>
    </fill>
    <fill>
      <patternFill patternType="solid">
        <fgColor rgb="FFEAF5FC"/>
      </patternFill>
    </fill>
    <fill>
      <patternFill patternType="solid">
        <fgColor rgb="FFFFFFFF"/>
      </patternFill>
    </fill>
    <fill>
      <patternFill patternType="solid">
        <fgColor rgb="FFFFF1E8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14">
    <border>
      <left/>
      <right/>
      <top/>
      <bottom/>
      <diagonal/>
    </border>
    <border>
      <left/>
      <right style="thin">
        <color rgb="FFD7E3EE"/>
      </right>
      <top/>
      <bottom style="thin">
        <color rgb="FFD7E3EE"/>
      </bottom>
      <diagonal/>
    </border>
    <border>
      <left style="thin">
        <color rgb="FFD7E3EE"/>
      </left>
      <right style="thin">
        <color rgb="FFD7E3EE"/>
      </right>
      <top/>
      <bottom style="thin">
        <color rgb="FFD7E3EE"/>
      </bottom>
      <diagonal/>
    </border>
    <border>
      <left style="thin">
        <color rgb="FFD7E3EE"/>
      </left>
      <right/>
      <top/>
      <bottom style="thin">
        <color rgb="FFD7E3EE"/>
      </bottom>
      <diagonal/>
    </border>
    <border>
      <left/>
      <right style="thin">
        <color rgb="FFD7E3EE"/>
      </right>
      <top style="thin">
        <color rgb="FFD7E3EE"/>
      </top>
      <bottom style="thin">
        <color rgb="FFD7E3EE"/>
      </bottom>
      <diagonal/>
    </border>
    <border>
      <left style="thin">
        <color rgb="FFD7E3EE"/>
      </left>
      <right style="thin">
        <color rgb="FFD7E3EE"/>
      </right>
      <top style="thin">
        <color rgb="FFD7E3EE"/>
      </top>
      <bottom style="thin">
        <color rgb="FFD7E3EE"/>
      </bottom>
      <diagonal/>
    </border>
    <border>
      <left style="thin">
        <color rgb="FFD7E3EE"/>
      </left>
      <right/>
      <top style="thin">
        <color rgb="FFD7E3EE"/>
      </top>
      <bottom style="thin">
        <color rgb="FFD7E3EE"/>
      </bottom>
      <diagonal/>
    </border>
    <border>
      <left/>
      <right style="thin">
        <color rgb="FFD7E3EE"/>
      </right>
      <top style="thin">
        <color rgb="FFD7E3EE"/>
      </top>
      <bottom/>
      <diagonal/>
    </border>
    <border>
      <left style="thin">
        <color rgb="FFD7E3EE"/>
      </left>
      <right style="thin">
        <color rgb="FFD7E3EE"/>
      </right>
      <top style="thin">
        <color rgb="FFD7E3EE"/>
      </top>
      <bottom/>
      <diagonal/>
    </border>
    <border>
      <left style="thin">
        <color rgb="FFD7E3EE"/>
      </left>
      <right/>
      <top style="thin">
        <color rgb="FFD7E3EE"/>
      </top>
      <bottom/>
      <diagonal/>
    </border>
    <border>
      <left/>
      <right/>
      <top/>
      <bottom style="thin">
        <color rgb="FFD7E3EE"/>
      </bottom>
      <diagonal/>
    </border>
    <border>
      <left/>
      <right/>
      <top/>
      <bottom style="hair">
        <color rgb="FFE4ECF3"/>
      </bottom>
      <diagonal/>
    </border>
    <border>
      <left style="thin">
        <color rgb="FFB8D6EA"/>
      </left>
      <right style="thin">
        <color rgb="FFB8D6EA"/>
      </right>
      <top style="thin">
        <color rgb="FFB8D6EA"/>
      </top>
      <bottom style="thin">
        <color rgb="FFB8D6EA"/>
      </bottom>
      <diagonal/>
    </border>
    <border>
      <left style="thin">
        <color rgb="FFB7D7EE"/>
      </left>
      <right style="thin">
        <color rgb="FFB7D7EE"/>
      </right>
      <top style="thin">
        <color rgb="FFB7D7EE"/>
      </top>
      <bottom style="thin">
        <color rgb="FFB7D7EE"/>
      </bottom>
      <diagonal/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164" fontId="5" fillId="6" borderId="11" applyAlignment="1" applyProtection="1" pivotButton="0" quotePrefix="0" xfId="0">
      <alignment vertical="center" wrapText="1"/>
      <protection locked="0" hidden="0"/>
    </xf>
    <xf numFmtId="0" fontId="6" fillId="6" borderId="11" applyAlignment="1" applyProtection="1" pivotButton="0" quotePrefix="0" xfId="0">
      <alignment vertical="center" wrapText="1"/>
      <protection locked="0" hidden="0"/>
    </xf>
    <xf numFmtId="0" fontId="0" fillId="6" borderId="11" applyAlignment="1" applyProtection="1" pivotButton="0" quotePrefix="0" xfId="0">
      <alignment vertical="center" wrapText="1"/>
      <protection locked="0" hidden="0"/>
    </xf>
    <xf numFmtId="0" fontId="3" fillId="7" borderId="11" applyAlignment="1" pivotButton="0" quotePrefix="0" xfId="0">
      <alignment vertical="center" wrapText="1"/>
    </xf>
    <xf numFmtId="0" fontId="5" fillId="6" borderId="11" applyAlignment="1" applyProtection="1" pivotButton="0" quotePrefix="0" xfId="0">
      <alignment vertical="center" wrapText="1"/>
      <protection locked="0" hidden="0"/>
    </xf>
    <xf numFmtId="0" fontId="7" fillId="6" borderId="11" applyAlignment="1" applyProtection="1" pivotButton="0" quotePrefix="0" xfId="0">
      <alignment vertical="center" wrapText="1"/>
      <protection locked="0" hidden="0"/>
    </xf>
    <xf numFmtId="165" fontId="6" fillId="6" borderId="11" applyAlignment="1" applyProtection="1" pivotButton="0" quotePrefix="0" xfId="0">
      <alignment vertical="center" wrapText="1"/>
      <protection locked="0" hidden="0"/>
    </xf>
    <xf numFmtId="20" fontId="6" fillId="7" borderId="11" applyAlignment="1" pivotButton="0" quotePrefix="0" xfId="0">
      <alignment vertical="center" wrapText="1"/>
    </xf>
    <xf numFmtId="165" fontId="0" fillId="6" borderId="11" applyAlignment="1" applyProtection="1" pivotButton="0" quotePrefix="0" xfId="0">
      <alignment vertical="center" wrapText="1"/>
      <protection locked="0" hidden="0"/>
    </xf>
    <xf numFmtId="1" fontId="0" fillId="7" borderId="11" applyAlignment="1" pivotButton="0" quotePrefix="0" xfId="0">
      <alignment vertical="center" wrapText="1"/>
    </xf>
    <xf numFmtId="0" fontId="0" fillId="7" borderId="11" applyAlignment="1" pivotButton="0" quotePrefix="0" xfId="0">
      <alignment vertical="center" wrapText="1"/>
    </xf>
    <xf numFmtId="1" fontId="3" fillId="7" borderId="11" applyAlignment="1" pivotButton="0" quotePrefix="0" xfId="0">
      <alignment vertical="center" wrapText="1"/>
    </xf>
    <xf numFmtId="1" fontId="3" fillId="6" borderId="11" applyAlignment="1" applyProtection="1" pivotButton="0" quotePrefix="0" xfId="0">
      <alignment vertical="center" wrapText="1"/>
      <protection locked="0" hidden="0"/>
    </xf>
    <xf numFmtId="0" fontId="5" fillId="7" borderId="11" applyAlignment="1" pivotButton="0" quotePrefix="0" xfId="0">
      <alignment vertical="center" wrapText="1"/>
    </xf>
    <xf numFmtId="165" fontId="7" fillId="6" borderId="11" applyAlignment="1" applyProtection="1" pivotButton="0" quotePrefix="0" xfId="0">
      <alignment vertical="center" wrapText="1"/>
      <protection locked="0" hidden="0"/>
    </xf>
    <xf numFmtId="14" fontId="11" fillId="6" borderId="11" applyAlignment="1" applyProtection="1" pivotButton="0" quotePrefix="0" xfId="0">
      <alignment vertical="center" wrapText="1"/>
      <protection locked="0" hidden="0"/>
    </xf>
    <xf numFmtId="0" fontId="11" fillId="6" borderId="11" applyAlignment="1" applyProtection="1" pivotButton="0" quotePrefix="0" xfId="0">
      <alignment vertical="center" wrapText="1"/>
      <protection locked="0" hidden="0"/>
    </xf>
    <xf numFmtId="165" fontId="11" fillId="6" borderId="11" applyAlignment="1" applyProtection="1" pivotButton="0" quotePrefix="0" xfId="0">
      <alignment vertical="center" wrapText="1"/>
      <protection locked="0" hidden="0"/>
    </xf>
    <xf numFmtId="1" fontId="11" fillId="7" borderId="11" applyAlignment="1" pivotButton="0" quotePrefix="0" xfId="0">
      <alignment vertical="center" wrapText="1"/>
    </xf>
    <xf numFmtId="0" fontId="8" fillId="6" borderId="11" applyAlignment="1" applyProtection="1" pivotButton="0" quotePrefix="0" xfId="0">
      <alignment vertical="center" wrapText="1"/>
      <protection locked="0" hidden="0"/>
    </xf>
    <xf numFmtId="165" fontId="8" fillId="6" borderId="11" applyAlignment="1" applyProtection="1" pivotButton="0" quotePrefix="0" xfId="0">
      <alignment vertical="center" wrapText="1"/>
      <protection locked="0" hidden="0"/>
    </xf>
    <xf numFmtId="0" fontId="8" fillId="7" borderId="11" applyAlignment="1" pivotButton="0" quotePrefix="0" xfId="0">
      <alignment vertical="center" wrapText="1"/>
    </xf>
    <xf numFmtId="0" fontId="9" fillId="7" borderId="11" applyAlignment="1" pivotButton="0" quotePrefix="0" xfId="0">
      <alignment vertical="center" wrapText="1"/>
    </xf>
    <xf numFmtId="0" fontId="12" fillId="6" borderId="11" applyAlignment="1" applyProtection="1" pivotButton="0" quotePrefix="0" xfId="0">
      <alignment vertical="center" wrapText="1"/>
      <protection locked="0" hidden="0"/>
    </xf>
    <xf numFmtId="1" fontId="8" fillId="7" borderId="11" applyAlignment="1" pivotButton="0" quotePrefix="0" xfId="0">
      <alignment vertical="center" wrapText="1"/>
    </xf>
    <xf numFmtId="0" fontId="17" fillId="6" borderId="11" applyAlignment="1" applyProtection="1" pivotButton="0" quotePrefix="0" xfId="0">
      <alignment vertical="center" wrapText="1"/>
      <protection locked="0" hidden="0"/>
    </xf>
    <xf numFmtId="0" fontId="16" fillId="6" borderId="11" applyAlignment="1" applyProtection="1" pivotButton="0" quotePrefix="0" xfId="0">
      <alignment vertical="center" wrapText="1"/>
      <protection locked="0" hidden="0"/>
    </xf>
    <xf numFmtId="0" fontId="18" fillId="6" borderId="11" applyAlignment="1" applyProtection="1" pivotButton="0" quotePrefix="0" xfId="0">
      <alignment vertical="center" wrapText="1"/>
      <protection locked="0" hidden="0"/>
    </xf>
    <xf numFmtId="0" fontId="13" fillId="6" borderId="11" applyAlignment="1" applyProtection="1" pivotButton="0" quotePrefix="0" xfId="0">
      <alignment vertical="center" wrapText="1"/>
      <protection locked="0" hidden="0"/>
    </xf>
    <xf numFmtId="0" fontId="14" fillId="6" borderId="11" applyAlignment="1" applyProtection="1" pivotButton="0" quotePrefix="0" xfId="0">
      <alignment vertical="center" wrapText="1"/>
      <protection locked="0" hidden="0"/>
    </xf>
    <xf numFmtId="0" fontId="15" fillId="6" borderId="11" applyAlignment="1" applyProtection="1" pivotButton="0" quotePrefix="0" xfId="0">
      <alignment vertical="center" wrapText="1"/>
      <protection locked="0" hidden="0"/>
    </xf>
    <xf numFmtId="0" fontId="19" fillId="6" borderId="11" applyAlignment="1" applyProtection="1" pivotButton="0" quotePrefix="0" xfId="0">
      <alignment vertical="center" wrapText="1"/>
      <protection locked="0" hidden="0"/>
    </xf>
    <xf numFmtId="20" fontId="11" fillId="6" borderId="11" applyAlignment="1" applyProtection="1" pivotButton="0" quotePrefix="0" xfId="0">
      <alignment vertical="center" wrapText="1"/>
      <protection locked="0" hidden="0"/>
    </xf>
    <xf numFmtId="0" fontId="20" fillId="6" borderId="11" applyAlignment="1" applyProtection="1" pivotButton="0" quotePrefix="0" xfId="0">
      <alignment vertical="center" wrapText="1"/>
      <protection locked="0" hidden="0"/>
    </xf>
    <xf numFmtId="0" fontId="21" fillId="6" borderId="11" applyAlignment="1" applyProtection="1" pivotButton="0" quotePrefix="0" xfId="0">
      <alignment vertical="center" wrapText="1"/>
      <protection locked="0" hidden="0"/>
    </xf>
    <xf numFmtId="20" fontId="21" fillId="6" borderId="11" applyAlignment="1" applyProtection="1" pivotButton="0" quotePrefix="0" xfId="0">
      <alignment vertical="center" wrapText="1"/>
      <protection locked="0" hidden="0"/>
    </xf>
    <xf numFmtId="0" fontId="22" fillId="6" borderId="11" applyAlignment="1" applyProtection="1" pivotButton="0" quotePrefix="0" xfId="0">
      <alignment vertical="center" wrapText="1"/>
      <protection locked="0" hidden="0"/>
    </xf>
    <xf numFmtId="14" fontId="23" fillId="6" borderId="11" applyAlignment="1" applyProtection="1" pivotButton="0" quotePrefix="0" xfId="0">
      <alignment vertical="center" wrapText="1"/>
      <protection locked="0" hidden="0"/>
    </xf>
    <xf numFmtId="0" fontId="23" fillId="6" borderId="11" applyAlignment="1" applyProtection="1" pivotButton="0" quotePrefix="0" xfId="0">
      <alignment vertical="center" wrapText="1"/>
      <protection locked="0" hidden="0"/>
    </xf>
    <xf numFmtId="0" fontId="24" fillId="6" borderId="11" applyAlignment="1" applyProtection="1" pivotButton="0" quotePrefix="0" xfId="0">
      <alignment vertical="center" wrapText="1"/>
      <protection locked="0" hidden="0"/>
    </xf>
    <xf numFmtId="20" fontId="23" fillId="6" borderId="11" applyAlignment="1" applyProtection="1" pivotButton="0" quotePrefix="0" xfId="0">
      <alignment vertical="center" wrapText="1"/>
      <protection locked="0" hidden="0"/>
    </xf>
    <xf numFmtId="0" fontId="27" fillId="6" borderId="11" applyAlignment="1" applyProtection="1" pivotButton="0" quotePrefix="0" xfId="0">
      <alignment vertical="center" wrapText="1"/>
      <protection locked="0" hidden="0"/>
    </xf>
    <xf numFmtId="0" fontId="25" fillId="6" borderId="11" applyAlignment="1" applyProtection="1" pivotButton="0" quotePrefix="0" xfId="0">
      <alignment vertical="center" wrapText="1"/>
      <protection locked="0" hidden="0"/>
    </xf>
    <xf numFmtId="0" fontId="28" fillId="6" borderId="11" applyAlignment="1" applyProtection="1" pivotButton="0" quotePrefix="0" xfId="0">
      <alignment vertical="center" wrapText="1"/>
      <protection locked="0" hidden="0"/>
    </xf>
    <xf numFmtId="0" fontId="26" fillId="6" borderId="11" applyAlignment="1" applyProtection="1" pivotButton="0" quotePrefix="0" xfId="0">
      <alignment vertical="center" wrapText="1"/>
      <protection locked="0" hidden="0"/>
    </xf>
    <xf numFmtId="164" fontId="0" fillId="6" borderId="11" applyAlignment="1" applyProtection="1" pivotButton="0" quotePrefix="0" xfId="0">
      <alignment vertical="center" wrapText="1"/>
      <protection locked="0" hidden="0"/>
    </xf>
    <xf numFmtId="0" fontId="2" fillId="4" borderId="1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14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30" fillId="0" borderId="0" pivotButton="0" quotePrefix="0" xfId="0"/>
    <xf numFmtId="0" fontId="31" fillId="0" borderId="0" pivotButton="0" quotePrefix="0" xfId="0"/>
    <xf numFmtId="20" fontId="5" fillId="0" borderId="0" pivotButton="0" quotePrefix="0" xfId="0"/>
    <xf numFmtId="0" fontId="9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8" borderId="12" applyAlignment="1" pivotButton="0" quotePrefix="0" xfId="0">
      <alignment horizontal="center" vertical="center"/>
    </xf>
    <xf numFmtId="0" fontId="36" fillId="9" borderId="12" applyAlignment="1" pivotButton="0" quotePrefix="0" xfId="0">
      <alignment vertical="center" wrapText="1"/>
    </xf>
    <xf numFmtId="0" fontId="40" fillId="0" borderId="12" applyAlignment="1" pivotButton="0" quotePrefix="0" xfId="0">
      <alignment vertical="center" wrapText="1"/>
    </xf>
    <xf numFmtId="0" fontId="39" fillId="0" borderId="12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37" fillId="0" borderId="12" applyAlignment="1" pivotButton="0" quotePrefix="0" xfId="0">
      <alignment vertical="center" wrapText="1"/>
    </xf>
    <xf numFmtId="0" fontId="41" fillId="0" borderId="12" applyAlignment="1" pivotButton="0" quotePrefix="0" xfId="0">
      <alignment vertical="center" wrapText="1"/>
    </xf>
    <xf numFmtId="0" fontId="0" fillId="10" borderId="12" applyAlignment="1" pivotButton="0" quotePrefix="0" xfId="0">
      <alignment vertical="center" wrapText="1"/>
    </xf>
    <xf numFmtId="0" fontId="38" fillId="0" borderId="12" applyAlignment="1" pivotButton="0" quotePrefix="0" xfId="0">
      <alignment vertical="center" wrapText="1"/>
    </xf>
    <xf numFmtId="0" fontId="23" fillId="0" borderId="0" pivotButton="0" quotePrefix="0" xfId="0"/>
    <xf numFmtId="0" fontId="23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36" fillId="8" borderId="10" applyAlignment="1" pivotButton="0" quotePrefix="0" xfId="0">
      <alignment horizontal="center" vertical="center" wrapText="1"/>
    </xf>
    <xf numFmtId="166" fontId="0" fillId="6" borderId="11" applyAlignment="1" applyProtection="1" pivotButton="0" quotePrefix="0" xfId="0">
      <alignment vertical="center" wrapText="1"/>
      <protection locked="0" hidden="0"/>
    </xf>
    <xf numFmtId="166" fontId="11" fillId="6" borderId="11" applyAlignment="1" applyProtection="1" pivotButton="0" quotePrefix="0" xfId="0">
      <alignment vertical="center" wrapText="1"/>
      <protection locked="0" hidden="0"/>
    </xf>
    <xf numFmtId="166" fontId="8" fillId="6" borderId="11" applyAlignment="1" applyProtection="1" pivotButton="0" quotePrefix="0" xfId="0">
      <alignment vertical="center" wrapText="1"/>
      <protection locked="0" hidden="0"/>
    </xf>
    <xf numFmtId="166" fontId="21" fillId="6" borderId="11" applyAlignment="1" applyProtection="1" pivotButton="0" quotePrefix="0" xfId="0">
      <alignment vertical="center" wrapText="1"/>
      <protection locked="0" hidden="0"/>
    </xf>
    <xf numFmtId="166" fontId="5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165" fontId="5" fillId="6" borderId="11" applyAlignment="1" applyProtection="1" pivotButton="0" quotePrefix="0" xfId="0">
      <alignment vertical="center" wrapText="1"/>
      <protection locked="0" hidden="0"/>
    </xf>
    <xf numFmtId="1" fontId="0" fillId="6" borderId="11" applyAlignment="1" applyProtection="1" pivotButton="0" quotePrefix="0" xfId="0">
      <alignment vertical="center" wrapText="1"/>
      <protection locked="0" hidden="0"/>
    </xf>
    <xf numFmtId="1" fontId="11" fillId="6" borderId="11" applyAlignment="1" applyProtection="1" pivotButton="0" quotePrefix="0" xfId="0">
      <alignment vertical="center" wrapText="1"/>
      <protection locked="0" hidden="0"/>
    </xf>
    <xf numFmtId="1" fontId="8" fillId="6" borderId="11" applyAlignment="1" applyProtection="1" pivotButton="0" quotePrefix="0" xfId="0">
      <alignment vertical="center" wrapText="1"/>
      <protection locked="0" hidden="0"/>
    </xf>
    <xf numFmtId="1" fontId="21" fillId="6" borderId="11" applyAlignment="1" applyProtection="1" pivotButton="0" quotePrefix="0" xfId="0">
      <alignment vertical="center" wrapText="1"/>
      <protection locked="0" hidden="0"/>
    </xf>
    <xf numFmtId="165" fontId="23" fillId="6" borderId="11" applyAlignment="1" applyProtection="1" pivotButton="0" quotePrefix="0" xfId="0">
      <alignment vertical="center" wrapText="1"/>
      <protection locked="0" hidden="0"/>
    </xf>
    <xf numFmtId="1" fontId="5" fillId="0" borderId="0" pivotButton="0" quotePrefix="0" xfId="0"/>
    <xf numFmtId="1" fontId="23" fillId="6" borderId="11" applyAlignment="1" applyProtection="1" pivotButton="0" quotePrefix="0" xfId="0">
      <alignment vertical="center" wrapText="1"/>
      <protection locked="0" hidden="0"/>
    </xf>
    <xf numFmtId="165" fontId="5" fillId="0" borderId="0" pivotButton="0" quotePrefix="0" xfId="0"/>
    <xf numFmtId="0" fontId="44" fillId="11" borderId="13" applyAlignment="1" pivotButton="0" quotePrefix="0" xfId="0">
      <alignment horizontal="center" vertical="center" wrapText="1"/>
    </xf>
    <xf numFmtId="0" fontId="44" fillId="12" borderId="13" applyAlignment="1" pivotButton="0" quotePrefix="0" xfId="0">
      <alignment horizontal="center" vertical="center" wrapText="1"/>
    </xf>
    <xf numFmtId="0" fontId="43" fillId="13" borderId="13" applyAlignment="1" pivotButton="0" quotePrefix="0" xfId="0">
      <alignment vertical="center" wrapText="1"/>
    </xf>
    <xf numFmtId="165" fontId="43" fillId="13" borderId="13" applyAlignment="1" pivotButton="0" quotePrefix="0" xfId="0">
      <alignment vertical="center" wrapText="1"/>
    </xf>
    <xf numFmtId="1" fontId="43" fillId="13" borderId="13" applyAlignment="1" pivotButton="0" quotePrefix="0" xfId="0">
      <alignment vertical="center" wrapText="1"/>
    </xf>
    <xf numFmtId="0" fontId="43" fillId="14" borderId="13" applyAlignment="1" pivotButton="0" quotePrefix="0" xfId="0">
      <alignment vertical="center" wrapText="1"/>
    </xf>
    <xf numFmtId="165" fontId="43" fillId="14" borderId="13" applyAlignment="1" pivotButton="0" quotePrefix="0" xfId="0">
      <alignment vertical="center" wrapText="1"/>
    </xf>
    <xf numFmtId="1" fontId="43" fillId="14" borderId="13" applyAlignment="1" pivotButton="0" quotePrefix="0" xfId="0">
      <alignment vertical="center" wrapText="1"/>
    </xf>
    <xf numFmtId="0" fontId="44" fillId="11" borderId="13" applyAlignment="1" pivotButton="0" quotePrefix="0" xfId="0">
      <alignment vertical="center" wrapText="1"/>
    </xf>
    <xf numFmtId="0" fontId="44" fillId="12" borderId="13" applyAlignment="1" pivotButton="0" quotePrefix="0" xfId="0">
      <alignment vertical="center" wrapText="1"/>
    </xf>
    <xf numFmtId="167" fontId="43" fillId="13" borderId="13" applyAlignment="1" pivotButton="0" quotePrefix="0" xfId="0">
      <alignment vertical="center" wrapText="1"/>
    </xf>
    <xf numFmtId="166" fontId="43" fillId="13" borderId="13" applyAlignment="1" pivotButton="0" quotePrefix="0" xfId="0">
      <alignment vertical="center" wrapText="1"/>
    </xf>
    <xf numFmtId="0" fontId="43" fillId="15" borderId="13" applyAlignment="1" pivotButton="0" quotePrefix="0" xfId="0">
      <alignment vertical="center" wrapText="1"/>
    </xf>
    <xf numFmtId="167" fontId="43" fillId="15" borderId="13" applyAlignment="1" pivotButton="0" quotePrefix="0" xfId="0">
      <alignment vertical="center" wrapText="1"/>
    </xf>
    <xf numFmtId="1" fontId="43" fillId="15" borderId="13" applyAlignment="1" pivotButton="0" quotePrefix="0" xfId="0">
      <alignment vertical="center" wrapText="1"/>
    </xf>
    <xf numFmtId="166" fontId="43" fillId="15" borderId="13" applyAlignment="1" pivotButton="0" quotePrefix="0" xfId="0">
      <alignment vertical="center" wrapText="1"/>
    </xf>
    <xf numFmtId="167" fontId="43" fillId="14" borderId="13" applyAlignment="1" pivotButton="0" quotePrefix="0" xfId="0">
      <alignment vertical="center" wrapText="1"/>
    </xf>
    <xf numFmtId="166" fontId="43" fillId="14" borderId="13" applyAlignment="1" pivotButton="0" quotePrefix="0" xfId="0">
      <alignment vertical="center" wrapText="1"/>
    </xf>
    <xf numFmtId="0" fontId="36" fillId="16" borderId="10" applyAlignment="1" pivotButton="0" quotePrefix="0" xfId="0">
      <alignment horizontal="center" vertical="center" wrapText="1"/>
    </xf>
    <xf numFmtId="0" fontId="36" fillId="17" borderId="10" applyAlignment="1" pivotButton="0" quotePrefix="0" xfId="0">
      <alignment horizontal="center" vertical="center" wrapText="1"/>
    </xf>
    <xf numFmtId="167" fontId="0" fillId="6" borderId="11" applyAlignment="1" applyProtection="1" pivotButton="0" quotePrefix="0" xfId="0">
      <alignment vertical="center" wrapText="1"/>
      <protection locked="0" hidden="0"/>
    </xf>
    <xf numFmtId="14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45" fillId="0" borderId="0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20" fontId="7" fillId="0" borderId="0" pivotButton="0" quotePrefix="0" xfId="0"/>
    <xf numFmtId="0" fontId="51" fillId="0" borderId="0" pivotButton="0" quotePrefix="0" xfId="0"/>
    <xf numFmtId="14" fontId="11" fillId="0" borderId="0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wrapText="1"/>
    </xf>
    <xf numFmtId="0" fontId="52" fillId="0" borderId="0" applyAlignment="1" pivotButton="0" quotePrefix="0" xfId="0">
      <alignment wrapText="1"/>
    </xf>
    <xf numFmtId="0" fontId="52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19" fillId="0" borderId="0" pivotButton="0" quotePrefix="0" xfId="0"/>
    <xf numFmtId="0" fontId="20" fillId="0" borderId="0" pivotButton="0" quotePrefix="0" xfId="0"/>
    <xf numFmtId="20" fontId="21" fillId="0" borderId="0" pivotButton="0" quotePrefix="0" xfId="0"/>
    <xf numFmtId="20" fontId="11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43" fillId="0" borderId="0" applyAlignment="1" pivotButton="0" quotePrefix="0" xfId="0">
      <alignment wrapText="1"/>
    </xf>
    <xf numFmtId="0" fontId="42" fillId="14" borderId="0" applyAlignment="1" pivotButton="0" quotePrefix="0" xfId="0">
      <alignment vertical="center"/>
    </xf>
    <xf numFmtId="0" fontId="4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9" fillId="4" borderId="0" applyAlignment="1" pivotButton="0" quotePrefix="0" xfId="0">
      <alignment horizontal="center" vertical="center"/>
    </xf>
    <xf numFmtId="0" fontId="1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16" fillId="0" borderId="0" pivotButton="0" quotePrefix="0" xfId="0"/>
    <xf numFmtId="0" fontId="55" fillId="0" borderId="0" applyAlignment="1" pivotButton="0" quotePrefix="0" xfId="0">
      <alignment vertical="center" wrapText="1"/>
    </xf>
    <xf numFmtId="0" fontId="55" fillId="0" borderId="0" applyAlignment="1" pivotButton="0" quotePrefix="0" xfId="0">
      <alignment vertical="center"/>
    </xf>
    <xf numFmtId="0" fontId="55" fillId="0" borderId="0" applyAlignment="1" pivotButton="0" quotePrefix="0" xfId="0">
      <alignment wrapText="1"/>
    </xf>
    <xf numFmtId="0" fontId="55" fillId="0" borderId="0" pivotButton="0" quotePrefix="0" xfId="0"/>
    <xf numFmtId="0" fontId="55" fillId="6" borderId="11" applyAlignment="1" applyProtection="1" pivotButton="0" quotePrefix="0" xfId="0">
      <alignment vertical="center" wrapText="1"/>
      <protection locked="0" hidden="0"/>
    </xf>
    <xf numFmtId="14" fontId="55" fillId="0" borderId="0" pivotButton="0" quotePrefix="0" xfId="0"/>
    <xf numFmtId="20" fontId="55" fillId="0" borderId="0" pivotButton="0" quotePrefix="0" xfId="0"/>
    <xf numFmtId="0" fontId="55" fillId="7" borderId="11" applyAlignment="1" pivotButton="0" quotePrefix="0" xfId="0">
      <alignment vertical="center" wrapText="1"/>
    </xf>
    <xf numFmtId="0" fontId="57" fillId="0" borderId="0" applyAlignment="1" pivotButton="0" quotePrefix="0" xfId="0">
      <alignment wrapText="1"/>
    </xf>
    <xf numFmtId="165" fontId="55" fillId="6" borderId="11" applyAlignment="1" applyProtection="1" pivotButton="0" quotePrefix="0" xfId="0">
      <alignment vertical="center" wrapText="1"/>
      <protection locked="0" hidden="0"/>
    </xf>
    <xf numFmtId="1" fontId="55" fillId="6" borderId="11" applyAlignment="1" applyProtection="1" pivotButton="0" quotePrefix="0" xfId="0">
      <alignment vertical="center" wrapText="1"/>
      <protection locked="0" hidden="0"/>
    </xf>
    <xf numFmtId="166" fontId="55" fillId="6" borderId="11" applyAlignment="1" applyProtection="1" pivotButton="0" quotePrefix="0" xfId="0">
      <alignment vertical="center" wrapText="1"/>
      <protection locked="0" hidden="0"/>
    </xf>
    <xf numFmtId="1" fontId="55" fillId="7" borderId="11" applyAlignment="1" pivotButton="0" quotePrefix="0" xfId="0">
      <alignment vertical="center" wrapText="1"/>
    </xf>
    <xf numFmtId="0" fontId="58" fillId="0" borderId="0" applyAlignment="1" pivotButton="0" quotePrefix="0" xfId="0">
      <alignment wrapText="1"/>
    </xf>
    <xf numFmtId="1" fontId="56" fillId="7" borderId="11" applyAlignment="1" pivotButton="0" quotePrefix="0" xfId="0">
      <alignment vertical="center" wrapText="1"/>
    </xf>
    <xf numFmtId="1" fontId="56" fillId="6" borderId="11" applyAlignment="1" applyProtection="1" pivotButton="0" quotePrefix="0" xfId="0">
      <alignment vertical="center" wrapText="1"/>
      <protection locked="0" hidden="0"/>
    </xf>
    <xf numFmtId="167" fontId="55" fillId="6" borderId="11" applyAlignment="1" applyProtection="1" pivotButton="0" quotePrefix="0" xfId="0">
      <alignment vertical="center" wrapText="1"/>
      <protection locked="0" hidden="0"/>
    </xf>
    <xf numFmtId="0" fontId="59" fillId="7" borderId="11" applyAlignment="1" pivotButton="0" quotePrefix="0" xfId="0">
      <alignment vertical="center" wrapText="1"/>
    </xf>
  </cellXfs>
  <cellStyles count="1">
    <cellStyle name="Normal" xfId="0" builtinId="0"/>
  </cellStyles>
  <dxfs count="7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0"/>
  <sheetViews>
    <sheetView tabSelected="1" zoomScale="88" zoomScaleNormal="88" workbookViewId="0">
      <pane ySplit="3" topLeftCell="A174" activePane="bottomLeft" state="frozen"/>
      <selection pane="bottomLeft" activeCell="G197" sqref="G197"/>
    </sheetView>
  </sheetViews>
  <sheetFormatPr baseColWidth="10" defaultColWidth="8.83203125" defaultRowHeight="15"/>
  <cols>
    <col width="18" customWidth="1" style="151" min="1" max="1"/>
    <col width="13" customWidth="1" style="151" min="2" max="3"/>
    <col width="8" customWidth="1" style="151" min="4" max="4"/>
    <col width="32" customWidth="1" style="151" min="5" max="5"/>
    <col width="20" customWidth="1" style="151" min="6" max="6"/>
    <col width="18" customWidth="1" style="151" min="7" max="7"/>
    <col width="14" customWidth="1" style="151" min="8" max="8"/>
    <col width="13" customWidth="1" style="151" min="9" max="9"/>
    <col width="18" customWidth="1" style="151" min="10" max="10"/>
    <col width="22" customWidth="1" style="151" min="11" max="11"/>
    <col width="13" customWidth="1" style="151" min="12" max="12"/>
    <col width="18" customWidth="1" style="151" min="13" max="13"/>
    <col width="15" customWidth="1" style="151" min="14" max="14"/>
    <col width="19" customWidth="1" style="151" min="15" max="15"/>
    <col width="28" customWidth="1" style="151" min="16" max="17"/>
    <col width="18" customWidth="1" style="151" min="18" max="19"/>
    <col width="28" customWidth="1" style="151" min="20" max="25"/>
    <col width="27" customWidth="1" style="151" min="26" max="26"/>
    <col width="28" customWidth="1" style="151" min="27" max="30"/>
    <col hidden="1" width="28" customWidth="1" style="151" min="31" max="31"/>
    <col hidden="1" width="14" customWidth="1" style="151" min="32" max="32"/>
    <col hidden="1" width="20" customWidth="1" style="151" min="33" max="33"/>
    <col hidden="1" width="28" customWidth="1" style="151" min="34" max="34"/>
    <col width="24" customWidth="1" style="151" min="35" max="35"/>
    <col hidden="1" width="26" customWidth="1" style="151" min="36" max="37"/>
    <col hidden="1" width="13" customWidth="1" style="151" min="38" max="38"/>
    <col hidden="1" width="14" customWidth="1" style="151" min="39" max="39"/>
    <col hidden="1" width="13" customWidth="1" style="151" min="40" max="40"/>
    <col width="18" customWidth="1" style="151" min="41" max="42"/>
    <col width="23" customWidth="1" style="151" min="43" max="43"/>
    <col width="18" customWidth="1" style="151" min="44" max="45"/>
    <col width="24" customWidth="1" style="151" min="46" max="46"/>
    <col width="29" customWidth="1" style="151" min="47" max="47"/>
    <col width="42" customWidth="1" style="151" min="49" max="49"/>
  </cols>
  <sheetData>
    <row r="1" ht="34" customHeight="1" s="151">
      <c r="A1" s="150" t="inlineStr">
        <is>
          <t>Plantilla de carga web CRR - ingreso diario de pabellones</t>
        </is>
      </c>
      <c r="AM1" s="150" t="inlineStr">
        <is>
          <t>Plantilla de carga web CRR - ingreso diario de pabellones</t>
        </is>
      </c>
      <c r="AN1" s="150" t="inlineStr">
        <is>
          <t>Plantilla de carga web CRR - ingreso diario de pabellones</t>
        </is>
      </c>
      <c r="AO1" s="150" t="inlineStr">
        <is>
          <t>Plantilla de carga web CRR - ingreso diario de pabellones</t>
        </is>
      </c>
    </row>
    <row r="2" ht="34" customHeight="1" s="151">
      <c r="A2" s="13" t="inlineStr">
        <is>
          <t>Obligatorio</t>
        </is>
      </c>
      <c r="B2" s="13" t="inlineStr">
        <is>
          <t>Obligatorio</t>
        </is>
      </c>
      <c r="C2" s="13" t="inlineStr">
        <is>
          <t>Obligatorio</t>
        </is>
      </c>
      <c r="D2" s="13" t="inlineStr">
        <is>
          <t>Obligatorio</t>
        </is>
      </c>
      <c r="E2" s="13" t="inlineStr">
        <is>
          <t>Obligatorio</t>
        </is>
      </c>
      <c r="F2" s="13" t="inlineStr">
        <is>
          <t>Obligatorio</t>
        </is>
      </c>
      <c r="G2" s="13" t="inlineStr">
        <is>
          <t>Opcional</t>
        </is>
      </c>
      <c r="H2" s="13" t="inlineStr">
        <is>
          <t>Obligatorio</t>
        </is>
      </c>
      <c r="I2" s="13" t="inlineStr">
        <is>
          <t>Opcional</t>
        </is>
      </c>
      <c r="J2" s="13" t="inlineStr">
        <is>
          <t>Automático</t>
        </is>
      </c>
      <c r="K2" s="13" t="inlineStr">
        <is>
          <t>Opcional</t>
        </is>
      </c>
      <c r="L2" s="13" t="inlineStr">
        <is>
          <t>Obligatorio</t>
        </is>
      </c>
      <c r="M2" s="13" t="inlineStr">
        <is>
          <t>Obligatorio</t>
        </is>
      </c>
      <c r="N2" s="13" t="inlineStr">
        <is>
          <t>Obligatorio</t>
        </is>
      </c>
      <c r="O2" s="13" t="inlineStr">
        <is>
          <t>Obligatorio primera cirugía</t>
        </is>
      </c>
      <c r="P2" s="13" t="inlineStr">
        <is>
          <t>Automático</t>
        </is>
      </c>
      <c r="Q2" s="13" t="inlineStr">
        <is>
          <t>Obligatorio si atraso primera hora</t>
        </is>
      </c>
      <c r="R2" s="13" t="inlineStr">
        <is>
          <t>Obligatorio si se realiza</t>
        </is>
      </c>
      <c r="S2" s="13" t="inlineStr">
        <is>
          <t>Obligatorio si se realiza</t>
        </is>
      </c>
      <c r="T2" s="13" t="inlineStr">
        <is>
          <t>Opcional</t>
        </is>
      </c>
      <c r="U2" s="13" t="inlineStr">
        <is>
          <t>Manual</t>
        </is>
      </c>
      <c r="V2" s="13" t="inlineStr">
        <is>
          <t>Manual</t>
        </is>
      </c>
      <c r="W2" s="13" t="inlineStr">
        <is>
          <t>Automático</t>
        </is>
      </c>
      <c r="X2" s="13" t="inlineStr">
        <is>
          <t>Automático</t>
        </is>
      </c>
      <c r="Y2" s="13" t="inlineStr">
        <is>
          <t>Automático</t>
        </is>
      </c>
      <c r="Z2" s="13" t="inlineStr">
        <is>
          <t>Automático</t>
        </is>
      </c>
      <c r="AA2" s="13" t="inlineStr">
        <is>
          <t>Obligatorio si recambio &gt;15 min</t>
        </is>
      </c>
      <c r="AB2" s="13" t="inlineStr">
        <is>
          <t>Automático</t>
        </is>
      </c>
      <c r="AC2" s="13" t="inlineStr">
        <is>
          <t>Automático</t>
        </is>
      </c>
      <c r="AD2" s="13" t="inlineStr">
        <is>
          <t>Manual</t>
        </is>
      </c>
      <c r="AE2" s="13" t="inlineStr">
        <is>
          <t>Automático</t>
        </is>
      </c>
      <c r="AF2" s="13" t="inlineStr">
        <is>
          <t>Automático</t>
        </is>
      </c>
      <c r="AG2" s="13" t="inlineStr">
        <is>
          <t>Obligatorio si suspendido</t>
        </is>
      </c>
      <c r="AH2" s="13" t="inlineStr">
        <is>
          <t>Obligatorio si suspendido</t>
        </is>
      </c>
      <c r="AI2" s="13" t="inlineStr">
        <is>
          <t>Obligatorio si suspendido</t>
        </is>
      </c>
      <c r="AJ2" s="13" t="inlineStr">
        <is>
          <t>Opcional</t>
        </is>
      </c>
      <c r="AK2" s="13" t="inlineStr">
        <is>
          <t>Opcional</t>
        </is>
      </c>
      <c r="AL2" s="13" t="inlineStr">
        <is>
          <t>Opcional</t>
        </is>
      </c>
      <c r="AM2" s="13" t="inlineStr">
        <is>
          <t>Opcional</t>
        </is>
      </c>
      <c r="AN2" s="13" t="inlineStr">
        <is>
          <t>Opcional</t>
        </is>
      </c>
      <c r="AO2" s="13" t="inlineStr">
        <is>
          <t>Opcional</t>
        </is>
      </c>
      <c r="AP2" s="13" t="inlineStr">
        <is>
          <t>Automático</t>
        </is>
      </c>
      <c r="AQ2" s="13" t="inlineStr">
        <is>
          <t>Automático</t>
        </is>
      </c>
      <c r="AR2" s="13" t="inlineStr">
        <is>
          <t>Automático</t>
        </is>
      </c>
      <c r="AS2" s="13" t="inlineStr">
        <is>
          <t>Automático</t>
        </is>
      </c>
      <c r="AT2" s="13" t="inlineStr">
        <is>
          <t>Automático</t>
        </is>
      </c>
      <c r="AU2" s="13" t="inlineStr">
        <is>
          <t>Automático</t>
        </is>
      </c>
      <c r="AV2" s="13" t="inlineStr">
        <is>
          <t>Automático</t>
        </is>
      </c>
      <c r="AW2" s="13" t="inlineStr">
        <is>
          <t>Automático</t>
        </is>
      </c>
    </row>
    <row r="3" ht="42" customHeight="1" s="151">
      <c r="A3" s="88" t="inlineStr">
        <is>
          <t>Fecha Quirofano</t>
        </is>
      </c>
      <c r="B3" s="88" t="inlineStr">
        <is>
          <t>Nombre</t>
        </is>
      </c>
      <c r="C3" s="88" t="inlineStr">
        <is>
          <t>Apellido</t>
        </is>
      </c>
      <c r="D3" s="88" t="inlineStr">
        <is>
          <t>Edad</t>
        </is>
      </c>
      <c r="E3" s="88" t="inlineStr">
        <is>
          <t>Descripción Intervención</t>
        </is>
      </c>
      <c r="F3" s="88" t="inlineStr">
        <is>
          <t>Especialidad</t>
        </is>
      </c>
      <c r="G3" s="88" t="inlineStr">
        <is>
          <t>Subespecialidad</t>
        </is>
      </c>
      <c r="H3" s="88" t="inlineStr">
        <is>
          <t>Codigo 1</t>
        </is>
      </c>
      <c r="I3" s="88" t="inlineStr">
        <is>
          <t>Codigo 2</t>
        </is>
      </c>
      <c r="J3" s="88" t="inlineStr">
        <is>
          <t>Categoria</t>
        </is>
      </c>
      <c r="K3" s="88" t="inlineStr">
        <is>
          <t>Anestesista</t>
        </is>
      </c>
      <c r="L3" s="88" t="inlineStr">
        <is>
          <t>Cirujano</t>
        </is>
      </c>
      <c r="M3" s="88" t="inlineStr">
        <is>
          <t>Quirofano</t>
        </is>
      </c>
      <c r="N3" s="88" t="inlineStr">
        <is>
          <t>Estado</t>
        </is>
      </c>
      <c r="O3" s="88" t="inlineStr">
        <is>
          <t>Ingreso Pabellon</t>
        </is>
      </c>
      <c r="P3" s="88" t="inlineStr">
        <is>
          <t>Clasificación ingreso 08:00-08:15</t>
        </is>
      </c>
      <c r="Q3" s="88" t="inlineStr">
        <is>
          <t>Justificación Atraso Primera Hora</t>
        </is>
      </c>
      <c r="R3" s="88" t="inlineStr">
        <is>
          <t>Inicio Cirugia</t>
        </is>
      </c>
      <c r="S3" s="88" t="inlineStr">
        <is>
          <t>Termino Cirugia</t>
        </is>
      </c>
      <c r="T3" s="88" t="inlineStr">
        <is>
          <t>Salida Pabellon</t>
        </is>
      </c>
      <c r="U3" s="88" t="inlineStr">
        <is>
          <t>Inicio Funcionamiento Pabellon</t>
        </is>
      </c>
      <c r="V3" s="88" t="inlineStr">
        <is>
          <t>Termino Funcionamiento Pabellon</t>
        </is>
      </c>
      <c r="W3" s="88" t="inlineStr">
        <is>
          <t>Horario Funcionamiento Pabellon (Min)</t>
        </is>
      </c>
      <c r="X3" s="88" t="inlineStr">
        <is>
          <t>Ocupación Diaria Pabellón (%)</t>
        </is>
      </c>
      <c r="Y3" s="88" t="inlineStr">
        <is>
          <t>Tiempo recambio entre cirugías (Min)</t>
        </is>
      </c>
      <c r="Z3" s="88" t="inlineStr">
        <is>
          <t>Cumple recambio &lt;=15 min</t>
        </is>
      </c>
      <c r="AA3" s="88" t="inlineStr">
        <is>
          <t>Justificación Recambio &gt;15 Min</t>
        </is>
      </c>
      <c r="AB3" s="88" t="inlineStr">
        <is>
          <t>Demora Ingreso-Inicio Min</t>
        </is>
      </c>
      <c r="AC3" s="88" t="inlineStr">
        <is>
          <t>Duracion Cirugia Formula Min</t>
        </is>
      </c>
      <c r="AD3" s="88" t="inlineStr">
        <is>
          <t>Tiempo programado de cirugía en tabla (Min)</t>
        </is>
      </c>
      <c r="AE3" s="88" t="inlineStr">
        <is>
          <t>Diferencia Real - Programado Min</t>
        </is>
      </c>
      <c r="AF3" s="88" t="inlineStr">
        <is>
          <t>Asertividad</t>
        </is>
      </c>
      <c r="AG3" s="88" t="inlineStr">
        <is>
          <t>Causas Suspension</t>
        </is>
      </c>
      <c r="AH3" s="88" t="inlineStr">
        <is>
          <t>Motivo de Suspensión</t>
        </is>
      </c>
      <c r="AI3" s="88" t="inlineStr">
        <is>
          <t>Motivo Justificado</t>
        </is>
      </c>
      <c r="AJ3" s="88" t="inlineStr">
        <is>
          <t>Observaciones</t>
        </is>
      </c>
      <c r="AK3" s="88" t="inlineStr">
        <is>
          <t>Ingreso CMA ambulatorio</t>
        </is>
      </c>
      <c r="AL3" s="88" t="inlineStr">
        <is>
          <t>Hospitalizado posterior</t>
        </is>
      </c>
      <c r="AM3" s="88" t="inlineStr">
        <is>
          <t>Episodio</t>
        </is>
      </c>
      <c r="AN3" s="88" t="inlineStr">
        <is>
          <t>Diagnostico</t>
        </is>
      </c>
      <c r="AO3" s="88" t="inlineStr">
        <is>
          <t>Cirugia</t>
        </is>
      </c>
      <c r="AP3" s="125" t="inlineStr">
        <is>
          <t>Semana Inicio</t>
        </is>
      </c>
      <c r="AQ3" s="125" t="inlineStr">
        <is>
          <t>Semana Fin</t>
        </is>
      </c>
      <c r="AR3" s="125" t="inlineStr">
        <is>
          <t>Semana Lunes-Domingo</t>
        </is>
      </c>
      <c r="AS3" s="125" t="inlineStr">
        <is>
          <t>Mes Dashboard</t>
        </is>
      </c>
      <c r="AT3" s="125" t="inlineStr">
        <is>
          <t>Día Semana</t>
        </is>
      </c>
      <c r="AU3" s="126" t="inlineStr">
        <is>
          <t>ID Registro Dashboard</t>
        </is>
      </c>
      <c r="AV3" s="126" t="inlineStr">
        <is>
          <t>Validación Carga Dashboard</t>
        </is>
      </c>
      <c r="AW3" s="126" t="inlineStr">
        <is>
          <t>Detalle Suspensión Dashboard</t>
        </is>
      </c>
    </row>
    <row r="4" ht="16" customHeight="1" s="151">
      <c r="A4" s="17" t="n"/>
      <c r="B4" s="18" t="n"/>
      <c r="C4" s="18" t="n"/>
      <c r="D4" s="18" t="n"/>
      <c r="E4" s="18" t="n"/>
      <c r="F4" s="21" t="n"/>
      <c r="G4" s="19" t="n"/>
      <c r="H4" s="18" t="n"/>
      <c r="I4" s="19" t="n"/>
      <c r="J4" s="20">
        <f>IF(H4&lt;&gt;"",IFERROR(VLOOKUP(IFERROR(LEFT(H4,FIND("-",H4)-1),H4),'Catalogo MINSAL'!A:E,5,FALSE),""),IF(I4&lt;&gt;"",IFERROR(VLOOKUP(IFERROR(LEFT(I4,FIND("-",I4)-1),I4),'Catalogo MINSAL'!A:E,5,FALSE),""),""))</f>
        <v/>
      </c>
      <c r="K4" s="22" t="n"/>
      <c r="L4" s="18" t="n"/>
      <c r="M4" s="18" t="n"/>
      <c r="N4" s="18" t="n"/>
      <c r="O4" s="23" t="n"/>
      <c r="P4" s="24">
        <f>IFERROR(IF(OR(O4="",A4="",M4=""),"",IF(SUMPRODUCT(($A$4:$A$500=A4)*($M$4:$M$500=M4)*($O$4:$O$500&lt;&gt;"")*(MOD($O$4:$O$500,1)&lt;MOD(O4,1)))=0,IF(MOD(O4,1)&lt;=TIME(8,15,0),"Ingreso adecuado primera hora","Atraso primera hora"),"No aplica")),"")</f>
        <v/>
      </c>
      <c r="Q4" s="24" t="n"/>
      <c r="R4" s="23" t="n"/>
      <c r="S4" s="23" t="n"/>
      <c r="T4" s="25" t="n"/>
      <c r="U4" s="98">
        <f>IFERROR(VLOOKUP(M4,'Horario Pabellones'!$A$4:$D$17,2,FALSE),"")</f>
        <v/>
      </c>
      <c r="V4" s="98">
        <f>IFERROR(VLOOKUP(M4,'Horario Pabellones'!$A$4:$D$17,3,FALSE),"")</f>
        <v/>
      </c>
      <c r="W4" s="99">
        <f>IFERROR(VLOOKUP(M4,'Horario Pabellones'!$A$4:$D$17,4,FALSE),"")</f>
        <v/>
      </c>
      <c r="X4" s="89">
        <f>IFERROR(IF(OR(A4="",M4="",W4=""),"",(((_xludf.AGGREGATE(14,6,MOD($S$4:$S$500,1)/(($A$4:$A$500=A4)*($M$4:$M$500=M4)*($R$4:$R$500&lt;&gt;"")*($S$4:$S$500&lt;&gt;"")),1)-_xludf.AGGREGATE(15,6,MOD($R$4:$R$500,1)/(($A$4:$A$500=A4)*($M$4:$M$500=M4)*($R$4:$R$500&lt;&gt;"")*($S$4:$S$500&lt;&gt;"")),1))*1440)/60)/(W4/60)),"")</f>
        <v/>
      </c>
      <c r="Y4" s="26">
        <f>IFERROR(IF(OR(O4="",A4="",M4=""),"",(IF(ISNUMBER(O4),MOD(O4,1),TIMEVALUE(O4))-LOOKUP(2,1/(($A$4:$A$500=A4)*($M$4:$M$500=M4)*($T$4:$T$500&lt;&gt;"")*($T$4:$T$500&lt;IF(ISNUMBER(O4),MOD(O4,1),TIMEVALUE(O4)))),$T$4:$T$500))*1440),"")</f>
        <v/>
      </c>
      <c r="Z4" s="27">
        <f>IFERROR(IF(Y4="","",IF(ROUND(Y4,0)&lt;=15,"Cumple","No cumple")),"")</f>
        <v/>
      </c>
      <c r="AA4" s="27" t="n"/>
      <c r="AB4" s="26">
        <f>IFERROR(IF(OR(O4="",R4=""),"",IF(IF(ISNUMBER(R4),MOD(R4,1),TIMEVALUE(R4))&gt;=IF(ISNUMBER(O4),MOD(O4,1),TIMEVALUE(O4)),(IF(ISNUMBER(R4),MOD(R4,1),TIMEVALUE(R4))-IF(ISNUMBER(O4),MOD(O4,1),TIMEVALUE(O4)))*1440,(IF(ISNUMBER(R4),MOD(R4,1),TIMEVALUE(R4))+1-IF(ISNUMBER(O4),MOD(O4,1),TIMEVALUE(O4)))*1440)),"")</f>
        <v/>
      </c>
      <c r="AC4" s="28">
        <f>IFERROR(IF(OR(R4="",S4=""),"",IF(IF(ISNUMBER(S4),MOD(S4,1),TIMEVALUE(S4))&gt;=IF(ISNUMBER(R4),MOD(R4,1),TIMEVALUE(R4)),(IF(ISNUMBER(S4),MOD(S4,1),TIMEVALUE(S4))-IF(ISNUMBER(R4),MOD(R4,1),TIMEVALUE(R4)))*1440,(IF(ISNUMBER(S4),MOD(S4,1),TIMEVALUE(S4))+1-IF(ISNUMBER(R4),MOD(R4,1),TIMEVALUE(R4)))*1440)),"")</f>
        <v/>
      </c>
      <c r="AD4" s="29" t="n"/>
      <c r="AE4" s="26">
        <f>IFERROR(IF(OR(AC4="",AD4=""),"",AC4-AD4),"")</f>
        <v/>
      </c>
      <c r="AF4" s="30">
        <f>IFERROR(IF(AE4="","",IF(ROUND(AE4,0)&gt;15,"Subestimacion",IF(ROUND(AE4,0)&lt;-15,"Sobrestimacion","Asertivo"))),"")</f>
        <v/>
      </c>
      <c r="AG4" s="19" t="n"/>
      <c r="AH4" s="19" t="n"/>
      <c r="AI4" s="19" t="n"/>
      <c r="AJ4" s="19" t="n"/>
      <c r="AK4" s="19" t="n"/>
      <c r="AL4" s="19" t="n"/>
      <c r="AM4" s="18" t="n"/>
      <c r="AN4" s="19" t="n"/>
      <c r="AO4" s="19" t="n"/>
      <c r="AP4" s="127">
        <f>IF(A4="","",A4-WEEKDAY(A4,2)+1)</f>
        <v/>
      </c>
      <c r="AQ4" s="127">
        <f>IF(AO4="","",AO4+6)</f>
        <v/>
      </c>
      <c r="AR4" s="19">
        <f>IF(AO4="","","Semana "&amp;TEXT(AO4,"dd-mm-yyyy")&amp;" al "&amp;TEXT(AP4,"dd-mm-yyyy"))</f>
        <v/>
      </c>
      <c r="AS4" s="19">
        <f>IF(A4="","",TEXT(A4,"mmmm yyyy"))</f>
        <v/>
      </c>
      <c r="AT4" s="19">
        <f>IF(A4="","",TEXT(A4,"dddd"))</f>
        <v/>
      </c>
      <c r="AU4" s="19">
        <f>IF(A4="","","CRR-"&amp;TEXT(A4,"yyyymmdd")&amp;"-"&amp;M4&amp;"-"&amp;TEXT(ROW()-3,"0000"))</f>
        <v/>
      </c>
      <c r="AV4" s="19">
        <f>IF(A4="","",IF(OR(B4="",C4="",E4="",F4="",M4="",N4=""),"Revisar campos obligatorios",IF(AND(P4="Atraso primera hora",Q4=""),"Falta justificación atraso primera hora",IF(AND(Z4="No cumple",AA4=""),"Falta justificación recambio &gt;15 min",IF(AND(ISNUMBER(SEARCH("suspend",N4)),OR(AG4="",AH4="")),"Falta causa/motivo suspensión","OK")))))</f>
        <v/>
      </c>
      <c r="AW4" s="19">
        <f>IF(N4="","",IF(ISNUMBER(SEARCH("suspend",N4)),IF(AND(AG4="",AH4=""),"Sin causa/motivo registrado",IF(AG4="",AH4,IF(AH4="",AG4,AG4&amp;": "&amp;AH4))),""))</f>
        <v/>
      </c>
    </row>
    <row r="5" ht="16" customHeight="1" s="151">
      <c r="A5" s="17" t="n"/>
      <c r="B5" s="18" t="n"/>
      <c r="C5" s="18" t="n"/>
      <c r="D5" s="18" t="n"/>
      <c r="E5" s="18" t="n"/>
      <c r="F5" s="21" t="n"/>
      <c r="G5" s="19" t="n"/>
      <c r="H5" s="18" t="n"/>
      <c r="I5" s="19" t="n"/>
      <c r="J5" s="20">
        <f>IF(H5&lt;&gt;"",IFERROR(VLOOKUP(IFERROR(LEFT(H5,FIND("-",H5)-1),H5),'Catalogo MINSAL'!A:E,5,FALSE),""),IF(I5&lt;&gt;"",IFERROR(VLOOKUP(IFERROR(LEFT(I5,FIND("-",I5)-1),I5),'Catalogo MINSAL'!A:E,5,FALSE),""),""))</f>
        <v/>
      </c>
      <c r="K5" s="22" t="n"/>
      <c r="L5" s="18" t="n"/>
      <c r="M5" s="18" t="n"/>
      <c r="N5" s="18" t="n"/>
      <c r="O5" s="23" t="n"/>
      <c r="P5" s="24">
        <f>IFERROR(IF(OR(O5="",A5="",M5=""),"",IF(SUMPRODUCT(($A$4:$A$500=A5)*($M$4:$M$500=M5)*($O$4:$O$500&lt;&gt;"")*(MOD($O$4:$O$500,1)&lt;MOD(O5,1)))=0,IF(MOD(O5,1)&lt;=TIME(8,15,0),"Ingreso adecuado primera hora","Atraso primera hora"),"No aplica")),"")</f>
        <v/>
      </c>
      <c r="Q5" s="24" t="n"/>
      <c r="R5" s="23" t="n"/>
      <c r="S5" s="23" t="n"/>
      <c r="T5" s="25" t="n"/>
      <c r="U5" s="98">
        <f>IFERROR(VLOOKUP(M5,'Horario Pabellones'!$A$4:$D$17,2,FALSE),"")</f>
        <v/>
      </c>
      <c r="V5" s="98">
        <f>IFERROR(VLOOKUP(M5,'Horario Pabellones'!$A$4:$D$17,3,FALSE),"")</f>
        <v/>
      </c>
      <c r="W5" s="99">
        <f>IFERROR(VLOOKUP(M5,'Horario Pabellones'!$A$4:$D$17,4,FALSE),"")</f>
        <v/>
      </c>
      <c r="X5" s="89">
        <f>IFERROR(IF(OR(A5="",M5="",W5=""),"",(((_xludf.AGGREGATE(14,6,MOD($S$4:$S$500,1)/(($A$4:$A$500=A5)*($M$4:$M$500=M5)*($R$4:$R$500&lt;&gt;"")*($S$4:$S$500&lt;&gt;"")),1)-_xludf.AGGREGATE(15,6,MOD($R$4:$R$500,1)/(($A$4:$A$500=A5)*($M$4:$M$500=M5)*($R$4:$R$500&lt;&gt;"")*($S$4:$S$500&lt;&gt;"")),1))*1440)/60)/(W5/60)),"")</f>
        <v/>
      </c>
      <c r="Y5" s="26">
        <f>IFERROR(IF(OR(O5="",A5="",M5=""),"",(IF(ISNUMBER(O5),MOD(O5,1),TIMEVALUE(O5))-LOOKUP(2,1/(($A$4:$A$500=A5)*($M$4:$M$500=M5)*($T$4:$T$500&lt;&gt;"")*($T$4:$T$500&lt;IF(ISNUMBER(O5),MOD(O5,1),TIMEVALUE(O5)))),$T$4:$T$500))*1440),"")</f>
        <v/>
      </c>
      <c r="Z5" s="27">
        <f>IFERROR(IF(Y5="","",IF(ROUND(Y5,0)&lt;=15,"Cumple","No cumple")),"")</f>
        <v/>
      </c>
      <c r="AA5" s="27" t="n"/>
      <c r="AB5" s="26">
        <f>IFERROR(IF(OR(O5="",R5=""),"",IF(IF(ISNUMBER(R5),MOD(R5,1),TIMEVALUE(R5))&gt;=IF(ISNUMBER(O5),MOD(O5,1),TIMEVALUE(O5)),(IF(ISNUMBER(R5),MOD(R5,1),TIMEVALUE(R5))-IF(ISNUMBER(O5),MOD(O5,1),TIMEVALUE(O5)))*1440,(IF(ISNUMBER(R5),MOD(R5,1),TIMEVALUE(R5))+1-IF(ISNUMBER(O5),MOD(O5,1),TIMEVALUE(O5)))*1440)),"")</f>
        <v/>
      </c>
      <c r="AC5" s="28">
        <f>IFERROR(IF(OR(R5="",S5=""),"",IF(IF(ISNUMBER(S5),MOD(S5,1),TIMEVALUE(S5))&gt;=IF(ISNUMBER(R5),MOD(R5,1),TIMEVALUE(R5)),(IF(ISNUMBER(S5),MOD(S5,1),TIMEVALUE(S5))-IF(ISNUMBER(R5),MOD(R5,1),TIMEVALUE(R5)))*1440,(IF(ISNUMBER(S5),MOD(S5,1),TIMEVALUE(S5))+1-IF(ISNUMBER(R5),MOD(R5,1),TIMEVALUE(R5)))*1440)),"")</f>
        <v/>
      </c>
      <c r="AD5" s="29" t="n"/>
      <c r="AE5" s="26">
        <f>IFERROR(IF(OR(AC5="",AD5=""),"",AC5-AD5),"")</f>
        <v/>
      </c>
      <c r="AF5" s="30">
        <f>IFERROR(IF(AE5="","",IF(ROUND(AE5,0)&gt;15,"Subestimacion",IF(ROUND(AE5,0)&lt;-15,"Sobrestimacion","Asertivo"))),"")</f>
        <v/>
      </c>
      <c r="AG5" s="19" t="n"/>
      <c r="AH5" s="19" t="n"/>
      <c r="AI5" s="19" t="n"/>
      <c r="AJ5" s="19" t="n"/>
      <c r="AK5" s="19" t="n"/>
      <c r="AL5" s="19" t="n"/>
      <c r="AM5" s="18" t="n"/>
      <c r="AN5" s="19" t="n"/>
      <c r="AO5" s="19" t="n"/>
      <c r="AP5" s="127">
        <f>IF(A5="","",A5-WEEKDAY(A5,2)+1)</f>
        <v/>
      </c>
      <c r="AQ5" s="127">
        <f>IF(AO5="","",AO5+6)</f>
        <v/>
      </c>
      <c r="AR5" s="19">
        <f>IF(AO5="","","Semana "&amp;TEXT(AO5,"dd-mm-yyyy")&amp;" al "&amp;TEXT(AP5,"dd-mm-yyyy"))</f>
        <v/>
      </c>
      <c r="AS5" s="19">
        <f>IF(A5="","",TEXT(A5,"mmmm yyyy"))</f>
        <v/>
      </c>
      <c r="AT5" s="19">
        <f>IF(A5="","",TEXT(A5,"dddd"))</f>
        <v/>
      </c>
      <c r="AU5" s="19">
        <f>IF(A5="","","CRR-"&amp;TEXT(A5,"yyyymmdd")&amp;"-"&amp;M5&amp;"-"&amp;TEXT(ROW()-3,"0000"))</f>
        <v/>
      </c>
      <c r="AV5" s="19">
        <f>IF(A5="","",IF(OR(B5="",C5="",E5="",F5="",M5="",N5=""),"Revisar campos obligatorios",IF(AND(P5="Atraso primera hora",Q5=""),"Falta justificación atraso primera hora",IF(AND(Z5="No cumple",AA5=""),"Falta justificación recambio &gt;15 min",IF(AND(ISNUMBER(SEARCH("suspend",N5)),OR(AG5="",AH5="")),"Falta causa/motivo suspensión","OK")))))</f>
        <v/>
      </c>
      <c r="AW5" s="19">
        <f>IF(N5="","",IF(ISNUMBER(SEARCH("suspend",N5)),IF(AND(AG5="",AH5=""),"Sin causa/motivo registrado",IF(AG5="",AH5,IF(AH5="",AG5,AG5&amp;": "&amp;AH5))),""))</f>
        <v/>
      </c>
    </row>
    <row r="6" ht="16" customHeight="1" s="151">
      <c r="A6" s="17" t="n"/>
      <c r="B6" s="18" t="n"/>
      <c r="C6" s="18" t="n"/>
      <c r="D6" s="18" t="n"/>
      <c r="E6" s="18" t="n"/>
      <c r="F6" s="21" t="n"/>
      <c r="G6" s="19" t="n"/>
      <c r="H6" s="18" t="n"/>
      <c r="I6" s="19" t="n"/>
      <c r="J6" s="20">
        <f>IF(H6&lt;&gt;"",IFERROR(VLOOKUP(IFERROR(LEFT(H6,FIND("-",H6)-1),H6),'Catalogo MINSAL'!A:E,5,FALSE),""),IF(I6&lt;&gt;"",IFERROR(VLOOKUP(IFERROR(LEFT(I6,FIND("-",I6)-1),I6),'Catalogo MINSAL'!A:E,5,FALSE),""),""))</f>
        <v/>
      </c>
      <c r="K6" s="22" t="n"/>
      <c r="L6" s="18" t="n"/>
      <c r="M6" s="18" t="n"/>
      <c r="N6" s="18" t="n"/>
      <c r="O6" s="23" t="n"/>
      <c r="P6" s="24">
        <f>IFERROR(IF(OR(O6="",A6="",M6=""),"",IF(SUMPRODUCT(($A$4:$A$500=A6)*($M$4:$M$500=M6)*($O$4:$O$500&lt;&gt;"")*(MOD($O$4:$O$500,1)&lt;MOD(O6,1)))=0,IF(MOD(O6,1)&lt;=TIME(8,15,0),"Ingreso adecuado primera hora","Atraso primera hora"),"No aplica")),"")</f>
        <v/>
      </c>
      <c r="Q6" s="24" t="n"/>
      <c r="R6" s="23" t="n"/>
      <c r="S6" s="23" t="n"/>
      <c r="T6" s="25" t="n"/>
      <c r="U6" s="98">
        <f>IFERROR(VLOOKUP(M6,'Horario Pabellones'!$A$4:$D$17,2,FALSE),"")</f>
        <v/>
      </c>
      <c r="V6" s="98">
        <f>IFERROR(VLOOKUP(M6,'Horario Pabellones'!$A$4:$D$17,3,FALSE),"")</f>
        <v/>
      </c>
      <c r="W6" s="99">
        <f>IFERROR(VLOOKUP(M6,'Horario Pabellones'!$A$4:$D$17,4,FALSE),"")</f>
        <v/>
      </c>
      <c r="X6" s="89">
        <f>IFERROR(IF(OR(A6="",M6="",W6=""),"",(((_xludf.AGGREGATE(14,6,MOD($S$4:$S$500,1)/(($A$4:$A$500=A6)*($M$4:$M$500=M6)*($R$4:$R$500&lt;&gt;"")*($S$4:$S$500&lt;&gt;"")),1)-_xludf.AGGREGATE(15,6,MOD($R$4:$R$500,1)/(($A$4:$A$500=A6)*($M$4:$M$500=M6)*($R$4:$R$500&lt;&gt;"")*($S$4:$S$500&lt;&gt;"")),1))*1440)/60)/(W6/60)),"")</f>
        <v/>
      </c>
      <c r="Y6" s="26">
        <f>IFERROR(IF(OR(O6="",A6="",M6=""),"",(IF(ISNUMBER(O6),MOD(O6,1),TIMEVALUE(O6))-LOOKUP(2,1/(($A$4:$A$500=A6)*($M$4:$M$500=M6)*($T$4:$T$500&lt;&gt;"")*($T$4:$T$500&lt;IF(ISNUMBER(O6),MOD(O6,1),TIMEVALUE(O6)))),$T$4:$T$500))*1440),"")</f>
        <v/>
      </c>
      <c r="Z6" s="27">
        <f>IFERROR(IF(Y6="","",IF(ROUND(Y6,0)&lt;=15,"Cumple","No cumple")),"")</f>
        <v/>
      </c>
      <c r="AA6" s="27" t="n"/>
      <c r="AB6" s="26">
        <f>IFERROR(IF(OR(O6="",R6=""),"",IF(IF(ISNUMBER(R6),MOD(R6,1),TIMEVALUE(R6))&gt;=IF(ISNUMBER(O6),MOD(O6,1),TIMEVALUE(O6)),(IF(ISNUMBER(R6),MOD(R6,1),TIMEVALUE(R6))-IF(ISNUMBER(O6),MOD(O6,1),TIMEVALUE(O6)))*1440,(IF(ISNUMBER(R6),MOD(R6,1),TIMEVALUE(R6))+1-IF(ISNUMBER(O6),MOD(O6,1),TIMEVALUE(O6)))*1440)),"")</f>
        <v/>
      </c>
      <c r="AC6" s="28">
        <f>IFERROR(IF(OR(R6="",S6=""),"",IF(IF(ISNUMBER(S6),MOD(S6,1),TIMEVALUE(S6))&gt;=IF(ISNUMBER(R6),MOD(R6,1),TIMEVALUE(R6)),(IF(ISNUMBER(S6),MOD(S6,1),TIMEVALUE(S6))-IF(ISNUMBER(R6),MOD(R6,1),TIMEVALUE(R6)))*1440,(IF(ISNUMBER(S6),MOD(S6,1),TIMEVALUE(S6))+1-IF(ISNUMBER(R6),MOD(R6,1),TIMEVALUE(R6)))*1440)),"")</f>
        <v/>
      </c>
      <c r="AD6" s="29" t="n"/>
      <c r="AE6" s="26">
        <f>IFERROR(IF(OR(AC6="",AD6=""),"",AC6-AD6),"")</f>
        <v/>
      </c>
      <c r="AF6" s="30">
        <f>IFERROR(IF(AE6="","",IF(ROUND(AE6,0)&gt;15,"Subestimacion",IF(ROUND(AE6,0)&lt;-15,"Sobrestimacion","Asertivo"))),"")</f>
        <v/>
      </c>
      <c r="AG6" s="19" t="n"/>
      <c r="AH6" s="19" t="n"/>
      <c r="AI6" s="19" t="n"/>
      <c r="AJ6" s="19" t="n"/>
      <c r="AK6" s="19" t="n"/>
      <c r="AL6" s="19" t="n"/>
      <c r="AM6" s="18" t="n"/>
      <c r="AN6" s="19" t="n"/>
      <c r="AO6" s="19" t="n"/>
      <c r="AP6" s="127">
        <f>IF(A6="","",A6-WEEKDAY(A6,2)+1)</f>
        <v/>
      </c>
      <c r="AQ6" s="127">
        <f>IF(AO6="","",AO6+6)</f>
        <v/>
      </c>
      <c r="AR6" s="19">
        <f>IF(AO6="","","Semana "&amp;TEXT(AO6,"dd-mm-yyyy")&amp;" al "&amp;TEXT(AP6,"dd-mm-yyyy"))</f>
        <v/>
      </c>
      <c r="AS6" s="19">
        <f>IF(A6="","",TEXT(A6,"mmmm yyyy"))</f>
        <v/>
      </c>
      <c r="AT6" s="19">
        <f>IF(A6="","",TEXT(A6,"dddd"))</f>
        <v/>
      </c>
      <c r="AU6" s="19">
        <f>IF(A6="","","CRR-"&amp;TEXT(A6,"yyyymmdd")&amp;"-"&amp;M6&amp;"-"&amp;TEXT(ROW()-3,"0000"))</f>
        <v/>
      </c>
      <c r="AV6" s="19">
        <f>IF(A6="","",IF(OR(B6="",C6="",E6="",F6="",M6="",N6=""),"Revisar campos obligatorios",IF(AND(P6="Atraso primera hora",Q6=""),"Falta justificación atraso primera hora",IF(AND(Z6="No cumple",AA6=""),"Falta justificación recambio &gt;15 min",IF(AND(ISNUMBER(SEARCH("suspend",N6)),OR(AG6="",AH6="")),"Falta causa/motivo suspensión","OK")))))</f>
        <v/>
      </c>
      <c r="AW6" s="19">
        <f>IF(N6="","",IF(ISNUMBER(SEARCH("suspend",N6)),IF(AND(AG6="",AH6=""),"Sin causa/motivo registrado",IF(AG6="",AH6,IF(AH6="",AG6,AG6&amp;": "&amp;AH6))),""))</f>
        <v/>
      </c>
    </row>
    <row r="7" ht="16" customHeight="1" s="151">
      <c r="A7" s="17" t="n"/>
      <c r="B7" s="18" t="n"/>
      <c r="C7" s="18" t="n"/>
      <c r="D7" s="18" t="n"/>
      <c r="E7" s="18" t="n"/>
      <c r="F7" s="21" t="n"/>
      <c r="G7" s="19" t="n"/>
      <c r="H7" s="18" t="n"/>
      <c r="I7" s="19" t="n"/>
      <c r="J7" s="20">
        <f>IF(H7&lt;&gt;"",IFERROR(VLOOKUP(IFERROR(LEFT(H7,FIND("-",H7)-1),H7),'Catalogo MINSAL'!A:E,5,FALSE),""),IF(I7&lt;&gt;"",IFERROR(VLOOKUP(IFERROR(LEFT(I7,FIND("-",I7)-1),I7),'Catalogo MINSAL'!A:E,5,FALSE),""),""))</f>
        <v/>
      </c>
      <c r="K7" s="22" t="n"/>
      <c r="L7" s="18" t="n"/>
      <c r="M7" s="18" t="n"/>
      <c r="N7" s="18" t="n"/>
      <c r="O7" s="23" t="n"/>
      <c r="P7" s="24">
        <f>IFERROR(IF(OR(O7="",A7="",M7=""),"",IF(SUMPRODUCT(($A$4:$A$500=A7)*($M$4:$M$500=M7)*($O$4:$O$500&lt;&gt;"")*(MOD($O$4:$O$500,1)&lt;MOD(O7,1)))=0,IF(MOD(O7,1)&lt;=TIME(8,15,0),"Ingreso adecuado primera hora","Atraso primera hora"),"No aplica")),"")</f>
        <v/>
      </c>
      <c r="Q7" s="24" t="n"/>
      <c r="R7" s="23" t="n"/>
      <c r="S7" s="23" t="n"/>
      <c r="T7" s="25" t="n"/>
      <c r="U7" s="98">
        <f>IFERROR(VLOOKUP(M7,'Horario Pabellones'!$A$4:$D$17,2,FALSE),"")</f>
        <v/>
      </c>
      <c r="V7" s="98">
        <f>IFERROR(VLOOKUP(M7,'Horario Pabellones'!$A$4:$D$17,3,FALSE),"")</f>
        <v/>
      </c>
      <c r="W7" s="99">
        <f>IFERROR(VLOOKUP(M7,'Horario Pabellones'!$A$4:$D$17,4,FALSE),"")</f>
        <v/>
      </c>
      <c r="X7" s="89">
        <f>IFERROR(IF(OR(A7="",M7="",W7=""),"",(((_xludf.AGGREGATE(14,6,MOD($S$4:$S$500,1)/(($A$4:$A$500=A7)*($M$4:$M$500=M7)*($R$4:$R$500&lt;&gt;"")*($S$4:$S$500&lt;&gt;"")),1)-_xludf.AGGREGATE(15,6,MOD($R$4:$R$500,1)/(($A$4:$A$500=A7)*($M$4:$M$500=M7)*($R$4:$R$500&lt;&gt;"")*($S$4:$S$500&lt;&gt;"")),1))*1440)/60)/(W7/60)),"")</f>
        <v/>
      </c>
      <c r="Y7" s="26">
        <f>IFERROR(IF(OR(O7="",A7="",M7=""),"",(IF(ISNUMBER(O7),MOD(O7,1),TIMEVALUE(O7))-LOOKUP(2,1/(($A$4:$A$500=A7)*($M$4:$M$500=M7)*($T$4:$T$500&lt;&gt;"")*($T$4:$T$500&lt;IF(ISNUMBER(O7),MOD(O7,1),TIMEVALUE(O7)))),$T$4:$T$500))*1440),"")</f>
        <v/>
      </c>
      <c r="Z7" s="27">
        <f>IFERROR(IF(Y7="","",IF(ROUND(Y7,0)&lt;=15,"Cumple","No cumple")),"")</f>
        <v/>
      </c>
      <c r="AA7" s="27" t="n"/>
      <c r="AB7" s="26">
        <f>IFERROR(IF(OR(O7="",R7=""),"",IF(IF(ISNUMBER(R7),MOD(R7,1),TIMEVALUE(R7))&gt;=IF(ISNUMBER(O7),MOD(O7,1),TIMEVALUE(O7)),(IF(ISNUMBER(R7),MOD(R7,1),TIMEVALUE(R7))-IF(ISNUMBER(O7),MOD(O7,1),TIMEVALUE(O7)))*1440,(IF(ISNUMBER(R7),MOD(R7,1),TIMEVALUE(R7))+1-IF(ISNUMBER(O7),MOD(O7,1),TIMEVALUE(O7)))*1440)),"")</f>
        <v/>
      </c>
      <c r="AC7" s="28">
        <f>IFERROR(IF(OR(R7="",S7=""),"",IF(IF(ISNUMBER(S7),MOD(S7,1),TIMEVALUE(S7))&gt;=IF(ISNUMBER(R7),MOD(R7,1),TIMEVALUE(R7)),(IF(ISNUMBER(S7),MOD(S7,1),TIMEVALUE(S7))-IF(ISNUMBER(R7),MOD(R7,1),TIMEVALUE(R7)))*1440,(IF(ISNUMBER(S7),MOD(S7,1),TIMEVALUE(S7))+1-IF(ISNUMBER(R7),MOD(R7,1),TIMEVALUE(R7)))*1440)),"")</f>
        <v/>
      </c>
      <c r="AD7" s="29" t="n"/>
      <c r="AE7" s="26">
        <f>IFERROR(IF(OR(AC7="",AD7=""),"",AC7-AD7),"")</f>
        <v/>
      </c>
      <c r="AF7" s="30">
        <f>IFERROR(IF(AE7="","",IF(ROUND(AE7,0)&gt;15,"Subestimacion",IF(ROUND(AE7,0)&lt;-15,"Sobrestimacion","Asertivo"))),"")</f>
        <v/>
      </c>
      <c r="AG7" s="19" t="n"/>
      <c r="AH7" s="19" t="n"/>
      <c r="AI7" s="19" t="n"/>
      <c r="AJ7" s="19" t="n"/>
      <c r="AK7" s="19" t="n"/>
      <c r="AL7" s="19" t="n"/>
      <c r="AM7" s="18" t="n"/>
      <c r="AN7" s="19" t="n"/>
      <c r="AO7" s="19" t="n"/>
      <c r="AP7" s="127">
        <f>IF(A7="","",A7-WEEKDAY(A7,2)+1)</f>
        <v/>
      </c>
      <c r="AQ7" s="127">
        <f>IF(AO7="","",AO7+6)</f>
        <v/>
      </c>
      <c r="AR7" s="19">
        <f>IF(AO7="","","Semana "&amp;TEXT(AO7,"dd-mm-yyyy")&amp;" al "&amp;TEXT(AP7,"dd-mm-yyyy"))</f>
        <v/>
      </c>
      <c r="AS7" s="19">
        <f>IF(A7="","",TEXT(A7,"mmmm yyyy"))</f>
        <v/>
      </c>
      <c r="AT7" s="19">
        <f>IF(A7="","",TEXT(A7,"dddd"))</f>
        <v/>
      </c>
      <c r="AU7" s="19">
        <f>IF(A7="","","CRR-"&amp;TEXT(A7,"yyyymmdd")&amp;"-"&amp;M7&amp;"-"&amp;TEXT(ROW()-3,"0000"))</f>
        <v/>
      </c>
      <c r="AV7" s="19">
        <f>IF(A7="","",IF(OR(B7="",C7="",E7="",F7="",M7="",N7=""),"Revisar campos obligatorios",IF(AND(P7="Atraso primera hora",Q7=""),"Falta justificación atraso primera hora",IF(AND(Z7="No cumple",AA7=""),"Falta justificación recambio &gt;15 min",IF(AND(ISNUMBER(SEARCH("suspend",N7)),OR(AG7="",AH7="")),"Falta causa/motivo suspensión","OK")))))</f>
        <v/>
      </c>
      <c r="AW7" s="19">
        <f>IF(N7="","",IF(ISNUMBER(SEARCH("suspend",N7)),IF(AND(AG7="",AH7=""),"Sin causa/motivo registrado",IF(AG7="",AH7,IF(AH7="",AG7,AG7&amp;": "&amp;AH7))),""))</f>
        <v/>
      </c>
    </row>
    <row r="8" ht="16" customHeight="1" s="151">
      <c r="A8" s="17" t="n"/>
      <c r="B8" s="18" t="n"/>
      <c r="C8" s="18" t="n"/>
      <c r="D8" s="18" t="n"/>
      <c r="E8" s="18" t="n"/>
      <c r="F8" s="21" t="n"/>
      <c r="G8" s="19" t="n"/>
      <c r="H8" s="18" t="n"/>
      <c r="I8" s="19" t="n"/>
      <c r="J8" s="20">
        <f>IF(H8&lt;&gt;"",IFERROR(VLOOKUP(IFERROR(LEFT(H8,FIND("-",H8)-1),H8),'Catalogo MINSAL'!A:E,5,FALSE),""),IF(I8&lt;&gt;"",IFERROR(VLOOKUP(IFERROR(LEFT(I8,FIND("-",I8)-1),I8),'Catalogo MINSAL'!A:E,5,FALSE),""),""))</f>
        <v/>
      </c>
      <c r="K8" s="22" t="n"/>
      <c r="L8" s="18" t="n"/>
      <c r="M8" s="18" t="n"/>
      <c r="N8" s="18" t="n"/>
      <c r="O8" s="23" t="n"/>
      <c r="P8" s="24">
        <f>IFERROR(IF(OR(O8="",A8="",M8=""),"",IF(SUMPRODUCT(($A$4:$A$500=A8)*($M$4:$M$500=M8)*($O$4:$O$500&lt;&gt;"")*(MOD($O$4:$O$500,1)&lt;MOD(O8,1)))=0,IF(MOD(O8,1)&lt;=TIME(8,15,0),"Ingreso adecuado primera hora","Atraso primera hora"),"No aplica")),"")</f>
        <v/>
      </c>
      <c r="Q8" s="24" t="n"/>
      <c r="R8" s="23" t="n"/>
      <c r="S8" s="31" t="n"/>
      <c r="T8" s="25" t="n"/>
      <c r="U8" s="98">
        <f>IFERROR(VLOOKUP(M8,'Horario Pabellones'!$A$4:$D$17,2,FALSE),"")</f>
        <v/>
      </c>
      <c r="V8" s="98">
        <f>IFERROR(VLOOKUP(M8,'Horario Pabellones'!$A$4:$D$17,3,FALSE),"")</f>
        <v/>
      </c>
      <c r="W8" s="99">
        <f>IFERROR(VLOOKUP(M8,'Horario Pabellones'!$A$4:$D$17,4,FALSE),"")</f>
        <v/>
      </c>
      <c r="X8" s="89">
        <f>IFERROR(IF(OR(A8="",M8="",W8=""),"",(((_xludf.AGGREGATE(14,6,MOD($S$4:$S$500,1)/(($A$4:$A$500=A8)*($M$4:$M$500=M8)*($R$4:$R$500&lt;&gt;"")*($S$4:$S$500&lt;&gt;"")),1)-_xludf.AGGREGATE(15,6,MOD($R$4:$R$500,1)/(($A$4:$A$500=A8)*($M$4:$M$500=M8)*($R$4:$R$500&lt;&gt;"")*($S$4:$S$500&lt;&gt;"")),1))*1440)/60)/(W8/60)),"")</f>
        <v/>
      </c>
      <c r="Y8" s="26">
        <f>IFERROR(IF(OR(O8="",A8="",M8=""),"",(IF(ISNUMBER(O8),MOD(O8,1),TIMEVALUE(O8))-LOOKUP(2,1/(($A$4:$A$500=A8)*($M$4:$M$500=M8)*($T$4:$T$500&lt;&gt;"")*($T$4:$T$500&lt;IF(ISNUMBER(O8),MOD(O8,1),TIMEVALUE(O8)))),$T$4:$T$500))*1440),"")</f>
        <v/>
      </c>
      <c r="Z8" s="27">
        <f>IFERROR(IF(Y8="","",IF(ROUND(Y8,0)&lt;=15,"Cumple","No cumple")),"")</f>
        <v/>
      </c>
      <c r="AA8" s="27" t="n"/>
      <c r="AB8" s="26">
        <f>IFERROR(IF(OR(O8="",R8=""),"",IF(IF(ISNUMBER(R8),MOD(R8,1),TIMEVALUE(R8))&gt;=IF(ISNUMBER(O8),MOD(O8,1),TIMEVALUE(O8)),(IF(ISNUMBER(R8),MOD(R8,1),TIMEVALUE(R8))-IF(ISNUMBER(O8),MOD(O8,1),TIMEVALUE(O8)))*1440,(IF(ISNUMBER(R8),MOD(R8,1),TIMEVALUE(R8))+1-IF(ISNUMBER(O8),MOD(O8,1),TIMEVALUE(O8)))*1440)),"")</f>
        <v/>
      </c>
      <c r="AC8" s="28">
        <f>IFERROR(IF(OR(R8="",S8=""),"",IF(IF(ISNUMBER(S8),MOD(S8,1),TIMEVALUE(S8))&gt;=IF(ISNUMBER(R8),MOD(R8,1),TIMEVALUE(R8)),(IF(ISNUMBER(S8),MOD(S8,1),TIMEVALUE(S8))-IF(ISNUMBER(R8),MOD(R8,1),TIMEVALUE(R8)))*1440,(IF(ISNUMBER(S8),MOD(S8,1),TIMEVALUE(S8))+1-IF(ISNUMBER(R8),MOD(R8,1),TIMEVALUE(R8)))*1440)),"")</f>
        <v/>
      </c>
      <c r="AD8" s="29" t="n"/>
      <c r="AE8" s="26">
        <f>IFERROR(IF(OR(AC8="",AD8=""),"",AC8-AD8),"")</f>
        <v/>
      </c>
      <c r="AF8" s="30">
        <f>IFERROR(IF(AE8="","",IF(ROUND(AE8,0)&gt;15,"Subestimacion",IF(ROUND(AE8,0)&lt;-15,"Sobrestimacion","Asertivo"))),"")</f>
        <v/>
      </c>
      <c r="AG8" s="19" t="n"/>
      <c r="AH8" s="19" t="n"/>
      <c r="AI8" s="19" t="n"/>
      <c r="AJ8" s="19" t="n"/>
      <c r="AK8" s="19" t="n"/>
      <c r="AL8" s="19" t="n"/>
      <c r="AM8" s="18" t="n"/>
      <c r="AN8" s="19" t="n"/>
      <c r="AO8" s="19" t="n"/>
      <c r="AP8" s="127">
        <f>IF(A8="","",A8-WEEKDAY(A8,2)+1)</f>
        <v/>
      </c>
      <c r="AQ8" s="127">
        <f>IF(AO8="","",AO8+6)</f>
        <v/>
      </c>
      <c r="AR8" s="19">
        <f>IF(AO8="","","Semana "&amp;TEXT(AO8,"dd-mm-yyyy")&amp;" al "&amp;TEXT(AP8,"dd-mm-yyyy"))</f>
        <v/>
      </c>
      <c r="AS8" s="19">
        <f>IF(A8="","",TEXT(A8,"mmmm yyyy"))</f>
        <v/>
      </c>
      <c r="AT8" s="19">
        <f>IF(A8="","",TEXT(A8,"dddd"))</f>
        <v/>
      </c>
      <c r="AU8" s="19">
        <f>IF(A8="","","CRR-"&amp;TEXT(A8,"yyyymmdd")&amp;"-"&amp;M8&amp;"-"&amp;TEXT(ROW()-3,"0000"))</f>
        <v/>
      </c>
      <c r="AV8" s="19">
        <f>IF(A8="","",IF(OR(B8="",C8="",E8="",F8="",M8="",N8=""),"Revisar campos obligatorios",IF(AND(P8="Atraso primera hora",Q8=""),"Falta justificación atraso primera hora",IF(AND(Z8="No cumple",AA8=""),"Falta justificación recambio &gt;15 min",IF(AND(ISNUMBER(SEARCH("suspend",N8)),OR(AG8="",AH8="")),"Falta causa/motivo suspensión","OK")))))</f>
        <v/>
      </c>
      <c r="AW8" s="19">
        <f>IF(N8="","",IF(ISNUMBER(SEARCH("suspend",N8)),IF(AND(AG8="",AH8=""),"Sin causa/motivo registrado",IF(AG8="",AH8,IF(AH8="",AG8,AG8&amp;": "&amp;AH8))),""))</f>
        <v/>
      </c>
    </row>
    <row r="9" ht="16" customHeight="1" s="151">
      <c r="A9" s="17" t="n"/>
      <c r="B9" s="18" t="n"/>
      <c r="C9" s="18" t="n"/>
      <c r="D9" s="18" t="n"/>
      <c r="E9" s="18" t="n"/>
      <c r="F9" s="21" t="n"/>
      <c r="G9" s="19" t="n"/>
      <c r="H9" s="18" t="n"/>
      <c r="I9" s="19" t="n"/>
      <c r="J9" s="20">
        <f>IF(H9&lt;&gt;"",IFERROR(VLOOKUP(IFERROR(LEFT(H9,FIND("-",H9)-1),H9),'Catalogo MINSAL'!A:E,5,FALSE),""),IF(I9&lt;&gt;"",IFERROR(VLOOKUP(IFERROR(LEFT(I9,FIND("-",I9)-1),I9),'Catalogo MINSAL'!A:E,5,FALSE),""),""))</f>
        <v/>
      </c>
      <c r="K9" s="22" t="n"/>
      <c r="L9" s="18" t="n"/>
      <c r="M9" s="18" t="n"/>
      <c r="N9" s="18" t="n"/>
      <c r="O9" s="23" t="n"/>
      <c r="P9" s="24">
        <f>IFERROR(IF(OR(O9="",A9="",M9=""),"",IF(SUMPRODUCT(($A$4:$A$500=A9)*($M$4:$M$500=M9)*($O$4:$O$500&lt;&gt;"")*(MOD($O$4:$O$500,1)&lt;MOD(O9,1)))=0,IF(MOD(O9,1)&lt;=TIME(8,15,0),"Ingreso adecuado primera hora","Atraso primera hora"),"No aplica")),"")</f>
        <v/>
      </c>
      <c r="Q9" s="24" t="n"/>
      <c r="R9" s="23" t="n"/>
      <c r="S9" s="23" t="n"/>
      <c r="T9" s="25" t="n"/>
      <c r="U9" s="98">
        <f>IFERROR(VLOOKUP(M9,'Horario Pabellones'!$A$4:$D$17,2,FALSE),"")</f>
        <v/>
      </c>
      <c r="V9" s="98">
        <f>IFERROR(VLOOKUP(M9,'Horario Pabellones'!$A$4:$D$17,3,FALSE),"")</f>
        <v/>
      </c>
      <c r="W9" s="99">
        <f>IFERROR(VLOOKUP(M9,'Horario Pabellones'!$A$4:$D$17,4,FALSE),"")</f>
        <v/>
      </c>
      <c r="X9" s="89">
        <f>IFERROR(IF(OR(A9="",M9="",W9=""),"",(((_xludf.AGGREGATE(14,6,MOD($S$4:$S$500,1)/(($A$4:$A$500=A9)*($M$4:$M$500=M9)*($R$4:$R$500&lt;&gt;"")*($S$4:$S$500&lt;&gt;"")),1)-_xludf.AGGREGATE(15,6,MOD($R$4:$R$500,1)/(($A$4:$A$500=A9)*($M$4:$M$500=M9)*($R$4:$R$500&lt;&gt;"")*($S$4:$S$500&lt;&gt;"")),1))*1440)/60)/(W9/60)),"")</f>
        <v/>
      </c>
      <c r="Y9" s="26">
        <f>IFERROR(IF(OR(O9="",A9="",M9=""),"",(IF(ISNUMBER(O9),MOD(O9,1),TIMEVALUE(O9))-LOOKUP(2,1/(($A$4:$A$500=A9)*($M$4:$M$500=M9)*($T$4:$T$500&lt;&gt;"")*($T$4:$T$500&lt;IF(ISNUMBER(O9),MOD(O9,1),TIMEVALUE(O9)))),$T$4:$T$500))*1440),"")</f>
        <v/>
      </c>
      <c r="Z9" s="27">
        <f>IFERROR(IF(Y9="","",IF(ROUND(Y9,0)&lt;=15,"Cumple","No cumple")),"")</f>
        <v/>
      </c>
      <c r="AA9" s="27" t="n"/>
      <c r="AB9" s="26">
        <f>IFERROR(IF(OR(O9="",R9=""),"",IF(IF(ISNUMBER(R9),MOD(R9,1),TIMEVALUE(R9))&gt;=IF(ISNUMBER(O9),MOD(O9,1),TIMEVALUE(O9)),(IF(ISNUMBER(R9),MOD(R9,1),TIMEVALUE(R9))-IF(ISNUMBER(O9),MOD(O9,1),TIMEVALUE(O9)))*1440,(IF(ISNUMBER(R9),MOD(R9,1),TIMEVALUE(R9))+1-IF(ISNUMBER(O9),MOD(O9,1),TIMEVALUE(O9)))*1440)),"")</f>
        <v/>
      </c>
      <c r="AC9" s="28">
        <f>IFERROR(IF(OR(R9="",S9=""),"",IF(IF(ISNUMBER(S9),MOD(S9,1),TIMEVALUE(S9))&gt;=IF(ISNUMBER(R9),MOD(R9,1),TIMEVALUE(R9)),(IF(ISNUMBER(S9),MOD(S9,1),TIMEVALUE(S9))-IF(ISNUMBER(R9),MOD(R9,1),TIMEVALUE(R9)))*1440,(IF(ISNUMBER(S9),MOD(S9,1),TIMEVALUE(S9))+1-IF(ISNUMBER(R9),MOD(R9,1),TIMEVALUE(R9)))*1440)),"")</f>
        <v/>
      </c>
      <c r="AD9" s="29" t="n"/>
      <c r="AE9" s="26">
        <f>IFERROR(IF(OR(AC9="",AD9=""),"",AC9-AD9),"")</f>
        <v/>
      </c>
      <c r="AF9" s="30">
        <f>IFERROR(IF(AE9="","",IF(ROUND(AE9,0)&gt;15,"Subestimacion",IF(ROUND(AE9,0)&lt;-15,"Sobrestimacion","Asertivo"))),"")</f>
        <v/>
      </c>
      <c r="AG9" s="19" t="n"/>
      <c r="AH9" s="19" t="n"/>
      <c r="AI9" s="19" t="n"/>
      <c r="AJ9" s="19" t="n"/>
      <c r="AK9" s="19" t="n"/>
      <c r="AL9" s="19" t="n"/>
      <c r="AM9" s="18" t="n"/>
      <c r="AN9" s="19" t="n"/>
      <c r="AO9" s="19" t="n"/>
      <c r="AP9" s="127">
        <f>IF(A9="","",A9-WEEKDAY(A9,2)+1)</f>
        <v/>
      </c>
      <c r="AQ9" s="127">
        <f>IF(AO9="","",AO9+6)</f>
        <v/>
      </c>
      <c r="AR9" s="19">
        <f>IF(AO9="","","Semana "&amp;TEXT(AO9,"dd-mm-yyyy")&amp;" al "&amp;TEXT(AP9,"dd-mm-yyyy"))</f>
        <v/>
      </c>
      <c r="AS9" s="19">
        <f>IF(A9="","",TEXT(A9,"mmmm yyyy"))</f>
        <v/>
      </c>
      <c r="AT9" s="19">
        <f>IF(A9="","",TEXT(A9,"dddd"))</f>
        <v/>
      </c>
      <c r="AU9" s="19">
        <f>IF(A9="","","CRR-"&amp;TEXT(A9,"yyyymmdd")&amp;"-"&amp;M9&amp;"-"&amp;TEXT(ROW()-3,"0000"))</f>
        <v/>
      </c>
      <c r="AV9" s="19">
        <f>IF(A9="","",IF(OR(B9="",C9="",E9="",F9="",M9="",N9=""),"Revisar campos obligatorios",IF(AND(P9="Atraso primera hora",Q9=""),"Falta justificación atraso primera hora",IF(AND(Z9="No cumple",AA9=""),"Falta justificación recambio &gt;15 min",IF(AND(ISNUMBER(SEARCH("suspend",N9)),OR(AG9="",AH9="")),"Falta causa/motivo suspensión","OK")))))</f>
        <v/>
      </c>
      <c r="AW9" s="19">
        <f>IF(N9="","",IF(ISNUMBER(SEARCH("suspend",N9)),IF(AND(AG9="",AH9=""),"Sin causa/motivo registrado",IF(AG9="",AH9,IF(AH9="",AG9,AG9&amp;": "&amp;AH9))),""))</f>
        <v/>
      </c>
    </row>
    <row r="10" ht="16" customHeight="1" s="151">
      <c r="A10" s="17" t="n"/>
      <c r="B10" s="18" t="n"/>
      <c r="C10" s="18" t="n"/>
      <c r="D10" s="18" t="n"/>
      <c r="E10" s="18" t="n"/>
      <c r="F10" s="21" t="n"/>
      <c r="G10" s="19" t="n"/>
      <c r="H10" s="18" t="n"/>
      <c r="I10" s="19" t="n"/>
      <c r="J10" s="20">
        <f>IF(H10&lt;&gt;"",IFERROR(VLOOKUP(IFERROR(LEFT(H10,FIND("-",H10)-1),H10),'Catalogo MINSAL'!A:E,5,FALSE),""),IF(I10&lt;&gt;"",IFERROR(VLOOKUP(IFERROR(LEFT(I10,FIND("-",I10)-1),I10),'Catalogo MINSAL'!A:E,5,FALSE),""),""))</f>
        <v/>
      </c>
      <c r="K10" s="22" t="n"/>
      <c r="L10" s="18" t="n"/>
      <c r="M10" s="18" t="n"/>
      <c r="N10" s="18" t="n"/>
      <c r="O10" s="23" t="n"/>
      <c r="P10" s="24">
        <f>IFERROR(IF(OR(O10="",A10="",M10=""),"",IF(SUMPRODUCT(($A$4:$A$500=A10)*($M$4:$M$500=M10)*($O$4:$O$500&lt;&gt;"")*(MOD($O$4:$O$500,1)&lt;MOD(O10,1)))=0,IF(MOD(O10,1)&lt;=TIME(8,15,0),"Ingreso adecuado primera hora","Atraso primera hora"),"No aplica")),"")</f>
        <v/>
      </c>
      <c r="Q10" s="24" t="n"/>
      <c r="R10" s="23" t="n"/>
      <c r="S10" s="23" t="n"/>
      <c r="T10" s="25" t="n"/>
      <c r="U10" s="98">
        <f>IFERROR(VLOOKUP(M10,'Horario Pabellones'!$A$4:$D$17,2,FALSE),"")</f>
        <v/>
      </c>
      <c r="V10" s="98">
        <f>IFERROR(VLOOKUP(M10,'Horario Pabellones'!$A$4:$D$17,3,FALSE),"")</f>
        <v/>
      </c>
      <c r="W10" s="99">
        <f>IFERROR(VLOOKUP(M10,'Horario Pabellones'!$A$4:$D$17,4,FALSE),"")</f>
        <v/>
      </c>
      <c r="X10" s="89">
        <f>IFERROR(IF(OR(A10="",M10="",W10=""),"",(((_xludf.AGGREGATE(14,6,MOD($S$4:$S$500,1)/(($A$4:$A$500=A10)*($M$4:$M$500=M10)*($R$4:$R$500&lt;&gt;"")*($S$4:$S$500&lt;&gt;"")),1)-_xludf.AGGREGATE(15,6,MOD($R$4:$R$500,1)/(($A$4:$A$500=A10)*($M$4:$M$500=M10)*($R$4:$R$500&lt;&gt;"")*($S$4:$S$500&lt;&gt;"")),1))*1440)/60)/(W10/60)),"")</f>
        <v/>
      </c>
      <c r="Y10" s="26">
        <f>IFERROR(IF(OR(O10="",A10="",M10=""),"",(IF(ISNUMBER(O10),MOD(O10,1),TIMEVALUE(O10))-LOOKUP(2,1/(($A$4:$A$500=A10)*($M$4:$M$500=M10)*($T$4:$T$500&lt;&gt;"")*($T$4:$T$500&lt;IF(ISNUMBER(O10),MOD(O10,1),TIMEVALUE(O10)))),$T$4:$T$500))*1440),"")</f>
        <v/>
      </c>
      <c r="Z10" s="27">
        <f>IFERROR(IF(Y10="","",IF(ROUND(Y10,0)&lt;=15,"Cumple","No cumple")),"")</f>
        <v/>
      </c>
      <c r="AA10" s="27" t="n"/>
      <c r="AB10" s="26">
        <f>IFERROR(IF(OR(O10="",R10=""),"",IF(IF(ISNUMBER(R10),MOD(R10,1),TIMEVALUE(R10))&gt;=IF(ISNUMBER(O10),MOD(O10,1),TIMEVALUE(O10)),(IF(ISNUMBER(R10),MOD(R10,1),TIMEVALUE(R10))-IF(ISNUMBER(O10),MOD(O10,1),TIMEVALUE(O10)))*1440,(IF(ISNUMBER(R10),MOD(R10,1),TIMEVALUE(R10))+1-IF(ISNUMBER(O10),MOD(O10,1),TIMEVALUE(O10)))*1440)),"")</f>
        <v/>
      </c>
      <c r="AC10" s="28">
        <f>IFERROR(IF(OR(R10="",S10=""),"",IF(IF(ISNUMBER(S10),MOD(S10,1),TIMEVALUE(S10))&gt;=IF(ISNUMBER(R10),MOD(R10,1),TIMEVALUE(R10)),(IF(ISNUMBER(S10),MOD(S10,1),TIMEVALUE(S10))-IF(ISNUMBER(R10),MOD(R10,1),TIMEVALUE(R10)))*1440,(IF(ISNUMBER(S10),MOD(S10,1),TIMEVALUE(S10))+1-IF(ISNUMBER(R10),MOD(R10,1),TIMEVALUE(R10)))*1440)),"")</f>
        <v/>
      </c>
      <c r="AD10" s="29" t="n"/>
      <c r="AE10" s="26">
        <f>IFERROR(IF(OR(AC10="",AD10=""),"",AC10-AD10),"")</f>
        <v/>
      </c>
      <c r="AF10" s="30">
        <f>IFERROR(IF(AE10="","",IF(ROUND(AE10,0)&gt;15,"Subestimacion",IF(ROUND(AE10,0)&lt;-15,"Sobrestimacion","Asertivo"))),"")</f>
        <v/>
      </c>
      <c r="AG10" s="19" t="n"/>
      <c r="AH10" s="19" t="n"/>
      <c r="AI10" s="19" t="n"/>
      <c r="AJ10" s="19" t="n"/>
      <c r="AK10" s="19" t="n"/>
      <c r="AL10" s="19" t="n"/>
      <c r="AM10" s="18" t="n"/>
      <c r="AN10" s="19" t="n"/>
      <c r="AO10" s="19" t="n"/>
      <c r="AP10" s="127">
        <f>IF(A10="","",A10-WEEKDAY(A10,2)+1)</f>
        <v/>
      </c>
      <c r="AQ10" s="127">
        <f>IF(AO10="","",AO10+6)</f>
        <v/>
      </c>
      <c r="AR10" s="19">
        <f>IF(AO10="","","Semana "&amp;TEXT(AO10,"dd-mm-yyyy")&amp;" al "&amp;TEXT(AP10,"dd-mm-yyyy"))</f>
        <v/>
      </c>
      <c r="AS10" s="19">
        <f>IF(A10="","",TEXT(A10,"mmmm yyyy"))</f>
        <v/>
      </c>
      <c r="AT10" s="19">
        <f>IF(A10="","",TEXT(A10,"dddd"))</f>
        <v/>
      </c>
      <c r="AU10" s="19">
        <f>IF(A10="","","CRR-"&amp;TEXT(A10,"yyyymmdd")&amp;"-"&amp;M10&amp;"-"&amp;TEXT(ROW()-3,"0000"))</f>
        <v/>
      </c>
      <c r="AV10" s="19">
        <f>IF(A10="","",IF(OR(B10="",C10="",E10="",F10="",M10="",N10=""),"Revisar campos obligatorios",IF(AND(P10="Atraso primera hora",Q10=""),"Falta justificación atraso primera hora",IF(AND(Z10="No cumple",AA10=""),"Falta justificación recambio &gt;15 min",IF(AND(ISNUMBER(SEARCH("suspend",N10)),OR(AG10="",AH10="")),"Falta causa/motivo suspensión","OK")))))</f>
        <v/>
      </c>
      <c r="AW10" s="19">
        <f>IF(N10="","",IF(ISNUMBER(SEARCH("suspend",N10)),IF(AND(AG10="",AH10=""),"Sin causa/motivo registrado",IF(AG10="",AH10,IF(AH10="",AG10,AG10&amp;": "&amp;AH10))),""))</f>
        <v/>
      </c>
    </row>
    <row r="11" ht="16" customHeight="1" s="151">
      <c r="A11" s="17" t="n"/>
      <c r="B11" s="18" t="n"/>
      <c r="C11" s="18" t="n"/>
      <c r="D11" s="18" t="n"/>
      <c r="E11" s="18" t="n"/>
      <c r="F11" s="21" t="n"/>
      <c r="G11" s="19" t="n"/>
      <c r="H11" s="18" t="n"/>
      <c r="I11" s="19" t="n"/>
      <c r="J11" s="20">
        <f>IF(H11&lt;&gt;"",IFERROR(VLOOKUP(IFERROR(LEFT(H11,FIND("-",H11)-1),H11),'Catalogo MINSAL'!A:E,5,FALSE),""),IF(I11&lt;&gt;"",IFERROR(VLOOKUP(IFERROR(LEFT(I11,FIND("-",I11)-1),I11),'Catalogo MINSAL'!A:E,5,FALSE),""),""))</f>
        <v/>
      </c>
      <c r="K11" s="22" t="n"/>
      <c r="L11" s="18" t="n"/>
      <c r="M11" s="18" t="n"/>
      <c r="N11" s="18" t="n"/>
      <c r="O11" s="23" t="n"/>
      <c r="P11" s="24">
        <f>IFERROR(IF(OR(O11="",A11="",M11=""),"",IF(SUMPRODUCT(($A$4:$A$500=A11)*($M$4:$M$500=M11)*($O$4:$O$500&lt;&gt;"")*(MOD($O$4:$O$500,1)&lt;MOD(O11,1)))=0,IF(MOD(O11,1)&lt;=TIME(8,15,0),"Ingreso adecuado primera hora","Atraso primera hora"),"No aplica")),"")</f>
        <v/>
      </c>
      <c r="Q11" s="24" t="n"/>
      <c r="R11" s="23" t="n"/>
      <c r="S11" s="23" t="n"/>
      <c r="T11" s="25" t="n"/>
      <c r="U11" s="98">
        <f>IFERROR(VLOOKUP(M11,'Horario Pabellones'!$A$4:$D$17,2,FALSE),"")</f>
        <v/>
      </c>
      <c r="V11" s="98">
        <f>IFERROR(VLOOKUP(M11,'Horario Pabellones'!$A$4:$D$17,3,FALSE),"")</f>
        <v/>
      </c>
      <c r="W11" s="99">
        <f>IFERROR(VLOOKUP(M11,'Horario Pabellones'!$A$4:$D$17,4,FALSE),"")</f>
        <v/>
      </c>
      <c r="X11" s="89">
        <f>IFERROR(IF(OR(A11="",M11="",W11=""),"",(((_xludf.AGGREGATE(14,6,MOD($S$4:$S$500,1)/(($A$4:$A$500=A11)*($M$4:$M$500=M11)*($R$4:$R$500&lt;&gt;"")*($S$4:$S$500&lt;&gt;"")),1)-_xludf.AGGREGATE(15,6,MOD($R$4:$R$500,1)/(($A$4:$A$500=A11)*($M$4:$M$500=M11)*($R$4:$R$500&lt;&gt;"")*($S$4:$S$500&lt;&gt;"")),1))*1440)/60)/(W11/60)),"")</f>
        <v/>
      </c>
      <c r="Y11" s="26">
        <f>IFERROR(IF(OR(O11="",A11="",M11=""),"",(IF(ISNUMBER(O11),MOD(O11,1),TIMEVALUE(O11))-LOOKUP(2,1/(($A$4:$A$500=A11)*($M$4:$M$500=M11)*($T$4:$T$500&lt;&gt;"")*($T$4:$T$500&lt;IF(ISNUMBER(O11),MOD(O11,1),TIMEVALUE(O11)))),$T$4:$T$500))*1440),"")</f>
        <v/>
      </c>
      <c r="Z11" s="27">
        <f>IFERROR(IF(Y11="","",IF(ROUND(Y11,0)&lt;=15,"Cumple","No cumple")),"")</f>
        <v/>
      </c>
      <c r="AA11" s="27" t="n"/>
      <c r="AB11" s="26">
        <f>IFERROR(IF(OR(O11="",R11=""),"",IF(IF(ISNUMBER(R11),MOD(R11,1),TIMEVALUE(R11))&gt;=IF(ISNUMBER(O11),MOD(O11,1),TIMEVALUE(O11)),(IF(ISNUMBER(R11),MOD(R11,1),TIMEVALUE(R11))-IF(ISNUMBER(O11),MOD(O11,1),TIMEVALUE(O11)))*1440,(IF(ISNUMBER(R11),MOD(R11,1),TIMEVALUE(R11))+1-IF(ISNUMBER(O11),MOD(O11,1),TIMEVALUE(O11)))*1440)),"")</f>
        <v/>
      </c>
      <c r="AC11" s="28">
        <f>IFERROR(IF(OR(R11="",S11=""),"",IF(IF(ISNUMBER(S11),MOD(S11,1),TIMEVALUE(S11))&gt;=IF(ISNUMBER(R11),MOD(R11,1),TIMEVALUE(R11)),(IF(ISNUMBER(S11),MOD(S11,1),TIMEVALUE(S11))-IF(ISNUMBER(R11),MOD(R11,1),TIMEVALUE(R11)))*1440,(IF(ISNUMBER(S11),MOD(S11,1),TIMEVALUE(S11))+1-IF(ISNUMBER(R11),MOD(R11,1),TIMEVALUE(R11)))*1440)),"")</f>
        <v/>
      </c>
      <c r="AD11" s="29" t="n"/>
      <c r="AE11" s="26">
        <f>IFERROR(IF(OR(AC11="",AD11=""),"",AC11-AD11),"")</f>
        <v/>
      </c>
      <c r="AF11" s="30">
        <f>IFERROR(IF(AE11="","",IF(ROUND(AE11,0)&gt;15,"Subestimacion",IF(ROUND(AE11,0)&lt;-15,"Sobrestimacion","Asertivo"))),"")</f>
        <v/>
      </c>
      <c r="AG11" s="19" t="n"/>
      <c r="AH11" s="19" t="n"/>
      <c r="AI11" s="19" t="n"/>
      <c r="AJ11" s="19" t="n"/>
      <c r="AK11" s="19" t="n"/>
      <c r="AL11" s="19" t="n"/>
      <c r="AM11" s="18" t="n"/>
      <c r="AN11" s="19" t="n"/>
      <c r="AO11" s="19" t="n"/>
      <c r="AP11" s="127">
        <f>IF(A11="","",A11-WEEKDAY(A11,2)+1)</f>
        <v/>
      </c>
      <c r="AQ11" s="127">
        <f>IF(AO11="","",AO11+6)</f>
        <v/>
      </c>
      <c r="AR11" s="19">
        <f>IF(AO11="","","Semana "&amp;TEXT(AO11,"dd-mm-yyyy")&amp;" al "&amp;TEXT(AP11,"dd-mm-yyyy"))</f>
        <v/>
      </c>
      <c r="AS11" s="19">
        <f>IF(A11="","",TEXT(A11,"mmmm yyyy"))</f>
        <v/>
      </c>
      <c r="AT11" s="19">
        <f>IF(A11="","",TEXT(A11,"dddd"))</f>
        <v/>
      </c>
      <c r="AU11" s="19">
        <f>IF(A11="","","CRR-"&amp;TEXT(A11,"yyyymmdd")&amp;"-"&amp;M11&amp;"-"&amp;TEXT(ROW()-3,"0000"))</f>
        <v/>
      </c>
      <c r="AV11" s="19">
        <f>IF(A11="","",IF(OR(B11="",C11="",E11="",F11="",M11="",N11=""),"Revisar campos obligatorios",IF(AND(P11="Atraso primera hora",Q11=""),"Falta justificación atraso primera hora",IF(AND(Z11="No cumple",AA11=""),"Falta justificación recambio &gt;15 min",IF(AND(ISNUMBER(SEARCH("suspend",N11)),OR(AG11="",AH11="")),"Falta causa/motivo suspensión","OK")))))</f>
        <v/>
      </c>
      <c r="AW11" s="19">
        <f>IF(N11="","",IF(ISNUMBER(SEARCH("suspend",N11)),IF(AND(AG11="",AH11=""),"Sin causa/motivo registrado",IF(AG11="",AH11,IF(AH11="",AG11,AG11&amp;": "&amp;AH11))),""))</f>
        <v/>
      </c>
    </row>
    <row r="12" ht="16" customHeight="1" s="151">
      <c r="A12" s="17" t="n"/>
      <c r="B12" s="18" t="n"/>
      <c r="C12" s="18" t="n"/>
      <c r="D12" s="18" t="n"/>
      <c r="E12" s="18" t="n"/>
      <c r="F12" s="21" t="n"/>
      <c r="G12" s="19" t="n"/>
      <c r="H12" s="18" t="n"/>
      <c r="I12" s="19" t="n"/>
      <c r="J12" s="20">
        <f>IF(H12&lt;&gt;"",IFERROR(VLOOKUP(IFERROR(LEFT(H12,FIND("-",H12)-1),H12),'Catalogo MINSAL'!A:E,5,FALSE),""),IF(I12&lt;&gt;"",IFERROR(VLOOKUP(IFERROR(LEFT(I12,FIND("-",I12)-1),I12),'Catalogo MINSAL'!A:E,5,FALSE),""),""))</f>
        <v/>
      </c>
      <c r="K12" s="22" t="n"/>
      <c r="L12" s="18" t="n"/>
      <c r="M12" s="18" t="n"/>
      <c r="N12" s="18" t="n"/>
      <c r="O12" s="23" t="n"/>
      <c r="P12" s="24">
        <f>IFERROR(IF(OR(O12="",A12="",M12=""),"",IF(SUMPRODUCT(($A$4:$A$500=A12)*($M$4:$M$500=M12)*($O$4:$O$500&lt;&gt;"")*(MOD($O$4:$O$500,1)&lt;MOD(O12,1)))=0,IF(MOD(O12,1)&lt;=TIME(8,15,0),"Ingreso adecuado primera hora","Atraso primera hora"),"No aplica")),"")</f>
        <v/>
      </c>
      <c r="Q12" s="24" t="n"/>
      <c r="R12" s="23" t="n"/>
      <c r="S12" s="23" t="n"/>
      <c r="T12" s="25" t="n"/>
      <c r="U12" s="98">
        <f>IFERROR(VLOOKUP(M12,'Horario Pabellones'!$A$4:$D$17,2,FALSE),"")</f>
        <v/>
      </c>
      <c r="V12" s="98">
        <f>IFERROR(VLOOKUP(M12,'Horario Pabellones'!$A$4:$D$17,3,FALSE),"")</f>
        <v/>
      </c>
      <c r="W12" s="99">
        <f>IFERROR(VLOOKUP(M12,'Horario Pabellones'!$A$4:$D$17,4,FALSE),"")</f>
        <v/>
      </c>
      <c r="X12" s="89">
        <f>IFERROR(IF(OR(A12="",M12="",W12=""),"",(((_xludf.AGGREGATE(14,6,MOD($S$4:$S$500,1)/(($A$4:$A$500=A12)*($M$4:$M$500=M12)*($R$4:$R$500&lt;&gt;"")*($S$4:$S$500&lt;&gt;"")),1)-_xludf.AGGREGATE(15,6,MOD($R$4:$R$500,1)/(($A$4:$A$500=A12)*($M$4:$M$500=M12)*($R$4:$R$500&lt;&gt;"")*($S$4:$S$500&lt;&gt;"")),1))*1440)/60)/(W12/60)),"")</f>
        <v/>
      </c>
      <c r="Y12" s="26">
        <f>IFERROR(IF(OR(O12="",A12="",M12=""),"",(IF(ISNUMBER(O12),MOD(O12,1),TIMEVALUE(O12))-LOOKUP(2,1/(($A$4:$A$500=A12)*($M$4:$M$500=M12)*($T$4:$T$500&lt;&gt;"")*($T$4:$T$500&lt;IF(ISNUMBER(O12),MOD(O12,1),TIMEVALUE(O12)))),$T$4:$T$500))*1440),"")</f>
        <v/>
      </c>
      <c r="Z12" s="27">
        <f>IFERROR(IF(Y12="","",IF(ROUND(Y12,0)&lt;=15,"Cumple","No cumple")),"")</f>
        <v/>
      </c>
      <c r="AA12" s="27" t="n"/>
      <c r="AB12" s="26">
        <f>IFERROR(IF(OR(O12="",R12=""),"",IF(IF(ISNUMBER(R12),MOD(R12,1),TIMEVALUE(R12))&gt;=IF(ISNUMBER(O12),MOD(O12,1),TIMEVALUE(O12)),(IF(ISNUMBER(R12),MOD(R12,1),TIMEVALUE(R12))-IF(ISNUMBER(O12),MOD(O12,1),TIMEVALUE(O12)))*1440,(IF(ISNUMBER(R12),MOD(R12,1),TIMEVALUE(R12))+1-IF(ISNUMBER(O12),MOD(O12,1),TIMEVALUE(O12)))*1440)),"")</f>
        <v/>
      </c>
      <c r="AC12" s="28">
        <f>IFERROR(IF(OR(R12="",S12=""),"",IF(IF(ISNUMBER(S12),MOD(S12,1),TIMEVALUE(S12))&gt;=IF(ISNUMBER(R12),MOD(R12,1),TIMEVALUE(R12)),(IF(ISNUMBER(S12),MOD(S12,1),TIMEVALUE(S12))-IF(ISNUMBER(R12),MOD(R12,1),TIMEVALUE(R12)))*1440,(IF(ISNUMBER(S12),MOD(S12,1),TIMEVALUE(S12))+1-IF(ISNUMBER(R12),MOD(R12,1),TIMEVALUE(R12)))*1440)),"")</f>
        <v/>
      </c>
      <c r="AD12" s="29" t="n"/>
      <c r="AE12" s="26">
        <f>IFERROR(IF(OR(AC12="",AD12=""),"",AC12-AD12),"")</f>
        <v/>
      </c>
      <c r="AF12" s="30">
        <f>IFERROR(IF(AE12="","",IF(ROUND(AE12,0)&gt;15,"Subestimacion",IF(ROUND(AE12,0)&lt;-15,"Sobrestimacion","Asertivo"))),"")</f>
        <v/>
      </c>
      <c r="AG12" s="19" t="n"/>
      <c r="AH12" s="19" t="n"/>
      <c r="AI12" s="19" t="n"/>
      <c r="AJ12" s="19" t="n"/>
      <c r="AK12" s="19" t="n"/>
      <c r="AL12" s="19" t="n"/>
      <c r="AM12" s="18" t="n"/>
      <c r="AN12" s="19" t="n"/>
      <c r="AO12" s="19" t="n"/>
      <c r="AP12" s="127">
        <f>IF(A12="","",A12-WEEKDAY(A12,2)+1)</f>
        <v/>
      </c>
      <c r="AQ12" s="127">
        <f>IF(AO12="","",AO12+6)</f>
        <v/>
      </c>
      <c r="AR12" s="19">
        <f>IF(AO12="","","Semana "&amp;TEXT(AO12,"dd-mm-yyyy")&amp;" al "&amp;TEXT(AP12,"dd-mm-yyyy"))</f>
        <v/>
      </c>
      <c r="AS12" s="19">
        <f>IF(A12="","",TEXT(A12,"mmmm yyyy"))</f>
        <v/>
      </c>
      <c r="AT12" s="19">
        <f>IF(A12="","",TEXT(A12,"dddd"))</f>
        <v/>
      </c>
      <c r="AU12" s="19">
        <f>IF(A12="","","CRR-"&amp;TEXT(A12,"yyyymmdd")&amp;"-"&amp;M12&amp;"-"&amp;TEXT(ROW()-3,"0000"))</f>
        <v/>
      </c>
      <c r="AV12" s="19">
        <f>IF(A12="","",IF(OR(B12="",C12="",E12="",F12="",M12="",N12=""),"Revisar campos obligatorios",IF(AND(P12="Atraso primera hora",Q12=""),"Falta justificación atraso primera hora",IF(AND(Z12="No cumple",AA12=""),"Falta justificación recambio &gt;15 min",IF(AND(ISNUMBER(SEARCH("suspend",N12)),OR(AG12="",AH12="")),"Falta causa/motivo suspensión","OK")))))</f>
        <v/>
      </c>
      <c r="AW12" s="19">
        <f>IF(N12="","",IF(ISNUMBER(SEARCH("suspend",N12)),IF(AND(AG12="",AH12=""),"Sin causa/motivo registrado",IF(AG12="",AH12,IF(AH12="",AG12,AG12&amp;": "&amp;AH12))),""))</f>
        <v/>
      </c>
    </row>
    <row r="13" ht="16" customHeight="1" s="151">
      <c r="A13" s="17" t="n"/>
      <c r="B13" s="18" t="n"/>
      <c r="C13" s="18" t="n"/>
      <c r="D13" s="18" t="n"/>
      <c r="E13" s="18" t="n"/>
      <c r="F13" s="21" t="n"/>
      <c r="G13" s="19" t="n"/>
      <c r="H13" s="18" t="n"/>
      <c r="I13" s="19" t="n"/>
      <c r="J13" s="20">
        <f>IF(H13&lt;&gt;"",IFERROR(VLOOKUP(IFERROR(LEFT(H13,FIND("-",H13)-1),H13),'Catalogo MINSAL'!A:E,5,FALSE),""),IF(I13&lt;&gt;"",IFERROR(VLOOKUP(IFERROR(LEFT(I13,FIND("-",I13)-1),I13),'Catalogo MINSAL'!A:E,5,FALSE),""),""))</f>
        <v/>
      </c>
      <c r="K13" s="22" t="n"/>
      <c r="L13" s="18" t="n"/>
      <c r="M13" s="18" t="n"/>
      <c r="N13" s="18" t="n"/>
      <c r="O13" s="23" t="n"/>
      <c r="P13" s="24">
        <f>IFERROR(IF(OR(O13="",A13="",M13=""),"",IF(SUMPRODUCT(($A$4:$A$500=A13)*($M$4:$M$500=M13)*($O$4:$O$500&lt;&gt;"")*(MOD($O$4:$O$500,1)&lt;MOD(O13,1)))=0,IF(MOD(O13,1)&lt;=TIME(8,15,0),"Ingreso adecuado primera hora","Atraso primera hora"),"No aplica")),"")</f>
        <v/>
      </c>
      <c r="Q13" s="24" t="n"/>
      <c r="R13" s="23" t="n"/>
      <c r="S13" s="23" t="n"/>
      <c r="T13" s="25" t="n"/>
      <c r="U13" s="98">
        <f>IFERROR(VLOOKUP(M13,'Horario Pabellones'!$A$4:$D$17,2,FALSE),"")</f>
        <v/>
      </c>
      <c r="V13" s="98">
        <f>IFERROR(VLOOKUP(M13,'Horario Pabellones'!$A$4:$D$17,3,FALSE),"")</f>
        <v/>
      </c>
      <c r="W13" s="99">
        <f>IFERROR(VLOOKUP(M13,'Horario Pabellones'!$A$4:$D$17,4,FALSE),"")</f>
        <v/>
      </c>
      <c r="X13" s="89">
        <f>IFERROR(IF(OR(A13="",M13="",W13=""),"",(((_xludf.AGGREGATE(14,6,MOD($S$4:$S$500,1)/(($A$4:$A$500=A13)*($M$4:$M$500=M13)*($R$4:$R$500&lt;&gt;"")*($S$4:$S$500&lt;&gt;"")),1)-_xludf.AGGREGATE(15,6,MOD($R$4:$R$500,1)/(($A$4:$A$500=A13)*($M$4:$M$500=M13)*($R$4:$R$500&lt;&gt;"")*($S$4:$S$500&lt;&gt;"")),1))*1440)/60)/(W13/60)),"")</f>
        <v/>
      </c>
      <c r="Y13" s="26">
        <f>IFERROR(IF(OR(O13="",A13="",M13=""),"",(IF(ISNUMBER(O13),MOD(O13,1),TIMEVALUE(O13))-LOOKUP(2,1/(($A$4:$A$500=A13)*($M$4:$M$500=M13)*($T$4:$T$500&lt;&gt;"")*($T$4:$T$500&lt;IF(ISNUMBER(O13),MOD(O13,1),TIMEVALUE(O13)))),$T$4:$T$500))*1440),"")</f>
        <v/>
      </c>
      <c r="Z13" s="27">
        <f>IFERROR(IF(Y13="","",IF(ROUND(Y13,0)&lt;=15,"Cumple","No cumple")),"")</f>
        <v/>
      </c>
      <c r="AA13" s="27" t="n"/>
      <c r="AB13" s="26">
        <f>IFERROR(IF(OR(O13="",R13=""),"",IF(IF(ISNUMBER(R13),MOD(R13,1),TIMEVALUE(R13))&gt;=IF(ISNUMBER(O13),MOD(O13,1),TIMEVALUE(O13)),(IF(ISNUMBER(R13),MOD(R13,1),TIMEVALUE(R13))-IF(ISNUMBER(O13),MOD(O13,1),TIMEVALUE(O13)))*1440,(IF(ISNUMBER(R13),MOD(R13,1),TIMEVALUE(R13))+1-IF(ISNUMBER(O13),MOD(O13,1),TIMEVALUE(O13)))*1440)),"")</f>
        <v/>
      </c>
      <c r="AC13" s="28">
        <f>IFERROR(IF(OR(R13="",S13=""),"",IF(IF(ISNUMBER(S13),MOD(S13,1),TIMEVALUE(S13))&gt;=IF(ISNUMBER(R13),MOD(R13,1),TIMEVALUE(R13)),(IF(ISNUMBER(S13),MOD(S13,1),TIMEVALUE(S13))-IF(ISNUMBER(R13),MOD(R13,1),TIMEVALUE(R13)))*1440,(IF(ISNUMBER(S13),MOD(S13,1),TIMEVALUE(S13))+1-IF(ISNUMBER(R13),MOD(R13,1),TIMEVALUE(R13)))*1440)),"")</f>
        <v/>
      </c>
      <c r="AD13" s="29" t="n"/>
      <c r="AE13" s="26">
        <f>IFERROR(IF(OR(AC13="",AD13=""),"",AC13-AD13),"")</f>
        <v/>
      </c>
      <c r="AF13" s="30">
        <f>IFERROR(IF(AE13="","",IF(ROUND(AE13,0)&gt;15,"Subestimacion",IF(ROUND(AE13,0)&lt;-15,"Sobrestimacion","Asertivo"))),"")</f>
        <v/>
      </c>
      <c r="AG13" s="19" t="n"/>
      <c r="AH13" s="19" t="n"/>
      <c r="AI13" s="19" t="n"/>
      <c r="AJ13" s="19" t="n"/>
      <c r="AK13" s="19" t="n"/>
      <c r="AL13" s="19" t="n"/>
      <c r="AM13" s="18" t="n"/>
      <c r="AN13" s="19" t="n"/>
      <c r="AO13" s="19" t="n"/>
      <c r="AP13" s="127">
        <f>IF(A13="","",A13-WEEKDAY(A13,2)+1)</f>
        <v/>
      </c>
      <c r="AQ13" s="127">
        <f>IF(AO13="","",AO13+6)</f>
        <v/>
      </c>
      <c r="AR13" s="19">
        <f>IF(AO13="","","Semana "&amp;TEXT(AO13,"dd-mm-yyyy")&amp;" al "&amp;TEXT(AP13,"dd-mm-yyyy"))</f>
        <v/>
      </c>
      <c r="AS13" s="19">
        <f>IF(A13="","",TEXT(A13,"mmmm yyyy"))</f>
        <v/>
      </c>
      <c r="AT13" s="19">
        <f>IF(A13="","",TEXT(A13,"dddd"))</f>
        <v/>
      </c>
      <c r="AU13" s="19">
        <f>IF(A13="","","CRR-"&amp;TEXT(A13,"yyyymmdd")&amp;"-"&amp;M13&amp;"-"&amp;TEXT(ROW()-3,"0000"))</f>
        <v/>
      </c>
      <c r="AV13" s="19">
        <f>IF(A13="","",IF(OR(B13="",C13="",E13="",F13="",M13="",N13=""),"Revisar campos obligatorios",IF(AND(P13="Atraso primera hora",Q13=""),"Falta justificación atraso primera hora",IF(AND(Z13="No cumple",AA13=""),"Falta justificación recambio &gt;15 min",IF(AND(ISNUMBER(SEARCH("suspend",N13)),OR(AG13="",AH13="")),"Falta causa/motivo suspensión","OK")))))</f>
        <v/>
      </c>
      <c r="AW13" s="19">
        <f>IF(N13="","",IF(ISNUMBER(SEARCH("suspend",N13)),IF(AND(AG13="",AH13=""),"Sin causa/motivo registrado",IF(AG13="",AH13,IF(AH13="",AG13,AG13&amp;": "&amp;AH13))),""))</f>
        <v/>
      </c>
    </row>
    <row r="14" ht="16" customHeight="1" s="151">
      <c r="A14" s="32" t="n">
        <v>46167</v>
      </c>
      <c r="B14" s="33" t="inlineStr">
        <is>
          <t>DIEGO ANDRES</t>
        </is>
      </c>
      <c r="C14" s="33" t="inlineStr">
        <is>
          <t>GONZALEZ</t>
        </is>
      </c>
      <c r="D14" s="33" t="inlineStr">
        <is>
          <t>16a 0m 25d</t>
        </is>
      </c>
      <c r="E14" s="33" t="inlineStr">
        <is>
          <t>FRACTURA O PSEUDOARTROSIS ESCAFOIDES, TRAT. QUIR. CUALQ. TECN.</t>
        </is>
      </c>
      <c r="F14" s="33" t="inlineStr">
        <is>
          <t>SERVICIO DE TRAUMATOLOGIA</t>
        </is>
      </c>
      <c r="G14" s="19" t="n"/>
      <c r="H14" s="33" t="inlineStr">
        <is>
          <t>2104081-5</t>
        </is>
      </c>
      <c r="I14" s="19" t="n"/>
      <c r="J14" s="20">
        <f>IF(H14&lt;&gt;"",IFERROR(VLOOKUP(IFERROR(LEFT(H14,FIND("-",H14)-1),H14),'Catalogo MINSAL'!A:E,5,FALSE),""),IF(I14&lt;&gt;"",IFERROR(VLOOKUP(IFERROR(LEFT(I14,FIND("-",I14)-1),I14),'Catalogo MINSAL'!A:E,5,FALSE),""),""))</f>
        <v/>
      </c>
      <c r="K14" s="33" t="inlineStr">
        <is>
          <t>ALVARO RIDERELLI SANCHEZ</t>
        </is>
      </c>
      <c r="L14" s="33" t="inlineStr">
        <is>
          <t>Dr. Alexis Arredondo Torrales</t>
        </is>
      </c>
      <c r="M14" s="33" t="inlineStr">
        <is>
          <t>Quirofano 11</t>
        </is>
      </c>
      <c r="N14" s="33" t="inlineStr">
        <is>
          <t>Atendido</t>
        </is>
      </c>
      <c r="O14" s="34" t="n">
        <v>0.3611111111111111</v>
      </c>
      <c r="P14" s="27">
        <f>IFERROR(IF(OR(O14="",A14="",M14=""),"",IF(SUMPRODUCT(($A$4:$A$500=A14)*($M$4:$M$500=M14)*($O$4:$O$500&lt;&gt;"")*(MOD($O$4:$O$500,1)&lt;MOD(O14,1)))=0,IF(MOD(O14,1)&lt;=TIME(8,15,0),"Ingreso adecuado primera hora","Atraso primera hora"),"No aplica")),"")</f>
        <v/>
      </c>
      <c r="Q14" s="27" t="n"/>
      <c r="R14" s="34" t="n">
        <v>0.3819444444444444</v>
      </c>
      <c r="S14" s="34" t="n">
        <v>0.4166666666666667</v>
      </c>
      <c r="T14" s="34" t="n">
        <v>0.4236111111111111</v>
      </c>
      <c r="U14" s="34">
        <f>IFERROR(VLOOKUP(M14,'Horario Pabellones'!$A$4:$D$17,2,FALSE),"")</f>
        <v/>
      </c>
      <c r="V14" s="34">
        <f>IFERROR(VLOOKUP(M14,'Horario Pabellones'!$A$4:$D$17,3,FALSE),"")</f>
        <v/>
      </c>
      <c r="W14" s="100">
        <f>IFERROR(VLOOKUP(M14,'Horario Pabellones'!$A$4:$D$17,4,FALSE),"")</f>
        <v/>
      </c>
      <c r="X14" s="90">
        <f>IFERROR(IF(OR(A14="",M14="",W14=""),"",(((_xludf.AGGREGATE(14,6,MOD($S$4:$S$500,1)/(($A$4:$A$500=A14)*($M$4:$M$500=M14)*($R$4:$R$500&lt;&gt;"")*($S$4:$S$500&lt;&gt;"")),1)-_xludf.AGGREGATE(15,6,MOD($R$4:$R$500,1)/(($A$4:$A$500=A14)*($M$4:$M$500=M14)*($R$4:$R$500&lt;&gt;"")*($S$4:$S$500&lt;&gt;"")),1))*1440)/60)/(W14/60)),"")</f>
        <v/>
      </c>
      <c r="Y14" s="35">
        <f>IFERROR(IF(OR(O14="",A14="",M14=""),"",(IF(ISNUMBER(O14),MOD(O14,1),TIMEVALUE(O14))-LOOKUP(2,1/(($A$4:$A$500=A14)*($M$4:$M$500=M14)*($T$4:$T$500&lt;&gt;"")*($T$4:$T$500&lt;IF(ISNUMBER(O14),MOD(O14,1),TIMEVALUE(O14)))),$T$4:$T$500))*1440),"")</f>
        <v/>
      </c>
      <c r="Z14" s="27">
        <f>IFERROR(IF(Y14="","",IF(ROUND(Y14,0)&lt;=15,"Cumple","No cumple")),"")</f>
        <v/>
      </c>
      <c r="AA14" s="27" t="n"/>
      <c r="AB14" s="26">
        <f>IFERROR(IF(OR(O14="",R14=""),"",IF(IF(ISNUMBER(R14),MOD(R14,1),TIMEVALUE(R14))&gt;=IF(ISNUMBER(O14),MOD(O14,1),TIMEVALUE(O14)),(IF(ISNUMBER(R14),MOD(R14,1),TIMEVALUE(R14))-IF(ISNUMBER(O14),MOD(O14,1),TIMEVALUE(O14)))*1440,(IF(ISNUMBER(R14),MOD(R14,1),TIMEVALUE(R14))+1-IF(ISNUMBER(O14),MOD(O14,1),TIMEVALUE(O14)))*1440)),"")</f>
        <v/>
      </c>
      <c r="AC14" s="28">
        <f>IFERROR(IF(OR(R14="",S14=""),"",IF(IF(ISNUMBER(S14),MOD(S14,1),TIMEVALUE(S14))&gt;=IF(ISNUMBER(R14),MOD(R14,1),TIMEVALUE(R14)),(IF(ISNUMBER(S14),MOD(S14,1),TIMEVALUE(S14))-IF(ISNUMBER(R14),MOD(R14,1),TIMEVALUE(R14)))*1440,(IF(ISNUMBER(S14),MOD(S14,1),TIMEVALUE(S14))+1-IF(ISNUMBER(R14),MOD(R14,1),TIMEVALUE(R14)))*1440)),"")</f>
        <v/>
      </c>
      <c r="AD14" s="100" t="n">
        <v>90</v>
      </c>
      <c r="AE14" s="26">
        <f>IFERROR(IF(OR(AC14="",AD14=""),"",AC14-AD14),"")</f>
        <v/>
      </c>
      <c r="AF14" s="27">
        <f>IFERROR(IF(AE14="","",IF(ROUND(AE14,0)&gt;15,"Subestimacion",IF(ROUND(AE14,0)&lt;-15,"Sobrestimacion","Asertivo"))),"")</f>
        <v/>
      </c>
      <c r="AG14" s="33" t="inlineStr">
        <is>
          <t>Sin Suspensión</t>
        </is>
      </c>
      <c r="AH14" s="33" t="n"/>
      <c r="AI14" s="33" t="n"/>
      <c r="AJ14" s="19" t="n"/>
      <c r="AK14" s="19" t="n"/>
      <c r="AL14" s="19" t="n"/>
      <c r="AM14" s="33" t="inlineStr">
        <is>
          <t>I0001187219</t>
        </is>
      </c>
      <c r="AN14" s="19" t="n"/>
      <c r="AO14" s="19" t="n"/>
      <c r="AP14" s="127">
        <f>IF(A14="","",A14-WEEKDAY(A14,2)+1)</f>
        <v/>
      </c>
      <c r="AQ14" s="127">
        <f>IF(AO14="","",AO14+6)</f>
        <v/>
      </c>
      <c r="AR14" s="19">
        <f>IF(AO14="","","Semana "&amp;TEXT(AO14,"dd-mm-yyyy")&amp;" al "&amp;TEXT(AP14,"dd-mm-yyyy"))</f>
        <v/>
      </c>
      <c r="AS14" s="19">
        <f>IF(A14="","",TEXT(A14,"mmmm yyyy"))</f>
        <v/>
      </c>
      <c r="AT14" s="19">
        <f>IF(A14="","",TEXT(A14,"dddd"))</f>
        <v/>
      </c>
      <c r="AU14" s="19">
        <f>IF(A14="","","CRR-"&amp;TEXT(A14,"yyyymmdd")&amp;"-"&amp;M14&amp;"-"&amp;TEXT(ROW()-3,"0000"))</f>
        <v/>
      </c>
      <c r="AV14" s="19">
        <f>IF(A14="","",IF(OR(B14="",C14="",E14="",F14="",M14="",N14=""),"Revisar campos obligatorios",IF(AND(P14="Atraso primera hora",Q14=""),"Falta justificación atraso primera hora",IF(AND(Z14="No cumple",AA14=""),"Falta justificación recambio &gt;15 min",IF(AND(ISNUMBER(SEARCH("suspend",N14)),OR(AG14="",AH14="")),"Falta causa/motivo suspensión","OK")))))</f>
        <v/>
      </c>
      <c r="AW14" s="19">
        <f>IF(N14="","",IF(ISNUMBER(SEARCH("suspend",N14)),IF(AND(AG14="",AH14=""),"Sin causa/motivo registrado",IF(AG14="",AH14,IF(AH14="",AG14,AG14&amp;": "&amp;AH14))),""))</f>
        <v/>
      </c>
    </row>
    <row r="15" ht="16" customHeight="1" s="151">
      <c r="A15" s="32" t="n">
        <v>46167</v>
      </c>
      <c r="B15" s="33" t="inlineStr">
        <is>
          <t>MÓNICA DEL CARMEN</t>
        </is>
      </c>
      <c r="C15" s="33" t="inlineStr">
        <is>
          <t>ROJAS</t>
        </is>
      </c>
      <c r="D15" s="33" t="inlineStr">
        <is>
          <t>57a 11m 0d</t>
        </is>
      </c>
      <c r="E15" s="33" t="inlineStr">
        <is>
          <t>OSTEOSINTESIS RADIO, (CUALQUIER TECNICA)</t>
        </is>
      </c>
      <c r="F15" s="33" t="inlineStr">
        <is>
          <t>SERVICIO DE TRAUMATOLOGIA</t>
        </is>
      </c>
      <c r="G15" s="19" t="n"/>
      <c r="H15" s="33" t="inlineStr">
        <is>
          <t>2104085-6</t>
        </is>
      </c>
      <c r="I15" s="19" t="n"/>
      <c r="J15" s="20">
        <f>IF(H15&lt;&gt;"",IFERROR(VLOOKUP(IFERROR(LEFT(H15,FIND("-",H15)-1),H15),'Catalogo MINSAL'!A:E,5,FALSE),""),IF(I15&lt;&gt;"",IFERROR(VLOOKUP(IFERROR(LEFT(I15,FIND("-",I15)-1),I15),'Catalogo MINSAL'!A:E,5,FALSE),""),""))</f>
        <v/>
      </c>
      <c r="K15" s="33" t="inlineStr">
        <is>
          <t>ALVARO RIDERELLI SANCHEZ</t>
        </is>
      </c>
      <c r="L15" s="33" t="inlineStr">
        <is>
          <t>Dr. Alexis Arredondo Torrales</t>
        </is>
      </c>
      <c r="M15" s="33" t="inlineStr">
        <is>
          <t>Quirofano 11</t>
        </is>
      </c>
      <c r="N15" s="33" t="inlineStr">
        <is>
          <t>Atendido</t>
        </is>
      </c>
      <c r="O15" s="34" t="n">
        <v>0.4375</v>
      </c>
      <c r="P15" s="27">
        <f>IFERROR(IF(OR(O15="",A15="",M15=""),"",IF(SUMPRODUCT(($A$4:$A$500=A15)*($M$4:$M$500=M15)*($O$4:$O$500&lt;&gt;"")*(MOD($O$4:$O$500,1)&lt;MOD(O15,1)))=0,IF(MOD(O15,1)&lt;=TIME(8,15,0),"Ingreso adecuado primera hora","Atraso primera hora"),"No aplica")),"")</f>
        <v/>
      </c>
      <c r="Q15" s="27" t="n"/>
      <c r="R15" s="34" t="n">
        <v>0.4666666666666667</v>
      </c>
      <c r="S15" s="34" t="n">
        <v>0.5347222222222222</v>
      </c>
      <c r="T15" s="34" t="n">
        <v>0.5486111111111112</v>
      </c>
      <c r="U15" s="34">
        <f>IFERROR(VLOOKUP(M15,'Horario Pabellones'!$A$4:$D$17,2,FALSE),"")</f>
        <v/>
      </c>
      <c r="V15" s="34">
        <f>IFERROR(VLOOKUP(M15,'Horario Pabellones'!$A$4:$D$17,3,FALSE),"")</f>
        <v/>
      </c>
      <c r="W15" s="100">
        <f>IFERROR(VLOOKUP(M15,'Horario Pabellones'!$A$4:$D$17,4,FALSE),"")</f>
        <v/>
      </c>
      <c r="X15" s="90">
        <f>IFERROR(IF(OR(A15="",M15="",W15=""),"",(((_xludf.AGGREGATE(14,6,MOD($S$4:$S$500,1)/(($A$4:$A$500=A15)*($M$4:$M$500=M15)*($R$4:$R$500&lt;&gt;"")*($S$4:$S$500&lt;&gt;"")),1)-_xludf.AGGREGATE(15,6,MOD($R$4:$R$500,1)/(($A$4:$A$500=A15)*($M$4:$M$500=M15)*($R$4:$R$500&lt;&gt;"")*($S$4:$S$500&lt;&gt;"")),1))*1440)/60)/(W15/60)),"")</f>
        <v/>
      </c>
      <c r="Y15" s="35">
        <f>IFERROR(IF(OR(O15="",A15="",M15=""),"",(IF(ISNUMBER(O15),MOD(O15,1),TIMEVALUE(O15))-LOOKUP(2,1/(($A$4:$A$500=A15)*($M$4:$M$500=M15)*($T$4:$T$500&lt;&gt;"")*($T$4:$T$500&lt;IF(ISNUMBER(O15),MOD(O15,1),TIMEVALUE(O15)))),$T$4:$T$500))*1440),"")</f>
        <v/>
      </c>
      <c r="Z15" s="27">
        <f>IFERROR(IF(Y15="","",IF(ROUND(Y15,0)&lt;=15,"Cumple","No cumple")),"")</f>
        <v/>
      </c>
      <c r="AA15" s="27" t="n"/>
      <c r="AB15" s="26">
        <f>IFERROR(IF(OR(O15="",R15=""),"",IF(IF(ISNUMBER(R15),MOD(R15,1),TIMEVALUE(R15))&gt;=IF(ISNUMBER(O15),MOD(O15,1),TIMEVALUE(O15)),(IF(ISNUMBER(R15),MOD(R15,1),TIMEVALUE(R15))-IF(ISNUMBER(O15),MOD(O15,1),TIMEVALUE(O15)))*1440,(IF(ISNUMBER(R15),MOD(R15,1),TIMEVALUE(R15))+1-IF(ISNUMBER(O15),MOD(O15,1),TIMEVALUE(O15)))*1440)),"")</f>
        <v/>
      </c>
      <c r="AC15" s="28">
        <f>IFERROR(IF(OR(R15="",S15=""),"",IF(IF(ISNUMBER(S15),MOD(S15,1),TIMEVALUE(S15))&gt;=IF(ISNUMBER(R15),MOD(R15,1),TIMEVALUE(R15)),(IF(ISNUMBER(S15),MOD(S15,1),TIMEVALUE(S15))-IF(ISNUMBER(R15),MOD(R15,1),TIMEVALUE(R15)))*1440,(IF(ISNUMBER(S15),MOD(S15,1),TIMEVALUE(S15))+1-IF(ISNUMBER(R15),MOD(R15,1),TIMEVALUE(R15)))*1440)),"")</f>
        <v/>
      </c>
      <c r="AD15" s="100" t="n">
        <v>60</v>
      </c>
      <c r="AE15" s="26">
        <f>IFERROR(IF(OR(AC15="",AD15=""),"",AC15-AD15),"")</f>
        <v/>
      </c>
      <c r="AF15" s="27">
        <f>IFERROR(IF(AE15="","",IF(ROUND(AE15,0)&gt;15,"Subestimacion",IF(ROUND(AE15,0)&lt;-15,"Sobrestimacion","Asertivo"))),"")</f>
        <v/>
      </c>
      <c r="AG15" s="33" t="inlineStr">
        <is>
          <t>Sin Suspensión</t>
        </is>
      </c>
      <c r="AH15" s="33" t="n"/>
      <c r="AI15" s="33" t="n"/>
      <c r="AJ15" s="19" t="n"/>
      <c r="AK15" s="19" t="n"/>
      <c r="AL15" s="19" t="n"/>
      <c r="AM15" s="33" t="inlineStr">
        <is>
          <t>I0001187220</t>
        </is>
      </c>
      <c r="AN15" s="19" t="n"/>
      <c r="AO15" s="19" t="n"/>
      <c r="AP15" s="127">
        <f>IF(A15="","",A15-WEEKDAY(A15,2)+1)</f>
        <v/>
      </c>
      <c r="AQ15" s="127">
        <f>IF(AO15="","",AO15+6)</f>
        <v/>
      </c>
      <c r="AR15" s="19">
        <f>IF(AO15="","","Semana "&amp;TEXT(AO15,"dd-mm-yyyy")&amp;" al "&amp;TEXT(AP15,"dd-mm-yyyy"))</f>
        <v/>
      </c>
      <c r="AS15" s="19">
        <f>IF(A15="","",TEXT(A15,"mmmm yyyy"))</f>
        <v/>
      </c>
      <c r="AT15" s="19">
        <f>IF(A15="","",TEXT(A15,"dddd"))</f>
        <v/>
      </c>
      <c r="AU15" s="19">
        <f>IF(A15="","","CRR-"&amp;TEXT(A15,"yyyymmdd")&amp;"-"&amp;M15&amp;"-"&amp;TEXT(ROW()-3,"0000"))</f>
        <v/>
      </c>
      <c r="AV15" s="19">
        <f>IF(A15="","",IF(OR(B15="",C15="",E15="",F15="",M15="",N15=""),"Revisar campos obligatorios",IF(AND(P15="Atraso primera hora",Q15=""),"Falta justificación atraso primera hora",IF(AND(Z15="No cumple",AA15=""),"Falta justificación recambio &gt;15 min",IF(AND(ISNUMBER(SEARCH("suspend",N15)),OR(AG15="",AH15="")),"Falta causa/motivo suspensión","OK")))))</f>
        <v/>
      </c>
      <c r="AW15" s="19">
        <f>IF(N15="","",IF(ISNUMBER(SEARCH("suspend",N15)),IF(AND(AG15="",AH15=""),"Sin causa/motivo registrado",IF(AG15="",AH15,IF(AH15="",AG15,AG15&amp;": "&amp;AH15))),""))</f>
        <v/>
      </c>
    </row>
    <row r="16" ht="16" customHeight="1" s="151">
      <c r="A16" s="32" t="n">
        <v>46167</v>
      </c>
      <c r="B16" s="33" t="inlineStr">
        <is>
          <t>JOSÉ JAIME</t>
        </is>
      </c>
      <c r="C16" s="33" t="inlineStr">
        <is>
          <t>BARRIENTOS</t>
        </is>
      </c>
      <c r="D16" s="33" t="inlineStr">
        <is>
          <t>64a 11m 14d</t>
        </is>
      </c>
      <c r="E16" s="33" t="inlineStr">
        <is>
          <t>OSTEOSINTESIS METACARPIANAS O DE FALANGES, CUALQUIER TECNICA</t>
        </is>
      </c>
      <c r="F16" s="33" t="inlineStr">
        <is>
          <t>SERVICIO DE TRAUMATOLOGIA</t>
        </is>
      </c>
      <c r="G16" s="19" t="n"/>
      <c r="H16" s="33" t="inlineStr">
        <is>
          <t>2104099-4</t>
        </is>
      </c>
      <c r="I16" s="19" t="n"/>
      <c r="J16" s="20">
        <f>IF(H16&lt;&gt;"",IFERROR(VLOOKUP(IFERROR(LEFT(H16,FIND("-",H16)-1),H16),'Catalogo MINSAL'!A:E,5,FALSE),""),IF(I16&lt;&gt;"",IFERROR(VLOOKUP(IFERROR(LEFT(I16,FIND("-",I16)-1),I16),'Catalogo MINSAL'!A:E,5,FALSE),""),""))</f>
        <v/>
      </c>
      <c r="K16" s="33" t="inlineStr">
        <is>
          <t>ALVARO RIDERELLI SANCHEZ</t>
        </is>
      </c>
      <c r="L16" s="33" t="inlineStr">
        <is>
          <t>Dr. Alexis Arredondo Torrales</t>
        </is>
      </c>
      <c r="M16" s="33" t="inlineStr">
        <is>
          <t>Quirofano 11</t>
        </is>
      </c>
      <c r="N16" s="33" t="inlineStr">
        <is>
          <t>Atendido</t>
        </is>
      </c>
      <c r="O16" s="34" t="n">
        <v>0.5763888888888888</v>
      </c>
      <c r="P16" s="27">
        <f>IFERROR(IF(OR(O16="",A16="",M16=""),"",IF(SUMPRODUCT(($A$4:$A$500=A16)*($M$4:$M$500=M16)*($O$4:$O$500&lt;&gt;"")*(MOD($O$4:$O$500,1)&lt;MOD(O16,1)))=0,IF(MOD(O16,1)&lt;=TIME(8,15,0),"Ingreso adecuado primera hora","Atraso primera hora"),"No aplica")),"")</f>
        <v/>
      </c>
      <c r="Q16" s="27" t="n"/>
      <c r="R16" s="34" t="n">
        <v>0.6041666666666666</v>
      </c>
      <c r="S16" s="34" t="n">
        <v>0.6666666666666666</v>
      </c>
      <c r="T16" s="34" t="n">
        <v>0.6701388888888888</v>
      </c>
      <c r="U16" s="34">
        <f>IFERROR(VLOOKUP(M16,'Horario Pabellones'!$A$4:$D$17,2,FALSE),"")</f>
        <v/>
      </c>
      <c r="V16" s="34">
        <f>IFERROR(VLOOKUP(M16,'Horario Pabellones'!$A$4:$D$17,3,FALSE),"")</f>
        <v/>
      </c>
      <c r="W16" s="100">
        <f>IFERROR(VLOOKUP(M16,'Horario Pabellones'!$A$4:$D$17,4,FALSE),"")</f>
        <v/>
      </c>
      <c r="X16" s="90">
        <f>IFERROR(IF(OR(A16="",M16="",W16=""),"",(((_xludf.AGGREGATE(14,6,MOD($S$4:$S$500,1)/(($A$4:$A$500=A16)*($M$4:$M$500=M16)*($R$4:$R$500&lt;&gt;"")*($S$4:$S$500&lt;&gt;"")),1)-_xludf.AGGREGATE(15,6,MOD($R$4:$R$500,1)/(($A$4:$A$500=A16)*($M$4:$M$500=M16)*($R$4:$R$500&lt;&gt;"")*($S$4:$S$500&lt;&gt;"")),1))*1440)/60)/(W16/60)),"")</f>
        <v/>
      </c>
      <c r="Y16" s="35">
        <f>IFERROR(IF(OR(O16="",A16="",M16=""),"",(IF(ISNUMBER(O16),MOD(O16,1),TIMEVALUE(O16))-LOOKUP(2,1/(($A$4:$A$500=A16)*($M$4:$M$500=M16)*($T$4:$T$500&lt;&gt;"")*($T$4:$T$500&lt;IF(ISNUMBER(O16),MOD(O16,1),TIMEVALUE(O16)))),$T$4:$T$500))*1440),"")</f>
        <v/>
      </c>
      <c r="Z16" s="27">
        <f>IFERROR(IF(Y16="","",IF(ROUND(Y16,0)&lt;=15,"Cumple","No cumple")),"")</f>
        <v/>
      </c>
      <c r="AA16" s="27" t="n"/>
      <c r="AB16" s="26">
        <f>IFERROR(IF(OR(O16="",R16=""),"",IF(IF(ISNUMBER(R16),MOD(R16,1),TIMEVALUE(R16))&gt;=IF(ISNUMBER(O16),MOD(O16,1),TIMEVALUE(O16)),(IF(ISNUMBER(R16),MOD(R16,1),TIMEVALUE(R16))-IF(ISNUMBER(O16),MOD(O16,1),TIMEVALUE(O16)))*1440,(IF(ISNUMBER(R16),MOD(R16,1),TIMEVALUE(R16))+1-IF(ISNUMBER(O16),MOD(O16,1),TIMEVALUE(O16)))*1440)),"")</f>
        <v/>
      </c>
      <c r="AC16" s="28">
        <f>IFERROR(IF(OR(R16="",S16=""),"",IF(IF(ISNUMBER(S16),MOD(S16,1),TIMEVALUE(S16))&gt;=IF(ISNUMBER(R16),MOD(R16,1),TIMEVALUE(R16)),(IF(ISNUMBER(S16),MOD(S16,1),TIMEVALUE(S16))-IF(ISNUMBER(R16),MOD(R16,1),TIMEVALUE(R16)))*1440,(IF(ISNUMBER(S16),MOD(S16,1),TIMEVALUE(S16))+1-IF(ISNUMBER(R16),MOD(R16,1),TIMEVALUE(R16)))*1440)),"")</f>
        <v/>
      </c>
      <c r="AD16" s="100" t="n">
        <v>90</v>
      </c>
      <c r="AE16" s="26">
        <f>IFERROR(IF(OR(AC16="",AD16=""),"",AC16-AD16),"")</f>
        <v/>
      </c>
      <c r="AF16" s="27">
        <f>IFERROR(IF(AE16="","",IF(ROUND(AE16,0)&gt;15,"Subestimacion",IF(ROUND(AE16,0)&lt;-15,"Sobrestimacion","Asertivo"))),"")</f>
        <v/>
      </c>
      <c r="AG16" s="33" t="inlineStr">
        <is>
          <t>Sin Suspensión</t>
        </is>
      </c>
      <c r="AH16" s="33" t="n"/>
      <c r="AI16" s="33" t="n"/>
      <c r="AJ16" s="19" t="n"/>
      <c r="AK16" s="19" t="n"/>
      <c r="AL16" s="19" t="n"/>
      <c r="AM16" s="33" t="inlineStr">
        <is>
          <t>I0001187212</t>
        </is>
      </c>
      <c r="AN16" s="19" t="n"/>
      <c r="AO16" s="19" t="n"/>
      <c r="AP16" s="127">
        <f>IF(A16="","",A16-WEEKDAY(A16,2)+1)</f>
        <v/>
      </c>
      <c r="AQ16" s="127">
        <f>IF(AO16="","",AO16+6)</f>
        <v/>
      </c>
      <c r="AR16" s="19">
        <f>IF(AO16="","","Semana "&amp;TEXT(AO16,"dd-mm-yyyy")&amp;" al "&amp;TEXT(AP16,"dd-mm-yyyy"))</f>
        <v/>
      </c>
      <c r="AS16" s="19">
        <f>IF(A16="","",TEXT(A16,"mmmm yyyy"))</f>
        <v/>
      </c>
      <c r="AT16" s="19">
        <f>IF(A16="","",TEXT(A16,"dddd"))</f>
        <v/>
      </c>
      <c r="AU16" s="19">
        <f>IF(A16="","","CRR-"&amp;TEXT(A16,"yyyymmdd")&amp;"-"&amp;M16&amp;"-"&amp;TEXT(ROW()-3,"0000"))</f>
        <v/>
      </c>
      <c r="AV16" s="19">
        <f>IF(A16="","",IF(OR(B16="",C16="",E16="",F16="",M16="",N16=""),"Revisar campos obligatorios",IF(AND(P16="Atraso primera hora",Q16=""),"Falta justificación atraso primera hora",IF(AND(Z16="No cumple",AA16=""),"Falta justificación recambio &gt;15 min",IF(AND(ISNUMBER(SEARCH("suspend",N16)),OR(AG16="",AH16="")),"Falta causa/motivo suspensión","OK")))))</f>
        <v/>
      </c>
      <c r="AW16" s="19">
        <f>IF(N16="","",IF(ISNUMBER(SEARCH("suspend",N16)),IF(AND(AG16="",AH16=""),"Sin causa/motivo registrado",IF(AG16="",AH16,IF(AH16="",AG16,AG16&amp;": "&amp;AH16))),""))</f>
        <v/>
      </c>
    </row>
    <row r="17" ht="16" customHeight="1" s="151">
      <c r="A17" s="32" t="n">
        <v>46167</v>
      </c>
      <c r="B17" s="33" t="inlineStr">
        <is>
          <t>MARÍA ERCILIA</t>
        </is>
      </c>
      <c r="C17" s="33" t="inlineStr">
        <is>
          <t>MOLINA</t>
        </is>
      </c>
      <c r="D17" s="33" t="inlineStr">
        <is>
          <t>72a 4m 15d</t>
        </is>
      </c>
      <c r="E17" s="33" t="inlineStr">
        <is>
          <t>RETIRO DE TORNILLOS, CLAVOS, AGUJAS DE OSTEOSINTESIS O SIMILARES</t>
        </is>
      </c>
      <c r="F17" s="33" t="inlineStr">
        <is>
          <t>SERVICIO DE TRAUMATOLOGIA</t>
        </is>
      </c>
      <c r="G17" s="19" t="n"/>
      <c r="H17" s="33" t="inlineStr">
        <is>
          <t>2106003-5</t>
        </is>
      </c>
      <c r="I17" s="19" t="n"/>
      <c r="J17" s="20">
        <f>IF(H17&lt;&gt;"",IFERROR(VLOOKUP(IFERROR(LEFT(H17,FIND("-",H17)-1),H17),'Catalogo MINSAL'!A:E,5,FALSE),""),IF(I17&lt;&gt;"",IFERROR(VLOOKUP(IFERROR(LEFT(I17,FIND("-",I17)-1),I17),'Catalogo MINSAL'!A:E,5,FALSE),""),""))</f>
        <v/>
      </c>
      <c r="K17" s="33" t="inlineStr">
        <is>
          <t>ALVARO RIDERELLI SANCHEZ</t>
        </is>
      </c>
      <c r="L17" s="33" t="inlineStr">
        <is>
          <t>Dr. Alexis Arredondo Torrales</t>
        </is>
      </c>
      <c r="M17" s="33" t="inlineStr">
        <is>
          <t>Quirofano 11</t>
        </is>
      </c>
      <c r="N17" s="33" t="inlineStr">
        <is>
          <t>Atendido</t>
        </is>
      </c>
      <c r="O17" s="34" t="n">
        <v>0.7083333333333334</v>
      </c>
      <c r="P17" s="27">
        <f>IFERROR(IF(OR(O17="",A17="",M17=""),"",IF(SUMPRODUCT(($A$4:$A$500=A17)*($M$4:$M$500=M17)*($O$4:$O$500&lt;&gt;"")*(MOD($O$4:$O$500,1)&lt;MOD(O17,1)))=0,IF(MOD(O17,1)&lt;=TIME(8,15,0),"Ingreso adecuado primera hora","Atraso primera hora"),"No aplica")),"")</f>
        <v/>
      </c>
      <c r="Q17" s="27" t="n"/>
      <c r="R17" s="34" t="n">
        <v>0.7291666666666666</v>
      </c>
      <c r="S17" s="34" t="n">
        <v>0.7708333333333334</v>
      </c>
      <c r="T17" s="34" t="n">
        <v>0.7777777777777778</v>
      </c>
      <c r="U17" s="34">
        <f>IFERROR(VLOOKUP(M17,'Horario Pabellones'!$A$4:$D$17,2,FALSE),"")</f>
        <v/>
      </c>
      <c r="V17" s="34">
        <f>IFERROR(VLOOKUP(M17,'Horario Pabellones'!$A$4:$D$17,3,FALSE),"")</f>
        <v/>
      </c>
      <c r="W17" s="100">
        <f>IFERROR(VLOOKUP(M17,'Horario Pabellones'!$A$4:$D$17,4,FALSE),"")</f>
        <v/>
      </c>
      <c r="X17" s="90">
        <f>IFERROR(IF(OR(A17="",M17="",W17=""),"",(((_xludf.AGGREGATE(14,6,MOD($S$4:$S$500,1)/(($A$4:$A$500=A17)*($M$4:$M$500=M17)*($R$4:$R$500&lt;&gt;"")*($S$4:$S$500&lt;&gt;"")),1)-_xludf.AGGREGATE(15,6,MOD($R$4:$R$500,1)/(($A$4:$A$500=A17)*($M$4:$M$500=M17)*($R$4:$R$500&lt;&gt;"")*($S$4:$S$500&lt;&gt;"")),1))*1440)/60)/(W17/60)),"")</f>
        <v/>
      </c>
      <c r="Y17" s="35">
        <f>IFERROR(IF(OR(O17="",A17="",M17=""),"",(IF(ISNUMBER(O17),MOD(O17,1),TIMEVALUE(O17))-LOOKUP(2,1/(($A$4:$A$500=A17)*($M$4:$M$500=M17)*($T$4:$T$500&lt;&gt;"")*($T$4:$T$500&lt;IF(ISNUMBER(O17),MOD(O17,1),TIMEVALUE(O17)))),$T$4:$T$500))*1440),"")</f>
        <v/>
      </c>
      <c r="Z17" s="27">
        <f>IFERROR(IF(Y17="","",IF(ROUND(Y17,0)&lt;=15,"Cumple","No cumple")),"")</f>
        <v/>
      </c>
      <c r="AA17" s="27" t="n"/>
      <c r="AB17" s="26">
        <f>IFERROR(IF(OR(O17="",R17=""),"",IF(IF(ISNUMBER(R17),MOD(R17,1),TIMEVALUE(R17))&gt;=IF(ISNUMBER(O17),MOD(O17,1),TIMEVALUE(O17)),(IF(ISNUMBER(R17),MOD(R17,1),TIMEVALUE(R17))-IF(ISNUMBER(O17),MOD(O17,1),TIMEVALUE(O17)))*1440,(IF(ISNUMBER(R17),MOD(R17,1),TIMEVALUE(R17))+1-IF(ISNUMBER(O17),MOD(O17,1),TIMEVALUE(O17)))*1440)),"")</f>
        <v/>
      </c>
      <c r="AC17" s="28">
        <f>IFERROR(IF(OR(R17="",S17=""),"",IF(IF(ISNUMBER(S17),MOD(S17,1),TIMEVALUE(S17))&gt;=IF(ISNUMBER(R17),MOD(R17,1),TIMEVALUE(R17)),(IF(ISNUMBER(S17),MOD(S17,1),TIMEVALUE(S17))-IF(ISNUMBER(R17),MOD(R17,1),TIMEVALUE(R17)))*1440,(IF(ISNUMBER(S17),MOD(S17,1),TIMEVALUE(S17))+1-IF(ISNUMBER(R17),MOD(R17,1),TIMEVALUE(R17)))*1440)),"")</f>
        <v/>
      </c>
      <c r="AD17" s="100" t="n">
        <v>60</v>
      </c>
      <c r="AE17" s="26">
        <f>IFERROR(IF(OR(AC17="",AD17=""),"",AC17-AD17),"")</f>
        <v/>
      </c>
      <c r="AF17" s="27">
        <f>IFERROR(IF(AE17="","",IF(ROUND(AE17,0)&gt;15,"Subestimacion",IF(ROUND(AE17,0)&lt;-15,"Sobrestimacion","Asertivo"))),"")</f>
        <v/>
      </c>
      <c r="AG17" s="33" t="inlineStr">
        <is>
          <t>Sin Suspensión</t>
        </is>
      </c>
      <c r="AH17" s="33" t="n"/>
      <c r="AI17" s="33" t="n"/>
      <c r="AJ17" s="19" t="n"/>
      <c r="AK17" s="19" t="n"/>
      <c r="AL17" s="19" t="n"/>
      <c r="AM17" s="33" t="inlineStr">
        <is>
          <t>I0001187223</t>
        </is>
      </c>
      <c r="AN17" s="19" t="n"/>
      <c r="AO17" s="19" t="n"/>
      <c r="AP17" s="127">
        <f>IF(A17="","",A17-WEEKDAY(A17,2)+1)</f>
        <v/>
      </c>
      <c r="AQ17" s="127">
        <f>IF(AO17="","",AO17+6)</f>
        <v/>
      </c>
      <c r="AR17" s="19">
        <f>IF(AO17="","","Semana "&amp;TEXT(AO17,"dd-mm-yyyy")&amp;" al "&amp;TEXT(AP17,"dd-mm-yyyy"))</f>
        <v/>
      </c>
      <c r="AS17" s="19">
        <f>IF(A17="","",TEXT(A17,"mmmm yyyy"))</f>
        <v/>
      </c>
      <c r="AT17" s="19">
        <f>IF(A17="","",TEXT(A17,"dddd"))</f>
        <v/>
      </c>
      <c r="AU17" s="19">
        <f>IF(A17="","","CRR-"&amp;TEXT(A17,"yyyymmdd")&amp;"-"&amp;M17&amp;"-"&amp;TEXT(ROW()-3,"0000"))</f>
        <v/>
      </c>
      <c r="AV17" s="19">
        <f>IF(A17="","",IF(OR(B17="",C17="",E17="",F17="",M17="",N17=""),"Revisar campos obligatorios",IF(AND(P17="Atraso primera hora",Q17=""),"Falta justificación atraso primera hora",IF(AND(Z17="No cumple",AA17=""),"Falta justificación recambio &gt;15 min",IF(AND(ISNUMBER(SEARCH("suspend",N17)),OR(AG17="",AH17="")),"Falta causa/motivo suspensión","OK")))))</f>
        <v/>
      </c>
      <c r="AW17" s="19">
        <f>IF(N17="","",IF(ISNUMBER(SEARCH("suspend",N17)),IF(AND(AG17="",AH17=""),"Sin causa/motivo registrado",IF(AG17="",AH17,IF(AH17="",AG17,AG17&amp;": "&amp;AH17))),""))</f>
        <v/>
      </c>
    </row>
    <row r="18" ht="16" customHeight="1" s="151">
      <c r="A18" s="17" t="n">
        <v>46167</v>
      </c>
      <c r="B18" s="18" t="inlineStr">
        <is>
          <t>MARTÍN ALFONSO</t>
        </is>
      </c>
      <c r="C18" s="18" t="inlineStr">
        <is>
          <t>ASTUDILLO</t>
        </is>
      </c>
      <c r="D18" s="18" t="inlineStr">
        <is>
          <t>22a 0m 0d</t>
        </is>
      </c>
      <c r="E18" s="18" t="inlineStr">
        <is>
          <t>OSTEOSINTESIS METACARPIANAS O DE FALANGES, CUALQUIER TECNICA</t>
        </is>
      </c>
      <c r="F18" s="21" t="inlineStr">
        <is>
          <t>SERVICIO DE TRAUMATOLOGIA</t>
        </is>
      </c>
      <c r="G18" s="19" t="n"/>
      <c r="H18" s="18" t="inlineStr">
        <is>
          <t>2104099-4</t>
        </is>
      </c>
      <c r="I18" s="19" t="n"/>
      <c r="J18" s="20">
        <f>IF(H18&lt;&gt;"",IFERROR(VLOOKUP(IFERROR(LEFT(H18,FIND("-",H18)-1),H18),'Catalogo MINSAL'!A:E,5,FALSE),""),IF(I18&lt;&gt;"",IFERROR(VLOOKUP(IFERROR(LEFT(I18,FIND("-",I18)-1),I18),'Catalogo MINSAL'!A:E,5,FALSE),""),""))</f>
        <v/>
      </c>
      <c r="K18" s="36" t="n"/>
      <c r="L18" s="18" t="inlineStr">
        <is>
          <t>Dr. Alexis Arredondo Torrales</t>
        </is>
      </c>
      <c r="M18" s="18" t="inlineStr">
        <is>
          <t>Quirofano 11</t>
        </is>
      </c>
      <c r="N18" s="18" t="inlineStr">
        <is>
          <t>Suspendido</t>
        </is>
      </c>
      <c r="O18" s="37" t="n"/>
      <c r="P18" s="38">
        <f>IFERROR(IF(OR(O18="",A18="",M18=""),"",IF(SUMPRODUCT(($A$4:$A$500=A18)*($M$4:$M$500=M18)*($O$4:$O$500&lt;&gt;"")*(MOD($O$4:$O$500,1)&lt;MOD(O18,1)))=0,IF(MOD(O18,1)&lt;=TIME(8,15,0),"Ingreso adecuado primera hora","Atraso primera hora"),"No aplica")),"")</f>
        <v/>
      </c>
      <c r="Q18" s="38" t="n"/>
      <c r="R18" s="37" t="n"/>
      <c r="S18" s="37" t="n"/>
      <c r="T18" s="25" t="n"/>
      <c r="U18" s="98">
        <f>IFERROR(VLOOKUP(M18,'Horario Pabellones'!$A$4:$D$17,2,FALSE),"")</f>
        <v/>
      </c>
      <c r="V18" s="98">
        <f>IFERROR(VLOOKUP(M18,'Horario Pabellones'!$A$4:$D$17,3,FALSE),"")</f>
        <v/>
      </c>
      <c r="W18" s="99">
        <f>IFERROR(VLOOKUP(M18,'Horario Pabellones'!$A$4:$D$17,4,FALSE),"")</f>
        <v/>
      </c>
      <c r="X18" s="89">
        <f>IFERROR(IF(OR(A18="",M18="",W18=""),"",(((_xludf.AGGREGATE(14,6,MOD($S$4:$S$500,1)/(($A$4:$A$500=A18)*($M$4:$M$500=M18)*($R$4:$R$500&lt;&gt;"")*($S$4:$S$500&lt;&gt;"")),1)-_xludf.AGGREGATE(15,6,MOD($R$4:$R$500,1)/(($A$4:$A$500=A18)*($M$4:$M$500=M18)*($R$4:$R$500&lt;&gt;"")*($S$4:$S$500&lt;&gt;"")),1))*1440)/60)/(W18/60)),"")</f>
        <v/>
      </c>
      <c r="Y18" s="26">
        <f>IFERROR(IF(OR(O18="",A18="",M18=""),"",(IF(ISNUMBER(O18),MOD(O18,1),TIMEVALUE(O18))-LOOKUP(2,1/(($A$4:$A$500=A18)*($M$4:$M$500=M18)*($T$4:$T$500&lt;&gt;"")*($T$4:$T$500&lt;IF(ISNUMBER(O18),MOD(O18,1),TIMEVALUE(O18)))),$T$4:$T$500))*1440),"")</f>
        <v/>
      </c>
      <c r="Z18" s="27">
        <f>IFERROR(IF(Y18="","",IF(ROUND(Y18,0)&lt;=15,"Cumple","No cumple")),"")</f>
        <v/>
      </c>
      <c r="AA18" s="27" t="n"/>
      <c r="AB18" s="26">
        <f>IFERROR(IF(OR(O18="",R18=""),"",IF(IF(ISNUMBER(R18),MOD(R18,1),TIMEVALUE(R18))&gt;=IF(ISNUMBER(O18),MOD(O18,1),TIMEVALUE(O18)),(IF(ISNUMBER(R18),MOD(R18,1),TIMEVALUE(R18))-IF(ISNUMBER(O18),MOD(O18,1),TIMEVALUE(O18)))*1440,(IF(ISNUMBER(R18),MOD(R18,1),TIMEVALUE(R18))+1-IF(ISNUMBER(O18),MOD(O18,1),TIMEVALUE(O18)))*1440)),"")</f>
        <v/>
      </c>
      <c r="AC18" s="28">
        <f>IFERROR(IF(OR(R18="",S18=""),"",IF(IF(ISNUMBER(S18),MOD(S18,1),TIMEVALUE(S18))&gt;=IF(ISNUMBER(R18),MOD(R18,1),TIMEVALUE(R18)),(IF(ISNUMBER(S18),MOD(S18,1),TIMEVALUE(S18))-IF(ISNUMBER(R18),MOD(R18,1),TIMEVALUE(R18)))*1440,(IF(ISNUMBER(S18),MOD(S18,1),TIMEVALUE(S18))+1-IF(ISNUMBER(R18),MOD(R18,1),TIMEVALUE(R18)))*1440)),"")</f>
        <v/>
      </c>
      <c r="AD18" s="29" t="n"/>
      <c r="AE18" s="26">
        <f>IFERROR(IF(OR(AC18="",AD18=""),"",AC18-AD18),"")</f>
        <v/>
      </c>
      <c r="AF18" s="39">
        <f>IFERROR(IF(AE18="","",IF(ROUND(AE18,0)&gt;15,"Subestimacion",IF(ROUND(AE18,0)&lt;-15,"Sobrestimacion","Asertivo"))),"")</f>
        <v/>
      </c>
      <c r="AG18" s="19" t="inlineStr">
        <is>
          <t>No se presenta</t>
        </is>
      </c>
      <c r="AH18" s="19" t="n"/>
      <c r="AI18" s="19" t="n"/>
      <c r="AJ18" s="19" t="n"/>
      <c r="AK18" s="19" t="n"/>
      <c r="AL18" s="19" t="n"/>
      <c r="AM18" s="18" t="inlineStr">
        <is>
          <t>I0001187222</t>
        </is>
      </c>
      <c r="AN18" s="19" t="n"/>
      <c r="AO18" s="19" t="n"/>
      <c r="AP18" s="127">
        <f>IF(A18="","",A18-WEEKDAY(A18,2)+1)</f>
        <v/>
      </c>
      <c r="AQ18" s="127">
        <f>IF(AO18="","",AO18+6)</f>
        <v/>
      </c>
      <c r="AR18" s="19">
        <f>IF(AO18="","","Semana "&amp;TEXT(AO18,"dd-mm-yyyy")&amp;" al "&amp;TEXT(AP18,"dd-mm-yyyy"))</f>
        <v/>
      </c>
      <c r="AS18" s="19">
        <f>IF(A18="","",TEXT(A18,"mmmm yyyy"))</f>
        <v/>
      </c>
      <c r="AT18" s="19">
        <f>IF(A18="","",TEXT(A18,"dddd"))</f>
        <v/>
      </c>
      <c r="AU18" s="19">
        <f>IF(A18="","","CRR-"&amp;TEXT(A18,"yyyymmdd")&amp;"-"&amp;M18&amp;"-"&amp;TEXT(ROW()-3,"0000"))</f>
        <v/>
      </c>
      <c r="AV18" s="19">
        <f>IF(A18="","",IF(OR(B18="",C18="",E18="",F18="",M18="",N18=""),"Revisar campos obligatorios",IF(AND(P18="Atraso primera hora",Q18=""),"Falta justificación atraso primera hora",IF(AND(Z18="No cumple",AA18=""),"Falta justificación recambio &gt;15 min",IF(AND(ISNUMBER(SEARCH("suspend",N18)),OR(AG18="",AH18="")),"Falta causa/motivo suspensión","OK")))))</f>
        <v/>
      </c>
      <c r="AW18" s="19">
        <f>IF(N18="","",IF(ISNUMBER(SEARCH("suspend",N18)),IF(AND(AG18="",AH18=""),"Sin causa/motivo registrado",IF(AG18="",AH18,IF(AH18="",AG18,AG18&amp;": "&amp;AH18))),""))</f>
        <v/>
      </c>
    </row>
    <row r="19" ht="16" customHeight="1" s="151">
      <c r="A19" s="32" t="n">
        <v>46167</v>
      </c>
      <c r="B19" s="33" t="inlineStr">
        <is>
          <t>LÚA AMARA</t>
        </is>
      </c>
      <c r="C19" s="33" t="inlineStr">
        <is>
          <t>HERMOSILLA</t>
        </is>
      </c>
      <c r="D19" s="33" t="inlineStr">
        <is>
          <t>3a 10m 12d</t>
        </is>
      </c>
      <c r="E19" s="33" t="inlineStr">
        <is>
          <t>MANO DEDOS EN GATILLO, TRAT. QUIR., CUALQUIER NUMERO</t>
        </is>
      </c>
      <c r="F19" s="33" t="inlineStr">
        <is>
          <t>SERVICIO DE TRAUMATOLOGIA</t>
        </is>
      </c>
      <c r="G19" s="19" t="n"/>
      <c r="H19" s="33" t="inlineStr">
        <is>
          <t>2104093-4</t>
        </is>
      </c>
      <c r="I19" s="19" t="n"/>
      <c r="J19" s="20">
        <f>IF(H19&lt;&gt;"",IFERROR(VLOOKUP(IFERROR(LEFT(H19,FIND("-",H19)-1),H19),'Catalogo MINSAL'!A:E,5,FALSE),""),IF(I19&lt;&gt;"",IFERROR(VLOOKUP(IFERROR(LEFT(I19,FIND("-",I19)-1),I19),'Catalogo MINSAL'!A:E,5,FALSE),""),""))</f>
        <v/>
      </c>
      <c r="K19" s="33" t="inlineStr">
        <is>
          <t>Maximo Sepulveda Pizarro</t>
        </is>
      </c>
      <c r="L19" s="33" t="inlineStr">
        <is>
          <t>Dr. Isaías Sulantay Oyanedel</t>
        </is>
      </c>
      <c r="M19" s="33" t="inlineStr">
        <is>
          <t>Quirofano 13</t>
        </is>
      </c>
      <c r="N19" s="33" t="inlineStr">
        <is>
          <t>Realizado</t>
        </is>
      </c>
      <c r="O19" s="34" t="n">
        <v>0.3423611111111111</v>
      </c>
      <c r="P19" s="27">
        <f>IFERROR(IF(OR(O19="",A19="",M19=""),"",IF(SUMPRODUCT(($A$4:$A$500=A19)*($M$4:$M$500=M19)*($O$4:$O$500&lt;&gt;"")*(MOD($O$4:$O$500,1)&lt;MOD(O19,1)))=0,IF(MOD(O19,1)&lt;=TIME(8,15,0),"Ingreso adecuado primera hora","Atraso primera hora"),"No aplica")),"")</f>
        <v/>
      </c>
      <c r="Q19" s="27" t="n"/>
      <c r="R19" s="34" t="n">
        <v>0.3583333333333333</v>
      </c>
      <c r="S19" s="34" t="n">
        <v>0.375</v>
      </c>
      <c r="T19" s="34" t="n">
        <v>0.3833333333333334</v>
      </c>
      <c r="U19" s="34">
        <f>IFERROR(VLOOKUP(M19,'Horario Pabellones'!$A$4:$D$17,2,FALSE),"")</f>
        <v/>
      </c>
      <c r="V19" s="34">
        <f>IFERROR(VLOOKUP(M19,'Horario Pabellones'!$A$4:$D$17,3,FALSE),"")</f>
        <v/>
      </c>
      <c r="W19" s="100">
        <f>IFERROR(VLOOKUP(M19,'Horario Pabellones'!$A$4:$D$17,4,FALSE),"")</f>
        <v/>
      </c>
      <c r="X19" s="90">
        <f>IFERROR(IF(OR(A19="",M19="",W19=""),"",(((_xludf.AGGREGATE(14,6,MOD($S$4:$S$500,1)/(($A$4:$A$500=A19)*($M$4:$M$500=M19)*($R$4:$R$500&lt;&gt;"")*($S$4:$S$500&lt;&gt;"")),1)-_xludf.AGGREGATE(15,6,MOD($R$4:$R$500,1)/(($A$4:$A$500=A19)*($M$4:$M$500=M19)*($R$4:$R$500&lt;&gt;"")*($S$4:$S$500&lt;&gt;"")),1))*1440)/60)/(W19/60)),"")</f>
        <v/>
      </c>
      <c r="Y19" s="35">
        <f>IFERROR(IF(OR(O19="",A19="",M19=""),"",(IF(ISNUMBER(O19),MOD(O19,1),TIMEVALUE(O19))-LOOKUP(2,1/(($A$4:$A$500=A19)*($M$4:$M$500=M19)*($T$4:$T$500&lt;&gt;"")*($T$4:$T$500&lt;IF(ISNUMBER(O19),MOD(O19,1),TIMEVALUE(O19)))),$T$4:$T$500))*1440),"")</f>
        <v/>
      </c>
      <c r="Z19" s="27">
        <f>IFERROR(IF(Y19="","",IF(ROUND(Y19,0)&lt;=15,"Cumple","No cumple")),"")</f>
        <v/>
      </c>
      <c r="AA19" s="27" t="n"/>
      <c r="AB19" s="26">
        <f>IFERROR(IF(OR(O19="",R19=""),"",IF(IF(ISNUMBER(R19),MOD(R19,1),TIMEVALUE(R19))&gt;=IF(ISNUMBER(O19),MOD(O19,1),TIMEVALUE(O19)),(IF(ISNUMBER(R19),MOD(R19,1),TIMEVALUE(R19))-IF(ISNUMBER(O19),MOD(O19,1),TIMEVALUE(O19)))*1440,(IF(ISNUMBER(R19),MOD(R19,1),TIMEVALUE(R19))+1-IF(ISNUMBER(O19),MOD(O19,1),TIMEVALUE(O19)))*1440)),"")</f>
        <v/>
      </c>
      <c r="AC19" s="28">
        <f>IFERROR(IF(OR(R19="",S19=""),"",IF(IF(ISNUMBER(S19),MOD(S19,1),TIMEVALUE(S19))&gt;=IF(ISNUMBER(R19),MOD(R19,1),TIMEVALUE(R19)),(IF(ISNUMBER(S19),MOD(S19,1),TIMEVALUE(S19))-IF(ISNUMBER(R19),MOD(R19,1),TIMEVALUE(R19)))*1440,(IF(ISNUMBER(S19),MOD(S19,1),TIMEVALUE(S19))+1-IF(ISNUMBER(R19),MOD(R19,1),TIMEVALUE(R19)))*1440)),"")</f>
        <v/>
      </c>
      <c r="AD19" s="100" t="n">
        <v>40</v>
      </c>
      <c r="AE19" s="26">
        <f>IFERROR(IF(OR(AC19="",AD19=""),"",AC19-AD19),"")</f>
        <v/>
      </c>
      <c r="AF19" s="27">
        <f>IFERROR(IF(AE19="","",IF(ROUND(AE19,0)&gt;15,"Subestimacion",IF(ROUND(AE19,0)&lt;-15,"Sobrestimacion","Asertivo"))),"")</f>
        <v/>
      </c>
      <c r="AG19" s="33" t="inlineStr">
        <is>
          <t>Sin Suspensión</t>
        </is>
      </c>
      <c r="AH19" s="33" t="n"/>
      <c r="AI19" s="33" t="n"/>
      <c r="AJ19" s="19" t="n"/>
      <c r="AK19" s="19" t="n"/>
      <c r="AL19" s="19" t="n"/>
      <c r="AM19" s="33" t="inlineStr">
        <is>
          <t>I0001187195</t>
        </is>
      </c>
      <c r="AN19" s="19" t="n"/>
      <c r="AO19" s="19" t="n"/>
      <c r="AP19" s="127">
        <f>IF(A19="","",A19-WEEKDAY(A19,2)+1)</f>
        <v/>
      </c>
      <c r="AQ19" s="127">
        <f>IF(AO19="","",AO19+6)</f>
        <v/>
      </c>
      <c r="AR19" s="19">
        <f>IF(AO19="","","Semana "&amp;TEXT(AO19,"dd-mm-yyyy")&amp;" al "&amp;TEXT(AP19,"dd-mm-yyyy"))</f>
        <v/>
      </c>
      <c r="AS19" s="19">
        <f>IF(A19="","",TEXT(A19,"mmmm yyyy"))</f>
        <v/>
      </c>
      <c r="AT19" s="19">
        <f>IF(A19="","",TEXT(A19,"dddd"))</f>
        <v/>
      </c>
      <c r="AU19" s="19">
        <f>IF(A19="","","CRR-"&amp;TEXT(A19,"yyyymmdd")&amp;"-"&amp;M19&amp;"-"&amp;TEXT(ROW()-3,"0000"))</f>
        <v/>
      </c>
      <c r="AV19" s="19">
        <f>IF(A19="","",IF(OR(B19="",C19="",E19="",F19="",M19="",N19=""),"Revisar campos obligatorios",IF(AND(P19="Atraso primera hora",Q19=""),"Falta justificación atraso primera hora",IF(AND(Z19="No cumple",AA19=""),"Falta justificación recambio &gt;15 min",IF(AND(ISNUMBER(SEARCH("suspend",N19)),OR(AG19="",AH19="")),"Falta causa/motivo suspensión","OK")))))</f>
        <v/>
      </c>
      <c r="AW19" s="19">
        <f>IF(N19="","",IF(ISNUMBER(SEARCH("suspend",N19)),IF(AND(AG19="",AH19=""),"Sin causa/motivo registrado",IF(AG19="",AH19,IF(AH19="",AG19,AG19&amp;": "&amp;AH19))),""))</f>
        <v/>
      </c>
    </row>
    <row r="20" ht="16" customHeight="1" s="151">
      <c r="A20" s="32" t="n">
        <v>46167</v>
      </c>
      <c r="B20" s="33" t="inlineStr">
        <is>
          <t>DIEGO ALONSO</t>
        </is>
      </c>
      <c r="C20" s="33" t="inlineStr">
        <is>
          <t>MUGA</t>
        </is>
      </c>
      <c r="D20" s="33" t="inlineStr">
        <is>
          <t>10a 8m 4d</t>
        </is>
      </c>
      <c r="E20" s="33" t="inlineStr">
        <is>
          <t>SINOVECTOMIAS QUIRURGICAS (PROC. AUT.) CODO O MUÑECA O METACARPOFALANGICAS, C/U</t>
        </is>
      </c>
      <c r="F20" s="33" t="inlineStr">
        <is>
          <t>SERVICIO DE TRAUMATOLOGIA</t>
        </is>
      </c>
      <c r="G20" s="19" t="n"/>
      <c r="H20" s="33" t="inlineStr">
        <is>
          <t>2104029-5</t>
        </is>
      </c>
      <c r="I20" s="19" t="n"/>
      <c r="J20" s="20">
        <f>IF(H20&lt;&gt;"",IFERROR(VLOOKUP(IFERROR(LEFT(H20,FIND("-",H20)-1),H20),'Catalogo MINSAL'!A:E,5,FALSE),""),IF(I20&lt;&gt;"",IFERROR(VLOOKUP(IFERROR(LEFT(I20,FIND("-",I20)-1),I20),'Catalogo MINSAL'!A:E,5,FALSE),""),""))</f>
        <v/>
      </c>
      <c r="K20" s="33" t="inlineStr">
        <is>
          <t>Maximo Sepulveda Pizarro</t>
        </is>
      </c>
      <c r="L20" s="33" t="inlineStr">
        <is>
          <t>Dr. Camilo Garcia</t>
        </is>
      </c>
      <c r="M20" s="33" t="inlineStr">
        <is>
          <t>Quirofano 13</t>
        </is>
      </c>
      <c r="N20" s="33" t="inlineStr">
        <is>
          <t>Atendido</t>
        </is>
      </c>
      <c r="O20" s="34" t="n">
        <v>0.3993055555555556</v>
      </c>
      <c r="P20" s="27">
        <f>IFERROR(IF(OR(O20="",A20="",M20=""),"",IF(SUMPRODUCT(($A$4:$A$500=A20)*($M$4:$M$500=M20)*($O$4:$O$500&lt;&gt;"")*(MOD($O$4:$O$500,1)&lt;MOD(O20,1)))=0,IF(MOD(O20,1)&lt;=TIME(8,15,0),"Ingreso adecuado primera hora","Atraso primera hora"),"No aplica")),"")</f>
        <v/>
      </c>
      <c r="Q20" s="27" t="n"/>
      <c r="R20" s="34" t="n">
        <v>0.4215277777777778</v>
      </c>
      <c r="S20" s="34" t="n">
        <v>0.4583333333333333</v>
      </c>
      <c r="T20" s="34" t="n">
        <v>0.4666666666666667</v>
      </c>
      <c r="U20" s="34">
        <f>IFERROR(VLOOKUP(M20,'Horario Pabellones'!$A$4:$D$17,2,FALSE),"")</f>
        <v/>
      </c>
      <c r="V20" s="34">
        <f>IFERROR(VLOOKUP(M20,'Horario Pabellones'!$A$4:$D$17,3,FALSE),"")</f>
        <v/>
      </c>
      <c r="W20" s="100">
        <f>IFERROR(VLOOKUP(M20,'Horario Pabellones'!$A$4:$D$17,4,FALSE),"")</f>
        <v/>
      </c>
      <c r="X20" s="90">
        <f>IFERROR(IF(OR(A20="",M20="",W20=""),"",(((_xludf.AGGREGATE(14,6,MOD($S$4:$S$500,1)/(($A$4:$A$500=A20)*($M$4:$M$500=M20)*($R$4:$R$500&lt;&gt;"")*($S$4:$S$500&lt;&gt;"")),1)-_xludf.AGGREGATE(15,6,MOD($R$4:$R$500,1)/(($A$4:$A$500=A20)*($M$4:$M$500=M20)*($R$4:$R$500&lt;&gt;"")*($S$4:$S$500&lt;&gt;"")),1))*1440)/60)/(W20/60)),"")</f>
        <v/>
      </c>
      <c r="Y20" s="35">
        <f>IFERROR(IF(OR(O20="",A20="",M20=""),"",(IF(ISNUMBER(O20),MOD(O20,1),TIMEVALUE(O20))-LOOKUP(2,1/(($A$4:$A$500=A20)*($M$4:$M$500=M20)*($T$4:$T$500&lt;&gt;"")*($T$4:$T$500&lt;IF(ISNUMBER(O20),MOD(O20,1),TIMEVALUE(O20)))),$T$4:$T$500))*1440),"")</f>
        <v/>
      </c>
      <c r="Z20" s="27">
        <f>IFERROR(IF(Y20="","",IF(ROUND(Y20,0)&lt;=15,"Cumple","No cumple")),"")</f>
        <v/>
      </c>
      <c r="AA20" s="27" t="n"/>
      <c r="AB20" s="26">
        <f>IFERROR(IF(OR(O20="",R20=""),"",IF(IF(ISNUMBER(R20),MOD(R20,1),TIMEVALUE(R20))&gt;=IF(ISNUMBER(O20),MOD(O20,1),TIMEVALUE(O20)),(IF(ISNUMBER(R20),MOD(R20,1),TIMEVALUE(R20))-IF(ISNUMBER(O20),MOD(O20,1),TIMEVALUE(O20)))*1440,(IF(ISNUMBER(R20),MOD(R20,1),TIMEVALUE(R20))+1-IF(ISNUMBER(O20),MOD(O20,1),TIMEVALUE(O20)))*1440)),"")</f>
        <v/>
      </c>
      <c r="AC20" s="28">
        <f>IFERROR(IF(OR(R20="",S20=""),"",IF(IF(ISNUMBER(S20),MOD(S20,1),TIMEVALUE(S20))&gt;=IF(ISNUMBER(R20),MOD(R20,1),TIMEVALUE(R20)),(IF(ISNUMBER(S20),MOD(S20,1),TIMEVALUE(S20))-IF(ISNUMBER(R20),MOD(R20,1),TIMEVALUE(R20)))*1440,(IF(ISNUMBER(S20),MOD(S20,1),TIMEVALUE(S20))+1-IF(ISNUMBER(R20),MOD(R20,1),TIMEVALUE(R20)))*1440)),"")</f>
        <v/>
      </c>
      <c r="AD20" s="100" t="n">
        <v>45</v>
      </c>
      <c r="AE20" s="26">
        <f>IFERROR(IF(OR(AC20="",AD20=""),"",AC20-AD20),"")</f>
        <v/>
      </c>
      <c r="AF20" s="27">
        <f>IFERROR(IF(AE20="","",IF(ROUND(AE20,0)&gt;15,"Subestimacion",IF(ROUND(AE20,0)&lt;-15,"Sobrestimacion","Asertivo"))),"")</f>
        <v/>
      </c>
      <c r="AG20" s="33" t="inlineStr">
        <is>
          <t>Sin Suspensión</t>
        </is>
      </c>
      <c r="AH20" s="33" t="n"/>
      <c r="AI20" s="33" t="n"/>
      <c r="AJ20" s="19" t="n"/>
      <c r="AK20" s="19" t="n"/>
      <c r="AL20" s="19" t="n"/>
      <c r="AM20" s="33" t="inlineStr">
        <is>
          <t>I0001187199</t>
        </is>
      </c>
      <c r="AN20" s="19" t="n"/>
      <c r="AO20" s="19" t="n"/>
      <c r="AP20" s="127">
        <f>IF(A20="","",A20-WEEKDAY(A20,2)+1)</f>
        <v/>
      </c>
      <c r="AQ20" s="127">
        <f>IF(AO20="","",AO20+6)</f>
        <v/>
      </c>
      <c r="AR20" s="19">
        <f>IF(AO20="","","Semana "&amp;TEXT(AO20,"dd-mm-yyyy")&amp;" al "&amp;TEXT(AP20,"dd-mm-yyyy"))</f>
        <v/>
      </c>
      <c r="AS20" s="19">
        <f>IF(A20="","",TEXT(A20,"mmmm yyyy"))</f>
        <v/>
      </c>
      <c r="AT20" s="19">
        <f>IF(A20="","",TEXT(A20,"dddd"))</f>
        <v/>
      </c>
      <c r="AU20" s="19">
        <f>IF(A20="","","CRR-"&amp;TEXT(A20,"yyyymmdd")&amp;"-"&amp;M20&amp;"-"&amp;TEXT(ROW()-3,"0000"))</f>
        <v/>
      </c>
      <c r="AV20" s="19">
        <f>IF(A20="","",IF(OR(B20="",C20="",E20="",F20="",M20="",N20=""),"Revisar campos obligatorios",IF(AND(P20="Atraso primera hora",Q20=""),"Falta justificación atraso primera hora",IF(AND(Z20="No cumple",AA20=""),"Falta justificación recambio &gt;15 min",IF(AND(ISNUMBER(SEARCH("suspend",N20)),OR(AG20="",AH20="")),"Falta causa/motivo suspensión","OK")))))</f>
        <v/>
      </c>
      <c r="AW20" s="19">
        <f>IF(N20="","",IF(ISNUMBER(SEARCH("suspend",N20)),IF(AND(AG20="",AH20=""),"Sin causa/motivo registrado",IF(AG20="",AH20,IF(AH20="",AG20,AG20&amp;": "&amp;AH20))),""))</f>
        <v/>
      </c>
    </row>
    <row r="21" ht="16" customHeight="1" s="151">
      <c r="A21" s="32" t="n">
        <v>46167</v>
      </c>
      <c r="B21" s="33" t="inlineStr">
        <is>
          <t>KARL-HERTZ STURRIDGE</t>
        </is>
      </c>
      <c r="C21" s="33" t="inlineStr">
        <is>
          <t>DESVALLONS</t>
        </is>
      </c>
      <c r="D21" s="33" t="inlineStr">
        <is>
          <t>11a 4m 1d</t>
        </is>
      </c>
      <c r="E21" s="33" t="inlineStr">
        <is>
          <t>RETIRO DE TORNILLOS, CLAVOS, AGUJAS DE OSTEOSINTESIS O SIMILARES</t>
        </is>
      </c>
      <c r="F21" s="33" t="inlineStr">
        <is>
          <t>SERVICIO DE TRAUMATOLOGIA</t>
        </is>
      </c>
      <c r="G21" s="19" t="n"/>
      <c r="H21" s="33" t="inlineStr">
        <is>
          <t>2106003-5</t>
        </is>
      </c>
      <c r="I21" s="19" t="n"/>
      <c r="J21" s="20">
        <f>IF(H21&lt;&gt;"",IFERROR(VLOOKUP(IFERROR(LEFT(H21,FIND("-",H21)-1),H21),'Catalogo MINSAL'!A:E,5,FALSE),""),IF(I21&lt;&gt;"",IFERROR(VLOOKUP(IFERROR(LEFT(I21,FIND("-",I21)-1),I21),'Catalogo MINSAL'!A:E,5,FALSE),""),""))</f>
        <v/>
      </c>
      <c r="K21" s="33" t="inlineStr">
        <is>
          <t>Maximo Sepulveda Pizarro</t>
        </is>
      </c>
      <c r="L21" s="33" t="inlineStr">
        <is>
          <t>Dr. Isaías Sulantay Oyanedel</t>
        </is>
      </c>
      <c r="M21" s="33" t="inlineStr">
        <is>
          <t>Quirofano 13</t>
        </is>
      </c>
      <c r="N21" s="33" t="inlineStr">
        <is>
          <t>Atendido</t>
        </is>
      </c>
      <c r="O21" s="34" t="n">
        <v>0.4777777777777778</v>
      </c>
      <c r="P21" s="27">
        <f>IFERROR(IF(OR(O21="",A21="",M21=""),"",IF(SUMPRODUCT(($A$4:$A$500=A21)*($M$4:$M$500=M21)*($O$4:$O$500&lt;&gt;"")*(MOD($O$4:$O$500,1)&lt;MOD(O21,1)))=0,IF(MOD(O21,1)&lt;=TIME(8,15,0),"Ingreso adecuado primera hora","Atraso primera hora"),"No aplica")),"")</f>
        <v/>
      </c>
      <c r="Q21" s="27" t="n"/>
      <c r="R21" s="34" t="n">
        <v>0.5076388888888889</v>
      </c>
      <c r="S21" s="34" t="n">
        <v>0.5520833333333334</v>
      </c>
      <c r="T21" s="34" t="n">
        <v>0.5659722222222222</v>
      </c>
      <c r="U21" s="34">
        <f>IFERROR(VLOOKUP(M21,'Horario Pabellones'!$A$4:$D$17,2,FALSE),"")</f>
        <v/>
      </c>
      <c r="V21" s="34">
        <f>IFERROR(VLOOKUP(M21,'Horario Pabellones'!$A$4:$D$17,3,FALSE),"")</f>
        <v/>
      </c>
      <c r="W21" s="100">
        <f>IFERROR(VLOOKUP(M21,'Horario Pabellones'!$A$4:$D$17,4,FALSE),"")</f>
        <v/>
      </c>
      <c r="X21" s="90">
        <f>IFERROR(IF(OR(A21="",M21="",W21=""),"",(((_xludf.AGGREGATE(14,6,MOD($S$4:$S$500,1)/(($A$4:$A$500=A21)*($M$4:$M$500=M21)*($R$4:$R$500&lt;&gt;"")*($S$4:$S$500&lt;&gt;"")),1)-_xludf.AGGREGATE(15,6,MOD($R$4:$R$500,1)/(($A$4:$A$500=A21)*($M$4:$M$500=M21)*($R$4:$R$500&lt;&gt;"")*($S$4:$S$500&lt;&gt;"")),1))*1440)/60)/(W21/60)),"")</f>
        <v/>
      </c>
      <c r="Y21" s="35">
        <f>IFERROR(IF(OR(O21="",A21="",M21=""),"",(IF(ISNUMBER(O21),MOD(O21,1),TIMEVALUE(O21))-LOOKUP(2,1/(($A$4:$A$500=A21)*($M$4:$M$500=M21)*($T$4:$T$500&lt;&gt;"")*($T$4:$T$500&lt;IF(ISNUMBER(O21),MOD(O21,1),TIMEVALUE(O21)))),$T$4:$T$500))*1440),"")</f>
        <v/>
      </c>
      <c r="Z21" s="27">
        <f>IFERROR(IF(Y21="","",IF(ROUND(Y21,0)&lt;=15,"Cumple","No cumple")),"")</f>
        <v/>
      </c>
      <c r="AA21" s="27" t="n"/>
      <c r="AB21" s="26">
        <f>IFERROR(IF(OR(O21="",R21=""),"",IF(IF(ISNUMBER(R21),MOD(R21,1),TIMEVALUE(R21))&gt;=IF(ISNUMBER(O21),MOD(O21,1),TIMEVALUE(O21)),(IF(ISNUMBER(R21),MOD(R21,1),TIMEVALUE(R21))-IF(ISNUMBER(O21),MOD(O21,1),TIMEVALUE(O21)))*1440,(IF(ISNUMBER(R21),MOD(R21,1),TIMEVALUE(R21))+1-IF(ISNUMBER(O21),MOD(O21,1),TIMEVALUE(O21)))*1440)),"")</f>
        <v/>
      </c>
      <c r="AC21" s="28">
        <f>IFERROR(IF(OR(R21="",S21=""),"",IF(IF(ISNUMBER(S21),MOD(S21,1),TIMEVALUE(S21))&gt;=IF(ISNUMBER(R21),MOD(R21,1),TIMEVALUE(R21)),(IF(ISNUMBER(S21),MOD(S21,1),TIMEVALUE(S21))-IF(ISNUMBER(R21),MOD(R21,1),TIMEVALUE(R21)))*1440,(IF(ISNUMBER(S21),MOD(S21,1),TIMEVALUE(S21))+1-IF(ISNUMBER(R21),MOD(R21,1),TIMEVALUE(R21)))*1440)),"")</f>
        <v/>
      </c>
      <c r="AD21" s="100" t="n">
        <v>60</v>
      </c>
      <c r="AE21" s="26">
        <f>IFERROR(IF(OR(AC21="",AD21=""),"",AC21-AD21),"")</f>
        <v/>
      </c>
      <c r="AF21" s="27">
        <f>IFERROR(IF(AE21="","",IF(ROUND(AE21,0)&gt;15,"Subestimacion",IF(ROUND(AE21,0)&lt;-15,"Sobrestimacion","Asertivo"))),"")</f>
        <v/>
      </c>
      <c r="AG21" s="33" t="inlineStr">
        <is>
          <t>Sin Suspensión</t>
        </is>
      </c>
      <c r="AH21" s="33" t="n"/>
      <c r="AI21" s="33" t="n"/>
      <c r="AJ21" s="19" t="n"/>
      <c r="AK21" s="19" t="n"/>
      <c r="AL21" s="19" t="n"/>
      <c r="AM21" s="33" t="inlineStr">
        <is>
          <t>I0001187201</t>
        </is>
      </c>
      <c r="AN21" s="19" t="n"/>
      <c r="AO21" s="19" t="n"/>
      <c r="AP21" s="127">
        <f>IF(A21="","",A21-WEEKDAY(A21,2)+1)</f>
        <v/>
      </c>
      <c r="AQ21" s="127">
        <f>IF(AO21="","",AO21+6)</f>
        <v/>
      </c>
      <c r="AR21" s="19">
        <f>IF(AO21="","","Semana "&amp;TEXT(AO21,"dd-mm-yyyy")&amp;" al "&amp;TEXT(AP21,"dd-mm-yyyy"))</f>
        <v/>
      </c>
      <c r="AS21" s="19">
        <f>IF(A21="","",TEXT(A21,"mmmm yyyy"))</f>
        <v/>
      </c>
      <c r="AT21" s="19">
        <f>IF(A21="","",TEXT(A21,"dddd"))</f>
        <v/>
      </c>
      <c r="AU21" s="19">
        <f>IF(A21="","","CRR-"&amp;TEXT(A21,"yyyymmdd")&amp;"-"&amp;M21&amp;"-"&amp;TEXT(ROW()-3,"0000"))</f>
        <v/>
      </c>
      <c r="AV21" s="19">
        <f>IF(A21="","",IF(OR(B21="",C21="",E21="",F21="",M21="",N21=""),"Revisar campos obligatorios",IF(AND(P21="Atraso primera hora",Q21=""),"Falta justificación atraso primera hora",IF(AND(Z21="No cumple",AA21=""),"Falta justificación recambio &gt;15 min",IF(AND(ISNUMBER(SEARCH("suspend",N21)),OR(AG21="",AH21="")),"Falta causa/motivo suspensión","OK")))))</f>
        <v/>
      </c>
      <c r="AW21" s="19">
        <f>IF(N21="","",IF(ISNUMBER(SEARCH("suspend",N21)),IF(AND(AG21="",AH21=""),"Sin causa/motivo registrado",IF(AG21="",AH21,IF(AH21="",AG21,AG21&amp;": "&amp;AH21))),""))</f>
        <v/>
      </c>
    </row>
    <row r="22" ht="16" customHeight="1" s="151">
      <c r="A22" s="32" t="n">
        <v>46167</v>
      </c>
      <c r="B22" s="33" t="inlineStr">
        <is>
          <t>MATÍAS IGNACIO</t>
        </is>
      </c>
      <c r="C22" s="33" t="inlineStr">
        <is>
          <t>MONTENEGRO</t>
        </is>
      </c>
      <c r="D22" s="33" t="inlineStr">
        <is>
          <t>13a 5m 2d</t>
        </is>
      </c>
      <c r="E22" s="33" t="inlineStr">
        <is>
          <t>PIE PLANO, TRAT. QUIR. (CUALQUIER TECNICA)</t>
        </is>
      </c>
      <c r="F22" s="33" t="inlineStr">
        <is>
          <t>SERVICIO DE TRAUMATOLOGIA</t>
        </is>
      </c>
      <c r="G22" s="19" t="n"/>
      <c r="H22" s="33" t="inlineStr">
        <is>
          <t>2104198-5</t>
        </is>
      </c>
      <c r="I22" s="19" t="n"/>
      <c r="J22" s="20">
        <f>IF(H22&lt;&gt;"",IFERROR(VLOOKUP(IFERROR(LEFT(H22,FIND("-",H22)-1),H22),'Catalogo MINSAL'!A:E,5,FALSE),""),IF(I22&lt;&gt;"",IFERROR(VLOOKUP(IFERROR(LEFT(I22,FIND("-",I22)-1),I22),'Catalogo MINSAL'!A:E,5,FALSE),""),""))</f>
        <v/>
      </c>
      <c r="K22" s="33" t="inlineStr">
        <is>
          <t>Maximo Sepulveda Pizarro</t>
        </is>
      </c>
      <c r="L22" s="33" t="inlineStr">
        <is>
          <t>Maria Jose Rosen Petersen</t>
        </is>
      </c>
      <c r="M22" s="33" t="inlineStr">
        <is>
          <t>Quirofano 13</t>
        </is>
      </c>
      <c r="N22" s="33" t="inlineStr">
        <is>
          <t>Atendido</t>
        </is>
      </c>
      <c r="O22" s="34" t="n">
        <v>0.5798611111111112</v>
      </c>
      <c r="P22" s="27">
        <f>IFERROR(IF(OR(O22="",A22="",M22=""),"",IF(SUMPRODUCT(($A$4:$A$500=A22)*($M$4:$M$500=M22)*($O$4:$O$500&lt;&gt;"")*(MOD($O$4:$O$500,1)&lt;MOD(O22,1)))=0,IF(MOD(O22,1)&lt;=TIME(8,15,0),"Ingreso adecuado primera hora","Atraso primera hora"),"No aplica")),"")</f>
        <v/>
      </c>
      <c r="Q22" s="27" t="n"/>
      <c r="R22" s="34" t="n">
        <v>0.5972222222222222</v>
      </c>
      <c r="S22" s="34" t="n">
        <v>0.6180555555555556</v>
      </c>
      <c r="T22" s="34" t="n">
        <v>0.6319444444444444</v>
      </c>
      <c r="U22" s="34">
        <f>IFERROR(VLOOKUP(M22,'Horario Pabellones'!$A$4:$D$17,2,FALSE),"")</f>
        <v/>
      </c>
      <c r="V22" s="34">
        <f>IFERROR(VLOOKUP(M22,'Horario Pabellones'!$A$4:$D$17,3,FALSE),"")</f>
        <v/>
      </c>
      <c r="W22" s="100">
        <f>IFERROR(VLOOKUP(M22,'Horario Pabellones'!$A$4:$D$17,4,FALSE),"")</f>
        <v/>
      </c>
      <c r="X22" s="90">
        <f>IFERROR(IF(OR(A22="",M22="",W22=""),"",(((_xludf.AGGREGATE(14,6,MOD($S$4:$S$500,1)/(($A$4:$A$500=A22)*($M$4:$M$500=M22)*($R$4:$R$500&lt;&gt;"")*($S$4:$S$500&lt;&gt;"")),1)-_xludf.AGGREGATE(15,6,MOD($R$4:$R$500,1)/(($A$4:$A$500=A22)*($M$4:$M$500=M22)*($R$4:$R$500&lt;&gt;"")*($S$4:$S$500&lt;&gt;"")),1))*1440)/60)/(W22/60)),"")</f>
        <v/>
      </c>
      <c r="Y22" s="35">
        <f>IFERROR(IF(OR(O22="",A22="",M22=""),"",(IF(ISNUMBER(O22),MOD(O22,1),TIMEVALUE(O22))-LOOKUP(2,1/(($A$4:$A$500=A22)*($M$4:$M$500=M22)*($T$4:$T$500&lt;&gt;"")*($T$4:$T$500&lt;IF(ISNUMBER(O22),MOD(O22,1),TIMEVALUE(O22)))),$T$4:$T$500))*1440),"")</f>
        <v/>
      </c>
      <c r="Z22" s="27">
        <f>IFERROR(IF(Y22="","",IF(ROUND(Y22,0)&lt;=15,"Cumple","No cumple")),"")</f>
        <v/>
      </c>
      <c r="AA22" s="27" t="n"/>
      <c r="AB22" s="26">
        <f>IFERROR(IF(OR(O22="",R22=""),"",IF(IF(ISNUMBER(R22),MOD(R22,1),TIMEVALUE(R22))&gt;=IF(ISNUMBER(O22),MOD(O22,1),TIMEVALUE(O22)),(IF(ISNUMBER(R22),MOD(R22,1),TIMEVALUE(R22))-IF(ISNUMBER(O22),MOD(O22,1),TIMEVALUE(O22)))*1440,(IF(ISNUMBER(R22),MOD(R22,1),TIMEVALUE(R22))+1-IF(ISNUMBER(O22),MOD(O22,1),TIMEVALUE(O22)))*1440)),"")</f>
        <v/>
      </c>
      <c r="AC22" s="28">
        <f>IFERROR(IF(OR(R22="",S22=""),"",IF(IF(ISNUMBER(S22),MOD(S22,1),TIMEVALUE(S22))&gt;=IF(ISNUMBER(R22),MOD(R22,1),TIMEVALUE(R22)),(IF(ISNUMBER(S22),MOD(S22,1),TIMEVALUE(S22))-IF(ISNUMBER(R22),MOD(R22,1),TIMEVALUE(R22)))*1440,(IF(ISNUMBER(S22),MOD(S22,1),TIMEVALUE(S22))+1-IF(ISNUMBER(R22),MOD(R22,1),TIMEVALUE(R22)))*1440)),"")</f>
        <v/>
      </c>
      <c r="AD22" s="100" t="n">
        <v>45</v>
      </c>
      <c r="AE22" s="26">
        <f>IFERROR(IF(OR(AC22="",AD22=""),"",AC22-AD22),"")</f>
        <v/>
      </c>
      <c r="AF22" s="27">
        <f>IFERROR(IF(AE22="","",IF(ROUND(AE22,0)&gt;15,"Subestimacion",IF(ROUND(AE22,0)&lt;-15,"Sobrestimacion","Asertivo"))),"")</f>
        <v/>
      </c>
      <c r="AG22" s="33" t="inlineStr">
        <is>
          <t>Sin Suspensión</t>
        </is>
      </c>
      <c r="AH22" s="33" t="n"/>
      <c r="AI22" s="33" t="n"/>
      <c r="AJ22" s="19" t="n"/>
      <c r="AK22" s="19" t="n"/>
      <c r="AL22" s="19" t="n"/>
      <c r="AM22" s="33" t="inlineStr">
        <is>
          <t>I0001187204</t>
        </is>
      </c>
      <c r="AN22" s="19" t="n"/>
      <c r="AO22" s="19" t="n"/>
      <c r="AP22" s="127">
        <f>IF(A22="","",A22-WEEKDAY(A22,2)+1)</f>
        <v/>
      </c>
      <c r="AQ22" s="127">
        <f>IF(AO22="","",AO22+6)</f>
        <v/>
      </c>
      <c r="AR22" s="19">
        <f>IF(AO22="","","Semana "&amp;TEXT(AO22,"dd-mm-yyyy")&amp;" al "&amp;TEXT(AP22,"dd-mm-yyyy"))</f>
        <v/>
      </c>
      <c r="AS22" s="19">
        <f>IF(A22="","",TEXT(A22,"mmmm yyyy"))</f>
        <v/>
      </c>
      <c r="AT22" s="19">
        <f>IF(A22="","",TEXT(A22,"dddd"))</f>
        <v/>
      </c>
      <c r="AU22" s="19">
        <f>IF(A22="","","CRR-"&amp;TEXT(A22,"yyyymmdd")&amp;"-"&amp;M22&amp;"-"&amp;TEXT(ROW()-3,"0000"))</f>
        <v/>
      </c>
      <c r="AV22" s="19">
        <f>IF(A22="","",IF(OR(B22="",C22="",E22="",F22="",M22="",N22=""),"Revisar campos obligatorios",IF(AND(P22="Atraso primera hora",Q22=""),"Falta justificación atraso primera hora",IF(AND(Z22="No cumple",AA22=""),"Falta justificación recambio &gt;15 min",IF(AND(ISNUMBER(SEARCH("suspend",N22)),OR(AG22="",AH22="")),"Falta causa/motivo suspensión","OK")))))</f>
        <v/>
      </c>
      <c r="AW22" s="19">
        <f>IF(N22="","",IF(ISNUMBER(SEARCH("suspend",N22)),IF(AND(AG22="",AH22=""),"Sin causa/motivo registrado",IF(AG22="",AH22,IF(AH22="",AG22,AG22&amp;": "&amp;AH22))),""))</f>
        <v/>
      </c>
    </row>
    <row r="23" ht="16" customHeight="1" s="151">
      <c r="A23" s="32" t="n">
        <v>46167</v>
      </c>
      <c r="B23" s="33" t="inlineStr">
        <is>
          <t>MAITE EMILIA</t>
        </is>
      </c>
      <c r="C23" s="33" t="inlineStr">
        <is>
          <t>GOMEZ</t>
        </is>
      </c>
      <c r="D23" s="33" t="inlineStr">
        <is>
          <t>11a 9m 14d</t>
        </is>
      </c>
      <c r="E23" s="33" t="inlineStr">
        <is>
          <t>HALLUX VALGUS O RIGIDUS, TRAT.QUIR. COMPLETO (CUALQUIER TEC.)</t>
        </is>
      </c>
      <c r="F23" s="33" t="inlineStr">
        <is>
          <t>SERVICIO DE TRAUMATOLOGIA</t>
        </is>
      </c>
      <c r="G23" s="19" t="n"/>
      <c r="H23" s="33" t="inlineStr">
        <is>
          <t>2104190-5</t>
        </is>
      </c>
      <c r="I23" s="19" t="n"/>
      <c r="J23" s="20">
        <f>IF(H23&lt;&gt;"",IFERROR(VLOOKUP(IFERROR(LEFT(H23,FIND("-",H23)-1),H23),'Catalogo MINSAL'!A:E,5,FALSE),""),IF(I23&lt;&gt;"",IFERROR(VLOOKUP(IFERROR(LEFT(I23,FIND("-",I23)-1),I23),'Catalogo MINSAL'!A:E,5,FALSE),""),""))</f>
        <v/>
      </c>
      <c r="K23" s="33" t="inlineStr">
        <is>
          <t>Maximo Sepulveda Pizarro</t>
        </is>
      </c>
      <c r="L23" s="33" t="inlineStr">
        <is>
          <t>Maria Jose Rosen Petersen</t>
        </is>
      </c>
      <c r="M23" s="33" t="inlineStr">
        <is>
          <t>Quirofano 13</t>
        </is>
      </c>
      <c r="N23" s="33" t="inlineStr">
        <is>
          <t>Atendido</t>
        </is>
      </c>
      <c r="O23" s="34" t="n">
        <v>0.6493055555555556</v>
      </c>
      <c r="P23" s="27">
        <f>IFERROR(IF(OR(O23="",A23="",M23=""),"",IF(SUMPRODUCT(($A$4:$A$500=A23)*($M$4:$M$500=M23)*($O$4:$O$500&lt;&gt;"")*(MOD($O$4:$O$500,1)&lt;MOD(O23,1)))=0,IF(MOD(O23,1)&lt;=TIME(8,15,0),"Ingreso adecuado primera hora","Atraso primera hora"),"No aplica")),"")</f>
        <v/>
      </c>
      <c r="Q23" s="27" t="n"/>
      <c r="R23" s="34" t="n">
        <v>0.6743055555555556</v>
      </c>
      <c r="S23" s="34" t="n">
        <v>0.7048611111111112</v>
      </c>
      <c r="T23" s="34" t="n">
        <v>0.7131944444444445</v>
      </c>
      <c r="U23" s="34">
        <f>IFERROR(VLOOKUP(M23,'Horario Pabellones'!$A$4:$D$17,2,FALSE),"")</f>
        <v/>
      </c>
      <c r="V23" s="34">
        <f>IFERROR(VLOOKUP(M23,'Horario Pabellones'!$A$4:$D$17,3,FALSE),"")</f>
        <v/>
      </c>
      <c r="W23" s="100">
        <f>IFERROR(VLOOKUP(M23,'Horario Pabellones'!$A$4:$D$17,4,FALSE),"")</f>
        <v/>
      </c>
      <c r="X23" s="90">
        <f>IFERROR(IF(OR(A23="",M23="",W23=""),"",(((_xludf.AGGREGATE(14,6,MOD($S$4:$S$500,1)/(($A$4:$A$500=A23)*($M$4:$M$500=M23)*($R$4:$R$500&lt;&gt;"")*($S$4:$S$500&lt;&gt;"")),1)-_xludf.AGGREGATE(15,6,MOD($R$4:$R$500,1)/(($A$4:$A$500=A23)*($M$4:$M$500=M23)*($R$4:$R$500&lt;&gt;"")*($S$4:$S$500&lt;&gt;"")),1))*1440)/60)/(W23/60)),"")</f>
        <v/>
      </c>
      <c r="Y23" s="35">
        <f>IFERROR(IF(OR(O23="",A23="",M23=""),"",(IF(ISNUMBER(O23),MOD(O23,1),TIMEVALUE(O23))-LOOKUP(2,1/(($A$4:$A$500=A23)*($M$4:$M$500=M23)*($T$4:$T$500&lt;&gt;"")*($T$4:$T$500&lt;IF(ISNUMBER(O23),MOD(O23,1),TIMEVALUE(O23)))),$T$4:$T$500))*1440),"")</f>
        <v/>
      </c>
      <c r="Z23" s="27">
        <f>IFERROR(IF(Y23="","",IF(ROUND(Y23,0)&lt;=15,"Cumple","No cumple")),"")</f>
        <v/>
      </c>
      <c r="AA23" s="27" t="n"/>
      <c r="AB23" s="26">
        <f>IFERROR(IF(OR(O23="",R23=""),"",IF(IF(ISNUMBER(R23),MOD(R23,1),TIMEVALUE(R23))&gt;=IF(ISNUMBER(O23),MOD(O23,1),TIMEVALUE(O23)),(IF(ISNUMBER(R23),MOD(R23,1),TIMEVALUE(R23))-IF(ISNUMBER(O23),MOD(O23,1),TIMEVALUE(O23)))*1440,(IF(ISNUMBER(R23),MOD(R23,1),TIMEVALUE(R23))+1-IF(ISNUMBER(O23),MOD(O23,1),TIMEVALUE(O23)))*1440)),"")</f>
        <v/>
      </c>
      <c r="AC23" s="28">
        <f>IFERROR(IF(OR(R23="",S23=""),"",IF(IF(ISNUMBER(S23),MOD(S23,1),TIMEVALUE(S23))&gt;=IF(ISNUMBER(R23),MOD(R23,1),TIMEVALUE(R23)),(IF(ISNUMBER(S23),MOD(S23,1),TIMEVALUE(S23))-IF(ISNUMBER(R23),MOD(R23,1),TIMEVALUE(R23)))*1440,(IF(ISNUMBER(S23),MOD(S23,1),TIMEVALUE(S23))+1-IF(ISNUMBER(R23),MOD(R23,1),TIMEVALUE(R23)))*1440)),"")</f>
        <v/>
      </c>
      <c r="AD23" s="100" t="n">
        <v>45</v>
      </c>
      <c r="AE23" s="26">
        <f>IFERROR(IF(OR(AC23="",AD23=""),"",AC23-AD23),"")</f>
        <v/>
      </c>
      <c r="AF23" s="27">
        <f>IFERROR(IF(AE23="","",IF(ROUND(AE23,0)&gt;15,"Subestimacion",IF(ROUND(AE23,0)&lt;-15,"Sobrestimacion","Asertivo"))),"")</f>
        <v/>
      </c>
      <c r="AG23" s="33" t="inlineStr">
        <is>
          <t>Sin Suspensión</t>
        </is>
      </c>
      <c r="AH23" s="33" t="n"/>
      <c r="AI23" s="33" t="n"/>
      <c r="AJ23" s="19" t="n"/>
      <c r="AK23" s="19" t="n"/>
      <c r="AL23" s="19" t="n"/>
      <c r="AM23" s="33" t="inlineStr">
        <is>
          <t>I0001187210</t>
        </is>
      </c>
      <c r="AN23" s="19" t="n"/>
      <c r="AO23" s="19" t="n"/>
      <c r="AP23" s="127">
        <f>IF(A23="","",A23-WEEKDAY(A23,2)+1)</f>
        <v/>
      </c>
      <c r="AQ23" s="127">
        <f>IF(AO23="","",AO23+6)</f>
        <v/>
      </c>
      <c r="AR23" s="19">
        <f>IF(AO23="","","Semana "&amp;TEXT(AO23,"dd-mm-yyyy")&amp;" al "&amp;TEXT(AP23,"dd-mm-yyyy"))</f>
        <v/>
      </c>
      <c r="AS23" s="19">
        <f>IF(A23="","",TEXT(A23,"mmmm yyyy"))</f>
        <v/>
      </c>
      <c r="AT23" s="19">
        <f>IF(A23="","",TEXT(A23,"dddd"))</f>
        <v/>
      </c>
      <c r="AU23" s="19">
        <f>IF(A23="","","CRR-"&amp;TEXT(A23,"yyyymmdd")&amp;"-"&amp;M23&amp;"-"&amp;TEXT(ROW()-3,"0000"))</f>
        <v/>
      </c>
      <c r="AV23" s="19">
        <f>IF(A23="","",IF(OR(B23="",C23="",E23="",F23="",M23="",N23=""),"Revisar campos obligatorios",IF(AND(P23="Atraso primera hora",Q23=""),"Falta justificación atraso primera hora",IF(AND(Z23="No cumple",AA23=""),"Falta justificación recambio &gt;15 min",IF(AND(ISNUMBER(SEARCH("suspend",N23)),OR(AG23="",AH23="")),"Falta causa/motivo suspensión","OK")))))</f>
        <v/>
      </c>
      <c r="AW23" s="19">
        <f>IF(N23="","",IF(ISNUMBER(SEARCH("suspend",N23)),IF(AND(AG23="",AH23=""),"Sin causa/motivo registrado",IF(AG23="",AH23,IF(AH23="",AG23,AG23&amp;": "&amp;AH23))),""))</f>
        <v/>
      </c>
    </row>
    <row r="24" ht="16" customHeight="1" s="151">
      <c r="A24" s="32" t="n">
        <v>46167</v>
      </c>
      <c r="B24" s="33" t="inlineStr">
        <is>
          <t>ALONSO EMILIANO</t>
        </is>
      </c>
      <c r="C24" s="33" t="inlineStr">
        <is>
          <t>MADRID</t>
        </is>
      </c>
      <c r="D24" s="33" t="inlineStr">
        <is>
          <t>12a 6m 0d</t>
        </is>
      </c>
      <c r="E24" s="33" t="inlineStr">
        <is>
          <t>SINOVECTOMIAS QUIRURGICAS (PROC. AUT.) CODO O MUÑECA O METACARPOFALANGICAS, C/U</t>
        </is>
      </c>
      <c r="F24" s="33" t="inlineStr">
        <is>
          <t>SERVICIO DE TRAUMATOLOGIA</t>
        </is>
      </c>
      <c r="G24" s="19" t="n"/>
      <c r="H24" s="33" t="inlineStr">
        <is>
          <t>2104029-5</t>
        </is>
      </c>
      <c r="I24" s="19" t="n"/>
      <c r="J24" s="20">
        <f>IF(H24&lt;&gt;"",IFERROR(VLOOKUP(IFERROR(LEFT(H24,FIND("-",H24)-1),H24),'Catalogo MINSAL'!A:E,5,FALSE),""),IF(I24&lt;&gt;"",IFERROR(VLOOKUP(IFERROR(LEFT(I24,FIND("-",I24)-1),I24),'Catalogo MINSAL'!A:E,5,FALSE),""),""))</f>
        <v/>
      </c>
      <c r="K24" s="33" t="inlineStr">
        <is>
          <t>Maximo Sepulveda Pizarro</t>
        </is>
      </c>
      <c r="L24" s="33" t="inlineStr">
        <is>
          <t>Maria Jose Rosen Petersen</t>
        </is>
      </c>
      <c r="M24" s="33" t="inlineStr">
        <is>
          <t>Quirofano 13</t>
        </is>
      </c>
      <c r="N24" s="33" t="inlineStr">
        <is>
          <t>Atendido</t>
        </is>
      </c>
      <c r="O24" s="34" t="n">
        <v>0.7194444444444444</v>
      </c>
      <c r="P24" s="27">
        <f>IFERROR(IF(OR(O24="",A24="",M24=""),"",IF(SUMPRODUCT(($A$4:$A$500=A24)*($M$4:$M$500=M24)*($O$4:$O$500&lt;&gt;"")*(MOD($O$4:$O$500,1)&lt;MOD(O24,1)))=0,IF(MOD(O24,1)&lt;=TIME(8,15,0),"Ingreso adecuado primera hora","Atraso primera hora"),"No aplica")),"")</f>
        <v/>
      </c>
      <c r="Q24" s="27" t="n"/>
      <c r="R24" s="34" t="n">
        <v>0.7458333333333333</v>
      </c>
      <c r="S24" s="34" t="n">
        <v>0.7777777777777778</v>
      </c>
      <c r="T24" s="34" t="n">
        <v>0.7916666666666666</v>
      </c>
      <c r="U24" s="34">
        <f>IFERROR(VLOOKUP(M24,'Horario Pabellones'!$A$4:$D$17,2,FALSE),"")</f>
        <v/>
      </c>
      <c r="V24" s="34">
        <f>IFERROR(VLOOKUP(M24,'Horario Pabellones'!$A$4:$D$17,3,FALSE),"")</f>
        <v/>
      </c>
      <c r="W24" s="100">
        <f>IFERROR(VLOOKUP(M24,'Horario Pabellones'!$A$4:$D$17,4,FALSE),"")</f>
        <v/>
      </c>
      <c r="X24" s="90">
        <f>IFERROR(IF(OR(A24="",M24="",W24=""),"",(((_xludf.AGGREGATE(14,6,MOD($S$4:$S$500,1)/(($A$4:$A$500=A24)*($M$4:$M$500=M24)*($R$4:$R$500&lt;&gt;"")*($S$4:$S$500&lt;&gt;"")),1)-_xludf.AGGREGATE(15,6,MOD($R$4:$R$500,1)/(($A$4:$A$500=A24)*($M$4:$M$500=M24)*($R$4:$R$500&lt;&gt;"")*($S$4:$S$500&lt;&gt;"")),1))*1440)/60)/(W24/60)),"")</f>
        <v/>
      </c>
      <c r="Y24" s="35">
        <f>IFERROR(IF(OR(O24="",A24="",M24=""),"",(IF(ISNUMBER(O24),MOD(O24,1),TIMEVALUE(O24))-LOOKUP(2,1/(($A$4:$A$500=A24)*($M$4:$M$500=M24)*($T$4:$T$500&lt;&gt;"")*($T$4:$T$500&lt;IF(ISNUMBER(O24),MOD(O24,1),TIMEVALUE(O24)))),$T$4:$T$500))*1440),"")</f>
        <v/>
      </c>
      <c r="Z24" s="27">
        <f>IFERROR(IF(Y24="","",IF(ROUND(Y24,0)&lt;=15,"Cumple","No cumple")),"")</f>
        <v/>
      </c>
      <c r="AA24" s="27" t="n"/>
      <c r="AB24" s="26">
        <f>IFERROR(IF(OR(O24="",R24=""),"",IF(IF(ISNUMBER(R24),MOD(R24,1),TIMEVALUE(R24))&gt;=IF(ISNUMBER(O24),MOD(O24,1),TIMEVALUE(O24)),(IF(ISNUMBER(R24),MOD(R24,1),TIMEVALUE(R24))-IF(ISNUMBER(O24),MOD(O24,1),TIMEVALUE(O24)))*1440,(IF(ISNUMBER(R24),MOD(R24,1),TIMEVALUE(R24))+1-IF(ISNUMBER(O24),MOD(O24,1),TIMEVALUE(O24)))*1440)),"")</f>
        <v/>
      </c>
      <c r="AC24" s="28">
        <f>IFERROR(IF(OR(R24="",S24=""),"",IF(IF(ISNUMBER(S24),MOD(S24,1),TIMEVALUE(S24))&gt;=IF(ISNUMBER(R24),MOD(R24,1),TIMEVALUE(R24)),(IF(ISNUMBER(S24),MOD(S24,1),TIMEVALUE(S24))-IF(ISNUMBER(R24),MOD(R24,1),TIMEVALUE(R24)))*1440,(IF(ISNUMBER(S24),MOD(S24,1),TIMEVALUE(S24))+1-IF(ISNUMBER(R24),MOD(R24,1),TIMEVALUE(R24)))*1440)),"")</f>
        <v/>
      </c>
      <c r="AD24" s="100" t="n">
        <v>90</v>
      </c>
      <c r="AE24" s="26">
        <f>IFERROR(IF(OR(AC24="",AD24=""),"",AC24-AD24),"")</f>
        <v/>
      </c>
      <c r="AF24" s="27">
        <f>IFERROR(IF(AE24="","",IF(ROUND(AE24,0)&gt;15,"Subestimacion",IF(ROUND(AE24,0)&lt;-15,"Sobrestimacion","Asertivo"))),"")</f>
        <v/>
      </c>
      <c r="AG24" s="33" t="inlineStr">
        <is>
          <t>Sin Suspensión</t>
        </is>
      </c>
      <c r="AH24" s="33" t="n"/>
      <c r="AI24" s="33" t="n"/>
      <c r="AJ24" s="19" t="n"/>
      <c r="AK24" s="19" t="n"/>
      <c r="AL24" s="19" t="n"/>
      <c r="AM24" s="33" t="inlineStr">
        <is>
          <t>I0001187211</t>
        </is>
      </c>
      <c r="AN24" s="19" t="n"/>
      <c r="AO24" s="19" t="n"/>
      <c r="AP24" s="127">
        <f>IF(A24="","",A24-WEEKDAY(A24,2)+1)</f>
        <v/>
      </c>
      <c r="AQ24" s="127">
        <f>IF(AO24="","",AO24+6)</f>
        <v/>
      </c>
      <c r="AR24" s="19">
        <f>IF(AO24="","","Semana "&amp;TEXT(AO24,"dd-mm-yyyy")&amp;" al "&amp;TEXT(AP24,"dd-mm-yyyy"))</f>
        <v/>
      </c>
      <c r="AS24" s="19">
        <f>IF(A24="","",TEXT(A24,"mmmm yyyy"))</f>
        <v/>
      </c>
      <c r="AT24" s="19">
        <f>IF(A24="","",TEXT(A24,"dddd"))</f>
        <v/>
      </c>
      <c r="AU24" s="19">
        <f>IF(A24="","","CRR-"&amp;TEXT(A24,"yyyymmdd")&amp;"-"&amp;M24&amp;"-"&amp;TEXT(ROW()-3,"0000"))</f>
        <v/>
      </c>
      <c r="AV24" s="19">
        <f>IF(A24="","",IF(OR(B24="",C24="",E24="",F24="",M24="",N24=""),"Revisar campos obligatorios",IF(AND(P24="Atraso primera hora",Q24=""),"Falta justificación atraso primera hora",IF(AND(Z24="No cumple",AA24=""),"Falta justificación recambio &gt;15 min",IF(AND(ISNUMBER(SEARCH("suspend",N24)),OR(AG24="",AH24="")),"Falta causa/motivo suspensión","OK")))))</f>
        <v/>
      </c>
      <c r="AW24" s="19">
        <f>IF(N24="","",IF(ISNUMBER(SEARCH("suspend",N24)),IF(AND(AG24="",AH24=""),"Sin causa/motivo registrado",IF(AG24="",AH24,IF(AH24="",AG24,AG24&amp;": "&amp;AH24))),""))</f>
        <v/>
      </c>
    </row>
    <row r="25" ht="16" customHeight="1" s="151">
      <c r="A25" s="17" t="n">
        <v>46167</v>
      </c>
      <c r="B25" s="18" t="inlineStr">
        <is>
          <t>DANNA</t>
        </is>
      </c>
      <c r="C25" s="18" t="inlineStr">
        <is>
          <t>LIENDRO</t>
        </is>
      </c>
      <c r="D25" s="18" t="inlineStr">
        <is>
          <t>3a 5m 15d</t>
        </is>
      </c>
      <c r="E25" s="18" t="inlineStr">
        <is>
          <t>POLIDACTILIA, EXTIRPACION Y PLASTIA UN LADO</t>
        </is>
      </c>
      <c r="F25" s="21" t="inlineStr">
        <is>
          <t>SERVICIO DE TRAUMATOLOGIA</t>
        </is>
      </c>
      <c r="G25" s="19" t="n"/>
      <c r="H25" s="18" t="inlineStr">
        <is>
          <t>1502058-5</t>
        </is>
      </c>
      <c r="I25" s="19" t="n"/>
      <c r="J25" s="20">
        <f>IF(H25&lt;&gt;"",IFERROR(VLOOKUP(IFERROR(LEFT(H25,FIND("-",H25)-1),H25),'Catalogo MINSAL'!A:E,5,FALSE),""),IF(I25&lt;&gt;"",IFERROR(VLOOKUP(IFERROR(LEFT(I25,FIND("-",I25)-1),I25),'Catalogo MINSAL'!A:E,5,FALSE),""),""))</f>
        <v/>
      </c>
      <c r="K25" s="22" t="inlineStr">
        <is>
          <t>Maximo Sepulveda Pizarro</t>
        </is>
      </c>
      <c r="L25" s="18" t="inlineStr">
        <is>
          <t>Maria Jose Rosen Petersen</t>
        </is>
      </c>
      <c r="M25" s="18" t="inlineStr">
        <is>
          <t>Quirofano 13</t>
        </is>
      </c>
      <c r="N25" s="18" t="inlineStr">
        <is>
          <t>Agendado</t>
        </is>
      </c>
      <c r="O25" s="37" t="n"/>
      <c r="P25" s="38">
        <f>IFERROR(IF(OR(O25="",A25="",M25=""),"",IF(SUMPRODUCT(($A$4:$A$500=A25)*($M$4:$M$500=M25)*($O$4:$O$500&lt;&gt;"")*(MOD($O$4:$O$500,1)&lt;MOD(O25,1)))=0,IF(MOD(O25,1)&lt;=TIME(8,15,0),"Ingreso adecuado primera hora","Atraso primera hora"),"No aplica")),"")</f>
        <v/>
      </c>
      <c r="Q25" s="38" t="n"/>
      <c r="R25" s="37" t="n"/>
      <c r="S25" s="37" t="n"/>
      <c r="T25" s="25" t="n"/>
      <c r="U25" s="98">
        <f>IFERROR(VLOOKUP(M25,'Horario Pabellones'!$A$4:$D$17,2,FALSE),"")</f>
        <v/>
      </c>
      <c r="V25" s="98">
        <f>IFERROR(VLOOKUP(M25,'Horario Pabellones'!$A$4:$D$17,3,FALSE),"")</f>
        <v/>
      </c>
      <c r="W25" s="99">
        <f>IFERROR(VLOOKUP(M25,'Horario Pabellones'!$A$4:$D$17,4,FALSE),"")</f>
        <v/>
      </c>
      <c r="X25" s="89">
        <f>IFERROR(IF(OR(A25="",M25="",W25=""),"",(((_xludf.AGGREGATE(14,6,MOD($S$4:$S$500,1)/(($A$4:$A$500=A25)*($M$4:$M$500=M25)*($R$4:$R$500&lt;&gt;"")*($S$4:$S$500&lt;&gt;"")),1)-_xludf.AGGREGATE(15,6,MOD($R$4:$R$500,1)/(($A$4:$A$500=A25)*($M$4:$M$500=M25)*($R$4:$R$500&lt;&gt;"")*($S$4:$S$500&lt;&gt;"")),1))*1440)/60)/(W25/60)),"")</f>
        <v/>
      </c>
      <c r="Y25" s="26">
        <f>IFERROR(IF(OR(O25="",A25="",M25=""),"",(IF(ISNUMBER(O25),MOD(O25,1),TIMEVALUE(O25))-LOOKUP(2,1/(($A$4:$A$500=A25)*($M$4:$M$500=M25)*($T$4:$T$500&lt;&gt;"")*($T$4:$T$500&lt;IF(ISNUMBER(O25),MOD(O25,1),TIMEVALUE(O25)))),$T$4:$T$500))*1440),"")</f>
        <v/>
      </c>
      <c r="Z25" s="27">
        <f>IFERROR(IF(Y25="","",IF(ROUND(Y25,0)&lt;=15,"Cumple","No cumple")),"")</f>
        <v/>
      </c>
      <c r="AA25" s="27" t="n"/>
      <c r="AB25" s="26">
        <f>IFERROR(IF(OR(O25="",R25=""),"",IF(IF(ISNUMBER(R25),MOD(R25,1),TIMEVALUE(R25))&gt;=IF(ISNUMBER(O25),MOD(O25,1),TIMEVALUE(O25)),(IF(ISNUMBER(R25),MOD(R25,1),TIMEVALUE(R25))-IF(ISNUMBER(O25),MOD(O25,1),TIMEVALUE(O25)))*1440,(IF(ISNUMBER(R25),MOD(R25,1),TIMEVALUE(R25))+1-IF(ISNUMBER(O25),MOD(O25,1),TIMEVALUE(O25)))*1440)),"")</f>
        <v/>
      </c>
      <c r="AC25" s="28">
        <f>IFERROR(IF(OR(R25="",S25=""),"",IF(IF(ISNUMBER(S25),MOD(S25,1),TIMEVALUE(S25))&gt;=IF(ISNUMBER(R25),MOD(R25,1),TIMEVALUE(R25)),(IF(ISNUMBER(S25),MOD(S25,1),TIMEVALUE(S25))-IF(ISNUMBER(R25),MOD(R25,1),TIMEVALUE(R25)))*1440,(IF(ISNUMBER(S25),MOD(S25,1),TIMEVALUE(S25))+1-IF(ISNUMBER(R25),MOD(R25,1),TIMEVALUE(R25)))*1440)),"")</f>
        <v/>
      </c>
      <c r="AD25" s="29" t="n"/>
      <c r="AE25" s="26">
        <f>IFERROR(IF(OR(AC25="",AD25=""),"",AC25-AD25),"")</f>
        <v/>
      </c>
      <c r="AF25" s="39">
        <f>IFERROR(IF(AE25="","",IF(ROUND(AE25,0)&gt;15,"Subestimacion",IF(ROUND(AE25,0)&lt;-15,"Sobrestimacion","Asertivo"))),"")</f>
        <v/>
      </c>
      <c r="AG25" s="19" t="inlineStr">
        <is>
          <t>No se presenta</t>
        </is>
      </c>
      <c r="AH25" s="19" t="n"/>
      <c r="AI25" s="19" t="n"/>
      <c r="AJ25" s="19" t="n"/>
      <c r="AK25" s="19" t="n"/>
      <c r="AL25" s="19" t="n"/>
      <c r="AM25" s="18" t="inlineStr">
        <is>
          <t>I0001187197</t>
        </is>
      </c>
      <c r="AN25" s="19" t="n"/>
      <c r="AO25" s="19" t="n"/>
      <c r="AP25" s="127">
        <f>IF(A25="","",A25-WEEKDAY(A25,2)+1)</f>
        <v/>
      </c>
      <c r="AQ25" s="127">
        <f>IF(AO25="","",AO25+6)</f>
        <v/>
      </c>
      <c r="AR25" s="19">
        <f>IF(AO25="","","Semana "&amp;TEXT(AO25,"dd-mm-yyyy")&amp;" al "&amp;TEXT(AP25,"dd-mm-yyyy"))</f>
        <v/>
      </c>
      <c r="AS25" s="19">
        <f>IF(A25="","",TEXT(A25,"mmmm yyyy"))</f>
        <v/>
      </c>
      <c r="AT25" s="19">
        <f>IF(A25="","",TEXT(A25,"dddd"))</f>
        <v/>
      </c>
      <c r="AU25" s="19">
        <f>IF(A25="","","CRR-"&amp;TEXT(A25,"yyyymmdd")&amp;"-"&amp;M25&amp;"-"&amp;TEXT(ROW()-3,"0000"))</f>
        <v/>
      </c>
      <c r="AV25" s="19">
        <f>IF(A25="","",IF(OR(B25="",C25="",E25="",F25="",M25="",N25=""),"Revisar campos obligatorios",IF(AND(P25="Atraso primera hora",Q25=""),"Falta justificación atraso primera hora",IF(AND(Z25="No cumple",AA25=""),"Falta justificación recambio &gt;15 min",IF(AND(ISNUMBER(SEARCH("suspend",N25)),OR(AG25="",AH25="")),"Falta causa/motivo suspensión","OK")))))</f>
        <v/>
      </c>
      <c r="AW25" s="19">
        <f>IF(N25="","",IF(ISNUMBER(SEARCH("suspend",N25)),IF(AND(AG25="",AH25=""),"Sin causa/motivo registrado",IF(AG25="",AH25,IF(AH25="",AG25,AG25&amp;": "&amp;AH25))),""))</f>
        <v/>
      </c>
    </row>
    <row r="26" ht="16" customHeight="1" s="151">
      <c r="A26" s="32" t="n">
        <v>46168</v>
      </c>
      <c r="B26" s="33" t="inlineStr">
        <is>
          <t>BALTAZAR LEON</t>
        </is>
      </c>
      <c r="C26" s="33" t="inlineStr">
        <is>
          <t>PAILLAVIL</t>
        </is>
      </c>
      <c r="D26" s="33" t="inlineStr">
        <is>
          <t>3a 3m 5d</t>
        </is>
      </c>
      <c r="E26" s="33" t="inlineStr">
        <is>
          <t>AMIGDALECTOMIA C/S ADENOIDECTOMIA, UNI O BILATERAL</t>
        </is>
      </c>
      <c r="F26" s="40" t="inlineStr">
        <is>
          <t>SERVICIO DE CIRUGIA ADULTO</t>
        </is>
      </c>
      <c r="G26" s="19" t="n"/>
      <c r="H26" s="33" t="inlineStr">
        <is>
          <t>1302029-5</t>
        </is>
      </c>
      <c r="I26" s="19" t="n"/>
      <c r="J26" s="20">
        <f>IF(H26&lt;&gt;"",IFERROR(VLOOKUP(IFERROR(LEFT(H26,FIND("-",H26)-1),H26),'Catalogo MINSAL'!A:E,5,FALSE),""),IF(I26&lt;&gt;"",IFERROR(VLOOKUP(IFERROR(LEFT(I26,FIND("-",I26)-1),I26),'Catalogo MINSAL'!A:E,5,FALSE),""),""))</f>
        <v/>
      </c>
      <c r="K26" s="33" t="inlineStr">
        <is>
          <t>Rodrigo Alejandro Villegas Lugo</t>
        </is>
      </c>
      <c r="L26" s="33" t="inlineStr">
        <is>
          <t>Dr. Cristian Aedo Bendel</t>
        </is>
      </c>
      <c r="M26" s="33" t="inlineStr">
        <is>
          <t>Quirofano 06</t>
        </is>
      </c>
      <c r="N26" s="33" t="inlineStr">
        <is>
          <t>Atendido</t>
        </is>
      </c>
      <c r="O26" s="34" t="n">
        <v>0.3555555555555556</v>
      </c>
      <c r="P26" s="27">
        <f>IFERROR(IF(OR(O26="",A26="",M26=""),"",IF(SUMPRODUCT(($A$4:$A$500=A26)*($M$4:$M$500=M26)*($O$4:$O$500&lt;&gt;"")*(MOD($O$4:$O$500,1)&lt;MOD(O26,1)))=0,IF(MOD(O26,1)&lt;=TIME(8,15,0),"Ingreso adecuado primera hora","Atraso primera hora"),"No aplica")),"")</f>
        <v/>
      </c>
      <c r="Q26" s="27" t="n"/>
      <c r="R26" s="34" t="n">
        <v>0.3784722222222222</v>
      </c>
      <c r="S26" s="34" t="n">
        <v>0.3923611111111111</v>
      </c>
      <c r="T26" s="34" t="n">
        <v>0.4270833333333333</v>
      </c>
      <c r="U26" s="34">
        <f>IFERROR(VLOOKUP(M26,'Horario Pabellones'!$A$4:$D$17,2,FALSE),"")</f>
        <v/>
      </c>
      <c r="V26" s="34">
        <f>IFERROR(VLOOKUP(M26,'Horario Pabellones'!$A$4:$D$17,3,FALSE),"")</f>
        <v/>
      </c>
      <c r="W26" s="100">
        <f>IFERROR(VLOOKUP(M26,'Horario Pabellones'!$A$4:$D$17,4,FALSE),"")</f>
        <v/>
      </c>
      <c r="X26" s="90">
        <f>IFERROR(IF(OR(A26="",M26="",W26=""),"",(((_xludf.AGGREGATE(14,6,MOD($S$4:$S$500,1)/(($A$4:$A$500=A26)*($M$4:$M$500=M26)*($R$4:$R$500&lt;&gt;"")*($S$4:$S$500&lt;&gt;"")),1)-_xludf.AGGREGATE(15,6,MOD($R$4:$R$500,1)/(($A$4:$A$500=A26)*($M$4:$M$500=M26)*($R$4:$R$500&lt;&gt;"")*($S$4:$S$500&lt;&gt;"")),1))*1440)/60)/(W26/60)),"")</f>
        <v/>
      </c>
      <c r="Y26" s="35">
        <f>IFERROR(IF(OR(O26="",A26="",M26=""),"",(IF(ISNUMBER(O26),MOD(O26,1),TIMEVALUE(O26))-LOOKUP(2,1/(($A$4:$A$500=A26)*($M$4:$M$500=M26)*($T$4:$T$500&lt;&gt;"")*($T$4:$T$500&lt;IF(ISNUMBER(O26),MOD(O26,1),TIMEVALUE(O26)))),$T$4:$T$500))*1440),"")</f>
        <v/>
      </c>
      <c r="Z26" s="27">
        <f>IFERROR(IF(Y26="","",IF(ROUND(Y26,0)&lt;=15,"Cumple","No cumple")),"")</f>
        <v/>
      </c>
      <c r="AA26" s="27" t="n"/>
      <c r="AB26" s="26">
        <f>IFERROR(IF(OR(O26="",R26=""),"",IF(IF(ISNUMBER(R26),MOD(R26,1),TIMEVALUE(R26))&gt;=IF(ISNUMBER(O26),MOD(O26,1),TIMEVALUE(O26)),(IF(ISNUMBER(R26),MOD(R26,1),TIMEVALUE(R26))-IF(ISNUMBER(O26),MOD(O26,1),TIMEVALUE(O26)))*1440,(IF(ISNUMBER(R26),MOD(R26,1),TIMEVALUE(R26))+1-IF(ISNUMBER(O26),MOD(O26,1),TIMEVALUE(O26)))*1440)),"")</f>
        <v/>
      </c>
      <c r="AC26" s="28">
        <f>IFERROR(IF(OR(R26="",S26=""),"",IF(IF(ISNUMBER(S26),MOD(S26,1),TIMEVALUE(S26))&gt;=IF(ISNUMBER(R26),MOD(R26,1),TIMEVALUE(R26)),(IF(ISNUMBER(S26),MOD(S26,1),TIMEVALUE(S26))-IF(ISNUMBER(R26),MOD(R26,1),TIMEVALUE(R26)))*1440,(IF(ISNUMBER(S26),MOD(S26,1),TIMEVALUE(S26))+1-IF(ISNUMBER(R26),MOD(R26,1),TIMEVALUE(R26)))*1440)),"")</f>
        <v/>
      </c>
      <c r="AD26" s="100" t="n">
        <v>90</v>
      </c>
      <c r="AE26" s="26">
        <f>IFERROR(IF(OR(AC26="",AD26=""),"",AC26-AD26),"")</f>
        <v/>
      </c>
      <c r="AF26" s="27">
        <f>IFERROR(IF(AE26="","",IF(ROUND(AE26,0)&gt;15,"Subestimacion",IF(ROUND(AE26,0)&lt;-15,"Sobrestimacion","Asertivo"))),"")</f>
        <v/>
      </c>
      <c r="AG26" s="33" t="inlineStr">
        <is>
          <t>Sin Suspensión</t>
        </is>
      </c>
      <c r="AH26" s="33" t="n"/>
      <c r="AI26" s="33" t="n"/>
      <c r="AJ26" s="19" t="n"/>
      <c r="AK26" s="19" t="n"/>
      <c r="AL26" s="19" t="n"/>
      <c r="AM26" s="33" t="inlineStr">
        <is>
          <t>I0001187788</t>
        </is>
      </c>
      <c r="AN26" s="19" t="n"/>
      <c r="AO26" s="19" t="n"/>
      <c r="AP26" s="127">
        <f>IF(A26="","",A26-WEEKDAY(A26,2)+1)</f>
        <v/>
      </c>
      <c r="AQ26" s="127">
        <f>IF(AO26="","",AO26+6)</f>
        <v/>
      </c>
      <c r="AR26" s="19">
        <f>IF(AO26="","","Semana "&amp;TEXT(AO26,"dd-mm-yyyy")&amp;" al "&amp;TEXT(AP26,"dd-mm-yyyy"))</f>
        <v/>
      </c>
      <c r="AS26" s="19">
        <f>IF(A26="","",TEXT(A26,"mmmm yyyy"))</f>
        <v/>
      </c>
      <c r="AT26" s="19">
        <f>IF(A26="","",TEXT(A26,"dddd"))</f>
        <v/>
      </c>
      <c r="AU26" s="19">
        <f>IF(A26="","","CRR-"&amp;TEXT(A26,"yyyymmdd")&amp;"-"&amp;M26&amp;"-"&amp;TEXT(ROW()-3,"0000"))</f>
        <v/>
      </c>
      <c r="AV26" s="19">
        <f>IF(A26="","",IF(OR(B26="",C26="",E26="",F26="",M26="",N26=""),"Revisar campos obligatorios",IF(AND(P26="Atraso primera hora",Q26=""),"Falta justificación atraso primera hora",IF(AND(Z26="No cumple",AA26=""),"Falta justificación recambio &gt;15 min",IF(AND(ISNUMBER(SEARCH("suspend",N26)),OR(AG26="",AH26="")),"Falta causa/motivo suspensión","OK")))))</f>
        <v/>
      </c>
      <c r="AW26" s="19">
        <f>IF(N26="","",IF(ISNUMBER(SEARCH("suspend",N26)),IF(AND(AG26="",AH26=""),"Sin causa/motivo registrado",IF(AG26="",AH26,IF(AH26="",AG26,AG26&amp;": "&amp;AH26))),""))</f>
        <v/>
      </c>
    </row>
    <row r="27" ht="16" customHeight="1" s="151">
      <c r="A27" s="32" t="n">
        <v>46168</v>
      </c>
      <c r="B27" s="33" t="inlineStr">
        <is>
          <t>JARED VALENTINO</t>
        </is>
      </c>
      <c r="C27" s="33" t="inlineStr">
        <is>
          <t>SALINAS</t>
        </is>
      </c>
      <c r="D27" s="33" t="inlineStr">
        <is>
          <t>6a 0m 1d</t>
        </is>
      </c>
      <c r="E27" s="33" t="inlineStr">
        <is>
          <t>AMIGDALECTOMIA C/S ADENOIDECTOMIA, UNI O BILATERAL</t>
        </is>
      </c>
      <c r="F27" s="40" t="inlineStr">
        <is>
          <t>SERVICIO DE CIRUGIA ADULTO</t>
        </is>
      </c>
      <c r="G27" s="19" t="n"/>
      <c r="H27" s="33" t="inlineStr">
        <is>
          <t>1302029-5</t>
        </is>
      </c>
      <c r="I27" s="19" t="n"/>
      <c r="J27" s="20">
        <f>IF(H27&lt;&gt;"",IFERROR(VLOOKUP(IFERROR(LEFT(H27,FIND("-",H27)-1),H27),'Catalogo MINSAL'!A:E,5,FALSE),""),IF(I27&lt;&gt;"",IFERROR(VLOOKUP(IFERROR(LEFT(I27,FIND("-",I27)-1),I27),'Catalogo MINSAL'!A:E,5,FALSE),""),""))</f>
        <v/>
      </c>
      <c r="K27" s="33" t="inlineStr">
        <is>
          <t>Rodrigo Alejandro Villegas Lugo</t>
        </is>
      </c>
      <c r="L27" s="33" t="inlineStr">
        <is>
          <t>Dr. Cristian Aedo Bendel</t>
        </is>
      </c>
      <c r="M27" s="33" t="inlineStr">
        <is>
          <t>Quirofano 06</t>
        </is>
      </c>
      <c r="N27" s="33" t="inlineStr">
        <is>
          <t>Atendido</t>
        </is>
      </c>
      <c r="O27" s="34" t="n">
        <v>0.4444444444444444</v>
      </c>
      <c r="P27" s="27">
        <f>IFERROR(IF(OR(O27="",A27="",M27=""),"",IF(SUMPRODUCT(($A$4:$A$500=A27)*($M$4:$M$500=M27)*($O$4:$O$500&lt;&gt;"")*(MOD($O$4:$O$500,1)&lt;MOD(O27,1)))=0,IF(MOD(O27,1)&lt;=TIME(8,15,0),"Ingreso adecuado primera hora","Atraso primera hora"),"No aplica")),"")</f>
        <v/>
      </c>
      <c r="Q27" s="27" t="n"/>
      <c r="R27" s="34" t="n">
        <v>0.4583333333333333</v>
      </c>
      <c r="S27" s="34" t="n">
        <v>0.5</v>
      </c>
      <c r="T27" s="34" t="n">
        <v>0.5104166666666666</v>
      </c>
      <c r="U27" s="34">
        <f>IFERROR(VLOOKUP(M27,'Horario Pabellones'!$A$4:$D$17,2,FALSE),"")</f>
        <v/>
      </c>
      <c r="V27" s="34">
        <f>IFERROR(VLOOKUP(M27,'Horario Pabellones'!$A$4:$D$17,3,FALSE),"")</f>
        <v/>
      </c>
      <c r="W27" s="100">
        <f>IFERROR(VLOOKUP(M27,'Horario Pabellones'!$A$4:$D$17,4,FALSE),"")</f>
        <v/>
      </c>
      <c r="X27" s="90">
        <f>IFERROR(IF(OR(A27="",M27="",W27=""),"",(((_xludf.AGGREGATE(14,6,MOD($S$4:$S$500,1)/(($A$4:$A$500=A27)*($M$4:$M$500=M27)*($R$4:$R$500&lt;&gt;"")*($S$4:$S$500&lt;&gt;"")),1)-_xludf.AGGREGATE(15,6,MOD($R$4:$R$500,1)/(($A$4:$A$500=A27)*($M$4:$M$500=M27)*($R$4:$R$500&lt;&gt;"")*($S$4:$S$500&lt;&gt;"")),1))*1440)/60)/(W27/60)),"")</f>
        <v/>
      </c>
      <c r="Y27" s="35">
        <f>IFERROR(IF(OR(O27="",A27="",M27=""),"",(IF(ISNUMBER(O27),MOD(O27,1),TIMEVALUE(O27))-LOOKUP(2,1/(($A$4:$A$500=A27)*($M$4:$M$500=M27)*($T$4:$T$500&lt;&gt;"")*($T$4:$T$500&lt;IF(ISNUMBER(O27),MOD(O27,1),TIMEVALUE(O27)))),$T$4:$T$500))*1440),"")</f>
        <v/>
      </c>
      <c r="Z27" s="27">
        <f>IFERROR(IF(Y27="","",IF(ROUND(Y27,0)&lt;=15,"Cumple","No cumple")),"")</f>
        <v/>
      </c>
      <c r="AA27" s="27" t="n"/>
      <c r="AB27" s="26">
        <f>IFERROR(IF(OR(O27="",R27=""),"",IF(IF(ISNUMBER(R27),MOD(R27,1),TIMEVALUE(R27))&gt;=IF(ISNUMBER(O27),MOD(O27,1),TIMEVALUE(O27)),(IF(ISNUMBER(R27),MOD(R27,1),TIMEVALUE(R27))-IF(ISNUMBER(O27),MOD(O27,1),TIMEVALUE(O27)))*1440,(IF(ISNUMBER(R27),MOD(R27,1),TIMEVALUE(R27))+1-IF(ISNUMBER(O27),MOD(O27,1),TIMEVALUE(O27)))*1440)),"")</f>
        <v/>
      </c>
      <c r="AC27" s="28">
        <f>IFERROR(IF(OR(R27="",S27=""),"",IF(IF(ISNUMBER(S27),MOD(S27,1),TIMEVALUE(S27))&gt;=IF(ISNUMBER(R27),MOD(R27,1),TIMEVALUE(R27)),(IF(ISNUMBER(S27),MOD(S27,1),TIMEVALUE(S27))-IF(ISNUMBER(R27),MOD(R27,1),TIMEVALUE(R27)))*1440,(IF(ISNUMBER(S27),MOD(S27,1),TIMEVALUE(S27))+1-IF(ISNUMBER(R27),MOD(R27,1),TIMEVALUE(R27)))*1440)),"")</f>
        <v/>
      </c>
      <c r="AD27" s="100" t="n">
        <v>60</v>
      </c>
      <c r="AE27" s="26">
        <f>IFERROR(IF(OR(AC27="",AD27=""),"",AC27-AD27),"")</f>
        <v/>
      </c>
      <c r="AF27" s="27">
        <f>IFERROR(IF(AE27="","",IF(ROUND(AE27,0)&gt;15,"Subestimacion",IF(ROUND(AE27,0)&lt;-15,"Sobrestimacion","Asertivo"))),"")</f>
        <v/>
      </c>
      <c r="AG27" s="33" t="inlineStr">
        <is>
          <t>Sin Suspensión</t>
        </is>
      </c>
      <c r="AH27" s="33" t="n"/>
      <c r="AI27" s="33" t="n"/>
      <c r="AJ27" s="19" t="n"/>
      <c r="AK27" s="19" t="n"/>
      <c r="AL27" s="19" t="n"/>
      <c r="AM27" s="33" t="inlineStr">
        <is>
          <t>I0001187790</t>
        </is>
      </c>
      <c r="AN27" s="19" t="n"/>
      <c r="AO27" s="19" t="n"/>
      <c r="AP27" s="127">
        <f>IF(A27="","",A27-WEEKDAY(A27,2)+1)</f>
        <v/>
      </c>
      <c r="AQ27" s="127">
        <f>IF(AO27="","",AO27+6)</f>
        <v/>
      </c>
      <c r="AR27" s="19">
        <f>IF(AO27="","","Semana "&amp;TEXT(AO27,"dd-mm-yyyy")&amp;" al "&amp;TEXT(AP27,"dd-mm-yyyy"))</f>
        <v/>
      </c>
      <c r="AS27" s="19">
        <f>IF(A27="","",TEXT(A27,"mmmm yyyy"))</f>
        <v/>
      </c>
      <c r="AT27" s="19">
        <f>IF(A27="","",TEXT(A27,"dddd"))</f>
        <v/>
      </c>
      <c r="AU27" s="19">
        <f>IF(A27="","","CRR-"&amp;TEXT(A27,"yyyymmdd")&amp;"-"&amp;M27&amp;"-"&amp;TEXT(ROW()-3,"0000"))</f>
        <v/>
      </c>
      <c r="AV27" s="19">
        <f>IF(A27="","",IF(OR(B27="",C27="",E27="",F27="",M27="",N27=""),"Revisar campos obligatorios",IF(AND(P27="Atraso primera hora",Q27=""),"Falta justificación atraso primera hora",IF(AND(Z27="No cumple",AA27=""),"Falta justificación recambio &gt;15 min",IF(AND(ISNUMBER(SEARCH("suspend",N27)),OR(AG27="",AH27="")),"Falta causa/motivo suspensión","OK")))))</f>
        <v/>
      </c>
      <c r="AW27" s="19">
        <f>IF(N27="","",IF(ISNUMBER(SEARCH("suspend",N27)),IF(AND(AG27="",AH27=""),"Sin causa/motivo registrado",IF(AG27="",AH27,IF(AH27="",AG27,AG27&amp;": "&amp;AH27))),""))</f>
        <v/>
      </c>
    </row>
    <row r="28" ht="16" customHeight="1" s="151">
      <c r="A28" s="32" t="n">
        <v>46168</v>
      </c>
      <c r="B28" s="33" t="inlineStr">
        <is>
          <t>ÁNGEL ALEJANDRO</t>
        </is>
      </c>
      <c r="C28" s="33" t="inlineStr">
        <is>
          <t>CARIQUEO</t>
        </is>
      </c>
      <c r="D28" s="33" t="inlineStr">
        <is>
          <t>4a 9m 12d</t>
        </is>
      </c>
      <c r="E28" s="33" t="inlineStr">
        <is>
          <t>AMIGDALECTOMIA C/S ADENOIDECTOMIA, UNI O BILATERAL</t>
        </is>
      </c>
      <c r="F28" s="40" t="inlineStr">
        <is>
          <t>SERVICIO DE CIRUGIA ADULTO</t>
        </is>
      </c>
      <c r="G28" s="19" t="n"/>
      <c r="H28" s="33" t="inlineStr">
        <is>
          <t>1302029-5</t>
        </is>
      </c>
      <c r="I28" s="19" t="n"/>
      <c r="J28" s="20">
        <f>IF(H28&lt;&gt;"",IFERROR(VLOOKUP(IFERROR(LEFT(H28,FIND("-",H28)-1),H28),'Catalogo MINSAL'!A:E,5,FALSE),""),IF(I28&lt;&gt;"",IFERROR(VLOOKUP(IFERROR(LEFT(I28,FIND("-",I28)-1),I28),'Catalogo MINSAL'!A:E,5,FALSE),""),""))</f>
        <v/>
      </c>
      <c r="K28" s="33" t="inlineStr">
        <is>
          <t>Rodrigo Alejandro Villegas Lugo</t>
        </is>
      </c>
      <c r="L28" s="33" t="inlineStr">
        <is>
          <t>Dr. Christian Diaz Frias</t>
        </is>
      </c>
      <c r="M28" s="33" t="inlineStr">
        <is>
          <t>Quirofano 06</t>
        </is>
      </c>
      <c r="N28" s="33" t="inlineStr">
        <is>
          <t>Recepcionado</t>
        </is>
      </c>
      <c r="O28" s="34" t="n">
        <v>0.5208333333333334</v>
      </c>
      <c r="P28" s="27">
        <f>IFERROR(IF(OR(O28="",A28="",M28=""),"",IF(SUMPRODUCT(($A$4:$A$500=A28)*($M$4:$M$500=M28)*($O$4:$O$500&lt;&gt;"")*(MOD($O$4:$O$500,1)&lt;MOD(O28,1)))=0,IF(MOD(O28,1)&lt;=TIME(8,15,0),"Ingreso adecuado primera hora","Atraso primera hora"),"No aplica")),"")</f>
        <v/>
      </c>
      <c r="Q28" s="27" t="n"/>
      <c r="R28" s="34" t="n">
        <v>0.5361111111111111</v>
      </c>
      <c r="S28" s="34" t="n">
        <v>0.5597222222222222</v>
      </c>
      <c r="T28" s="34" t="n">
        <v>0.5777777777777777</v>
      </c>
      <c r="U28" s="34">
        <f>IFERROR(VLOOKUP(M28,'Horario Pabellones'!$A$4:$D$17,2,FALSE),"")</f>
        <v/>
      </c>
      <c r="V28" s="34">
        <f>IFERROR(VLOOKUP(M28,'Horario Pabellones'!$A$4:$D$17,3,FALSE),"")</f>
        <v/>
      </c>
      <c r="W28" s="100">
        <f>IFERROR(VLOOKUP(M28,'Horario Pabellones'!$A$4:$D$17,4,FALSE),"")</f>
        <v/>
      </c>
      <c r="X28" s="90">
        <f>IFERROR(IF(OR(A28="",M28="",W28=""),"",(((_xludf.AGGREGATE(14,6,MOD($S$4:$S$500,1)/(($A$4:$A$500=A28)*($M$4:$M$500=M28)*($R$4:$R$500&lt;&gt;"")*($S$4:$S$500&lt;&gt;"")),1)-_xludf.AGGREGATE(15,6,MOD($R$4:$R$500,1)/(($A$4:$A$500=A28)*($M$4:$M$500=M28)*($R$4:$R$500&lt;&gt;"")*($S$4:$S$500&lt;&gt;"")),1))*1440)/60)/(W28/60)),"")</f>
        <v/>
      </c>
      <c r="Y28" s="35">
        <f>IFERROR(IF(OR(O28="",A28="",M28=""),"",(IF(ISNUMBER(O28),MOD(O28,1),TIMEVALUE(O28))-LOOKUP(2,1/(($A$4:$A$500=A28)*($M$4:$M$500=M28)*($T$4:$T$500&lt;&gt;"")*($T$4:$T$500&lt;IF(ISNUMBER(O28),MOD(O28,1),TIMEVALUE(O28)))),$T$4:$T$500))*1440),"")</f>
        <v/>
      </c>
      <c r="Z28" s="27">
        <f>IFERROR(IF(Y28="","",IF(ROUND(Y28,0)&lt;=15,"Cumple","No cumple")),"")</f>
        <v/>
      </c>
      <c r="AA28" s="27" t="n"/>
      <c r="AB28" s="26">
        <f>IFERROR(IF(OR(O28="",R28=""),"",IF(IF(ISNUMBER(R28),MOD(R28,1),TIMEVALUE(R28))&gt;=IF(ISNUMBER(O28),MOD(O28,1),TIMEVALUE(O28)),(IF(ISNUMBER(R28),MOD(R28,1),TIMEVALUE(R28))-IF(ISNUMBER(O28),MOD(O28,1),TIMEVALUE(O28)))*1440,(IF(ISNUMBER(R28),MOD(R28,1),TIMEVALUE(R28))+1-IF(ISNUMBER(O28),MOD(O28,1),TIMEVALUE(O28)))*1440)),"")</f>
        <v/>
      </c>
      <c r="AC28" s="28">
        <f>IFERROR(IF(OR(R28="",S28=""),"",IF(IF(ISNUMBER(S28),MOD(S28,1),TIMEVALUE(S28))&gt;=IF(ISNUMBER(R28),MOD(R28,1),TIMEVALUE(R28)),(IF(ISNUMBER(S28),MOD(S28,1),TIMEVALUE(S28))-IF(ISNUMBER(R28),MOD(R28,1),TIMEVALUE(R28)))*1440,(IF(ISNUMBER(S28),MOD(S28,1),TIMEVALUE(S28))+1-IF(ISNUMBER(R28),MOD(R28,1),TIMEVALUE(R28)))*1440)),"")</f>
        <v/>
      </c>
      <c r="AD28" s="100" t="n">
        <v>60</v>
      </c>
      <c r="AE28" s="26">
        <f>IFERROR(IF(OR(AC28="",AD28=""),"",AC28-AD28),"")</f>
        <v/>
      </c>
      <c r="AF28" s="27">
        <f>IFERROR(IF(AE28="","",IF(ROUND(AE28,0)&gt;15,"Subestimacion",IF(ROUND(AE28,0)&lt;-15,"Sobrestimacion","Asertivo"))),"")</f>
        <v/>
      </c>
      <c r="AG28" s="33" t="inlineStr">
        <is>
          <t>Sin Suspensión</t>
        </is>
      </c>
      <c r="AH28" s="33" t="n"/>
      <c r="AI28" s="33" t="n"/>
      <c r="AJ28" s="19" t="n"/>
      <c r="AK28" s="19" t="n"/>
      <c r="AL28" s="19" t="n"/>
      <c r="AM28" s="33" t="inlineStr">
        <is>
          <t>I0001187794</t>
        </is>
      </c>
      <c r="AN28" s="19" t="n"/>
      <c r="AO28" s="19" t="n"/>
      <c r="AP28" s="127">
        <f>IF(A28="","",A28-WEEKDAY(A28,2)+1)</f>
        <v/>
      </c>
      <c r="AQ28" s="127">
        <f>IF(AO28="","",AO28+6)</f>
        <v/>
      </c>
      <c r="AR28" s="19">
        <f>IF(AO28="","","Semana "&amp;TEXT(AO28,"dd-mm-yyyy")&amp;" al "&amp;TEXT(AP28,"dd-mm-yyyy"))</f>
        <v/>
      </c>
      <c r="AS28" s="19">
        <f>IF(A28="","",TEXT(A28,"mmmm yyyy"))</f>
        <v/>
      </c>
      <c r="AT28" s="19">
        <f>IF(A28="","",TEXT(A28,"dddd"))</f>
        <v/>
      </c>
      <c r="AU28" s="19">
        <f>IF(A28="","","CRR-"&amp;TEXT(A28,"yyyymmdd")&amp;"-"&amp;M28&amp;"-"&amp;TEXT(ROW()-3,"0000"))</f>
        <v/>
      </c>
      <c r="AV28" s="19">
        <f>IF(A28="","",IF(OR(B28="",C28="",E28="",F28="",M28="",N28=""),"Revisar campos obligatorios",IF(AND(P28="Atraso primera hora",Q28=""),"Falta justificación atraso primera hora",IF(AND(Z28="No cumple",AA28=""),"Falta justificación recambio &gt;15 min",IF(AND(ISNUMBER(SEARCH("suspend",N28)),OR(AG28="",AH28="")),"Falta causa/motivo suspensión","OK")))))</f>
        <v/>
      </c>
      <c r="AW28" s="19">
        <f>IF(N28="","",IF(ISNUMBER(SEARCH("suspend",N28)),IF(AND(AG28="",AH28=""),"Sin causa/motivo registrado",IF(AG28="",AH28,IF(AH28="",AG28,AG28&amp;": "&amp;AH28))),""))</f>
        <v/>
      </c>
    </row>
    <row r="29" ht="16" customHeight="1" s="151">
      <c r="A29" s="32" t="n">
        <v>46168</v>
      </c>
      <c r="B29" s="33" t="inlineStr">
        <is>
          <t>AYELEN TRINIDAD</t>
        </is>
      </c>
      <c r="C29" s="33" t="inlineStr">
        <is>
          <t>GONZÁLEZ</t>
        </is>
      </c>
      <c r="D29" s="33" t="inlineStr">
        <is>
          <t>11a 1m 28d</t>
        </is>
      </c>
      <c r="E29" s="33" t="inlineStr">
        <is>
          <t>ADENOIDECTOMIA (PROC. AUT.)</t>
        </is>
      </c>
      <c r="F29" s="40" t="inlineStr">
        <is>
          <t>SERVICIO DE CIRUGIA ADULTO</t>
        </is>
      </c>
      <c r="G29" s="19" t="n"/>
      <c r="H29" s="33" t="inlineStr">
        <is>
          <t>1302028-5</t>
        </is>
      </c>
      <c r="I29" s="19" t="n"/>
      <c r="J29" s="20">
        <f>IF(H29&lt;&gt;"",IFERROR(VLOOKUP(IFERROR(LEFT(H29,FIND("-",H29)-1),H29),'Catalogo MINSAL'!A:E,5,FALSE),""),IF(I29&lt;&gt;"",IFERROR(VLOOKUP(IFERROR(LEFT(I29,FIND("-",I29)-1),I29),'Catalogo MINSAL'!A:E,5,FALSE),""),""))</f>
        <v/>
      </c>
      <c r="K29" s="33" t="inlineStr">
        <is>
          <t>Rodrigo Alejandro Villegas Lugo</t>
        </is>
      </c>
      <c r="L29" s="33" t="inlineStr">
        <is>
          <t>Dr. Christian Diaz Frias</t>
        </is>
      </c>
      <c r="M29" s="33" t="inlineStr">
        <is>
          <t>Quirofano 06</t>
        </is>
      </c>
      <c r="N29" s="33" t="inlineStr">
        <is>
          <t>Atendido</t>
        </is>
      </c>
      <c r="O29" s="34" t="n">
        <v>0.6111111111111112</v>
      </c>
      <c r="P29" s="27">
        <f>IFERROR(IF(OR(O29="",A29="",M29=""),"",IF(SUMPRODUCT(($A$4:$A$500=A29)*($M$4:$M$500=M29)*($O$4:$O$500&lt;&gt;"")*(MOD($O$4:$O$500,1)&lt;MOD(O29,1)))=0,IF(MOD(O29,1)&lt;=TIME(8,15,0),"Ingreso adecuado primera hora","Atraso primera hora"),"No aplica")),"")</f>
        <v/>
      </c>
      <c r="Q29" s="27" t="n"/>
      <c r="R29" s="34" t="n">
        <v>0.6215277777777778</v>
      </c>
      <c r="S29" s="34" t="n">
        <v>0.6409722222222223</v>
      </c>
      <c r="T29" s="34" t="n">
        <v>0.6527777777777778</v>
      </c>
      <c r="U29" s="34">
        <f>IFERROR(VLOOKUP(M29,'Horario Pabellones'!$A$4:$D$17,2,FALSE),"")</f>
        <v/>
      </c>
      <c r="V29" s="34">
        <f>IFERROR(VLOOKUP(M29,'Horario Pabellones'!$A$4:$D$17,3,FALSE),"")</f>
        <v/>
      </c>
      <c r="W29" s="100">
        <f>IFERROR(VLOOKUP(M29,'Horario Pabellones'!$A$4:$D$17,4,FALSE),"")</f>
        <v/>
      </c>
      <c r="X29" s="90">
        <f>IFERROR(IF(OR(A29="",M29="",W29=""),"",(((_xludf.AGGREGATE(14,6,MOD($S$4:$S$500,1)/(($A$4:$A$500=A29)*($M$4:$M$500=M29)*($R$4:$R$500&lt;&gt;"")*($S$4:$S$500&lt;&gt;"")),1)-_xludf.AGGREGATE(15,6,MOD($R$4:$R$500,1)/(($A$4:$A$500=A29)*($M$4:$M$500=M29)*($R$4:$R$500&lt;&gt;"")*($S$4:$S$500&lt;&gt;"")),1))*1440)/60)/(W29/60)),"")</f>
        <v/>
      </c>
      <c r="Y29" s="35">
        <f>IFERROR(IF(OR(O29="",A29="",M29=""),"",(IF(ISNUMBER(O29),MOD(O29,1),TIMEVALUE(O29))-LOOKUP(2,1/(($A$4:$A$500=A29)*($M$4:$M$500=M29)*($T$4:$T$500&lt;&gt;"")*($T$4:$T$500&lt;IF(ISNUMBER(O29),MOD(O29,1),TIMEVALUE(O29)))),$T$4:$T$500))*1440),"")</f>
        <v/>
      </c>
      <c r="Z29" s="27">
        <f>IFERROR(IF(Y29="","",IF(ROUND(Y29,0)&lt;=15,"Cumple","No cumple")),"")</f>
        <v/>
      </c>
      <c r="AA29" s="27" t="n"/>
      <c r="AB29" s="26">
        <f>IFERROR(IF(OR(O29="",R29=""),"",IF(IF(ISNUMBER(R29),MOD(R29,1),TIMEVALUE(R29))&gt;=IF(ISNUMBER(O29),MOD(O29,1),TIMEVALUE(O29)),(IF(ISNUMBER(R29),MOD(R29,1),TIMEVALUE(R29))-IF(ISNUMBER(O29),MOD(O29,1),TIMEVALUE(O29)))*1440,(IF(ISNUMBER(R29),MOD(R29,1),TIMEVALUE(R29))+1-IF(ISNUMBER(O29),MOD(O29,1),TIMEVALUE(O29)))*1440)),"")</f>
        <v/>
      </c>
      <c r="AC29" s="28">
        <f>IFERROR(IF(OR(R29="",S29=""),"",IF(IF(ISNUMBER(S29),MOD(S29,1),TIMEVALUE(S29))&gt;=IF(ISNUMBER(R29),MOD(R29,1),TIMEVALUE(R29)),(IF(ISNUMBER(S29),MOD(S29,1),TIMEVALUE(S29))-IF(ISNUMBER(R29),MOD(R29,1),TIMEVALUE(R29)))*1440,(IF(ISNUMBER(S29),MOD(S29,1),TIMEVALUE(S29))+1-IF(ISNUMBER(R29),MOD(R29,1),TIMEVALUE(R29)))*1440)),"")</f>
        <v/>
      </c>
      <c r="AD29" s="100" t="n">
        <v>40</v>
      </c>
      <c r="AE29" s="26">
        <f>IFERROR(IF(OR(AC29="",AD29=""),"",AC29-AD29),"")</f>
        <v/>
      </c>
      <c r="AF29" s="27">
        <f>IFERROR(IF(AE29="","",IF(ROUND(AE29,0)&gt;15,"Subestimacion",IF(ROUND(AE29,0)&lt;-15,"Sobrestimacion","Asertivo"))),"")</f>
        <v/>
      </c>
      <c r="AG29" s="33" t="inlineStr">
        <is>
          <t>Sin Suspensión</t>
        </is>
      </c>
      <c r="AH29" s="33" t="n"/>
      <c r="AI29" s="33" t="n"/>
      <c r="AJ29" s="19" t="n"/>
      <c r="AK29" s="19" t="n"/>
      <c r="AL29" s="19" t="n"/>
      <c r="AM29" s="33" t="inlineStr">
        <is>
          <t>I0001187796</t>
        </is>
      </c>
      <c r="AN29" s="19" t="n"/>
      <c r="AO29" s="19" t="n"/>
      <c r="AP29" s="127">
        <f>IF(A29="","",A29-WEEKDAY(A29,2)+1)</f>
        <v/>
      </c>
      <c r="AQ29" s="127">
        <f>IF(AO29="","",AO29+6)</f>
        <v/>
      </c>
      <c r="AR29" s="19">
        <f>IF(AO29="","","Semana "&amp;TEXT(AO29,"dd-mm-yyyy")&amp;" al "&amp;TEXT(AP29,"dd-mm-yyyy"))</f>
        <v/>
      </c>
      <c r="AS29" s="19">
        <f>IF(A29="","",TEXT(A29,"mmmm yyyy"))</f>
        <v/>
      </c>
      <c r="AT29" s="19">
        <f>IF(A29="","",TEXT(A29,"dddd"))</f>
        <v/>
      </c>
      <c r="AU29" s="19">
        <f>IF(A29="","","CRR-"&amp;TEXT(A29,"yyyymmdd")&amp;"-"&amp;M29&amp;"-"&amp;TEXT(ROW()-3,"0000"))</f>
        <v/>
      </c>
      <c r="AV29" s="19">
        <f>IF(A29="","",IF(OR(B29="",C29="",E29="",F29="",M29="",N29=""),"Revisar campos obligatorios",IF(AND(P29="Atraso primera hora",Q29=""),"Falta justificación atraso primera hora",IF(AND(Z29="No cumple",AA29=""),"Falta justificación recambio &gt;15 min",IF(AND(ISNUMBER(SEARCH("suspend",N29)),OR(AG29="",AH29="")),"Falta causa/motivo suspensión","OK")))))</f>
        <v/>
      </c>
      <c r="AW29" s="19">
        <f>IF(N29="","",IF(ISNUMBER(SEARCH("suspend",N29)),IF(AND(AG29="",AH29=""),"Sin causa/motivo registrado",IF(AG29="",AH29,IF(AH29="",AG29,AG29&amp;": "&amp;AH29))),""))</f>
        <v/>
      </c>
    </row>
    <row r="30" ht="16" customHeight="1" s="151">
      <c r="A30" s="32" t="n">
        <v>46168</v>
      </c>
      <c r="B30" s="33" t="inlineStr">
        <is>
          <t>BENJAMÍN ALONSO</t>
        </is>
      </c>
      <c r="C30" s="33" t="inlineStr">
        <is>
          <t>CORDERO</t>
        </is>
      </c>
      <c r="D30" s="33" t="inlineStr">
        <is>
          <t>17a 3m 25d</t>
        </is>
      </c>
      <c r="E30" s="33" t="inlineStr">
        <is>
          <t>AMIGDALECTOMIA C/S ADENOIDECTOMIA, UNI O BILATERAL</t>
        </is>
      </c>
      <c r="F30" s="40" t="inlineStr">
        <is>
          <t>SERVICIO DE CIRUGIA ADULTO</t>
        </is>
      </c>
      <c r="G30" s="19" t="n"/>
      <c r="H30" s="33" t="inlineStr">
        <is>
          <t>1302029-5</t>
        </is>
      </c>
      <c r="I30" s="19" t="n"/>
      <c r="J30" s="20">
        <f>IF(H30&lt;&gt;"",IFERROR(VLOOKUP(IFERROR(LEFT(H30,FIND("-",H30)-1),H30),'Catalogo MINSAL'!A:E,5,FALSE),""),IF(I30&lt;&gt;"",IFERROR(VLOOKUP(IFERROR(LEFT(I30,FIND("-",I30)-1),I30),'Catalogo MINSAL'!A:E,5,FALSE),""),""))</f>
        <v/>
      </c>
      <c r="K30" s="33" t="inlineStr">
        <is>
          <t>Rodrigo Alejandro Villegas Lugo</t>
        </is>
      </c>
      <c r="L30" s="33" t="inlineStr">
        <is>
          <t>Dr. Fernando Rivas Castillo</t>
        </is>
      </c>
      <c r="M30" s="33" t="inlineStr">
        <is>
          <t>Quirofano 06</t>
        </is>
      </c>
      <c r="N30" s="33" t="inlineStr">
        <is>
          <t>Atendido</t>
        </is>
      </c>
      <c r="O30" s="34" t="n">
        <v>0.6611111111111111</v>
      </c>
      <c r="P30" s="27">
        <f>IFERROR(IF(OR(O30="",A30="",M30=""),"",IF(SUMPRODUCT(($A$4:$A$500=A30)*($M$4:$M$500=M30)*($O$4:$O$500&lt;&gt;"")*(MOD($O$4:$O$500,1)&lt;MOD(O30,1)))=0,IF(MOD(O30,1)&lt;=TIME(8,15,0),"Ingreso adecuado primera hora","Atraso primera hora"),"No aplica")),"")</f>
        <v/>
      </c>
      <c r="Q30" s="27" t="n"/>
      <c r="R30" s="34" t="n">
        <v>0.6701388888888888</v>
      </c>
      <c r="S30" s="34" t="n">
        <v>0.7013888888888888</v>
      </c>
      <c r="T30" s="34" t="n">
        <v>0.7208333333333333</v>
      </c>
      <c r="U30" s="34">
        <f>IFERROR(VLOOKUP(M30,'Horario Pabellones'!$A$4:$D$17,2,FALSE),"")</f>
        <v/>
      </c>
      <c r="V30" s="34">
        <f>IFERROR(VLOOKUP(M30,'Horario Pabellones'!$A$4:$D$17,3,FALSE),"")</f>
        <v/>
      </c>
      <c r="W30" s="100">
        <f>IFERROR(VLOOKUP(M30,'Horario Pabellones'!$A$4:$D$17,4,FALSE),"")</f>
        <v/>
      </c>
      <c r="X30" s="90">
        <f>IFERROR(IF(OR(A30="",M30="",W30=""),"",(((_xludf.AGGREGATE(14,6,MOD($S$4:$S$500,1)/(($A$4:$A$500=A30)*($M$4:$M$500=M30)*($R$4:$R$500&lt;&gt;"")*($S$4:$S$500&lt;&gt;"")),1)-_xludf.AGGREGATE(15,6,MOD($R$4:$R$500,1)/(($A$4:$A$500=A30)*($M$4:$M$500=M30)*($R$4:$R$500&lt;&gt;"")*($S$4:$S$500&lt;&gt;"")),1))*1440)/60)/(W30/60)),"")</f>
        <v/>
      </c>
      <c r="Y30" s="35">
        <f>IFERROR(IF(OR(O30="",A30="",M30=""),"",(IF(ISNUMBER(O30),MOD(O30,1),TIMEVALUE(O30))-LOOKUP(2,1/(($A$4:$A$500=A30)*($M$4:$M$500=M30)*($T$4:$T$500&lt;&gt;"")*($T$4:$T$500&lt;IF(ISNUMBER(O30),MOD(O30,1),TIMEVALUE(O30)))),$T$4:$T$500))*1440),"")</f>
        <v/>
      </c>
      <c r="Z30" s="27">
        <f>IFERROR(IF(Y30="","",IF(ROUND(Y30,0)&lt;=15,"Cumple","No cumple")),"")</f>
        <v/>
      </c>
      <c r="AA30" s="27" t="n"/>
      <c r="AB30" s="26">
        <f>IFERROR(IF(OR(O30="",R30=""),"",IF(IF(ISNUMBER(R30),MOD(R30,1),TIMEVALUE(R30))&gt;=IF(ISNUMBER(O30),MOD(O30,1),TIMEVALUE(O30)),(IF(ISNUMBER(R30),MOD(R30,1),TIMEVALUE(R30))-IF(ISNUMBER(O30),MOD(O30,1),TIMEVALUE(O30)))*1440,(IF(ISNUMBER(R30),MOD(R30,1),TIMEVALUE(R30))+1-IF(ISNUMBER(O30),MOD(O30,1),TIMEVALUE(O30)))*1440)),"")</f>
        <v/>
      </c>
      <c r="AC30" s="28">
        <f>IFERROR(IF(OR(R30="",S30=""),"",IF(IF(ISNUMBER(S30),MOD(S30,1),TIMEVALUE(S30))&gt;=IF(ISNUMBER(R30),MOD(R30,1),TIMEVALUE(R30)),(IF(ISNUMBER(S30),MOD(S30,1),TIMEVALUE(S30))-IF(ISNUMBER(R30),MOD(R30,1),TIMEVALUE(R30)))*1440,(IF(ISNUMBER(S30),MOD(S30,1),TIMEVALUE(S30))+1-IF(ISNUMBER(R30),MOD(R30,1),TIMEVALUE(R30)))*1440)),"")</f>
        <v/>
      </c>
      <c r="AD30" s="100" t="n">
        <v>45</v>
      </c>
      <c r="AE30" s="26">
        <f>IFERROR(IF(OR(AC30="",AD30=""),"",AC30-AD30),"")</f>
        <v/>
      </c>
      <c r="AF30" s="27">
        <f>IFERROR(IF(AE30="","",IF(ROUND(AE30,0)&gt;15,"Subestimacion",IF(ROUND(AE30,0)&lt;-15,"Sobrestimacion","Asertivo"))),"")</f>
        <v/>
      </c>
      <c r="AG30" s="33" t="inlineStr">
        <is>
          <t>Sin Suspensión</t>
        </is>
      </c>
      <c r="AH30" s="33" t="n"/>
      <c r="AI30" s="33" t="n"/>
      <c r="AJ30" s="19" t="n"/>
      <c r="AK30" s="19" t="n"/>
      <c r="AL30" s="19" t="n"/>
      <c r="AM30" s="33" t="inlineStr">
        <is>
          <t>I0001187797</t>
        </is>
      </c>
      <c r="AN30" s="19" t="n"/>
      <c r="AO30" s="19" t="n"/>
      <c r="AP30" s="127">
        <f>IF(A30="","",A30-WEEKDAY(A30,2)+1)</f>
        <v/>
      </c>
      <c r="AQ30" s="127">
        <f>IF(AO30="","",AO30+6)</f>
        <v/>
      </c>
      <c r="AR30" s="19">
        <f>IF(AO30="","","Semana "&amp;TEXT(AO30,"dd-mm-yyyy")&amp;" al "&amp;TEXT(AP30,"dd-mm-yyyy"))</f>
        <v/>
      </c>
      <c r="AS30" s="19">
        <f>IF(A30="","",TEXT(A30,"mmmm yyyy"))</f>
        <v/>
      </c>
      <c r="AT30" s="19">
        <f>IF(A30="","",TEXT(A30,"dddd"))</f>
        <v/>
      </c>
      <c r="AU30" s="19">
        <f>IF(A30="","","CRR-"&amp;TEXT(A30,"yyyymmdd")&amp;"-"&amp;M30&amp;"-"&amp;TEXT(ROW()-3,"0000"))</f>
        <v/>
      </c>
      <c r="AV30" s="19">
        <f>IF(A30="","",IF(OR(B30="",C30="",E30="",F30="",M30="",N30=""),"Revisar campos obligatorios",IF(AND(P30="Atraso primera hora",Q30=""),"Falta justificación atraso primera hora",IF(AND(Z30="No cumple",AA30=""),"Falta justificación recambio &gt;15 min",IF(AND(ISNUMBER(SEARCH("suspend",N30)),OR(AG30="",AH30="")),"Falta causa/motivo suspensión","OK")))))</f>
        <v/>
      </c>
      <c r="AW30" s="19">
        <f>IF(N30="","",IF(ISNUMBER(SEARCH("suspend",N30)),IF(AND(AG30="",AH30=""),"Sin causa/motivo registrado",IF(AG30="",AH30,IF(AH30="",AG30,AG30&amp;": "&amp;AH30))),""))</f>
        <v/>
      </c>
    </row>
    <row r="31" ht="16" customHeight="1" s="151">
      <c r="A31" s="32" t="n">
        <v>46168</v>
      </c>
      <c r="B31" s="33" t="inlineStr">
        <is>
          <t>PAOLA ANDREA</t>
        </is>
      </c>
      <c r="C31" s="33" t="inlineStr">
        <is>
          <t>OLGUÍN</t>
        </is>
      </c>
      <c r="D31" s="33" t="inlineStr">
        <is>
          <t>57a 6m 11d</t>
        </is>
      </c>
      <c r="E31" s="33" t="inlineStr">
        <is>
          <t>COLECISTECTOMIA POR VIDEOLAPAROSCOPIA, PROC. COMPLETO</t>
        </is>
      </c>
      <c r="F31" s="40" t="inlineStr">
        <is>
          <t>SERVICIO DE CIRUGIA ADULTO</t>
        </is>
      </c>
      <c r="G31" s="19" t="n"/>
      <c r="H31" s="33" t="inlineStr">
        <is>
          <t>1802081-10</t>
        </is>
      </c>
      <c r="I31" s="19" t="n"/>
      <c r="J31" s="20">
        <f>IF(H31&lt;&gt;"",IFERROR(VLOOKUP(IFERROR(LEFT(H31,FIND("-",H31)-1),H31),'Catalogo MINSAL'!A:E,5,FALSE),""),IF(I31&lt;&gt;"",IFERROR(VLOOKUP(IFERROR(LEFT(I31,FIND("-",I31)-1),I31),'Catalogo MINSAL'!A:E,5,FALSE),""),""))</f>
        <v/>
      </c>
      <c r="K31" s="33" t="inlineStr">
        <is>
          <t>Aliana Violeta Morales Ruiz</t>
        </is>
      </c>
      <c r="L31" s="33" t="inlineStr">
        <is>
          <t>Felicia Meza Maldonado</t>
        </is>
      </c>
      <c r="M31" s="33" t="inlineStr">
        <is>
          <t>Quirofano 09</t>
        </is>
      </c>
      <c r="N31" s="33" t="inlineStr">
        <is>
          <t>Recepcionado</t>
        </is>
      </c>
      <c r="O31" s="34" t="n">
        <v>0.3520833333333334</v>
      </c>
      <c r="P31" s="27">
        <f>IFERROR(IF(OR(O31="",A31="",M31=""),"",IF(SUMPRODUCT(($A$4:$A$500=A31)*($M$4:$M$500=M31)*($O$4:$O$500&lt;&gt;"")*(MOD($O$4:$O$500,1)&lt;MOD(O31,1)))=0,IF(MOD(O31,1)&lt;=TIME(8,15,0),"Ingreso adecuado primera hora","Atraso primera hora"),"No aplica")),"")</f>
        <v/>
      </c>
      <c r="Q31" s="27" t="n"/>
      <c r="R31" s="34" t="n">
        <v>0.3875</v>
      </c>
      <c r="S31" s="34" t="n">
        <v>0.4125</v>
      </c>
      <c r="T31" s="34" t="n">
        <v>0.4354166666666667</v>
      </c>
      <c r="U31" s="34">
        <f>IFERROR(VLOOKUP(M31,'Horario Pabellones'!$A$4:$D$17,2,FALSE),"")</f>
        <v/>
      </c>
      <c r="V31" s="34">
        <f>IFERROR(VLOOKUP(M31,'Horario Pabellones'!$A$4:$D$17,3,FALSE),"")</f>
        <v/>
      </c>
      <c r="W31" s="100">
        <f>IFERROR(VLOOKUP(M31,'Horario Pabellones'!$A$4:$D$17,4,FALSE),"")</f>
        <v/>
      </c>
      <c r="X31" s="90">
        <f>IFERROR(IF(OR(A31="",M31="",W31=""),"",(((_xludf.AGGREGATE(14,6,MOD($S$4:$S$500,1)/(($A$4:$A$500=A31)*($M$4:$M$500=M31)*($R$4:$R$500&lt;&gt;"")*($S$4:$S$500&lt;&gt;"")),1)-_xludf.AGGREGATE(15,6,MOD($R$4:$R$500,1)/(($A$4:$A$500=A31)*($M$4:$M$500=M31)*($R$4:$R$500&lt;&gt;"")*($S$4:$S$500&lt;&gt;"")),1))*1440)/60)/(W31/60)),"")</f>
        <v/>
      </c>
      <c r="Y31" s="35">
        <f>IFERROR(IF(OR(O31="",A31="",M31=""),"",(IF(ISNUMBER(O31),MOD(O31,1),TIMEVALUE(O31))-LOOKUP(2,1/(($A$4:$A$500=A31)*($M$4:$M$500=M31)*($T$4:$T$500&lt;&gt;"")*($T$4:$T$500&lt;IF(ISNUMBER(O31),MOD(O31,1),TIMEVALUE(O31)))),$T$4:$T$500))*1440),"")</f>
        <v/>
      </c>
      <c r="Z31" s="27">
        <f>IFERROR(IF(Y31="","",IF(ROUND(Y31,0)&lt;=15,"Cumple","No cumple")),"")</f>
        <v/>
      </c>
      <c r="AA31" s="27" t="n"/>
      <c r="AB31" s="26">
        <f>IFERROR(IF(OR(O31="",R31=""),"",IF(IF(ISNUMBER(R31),MOD(R31,1),TIMEVALUE(R31))&gt;=IF(ISNUMBER(O31),MOD(O31,1),TIMEVALUE(O31)),(IF(ISNUMBER(R31),MOD(R31,1),TIMEVALUE(R31))-IF(ISNUMBER(O31),MOD(O31,1),TIMEVALUE(O31)))*1440,(IF(ISNUMBER(R31),MOD(R31,1),TIMEVALUE(R31))+1-IF(ISNUMBER(O31),MOD(O31,1),TIMEVALUE(O31)))*1440)),"")</f>
        <v/>
      </c>
      <c r="AC31" s="28">
        <f>IFERROR(IF(OR(R31="",S31=""),"",IF(IF(ISNUMBER(S31),MOD(S31,1),TIMEVALUE(S31))&gt;=IF(ISNUMBER(R31),MOD(R31,1),TIMEVALUE(R31)),(IF(ISNUMBER(S31),MOD(S31,1),TIMEVALUE(S31))-IF(ISNUMBER(R31),MOD(R31,1),TIMEVALUE(R31)))*1440,(IF(ISNUMBER(S31),MOD(S31,1),TIMEVALUE(S31))+1-IF(ISNUMBER(R31),MOD(R31,1),TIMEVALUE(R31)))*1440)),"")</f>
        <v/>
      </c>
      <c r="AD31" s="100" t="n">
        <v>60</v>
      </c>
      <c r="AE31" s="26">
        <f>IFERROR(IF(OR(AC31="",AD31=""),"",AC31-AD31),"")</f>
        <v/>
      </c>
      <c r="AF31" s="27">
        <f>IFERROR(IF(AE31="","",IF(ROUND(AE31,0)&gt;15,"Subestimacion",IF(ROUND(AE31,0)&lt;-15,"Sobrestimacion","Asertivo"))),"")</f>
        <v/>
      </c>
      <c r="AG31" s="33" t="inlineStr">
        <is>
          <t>Sin Suspensión</t>
        </is>
      </c>
      <c r="AH31" s="33" t="n"/>
      <c r="AI31" s="33" t="n"/>
      <c r="AJ31" s="19" t="n"/>
      <c r="AK31" s="19" t="n"/>
      <c r="AL31" s="19" t="n"/>
      <c r="AM31" s="33" t="inlineStr">
        <is>
          <t>I0001187721</t>
        </is>
      </c>
      <c r="AN31" s="19" t="n"/>
      <c r="AO31" s="19" t="n"/>
      <c r="AP31" s="127">
        <f>IF(A31="","",A31-WEEKDAY(A31,2)+1)</f>
        <v/>
      </c>
      <c r="AQ31" s="127">
        <f>IF(AO31="","",AO31+6)</f>
        <v/>
      </c>
      <c r="AR31" s="19">
        <f>IF(AO31="","","Semana "&amp;TEXT(AO31,"dd-mm-yyyy")&amp;" al "&amp;TEXT(AP31,"dd-mm-yyyy"))</f>
        <v/>
      </c>
      <c r="AS31" s="19">
        <f>IF(A31="","",TEXT(A31,"mmmm yyyy"))</f>
        <v/>
      </c>
      <c r="AT31" s="19">
        <f>IF(A31="","",TEXT(A31,"dddd"))</f>
        <v/>
      </c>
      <c r="AU31" s="19">
        <f>IF(A31="","","CRR-"&amp;TEXT(A31,"yyyymmdd")&amp;"-"&amp;M31&amp;"-"&amp;TEXT(ROW()-3,"0000"))</f>
        <v/>
      </c>
      <c r="AV31" s="19">
        <f>IF(A31="","",IF(OR(B31="",C31="",E31="",F31="",M31="",N31=""),"Revisar campos obligatorios",IF(AND(P31="Atraso primera hora",Q31=""),"Falta justificación atraso primera hora",IF(AND(Z31="No cumple",AA31=""),"Falta justificación recambio &gt;15 min",IF(AND(ISNUMBER(SEARCH("suspend",N31)),OR(AG31="",AH31="")),"Falta causa/motivo suspensión","OK")))))</f>
        <v/>
      </c>
      <c r="AW31" s="19">
        <f>IF(N31="","",IF(ISNUMBER(SEARCH("suspend",N31)),IF(AND(AG31="",AH31=""),"Sin causa/motivo registrado",IF(AG31="",AH31,IF(AH31="",AG31,AG31&amp;": "&amp;AH31))),""))</f>
        <v/>
      </c>
    </row>
    <row r="32" ht="16" customHeight="1" s="151">
      <c r="A32" s="32" t="n">
        <v>46168</v>
      </c>
      <c r="B32" s="33" t="inlineStr">
        <is>
          <t>JUANA ROSA</t>
        </is>
      </c>
      <c r="C32" s="33" t="inlineStr">
        <is>
          <t>FLORES</t>
        </is>
      </c>
      <c r="D32" s="33" t="inlineStr">
        <is>
          <t>43a 9m 11d</t>
        </is>
      </c>
      <c r="E32" s="33" t="inlineStr">
        <is>
          <t>COLECISTECTOMIA POR VIDEOLAPAROSCOPIA, PROC. COMPLETO</t>
        </is>
      </c>
      <c r="F32" s="40" t="inlineStr">
        <is>
          <t>SERVICIO DE CIRUGIA ADULTO</t>
        </is>
      </c>
      <c r="G32" s="19" t="n"/>
      <c r="H32" s="33" t="inlineStr">
        <is>
          <t>1802081-10</t>
        </is>
      </c>
      <c r="I32" s="19" t="n"/>
      <c r="J32" s="20">
        <f>IF(H32&lt;&gt;"",IFERROR(VLOOKUP(IFERROR(LEFT(H32,FIND("-",H32)-1),H32),'Catalogo MINSAL'!A:E,5,FALSE),""),IF(I32&lt;&gt;"",IFERROR(VLOOKUP(IFERROR(LEFT(I32,FIND("-",I32)-1),I32),'Catalogo MINSAL'!A:E,5,FALSE),""),""))</f>
        <v/>
      </c>
      <c r="K32" s="33" t="inlineStr">
        <is>
          <t>Aliana Violeta Morales Ruiz</t>
        </is>
      </c>
      <c r="L32" s="33" t="inlineStr">
        <is>
          <t>Carleny Cordero Lugo</t>
        </is>
      </c>
      <c r="M32" s="33" t="inlineStr">
        <is>
          <t>Quirofano 09</t>
        </is>
      </c>
      <c r="N32" s="33" t="inlineStr">
        <is>
          <t>Atendido</t>
        </is>
      </c>
      <c r="O32" s="34" t="n">
        <v>0.4444444444444444</v>
      </c>
      <c r="P32" s="27">
        <f>IFERROR(IF(OR(O32="",A32="",M32=""),"",IF(SUMPRODUCT(($A$4:$A$500=A32)*($M$4:$M$500=M32)*($O$4:$O$500&lt;&gt;"")*(MOD($O$4:$O$500,1)&lt;MOD(O32,1)))=0,IF(MOD(O32,1)&lt;=TIME(8,15,0),"Ingreso adecuado primera hora","Atraso primera hora"),"No aplica")),"")</f>
        <v/>
      </c>
      <c r="Q32" s="27" t="n"/>
      <c r="R32" s="34" t="n">
        <v>0.46875</v>
      </c>
      <c r="S32" s="34" t="n">
        <v>0.5</v>
      </c>
      <c r="T32" s="34" t="n">
        <v>0.5208333333333334</v>
      </c>
      <c r="U32" s="34">
        <f>IFERROR(VLOOKUP(M32,'Horario Pabellones'!$A$4:$D$17,2,FALSE),"")</f>
        <v/>
      </c>
      <c r="V32" s="34">
        <f>IFERROR(VLOOKUP(M32,'Horario Pabellones'!$A$4:$D$17,3,FALSE),"")</f>
        <v/>
      </c>
      <c r="W32" s="100">
        <f>IFERROR(VLOOKUP(M32,'Horario Pabellones'!$A$4:$D$17,4,FALSE),"")</f>
        <v/>
      </c>
      <c r="X32" s="90">
        <f>IFERROR(IF(OR(A32="",M32="",W32=""),"",(((_xludf.AGGREGATE(14,6,MOD($S$4:$S$500,1)/(($A$4:$A$500=A32)*($M$4:$M$500=M32)*($R$4:$R$500&lt;&gt;"")*($S$4:$S$500&lt;&gt;"")),1)-_xludf.AGGREGATE(15,6,MOD($R$4:$R$500,1)/(($A$4:$A$500=A32)*($M$4:$M$500=M32)*($R$4:$R$500&lt;&gt;"")*($S$4:$S$500&lt;&gt;"")),1))*1440)/60)/(W32/60)),"")</f>
        <v/>
      </c>
      <c r="Y32" s="35">
        <f>IFERROR(IF(OR(O32="",A32="",M32=""),"",(IF(ISNUMBER(O32),MOD(O32,1),TIMEVALUE(O32))-LOOKUP(2,1/(($A$4:$A$500=A32)*($M$4:$M$500=M32)*($T$4:$T$500&lt;&gt;"")*($T$4:$T$500&lt;IF(ISNUMBER(O32),MOD(O32,1),TIMEVALUE(O32)))),$T$4:$T$500))*1440),"")</f>
        <v/>
      </c>
      <c r="Z32" s="27">
        <f>IFERROR(IF(Y32="","",IF(ROUND(Y32,0)&lt;=15,"Cumple","No cumple")),"")</f>
        <v/>
      </c>
      <c r="AA32" s="27" t="n"/>
      <c r="AB32" s="26">
        <f>IFERROR(IF(OR(O32="",R32=""),"",IF(IF(ISNUMBER(R32),MOD(R32,1),TIMEVALUE(R32))&gt;=IF(ISNUMBER(O32),MOD(O32,1),TIMEVALUE(O32)),(IF(ISNUMBER(R32),MOD(R32,1),TIMEVALUE(R32))-IF(ISNUMBER(O32),MOD(O32,1),TIMEVALUE(O32)))*1440,(IF(ISNUMBER(R32),MOD(R32,1),TIMEVALUE(R32))+1-IF(ISNUMBER(O32),MOD(O32,1),TIMEVALUE(O32)))*1440)),"")</f>
        <v/>
      </c>
      <c r="AC32" s="28">
        <f>IFERROR(IF(OR(R32="",S32=""),"",IF(IF(ISNUMBER(S32),MOD(S32,1),TIMEVALUE(S32))&gt;=IF(ISNUMBER(R32),MOD(R32,1),TIMEVALUE(R32)),(IF(ISNUMBER(S32),MOD(S32,1),TIMEVALUE(S32))-IF(ISNUMBER(R32),MOD(R32,1),TIMEVALUE(R32)))*1440,(IF(ISNUMBER(S32),MOD(S32,1),TIMEVALUE(S32))+1-IF(ISNUMBER(R32),MOD(R32,1),TIMEVALUE(R32)))*1440)),"")</f>
        <v/>
      </c>
      <c r="AD32" s="100" t="n">
        <v>45</v>
      </c>
      <c r="AE32" s="26">
        <f>IFERROR(IF(OR(AC32="",AD32=""),"",AC32-AD32),"")</f>
        <v/>
      </c>
      <c r="AF32" s="27">
        <f>IFERROR(IF(AE32="","",IF(ROUND(AE32,0)&gt;15,"Subestimacion",IF(ROUND(AE32,0)&lt;-15,"Sobrestimacion","Asertivo"))),"")</f>
        <v/>
      </c>
      <c r="AG32" s="33" t="inlineStr">
        <is>
          <t>Sin Suspensión</t>
        </is>
      </c>
      <c r="AH32" s="33" t="n"/>
      <c r="AI32" s="33" t="n"/>
      <c r="AJ32" s="19" t="n"/>
      <c r="AK32" s="19" t="n"/>
      <c r="AL32" s="19" t="n"/>
      <c r="AM32" s="33" t="inlineStr">
        <is>
          <t>I0001187723</t>
        </is>
      </c>
      <c r="AN32" s="19" t="n"/>
      <c r="AO32" s="19" t="n"/>
      <c r="AP32" s="127">
        <f>IF(A32="","",A32-WEEKDAY(A32,2)+1)</f>
        <v/>
      </c>
      <c r="AQ32" s="127">
        <f>IF(AO32="","",AO32+6)</f>
        <v/>
      </c>
      <c r="AR32" s="19">
        <f>IF(AO32="","","Semana "&amp;TEXT(AO32,"dd-mm-yyyy")&amp;" al "&amp;TEXT(AP32,"dd-mm-yyyy"))</f>
        <v/>
      </c>
      <c r="AS32" s="19">
        <f>IF(A32="","",TEXT(A32,"mmmm yyyy"))</f>
        <v/>
      </c>
      <c r="AT32" s="19">
        <f>IF(A32="","",TEXT(A32,"dddd"))</f>
        <v/>
      </c>
      <c r="AU32" s="19">
        <f>IF(A32="","","CRR-"&amp;TEXT(A32,"yyyymmdd")&amp;"-"&amp;M32&amp;"-"&amp;TEXT(ROW()-3,"0000"))</f>
        <v/>
      </c>
      <c r="AV32" s="19">
        <f>IF(A32="","",IF(OR(B32="",C32="",E32="",F32="",M32="",N32=""),"Revisar campos obligatorios",IF(AND(P32="Atraso primera hora",Q32=""),"Falta justificación atraso primera hora",IF(AND(Z32="No cumple",AA32=""),"Falta justificación recambio &gt;15 min",IF(AND(ISNUMBER(SEARCH("suspend",N32)),OR(AG32="",AH32="")),"Falta causa/motivo suspensión","OK")))))</f>
        <v/>
      </c>
      <c r="AW32" s="19">
        <f>IF(N32="","",IF(ISNUMBER(SEARCH("suspend",N32)),IF(AND(AG32="",AH32=""),"Sin causa/motivo registrado",IF(AG32="",AH32,IF(AH32="",AG32,AG32&amp;": "&amp;AH32))),""))</f>
        <v/>
      </c>
    </row>
    <row r="33" ht="16" customHeight="1" s="151">
      <c r="A33" s="32" t="n">
        <v>46168</v>
      </c>
      <c r="B33" s="33" t="inlineStr">
        <is>
          <t>MARÍA JOSÉ</t>
        </is>
      </c>
      <c r="C33" s="33" t="inlineStr">
        <is>
          <t>ARIAS</t>
        </is>
      </c>
      <c r="D33" s="33" t="inlineStr">
        <is>
          <t>41a 4m 13d</t>
        </is>
      </c>
      <c r="E33" s="33" t="inlineStr">
        <is>
          <t>COLECISTECTOMIA POR VIDEOLAPAROSCOPIA, PROC. COMPLETO</t>
        </is>
      </c>
      <c r="F33" s="40" t="inlineStr">
        <is>
          <t>SERVICIO DE CIRUGIA ADULTO</t>
        </is>
      </c>
      <c r="G33" s="19" t="n"/>
      <c r="H33" s="33" t="inlineStr">
        <is>
          <t>1802081-10</t>
        </is>
      </c>
      <c r="I33" s="19" t="n"/>
      <c r="J33" s="20">
        <f>IF(H33&lt;&gt;"",IFERROR(VLOOKUP(IFERROR(LEFT(H33,FIND("-",H33)-1),H33),'Catalogo MINSAL'!A:E,5,FALSE),""),IF(I33&lt;&gt;"",IFERROR(VLOOKUP(IFERROR(LEFT(I33,FIND("-",I33)-1),I33),'Catalogo MINSAL'!A:E,5,FALSE),""),""))</f>
        <v/>
      </c>
      <c r="K33" s="33" t="inlineStr">
        <is>
          <t>Aliana Violeta Morales Ruiz</t>
        </is>
      </c>
      <c r="L33" s="33" t="inlineStr">
        <is>
          <t>Jesus Soublett Rivas</t>
        </is>
      </c>
      <c r="M33" s="33" t="inlineStr">
        <is>
          <t>Quirofano 09</t>
        </is>
      </c>
      <c r="N33" s="33" t="inlineStr">
        <is>
          <t>Atendido</t>
        </is>
      </c>
      <c r="O33" s="34" t="n">
        <v>0.53125</v>
      </c>
      <c r="P33" s="27">
        <f>IFERROR(IF(OR(O33="",A33="",M33=""),"",IF(SUMPRODUCT(($A$4:$A$500=A33)*($M$4:$M$500=M33)*($O$4:$O$500&lt;&gt;"")*(MOD($O$4:$O$500,1)&lt;MOD(O33,1)))=0,IF(MOD(O33,1)&lt;=TIME(8,15,0),"Ingreso adecuado primera hora","Atraso primera hora"),"No aplica")),"")</f>
        <v/>
      </c>
      <c r="Q33" s="27" t="n"/>
      <c r="R33" s="34" t="n">
        <v>0.5555555555555556</v>
      </c>
      <c r="S33" s="34" t="n">
        <v>0.5972222222222222</v>
      </c>
      <c r="T33" s="34" t="n">
        <v>0.6152777777777778</v>
      </c>
      <c r="U33" s="34">
        <f>IFERROR(VLOOKUP(M33,'Horario Pabellones'!$A$4:$D$17,2,FALSE),"")</f>
        <v/>
      </c>
      <c r="V33" s="34">
        <f>IFERROR(VLOOKUP(M33,'Horario Pabellones'!$A$4:$D$17,3,FALSE),"")</f>
        <v/>
      </c>
      <c r="W33" s="100">
        <f>IFERROR(VLOOKUP(M33,'Horario Pabellones'!$A$4:$D$17,4,FALSE),"")</f>
        <v/>
      </c>
      <c r="X33" s="90">
        <f>IFERROR(IF(OR(A33="",M33="",W33=""),"",(((_xludf.AGGREGATE(14,6,MOD($S$4:$S$500,1)/(($A$4:$A$500=A33)*($M$4:$M$500=M33)*($R$4:$R$500&lt;&gt;"")*($S$4:$S$500&lt;&gt;"")),1)-_xludf.AGGREGATE(15,6,MOD($R$4:$R$500,1)/(($A$4:$A$500=A33)*($M$4:$M$500=M33)*($R$4:$R$500&lt;&gt;"")*($S$4:$S$500&lt;&gt;"")),1))*1440)/60)/(W33/60)),"")</f>
        <v/>
      </c>
      <c r="Y33" s="35">
        <f>IFERROR(IF(OR(O33="",A33="",M33=""),"",(IF(ISNUMBER(O33),MOD(O33,1),TIMEVALUE(O33))-LOOKUP(2,1/(($A$4:$A$500=A33)*($M$4:$M$500=M33)*($T$4:$T$500&lt;&gt;"")*($T$4:$T$500&lt;IF(ISNUMBER(O33),MOD(O33,1),TIMEVALUE(O33)))),$T$4:$T$500))*1440),"")</f>
        <v/>
      </c>
      <c r="Z33" s="27">
        <f>IFERROR(IF(Y33="","",IF(ROUND(Y33,0)&lt;=15,"Cumple","No cumple")),"")</f>
        <v/>
      </c>
      <c r="AA33" s="27" t="n"/>
      <c r="AB33" s="26">
        <f>IFERROR(IF(OR(O33="",R33=""),"",IF(IF(ISNUMBER(R33),MOD(R33,1),TIMEVALUE(R33))&gt;=IF(ISNUMBER(O33),MOD(O33,1),TIMEVALUE(O33)),(IF(ISNUMBER(R33),MOD(R33,1),TIMEVALUE(R33))-IF(ISNUMBER(O33),MOD(O33,1),TIMEVALUE(O33)))*1440,(IF(ISNUMBER(R33),MOD(R33,1),TIMEVALUE(R33))+1-IF(ISNUMBER(O33),MOD(O33,1),TIMEVALUE(O33)))*1440)),"")</f>
        <v/>
      </c>
      <c r="AC33" s="28">
        <f>IFERROR(IF(OR(R33="",S33=""),"",IF(IF(ISNUMBER(S33),MOD(S33,1),TIMEVALUE(S33))&gt;=IF(ISNUMBER(R33),MOD(R33,1),TIMEVALUE(R33)),(IF(ISNUMBER(S33),MOD(S33,1),TIMEVALUE(S33))-IF(ISNUMBER(R33),MOD(R33,1),TIMEVALUE(R33)))*1440,(IF(ISNUMBER(S33),MOD(S33,1),TIMEVALUE(S33))+1-IF(ISNUMBER(R33),MOD(R33,1),TIMEVALUE(R33)))*1440)),"")</f>
        <v/>
      </c>
      <c r="AD33" s="100" t="n">
        <v>45</v>
      </c>
      <c r="AE33" s="26">
        <f>IFERROR(IF(OR(AC33="",AD33=""),"",AC33-AD33),"")</f>
        <v/>
      </c>
      <c r="AF33" s="27">
        <f>IFERROR(IF(AE33="","",IF(ROUND(AE33,0)&gt;15,"Subestimacion",IF(ROUND(AE33,0)&lt;-15,"Sobrestimacion","Asertivo"))),"")</f>
        <v/>
      </c>
      <c r="AG33" s="33" t="inlineStr">
        <is>
          <t>Sin Suspensión</t>
        </is>
      </c>
      <c r="AH33" s="33" t="n"/>
      <c r="AI33" s="33" t="n"/>
      <c r="AJ33" s="19" t="n"/>
      <c r="AK33" s="19" t="n"/>
      <c r="AL33" s="19" t="n"/>
      <c r="AM33" s="33" t="inlineStr">
        <is>
          <t>I0001187725</t>
        </is>
      </c>
      <c r="AN33" s="19" t="n"/>
      <c r="AO33" s="19" t="n"/>
      <c r="AP33" s="127">
        <f>IF(A33="","",A33-WEEKDAY(A33,2)+1)</f>
        <v/>
      </c>
      <c r="AQ33" s="127">
        <f>IF(AO33="","",AO33+6)</f>
        <v/>
      </c>
      <c r="AR33" s="19">
        <f>IF(AO33="","","Semana "&amp;TEXT(AO33,"dd-mm-yyyy")&amp;" al "&amp;TEXT(AP33,"dd-mm-yyyy"))</f>
        <v/>
      </c>
      <c r="AS33" s="19">
        <f>IF(A33="","",TEXT(A33,"mmmm yyyy"))</f>
        <v/>
      </c>
      <c r="AT33" s="19">
        <f>IF(A33="","",TEXT(A33,"dddd"))</f>
        <v/>
      </c>
      <c r="AU33" s="19">
        <f>IF(A33="","","CRR-"&amp;TEXT(A33,"yyyymmdd")&amp;"-"&amp;M33&amp;"-"&amp;TEXT(ROW()-3,"0000"))</f>
        <v/>
      </c>
      <c r="AV33" s="19">
        <f>IF(A33="","",IF(OR(B33="",C33="",E33="",F33="",M33="",N33=""),"Revisar campos obligatorios",IF(AND(P33="Atraso primera hora",Q33=""),"Falta justificación atraso primera hora",IF(AND(Z33="No cumple",AA33=""),"Falta justificación recambio &gt;15 min",IF(AND(ISNUMBER(SEARCH("suspend",N33)),OR(AG33="",AH33="")),"Falta causa/motivo suspensión","OK")))))</f>
        <v/>
      </c>
      <c r="AW33" s="19">
        <f>IF(N33="","",IF(ISNUMBER(SEARCH("suspend",N33)),IF(AND(AG33="",AH33=""),"Sin causa/motivo registrado",IF(AG33="",AH33,IF(AH33="",AG33,AG33&amp;": "&amp;AH33))),""))</f>
        <v/>
      </c>
    </row>
    <row r="34" ht="16" customHeight="1" s="151">
      <c r="A34" s="32" t="n">
        <v>46168</v>
      </c>
      <c r="B34" s="33" t="inlineStr">
        <is>
          <t>JESSICA ROSARIO</t>
        </is>
      </c>
      <c r="C34" s="33" t="inlineStr">
        <is>
          <t>NORAMBUENA</t>
        </is>
      </c>
      <c r="D34" s="33" t="inlineStr">
        <is>
          <t>48a 5m 9d</t>
        </is>
      </c>
      <c r="E34" s="33" t="inlineStr">
        <is>
          <t>COLECISTECTOMIA POR VIDEOLAPAROSCOPIA, PROC. COMPLETO</t>
        </is>
      </c>
      <c r="F34" s="40" t="inlineStr">
        <is>
          <t>SERVICIO DE CIRUGIA ADULTO</t>
        </is>
      </c>
      <c r="G34" s="19" t="n"/>
      <c r="H34" s="33" t="inlineStr">
        <is>
          <t>1802081-10</t>
        </is>
      </c>
      <c r="I34" s="19" t="n"/>
      <c r="J34" s="20">
        <f>IF(H34&lt;&gt;"",IFERROR(VLOOKUP(IFERROR(LEFT(H34,FIND("-",H34)-1),H34),'Catalogo MINSAL'!A:E,5,FALSE),""),IF(I34&lt;&gt;"",IFERROR(VLOOKUP(IFERROR(LEFT(I34,FIND("-",I34)-1),I34),'Catalogo MINSAL'!A:E,5,FALSE),""),""))</f>
        <v/>
      </c>
      <c r="K34" s="33" t="inlineStr">
        <is>
          <t>Aliana Violeta Morales Ruiz</t>
        </is>
      </c>
      <c r="L34" s="33" t="inlineStr">
        <is>
          <t>Gonzalo Godoy Moya</t>
        </is>
      </c>
      <c r="M34" s="33" t="inlineStr">
        <is>
          <t>Quirofano 09</t>
        </is>
      </c>
      <c r="N34" s="33" t="inlineStr">
        <is>
          <t>Atendido</t>
        </is>
      </c>
      <c r="O34" s="34" t="n">
        <v>0.625</v>
      </c>
      <c r="P34" s="27">
        <f>IFERROR(IF(OR(O34="",A34="",M34=""),"",IF(SUMPRODUCT(($A$4:$A$500=A34)*($M$4:$M$500=M34)*($O$4:$O$500&lt;&gt;"")*(MOD($O$4:$O$500,1)&lt;MOD(O34,1)))=0,IF(MOD(O34,1)&lt;=TIME(8,15,0),"Ingreso adecuado primera hora","Atraso primera hora"),"No aplica")),"")</f>
        <v/>
      </c>
      <c r="Q34" s="27" t="n"/>
      <c r="R34" s="34" t="n">
        <v>0.6513888888888889</v>
      </c>
      <c r="S34" s="34" t="n">
        <v>0.6763888888888889</v>
      </c>
      <c r="T34" s="34" t="n">
        <v>0.6923611111111111</v>
      </c>
      <c r="U34" s="34">
        <f>IFERROR(VLOOKUP(M34,'Horario Pabellones'!$A$4:$D$17,2,FALSE),"")</f>
        <v/>
      </c>
      <c r="V34" s="34">
        <f>IFERROR(VLOOKUP(M34,'Horario Pabellones'!$A$4:$D$17,3,FALSE),"")</f>
        <v/>
      </c>
      <c r="W34" s="100">
        <f>IFERROR(VLOOKUP(M34,'Horario Pabellones'!$A$4:$D$17,4,FALSE),"")</f>
        <v/>
      </c>
      <c r="X34" s="90">
        <f>IFERROR(IF(OR(A34="",M34="",W34=""),"",(((_xludf.AGGREGATE(14,6,MOD($S$4:$S$500,1)/(($A$4:$A$500=A34)*($M$4:$M$500=M34)*($R$4:$R$500&lt;&gt;"")*($S$4:$S$500&lt;&gt;"")),1)-_xludf.AGGREGATE(15,6,MOD($R$4:$R$500,1)/(($A$4:$A$500=A34)*($M$4:$M$500=M34)*($R$4:$R$500&lt;&gt;"")*($S$4:$S$500&lt;&gt;"")),1))*1440)/60)/(W34/60)),"")</f>
        <v/>
      </c>
      <c r="Y34" s="35">
        <f>IFERROR(IF(OR(O34="",A34="",M34=""),"",(IF(ISNUMBER(O34),MOD(O34,1),TIMEVALUE(O34))-LOOKUP(2,1/(($A$4:$A$500=A34)*($M$4:$M$500=M34)*($T$4:$T$500&lt;&gt;"")*($T$4:$T$500&lt;IF(ISNUMBER(O34),MOD(O34,1),TIMEVALUE(O34)))),$T$4:$T$500))*1440),"")</f>
        <v/>
      </c>
      <c r="Z34" s="27">
        <f>IFERROR(IF(Y34="","",IF(ROUND(Y34,0)&lt;=15,"Cumple","No cumple")),"")</f>
        <v/>
      </c>
      <c r="AA34" s="27" t="n"/>
      <c r="AB34" s="26">
        <f>IFERROR(IF(OR(O34="",R34=""),"",IF(IF(ISNUMBER(R34),MOD(R34,1),TIMEVALUE(R34))&gt;=IF(ISNUMBER(O34),MOD(O34,1),TIMEVALUE(O34)),(IF(ISNUMBER(R34),MOD(R34,1),TIMEVALUE(R34))-IF(ISNUMBER(O34),MOD(O34,1),TIMEVALUE(O34)))*1440,(IF(ISNUMBER(R34),MOD(R34,1),TIMEVALUE(R34))+1-IF(ISNUMBER(O34),MOD(O34,1),TIMEVALUE(O34)))*1440)),"")</f>
        <v/>
      </c>
      <c r="AC34" s="28">
        <f>IFERROR(IF(OR(R34="",S34=""),"",IF(IF(ISNUMBER(S34),MOD(S34,1),TIMEVALUE(S34))&gt;=IF(ISNUMBER(R34),MOD(R34,1),TIMEVALUE(R34)),(IF(ISNUMBER(S34),MOD(S34,1),TIMEVALUE(S34))-IF(ISNUMBER(R34),MOD(R34,1),TIMEVALUE(R34)))*1440,(IF(ISNUMBER(S34),MOD(S34,1),TIMEVALUE(S34))+1-IF(ISNUMBER(R34),MOD(R34,1),TIMEVALUE(R34)))*1440)),"")</f>
        <v/>
      </c>
      <c r="AD34" s="100" t="n">
        <v>45</v>
      </c>
      <c r="AE34" s="26">
        <f>IFERROR(IF(OR(AC34="",AD34=""),"",AC34-AD34),"")</f>
        <v/>
      </c>
      <c r="AF34" s="27">
        <f>IFERROR(IF(AE34="","",IF(ROUND(AE34,0)&gt;15,"Subestimacion",IF(ROUND(AE34,0)&lt;-15,"Sobrestimacion","Asertivo"))),"")</f>
        <v/>
      </c>
      <c r="AG34" s="33" t="inlineStr">
        <is>
          <t>Sin Suspensión</t>
        </is>
      </c>
      <c r="AH34" s="33" t="n"/>
      <c r="AI34" s="33" t="n"/>
      <c r="AJ34" s="19" t="n"/>
      <c r="AK34" s="19" t="n"/>
      <c r="AL34" s="19" t="n"/>
      <c r="AM34" s="33" t="inlineStr">
        <is>
          <t>I0001187724</t>
        </is>
      </c>
      <c r="AN34" s="19" t="n"/>
      <c r="AO34" s="19" t="n"/>
      <c r="AP34" s="127">
        <f>IF(A34="","",A34-WEEKDAY(A34,2)+1)</f>
        <v/>
      </c>
      <c r="AQ34" s="127">
        <f>IF(AO34="","",AO34+6)</f>
        <v/>
      </c>
      <c r="AR34" s="19">
        <f>IF(AO34="","","Semana "&amp;TEXT(AO34,"dd-mm-yyyy")&amp;" al "&amp;TEXT(AP34,"dd-mm-yyyy"))</f>
        <v/>
      </c>
      <c r="AS34" s="19">
        <f>IF(A34="","",TEXT(A34,"mmmm yyyy"))</f>
        <v/>
      </c>
      <c r="AT34" s="19">
        <f>IF(A34="","",TEXT(A34,"dddd"))</f>
        <v/>
      </c>
      <c r="AU34" s="19">
        <f>IF(A34="","","CRR-"&amp;TEXT(A34,"yyyymmdd")&amp;"-"&amp;M34&amp;"-"&amp;TEXT(ROW()-3,"0000"))</f>
        <v/>
      </c>
      <c r="AV34" s="19">
        <f>IF(A34="","",IF(OR(B34="",C34="",E34="",F34="",M34="",N34=""),"Revisar campos obligatorios",IF(AND(P34="Atraso primera hora",Q34=""),"Falta justificación atraso primera hora",IF(AND(Z34="No cumple",AA34=""),"Falta justificación recambio &gt;15 min",IF(AND(ISNUMBER(SEARCH("suspend",N34)),OR(AG34="",AH34="")),"Falta causa/motivo suspensión","OK")))))</f>
        <v/>
      </c>
      <c r="AW34" s="19">
        <f>IF(N34="","",IF(ISNUMBER(SEARCH("suspend",N34)),IF(AND(AG34="",AH34=""),"Sin causa/motivo registrado",IF(AG34="",AH34,IF(AH34="",AG34,AG34&amp;": "&amp;AH34))),""))</f>
        <v/>
      </c>
    </row>
    <row r="35" ht="16" customHeight="1" s="151">
      <c r="A35" s="32" t="n">
        <v>46168</v>
      </c>
      <c r="B35" s="33" t="inlineStr">
        <is>
          <t>BEATRIZ SOLEDAD</t>
        </is>
      </c>
      <c r="C35" s="33" t="inlineStr">
        <is>
          <t>ROSALES</t>
        </is>
      </c>
      <c r="D35" s="33" t="inlineStr">
        <is>
          <t>50a 8m 10d</t>
        </is>
      </c>
      <c r="E35" s="33" t="inlineStr">
        <is>
          <t>COLECISTECTOMIA POR VIDEOLAPAROSCOPIA, PROC. COMPLETO</t>
        </is>
      </c>
      <c r="F35" s="40" t="inlineStr">
        <is>
          <t>SERVICIO DE CIRUGIA ADULTO</t>
        </is>
      </c>
      <c r="G35" s="19" t="n"/>
      <c r="H35" s="33" t="inlineStr">
        <is>
          <t>1802081-10</t>
        </is>
      </c>
      <c r="I35" s="19" t="n"/>
      <c r="J35" s="20">
        <f>IF(H35&lt;&gt;"",IFERROR(VLOOKUP(IFERROR(LEFT(H35,FIND("-",H35)-1),H35),'Catalogo MINSAL'!A:E,5,FALSE),""),IF(I35&lt;&gt;"",IFERROR(VLOOKUP(IFERROR(LEFT(I35,FIND("-",I35)-1),I35),'Catalogo MINSAL'!A:E,5,FALSE),""),""))</f>
        <v/>
      </c>
      <c r="K35" s="33" t="inlineStr">
        <is>
          <t>Aliana Violeta Morales Ruiz</t>
        </is>
      </c>
      <c r="L35" s="33" t="inlineStr">
        <is>
          <t>Gonzalo Godoy Moya</t>
        </is>
      </c>
      <c r="M35" s="33" t="inlineStr">
        <is>
          <t>Quirofano 09</t>
        </is>
      </c>
      <c r="N35" s="33" t="inlineStr">
        <is>
          <t>Recepcionado</t>
        </is>
      </c>
      <c r="O35" s="34" t="n">
        <v>0.7027777777777777</v>
      </c>
      <c r="P35" s="27">
        <f>IFERROR(IF(OR(O35="",A35="",M35=""),"",IF(SUMPRODUCT(($A$4:$A$500=A35)*($M$4:$M$500=M35)*($O$4:$O$500&lt;&gt;"")*(MOD($O$4:$O$500,1)&lt;MOD(O35,1)))=0,IF(MOD(O35,1)&lt;=TIME(8,15,0),"Ingreso adecuado primera hora","Atraso primera hora"),"No aplica")),"")</f>
        <v/>
      </c>
      <c r="Q35" s="27" t="n"/>
      <c r="R35" s="34" t="n">
        <v>0.7430555555555556</v>
      </c>
      <c r="S35" s="34" t="n">
        <v>0.7638888888888888</v>
      </c>
      <c r="T35" s="34" t="n">
        <v>0.7743055555555556</v>
      </c>
      <c r="U35" s="34">
        <f>IFERROR(VLOOKUP(M35,'Horario Pabellones'!$A$4:$D$17,2,FALSE),"")</f>
        <v/>
      </c>
      <c r="V35" s="34">
        <f>IFERROR(VLOOKUP(M35,'Horario Pabellones'!$A$4:$D$17,3,FALSE),"")</f>
        <v/>
      </c>
      <c r="W35" s="100">
        <f>IFERROR(VLOOKUP(M35,'Horario Pabellones'!$A$4:$D$17,4,FALSE),"")</f>
        <v/>
      </c>
      <c r="X35" s="90">
        <f>IFERROR(IF(OR(A35="",M35="",W35=""),"",(((_xludf.AGGREGATE(14,6,MOD($S$4:$S$500,1)/(($A$4:$A$500=A35)*($M$4:$M$500=M35)*($R$4:$R$500&lt;&gt;"")*($S$4:$S$500&lt;&gt;"")),1)-_xludf.AGGREGATE(15,6,MOD($R$4:$R$500,1)/(($A$4:$A$500=A35)*($M$4:$M$500=M35)*($R$4:$R$500&lt;&gt;"")*($S$4:$S$500&lt;&gt;"")),1))*1440)/60)/(W35/60)),"")</f>
        <v/>
      </c>
      <c r="Y35" s="35">
        <f>IFERROR(IF(OR(O35="",A35="",M35=""),"",(IF(ISNUMBER(O35),MOD(O35,1),TIMEVALUE(O35))-LOOKUP(2,1/(($A$4:$A$500=A35)*($M$4:$M$500=M35)*($T$4:$T$500&lt;&gt;"")*($T$4:$T$500&lt;IF(ISNUMBER(O35),MOD(O35,1),TIMEVALUE(O35)))),$T$4:$T$500))*1440),"")</f>
        <v/>
      </c>
      <c r="Z35" s="27">
        <f>IFERROR(IF(Y35="","",IF(ROUND(Y35,0)&lt;=15,"Cumple","No cumple")),"")</f>
        <v/>
      </c>
      <c r="AA35" s="27" t="n"/>
      <c r="AB35" s="26">
        <f>IFERROR(IF(OR(O35="",R35=""),"",IF(IF(ISNUMBER(R35),MOD(R35,1),TIMEVALUE(R35))&gt;=IF(ISNUMBER(O35),MOD(O35,1),TIMEVALUE(O35)),(IF(ISNUMBER(R35),MOD(R35,1),TIMEVALUE(R35))-IF(ISNUMBER(O35),MOD(O35,1),TIMEVALUE(O35)))*1440,(IF(ISNUMBER(R35),MOD(R35,1),TIMEVALUE(R35))+1-IF(ISNUMBER(O35),MOD(O35,1),TIMEVALUE(O35)))*1440)),"")</f>
        <v/>
      </c>
      <c r="AC35" s="28">
        <f>IFERROR(IF(OR(R35="",S35=""),"",IF(IF(ISNUMBER(S35),MOD(S35,1),TIMEVALUE(S35))&gt;=IF(ISNUMBER(R35),MOD(R35,1),TIMEVALUE(R35)),(IF(ISNUMBER(S35),MOD(S35,1),TIMEVALUE(S35))-IF(ISNUMBER(R35),MOD(R35,1),TIMEVALUE(R35)))*1440,(IF(ISNUMBER(S35),MOD(S35,1),TIMEVALUE(S35))+1-IF(ISNUMBER(R35),MOD(R35,1),TIMEVALUE(R35)))*1440)),"")</f>
        <v/>
      </c>
      <c r="AD35" s="100" t="n">
        <v>40</v>
      </c>
      <c r="AE35" s="26">
        <f>IFERROR(IF(OR(AC35="",AD35=""),"",AC35-AD35),"")</f>
        <v/>
      </c>
      <c r="AF35" s="27">
        <f>IFERROR(IF(AE35="","",IF(ROUND(AE35,0)&gt;15,"Subestimacion",IF(ROUND(AE35,0)&lt;-15,"Sobrestimacion","Asertivo"))),"")</f>
        <v/>
      </c>
      <c r="AG35" s="33" t="inlineStr">
        <is>
          <t>Sin Suspensión</t>
        </is>
      </c>
      <c r="AH35" s="33" t="n"/>
      <c r="AI35" s="33" t="n"/>
      <c r="AJ35" s="19" t="n"/>
      <c r="AK35" s="19" t="n"/>
      <c r="AL35" s="19" t="n"/>
      <c r="AM35" s="33" t="inlineStr">
        <is>
          <t>I0001187726</t>
        </is>
      </c>
      <c r="AN35" s="19" t="n"/>
      <c r="AO35" s="19" t="n"/>
      <c r="AP35" s="127">
        <f>IF(A35="","",A35-WEEKDAY(A35,2)+1)</f>
        <v/>
      </c>
      <c r="AQ35" s="127">
        <f>IF(AO35="","",AO35+6)</f>
        <v/>
      </c>
      <c r="AR35" s="19">
        <f>IF(AO35="","","Semana "&amp;TEXT(AO35,"dd-mm-yyyy")&amp;" al "&amp;TEXT(AP35,"dd-mm-yyyy"))</f>
        <v/>
      </c>
      <c r="AS35" s="19">
        <f>IF(A35="","",TEXT(A35,"mmmm yyyy"))</f>
        <v/>
      </c>
      <c r="AT35" s="19">
        <f>IF(A35="","",TEXT(A35,"dddd"))</f>
        <v/>
      </c>
      <c r="AU35" s="19">
        <f>IF(A35="","","CRR-"&amp;TEXT(A35,"yyyymmdd")&amp;"-"&amp;M35&amp;"-"&amp;TEXT(ROW()-3,"0000"))</f>
        <v/>
      </c>
      <c r="AV35" s="19">
        <f>IF(A35="","",IF(OR(B35="",C35="",E35="",F35="",M35="",N35=""),"Revisar campos obligatorios",IF(AND(P35="Atraso primera hora",Q35=""),"Falta justificación atraso primera hora",IF(AND(Z35="No cumple",AA35=""),"Falta justificación recambio &gt;15 min",IF(AND(ISNUMBER(SEARCH("suspend",N35)),OR(AG35="",AH35="")),"Falta causa/motivo suspensión","OK")))))</f>
        <v/>
      </c>
      <c r="AW35" s="19">
        <f>IF(N35="","",IF(ISNUMBER(SEARCH("suspend",N35)),IF(AND(AG35="",AH35=""),"Sin causa/motivo registrado",IF(AG35="",AH35,IF(AH35="",AG35,AG35&amp;": "&amp;AH35))),""))</f>
        <v/>
      </c>
    </row>
    <row r="36" ht="16" customHeight="1" s="151">
      <c r="A36" s="32" t="n">
        <v>46168</v>
      </c>
      <c r="B36" s="33" t="inlineStr">
        <is>
          <t>RUTH XIMENA</t>
        </is>
      </c>
      <c r="C36" s="33" t="inlineStr">
        <is>
          <t>DOMINGUAL</t>
        </is>
      </c>
      <c r="D36" s="33" t="inlineStr">
        <is>
          <t>41a 3m 27d</t>
        </is>
      </c>
      <c r="E36" s="33" t="inlineStr">
        <is>
          <t>COLECISTECTOMIA POR VIDEOLAPAROSCOPIA, PROC. COMPLETO</t>
        </is>
      </c>
      <c r="F36" s="40" t="inlineStr">
        <is>
          <t>SERVICIO DE CIRUGIA ADULTO</t>
        </is>
      </c>
      <c r="G36" s="19" t="n"/>
      <c r="H36" s="33" t="inlineStr">
        <is>
          <t>1802081-10</t>
        </is>
      </c>
      <c r="I36" s="19" t="n"/>
      <c r="J36" s="20">
        <f>IF(H36&lt;&gt;"",IFERROR(VLOOKUP(IFERROR(LEFT(H36,FIND("-",H36)-1),H36),'Catalogo MINSAL'!A:E,5,FALSE),""),IF(I36&lt;&gt;"",IFERROR(VLOOKUP(IFERROR(LEFT(I36,FIND("-",I36)-1),I36),'Catalogo MINSAL'!A:E,5,FALSE),""),""))</f>
        <v/>
      </c>
      <c r="K36" s="33" t="inlineStr">
        <is>
          <t>Aliana Violeta Morales Ruiz</t>
        </is>
      </c>
      <c r="L36" s="33" t="inlineStr">
        <is>
          <t>Gonzalo Godoy Moya</t>
        </is>
      </c>
      <c r="M36" s="33" t="inlineStr">
        <is>
          <t>Quirofano 09</t>
        </is>
      </c>
      <c r="N36" s="33" t="inlineStr">
        <is>
          <t>Suspendido</t>
        </is>
      </c>
      <c r="O36" s="37" t="n"/>
      <c r="P36" s="27">
        <f>IFERROR(IF(OR(O36="",A36="",M36=""),"",IF(SUMPRODUCT(($A$4:$A$500=A36)*($M$4:$M$500=M36)*($O$4:$O$500&lt;&gt;"")*(MOD($O$4:$O$500,1)&lt;MOD(O36,1)))=0,IF(MOD(O36,1)&lt;=TIME(8,15,0),"Ingreso adecuado primera hora","Atraso primera hora"),"No aplica")),"")</f>
        <v/>
      </c>
      <c r="Q36" s="27" t="n"/>
      <c r="R36" s="37" t="n"/>
      <c r="S36" s="37" t="n"/>
      <c r="T36" s="37" t="n"/>
      <c r="U36" s="34">
        <f>IFERROR(VLOOKUP(M36,'Horario Pabellones'!$A$4:$D$17,2,FALSE),"")</f>
        <v/>
      </c>
      <c r="V36" s="34">
        <f>IFERROR(VLOOKUP(M36,'Horario Pabellones'!$A$4:$D$17,3,FALSE),"")</f>
        <v/>
      </c>
      <c r="W36" s="101">
        <f>IFERROR(VLOOKUP(M36,'Horario Pabellones'!$A$4:$D$17,4,FALSE),"")</f>
        <v/>
      </c>
      <c r="X36" s="91">
        <f>IFERROR(IF(OR(A36="",M36="",W36=""),"",(((_xludf.AGGREGATE(14,6,MOD($S$4:$S$500,1)/(($A$4:$A$500=A36)*($M$4:$M$500=M36)*($R$4:$R$500&lt;&gt;"")*($S$4:$S$500&lt;&gt;"")),1)-_xludf.AGGREGATE(15,6,MOD($R$4:$R$500,1)/(($A$4:$A$500=A36)*($M$4:$M$500=M36)*($R$4:$R$500&lt;&gt;"")*($S$4:$S$500&lt;&gt;"")),1))*1440)/60)/(W36/60)),"")</f>
        <v/>
      </c>
      <c r="Y36" s="41">
        <f>IFERROR(IF(OR(O36="",A36="",M36=""),"",(IF(ISNUMBER(O36),MOD(O36,1),TIMEVALUE(O36))-LOOKUP(2,1/(($A$4:$A$500=A36)*($M$4:$M$500=M36)*($T$4:$T$500&lt;&gt;"")*($T$4:$T$500&lt;IF(ISNUMBER(O36),MOD(O36,1),TIMEVALUE(O36)))),$T$4:$T$500))*1440),"")</f>
        <v/>
      </c>
      <c r="Z36" s="27">
        <f>IFERROR(IF(Y36="","",IF(ROUND(Y36,0)&lt;=15,"Cumple","No cumple")),"")</f>
        <v/>
      </c>
      <c r="AA36" s="27" t="n"/>
      <c r="AB36" s="26">
        <f>IFERROR(IF(OR(O36="",R36=""),"",IF(IF(ISNUMBER(R36),MOD(R36,1),TIMEVALUE(R36))&gt;=IF(ISNUMBER(O36),MOD(O36,1),TIMEVALUE(O36)),(IF(ISNUMBER(R36),MOD(R36,1),TIMEVALUE(R36))-IF(ISNUMBER(O36),MOD(O36,1),TIMEVALUE(O36)))*1440,(IF(ISNUMBER(R36),MOD(R36,1),TIMEVALUE(R36))+1-IF(ISNUMBER(O36),MOD(O36,1),TIMEVALUE(O36)))*1440)),"")</f>
        <v/>
      </c>
      <c r="AC36" s="28">
        <f>IFERROR(IF(OR(R36="",S36=""),"",IF(IF(ISNUMBER(S36),MOD(S36,1),TIMEVALUE(S36))&gt;=IF(ISNUMBER(R36),MOD(R36,1),TIMEVALUE(R36)),(IF(ISNUMBER(S36),MOD(S36,1),TIMEVALUE(S36))-IF(ISNUMBER(R36),MOD(R36,1),TIMEVALUE(R36)))*1440,(IF(ISNUMBER(S36),MOD(S36,1),TIMEVALUE(S36))+1-IF(ISNUMBER(R36),MOD(R36,1),TIMEVALUE(R36)))*1440)),"")</f>
        <v/>
      </c>
      <c r="AD36" s="100" t="n">
        <v>60</v>
      </c>
      <c r="AE36" s="26">
        <f>IFERROR(IF(OR(AC36="",AD36=""),"",AC36-AD36),"")</f>
        <v/>
      </c>
      <c r="AF36" s="27">
        <f>IFERROR(IF(AE36="","",IF(ROUND(AE36,0)&gt;15,"Subestimacion",IF(ROUND(AE36,0)&lt;-15,"Sobrestimacion","Asertivo"))),"")</f>
        <v/>
      </c>
      <c r="AG36" s="42" t="inlineStr">
        <is>
          <t>Error de programación</t>
        </is>
      </c>
      <c r="AH36" s="42" t="n"/>
      <c r="AI36" s="42" t="n"/>
      <c r="AJ36" s="19" t="n"/>
      <c r="AK36" s="19" t="n"/>
      <c r="AL36" s="19" t="n"/>
      <c r="AM36" s="33" t="inlineStr">
        <is>
          <t>I0001187728</t>
        </is>
      </c>
      <c r="AN36" s="19" t="n"/>
      <c r="AO36" s="19" t="n"/>
      <c r="AP36" s="127">
        <f>IF(A36="","",A36-WEEKDAY(A36,2)+1)</f>
        <v/>
      </c>
      <c r="AQ36" s="127">
        <f>IF(AO36="","",AO36+6)</f>
        <v/>
      </c>
      <c r="AR36" s="19">
        <f>IF(AO36="","","Semana "&amp;TEXT(AO36,"dd-mm-yyyy")&amp;" al "&amp;TEXT(AP36,"dd-mm-yyyy"))</f>
        <v/>
      </c>
      <c r="AS36" s="19">
        <f>IF(A36="","",TEXT(A36,"mmmm yyyy"))</f>
        <v/>
      </c>
      <c r="AT36" s="19">
        <f>IF(A36="","",TEXT(A36,"dddd"))</f>
        <v/>
      </c>
      <c r="AU36" s="19">
        <f>IF(A36="","","CRR-"&amp;TEXT(A36,"yyyymmdd")&amp;"-"&amp;M36&amp;"-"&amp;TEXT(ROW()-3,"0000"))</f>
        <v/>
      </c>
      <c r="AV36" s="19">
        <f>IF(A36="","",IF(OR(B36="",C36="",E36="",F36="",M36="",N36=""),"Revisar campos obligatorios",IF(AND(P36="Atraso primera hora",Q36=""),"Falta justificación atraso primera hora",IF(AND(Z36="No cumple",AA36=""),"Falta justificación recambio &gt;15 min",IF(AND(ISNUMBER(SEARCH("suspend",N36)),OR(AG36="",AH36="")),"Falta causa/motivo suspensión","OK")))))</f>
        <v/>
      </c>
      <c r="AW36" s="19">
        <f>IF(N36="","",IF(ISNUMBER(SEARCH("suspend",N36)),IF(AND(AG36="",AH36=""),"Sin causa/motivo registrado",IF(AG36="",AH36,IF(AH36="",AG36,AG36&amp;": "&amp;AH36))),""))</f>
        <v/>
      </c>
    </row>
    <row r="37" ht="16" customHeight="1" s="151">
      <c r="A37" s="32" t="n">
        <v>46169</v>
      </c>
      <c r="B37" s="33" t="inlineStr">
        <is>
          <t>SALVADOR ALONSO</t>
        </is>
      </c>
      <c r="C37" s="33" t="inlineStr">
        <is>
          <t>SILVA</t>
        </is>
      </c>
      <c r="D37" s="33" t="inlineStr">
        <is>
          <t>3a 11m 14d</t>
        </is>
      </c>
      <c r="E37" s="33" t="inlineStr">
        <is>
          <t>AMIGDALECTOMIA C/S ADENOIDECTOMIA, UNI O BILATERAL</t>
        </is>
      </c>
      <c r="F37" s="40" t="inlineStr">
        <is>
          <t>SERVICIO DE CIRUGIA ADULTO</t>
        </is>
      </c>
      <c r="G37" s="19" t="n"/>
      <c r="H37" s="33" t="inlineStr">
        <is>
          <t>1302029-5</t>
        </is>
      </c>
      <c r="I37" s="19" t="n"/>
      <c r="J37" s="20">
        <f>IF(H37&lt;&gt;"",IFERROR(VLOOKUP(IFERROR(LEFT(H37,FIND("-",H37)-1),H37),'Catalogo MINSAL'!A:E,5,FALSE),""),IF(I37&lt;&gt;"",IFERROR(VLOOKUP(IFERROR(LEFT(I37,FIND("-",I37)-1),I37),'Catalogo MINSAL'!A:E,5,FALSE),""),""))</f>
        <v/>
      </c>
      <c r="K37" s="33" t="inlineStr">
        <is>
          <t>Jackeline Nuñez</t>
        </is>
      </c>
      <c r="L37" s="33" t="inlineStr">
        <is>
          <t>Dr. Pablo Acuña Espinoza</t>
        </is>
      </c>
      <c r="M37" s="33" t="inlineStr">
        <is>
          <t>Quirofano 06</t>
        </is>
      </c>
      <c r="N37" s="33" t="inlineStr">
        <is>
          <t>Atendido</t>
        </is>
      </c>
      <c r="O37" s="34" t="n">
        <v>0.375</v>
      </c>
      <c r="P37" s="27">
        <f>IFERROR(IF(OR(O37="",A37="",M37=""),"",IF(SUMPRODUCT(($A$4:$A$500=A37)*($M$4:$M$500=M37)*($O$4:$O$500&lt;&gt;"")*(MOD($O$4:$O$500,1)&lt;MOD(O37,1)))=0,IF(MOD(O37,1)&lt;=TIME(8,15,0),"Ingreso adecuado primera hora","Atraso primera hora"),"No aplica")),"")</f>
        <v/>
      </c>
      <c r="Q37" s="27" t="n"/>
      <c r="R37" s="34" t="n">
        <v>0.3784722222222222</v>
      </c>
      <c r="S37" s="34" t="n">
        <v>0.3958333333333333</v>
      </c>
      <c r="T37" s="34" t="n">
        <v>0.4097222222222222</v>
      </c>
      <c r="U37" s="34">
        <f>IFERROR(VLOOKUP(M37,'Horario Pabellones'!$A$4:$D$17,2,FALSE),"")</f>
        <v/>
      </c>
      <c r="V37" s="34">
        <f>IFERROR(VLOOKUP(M37,'Horario Pabellones'!$A$4:$D$17,3,FALSE),"")</f>
        <v/>
      </c>
      <c r="W37" s="100">
        <f>IFERROR(VLOOKUP(M37,'Horario Pabellones'!$A$4:$D$17,4,FALSE),"")</f>
        <v/>
      </c>
      <c r="X37" s="90">
        <f>IFERROR(IF(OR(A37="",M37="",W37=""),"",(((_xludf.AGGREGATE(14,6,MOD($S$4:$S$500,1)/(($A$4:$A$500=A37)*($M$4:$M$500=M37)*($R$4:$R$500&lt;&gt;"")*($S$4:$S$500&lt;&gt;"")),1)-_xludf.AGGREGATE(15,6,MOD($R$4:$R$500,1)/(($A$4:$A$500=A37)*($M$4:$M$500=M37)*($R$4:$R$500&lt;&gt;"")*($S$4:$S$500&lt;&gt;"")),1))*1440)/60)/(W37/60)),"")</f>
        <v/>
      </c>
      <c r="Y37" s="35">
        <f>IFERROR(IF(OR(O37="",A37="",M37=""),"",(IF(ISNUMBER(O37),MOD(O37,1),TIMEVALUE(O37))-LOOKUP(2,1/(($A$4:$A$500=A37)*($M$4:$M$500=M37)*($T$4:$T$500&lt;&gt;"")*($T$4:$T$500&lt;IF(ISNUMBER(O37),MOD(O37,1),TIMEVALUE(O37)))),$T$4:$T$500))*1440),"")</f>
        <v/>
      </c>
      <c r="Z37" s="27">
        <f>IFERROR(IF(Y37="","",IF(ROUND(Y37,0)&lt;=15,"Cumple","No cumple")),"")</f>
        <v/>
      </c>
      <c r="AA37" s="27" t="n"/>
      <c r="AB37" s="26">
        <f>IFERROR(IF(OR(O37="",R37=""),"",IF(IF(ISNUMBER(R37),MOD(R37,1),TIMEVALUE(R37))&gt;=IF(ISNUMBER(O37),MOD(O37,1),TIMEVALUE(O37)),(IF(ISNUMBER(R37),MOD(R37,1),TIMEVALUE(R37))-IF(ISNUMBER(O37),MOD(O37,1),TIMEVALUE(O37)))*1440,(IF(ISNUMBER(R37),MOD(R37,1),TIMEVALUE(R37))+1-IF(ISNUMBER(O37),MOD(O37,1),TIMEVALUE(O37)))*1440)),"")</f>
        <v/>
      </c>
      <c r="AC37" s="28">
        <f>IFERROR(IF(OR(R37="",S37=""),"",IF(IF(ISNUMBER(S37),MOD(S37,1),TIMEVALUE(S37))&gt;=IF(ISNUMBER(R37),MOD(R37,1),TIMEVALUE(R37)),(IF(ISNUMBER(S37),MOD(S37,1),TIMEVALUE(S37))-IF(ISNUMBER(R37),MOD(R37,1),TIMEVALUE(R37)))*1440,(IF(ISNUMBER(S37),MOD(S37,1),TIMEVALUE(S37))+1-IF(ISNUMBER(R37),MOD(R37,1),TIMEVALUE(R37)))*1440)),"")</f>
        <v/>
      </c>
      <c r="AD37" s="100" t="n">
        <v>60</v>
      </c>
      <c r="AE37" s="26">
        <f>IFERROR(IF(OR(AC37="",AD37=""),"",AC37-AD37),"")</f>
        <v/>
      </c>
      <c r="AF37" s="27">
        <f>IFERROR(IF(AE37="","",IF(ROUND(AE37,0)&gt;15,"Subestimacion",IF(ROUND(AE37,0)&lt;-15,"Sobrestimacion","Asertivo"))),"")</f>
        <v/>
      </c>
      <c r="AG37" s="33" t="inlineStr">
        <is>
          <t>Sin Suspensión</t>
        </is>
      </c>
      <c r="AH37" s="33" t="n"/>
      <c r="AI37" s="33" t="n"/>
      <c r="AJ37" s="19" t="n"/>
      <c r="AK37" s="19" t="n"/>
      <c r="AL37" s="19" t="n"/>
      <c r="AM37" s="33" t="inlineStr">
        <is>
          <t>I0001188095</t>
        </is>
      </c>
      <c r="AN37" s="19" t="n"/>
      <c r="AO37" s="19" t="n"/>
      <c r="AP37" s="127">
        <f>IF(A37="","",A37-WEEKDAY(A37,2)+1)</f>
        <v/>
      </c>
      <c r="AQ37" s="127">
        <f>IF(AO37="","",AO37+6)</f>
        <v/>
      </c>
      <c r="AR37" s="19">
        <f>IF(AO37="","","Semana "&amp;TEXT(AO37,"dd-mm-yyyy")&amp;" al "&amp;TEXT(AP37,"dd-mm-yyyy"))</f>
        <v/>
      </c>
      <c r="AS37" s="19">
        <f>IF(A37="","",TEXT(A37,"mmmm yyyy"))</f>
        <v/>
      </c>
      <c r="AT37" s="19">
        <f>IF(A37="","",TEXT(A37,"dddd"))</f>
        <v/>
      </c>
      <c r="AU37" s="19">
        <f>IF(A37="","","CRR-"&amp;TEXT(A37,"yyyymmdd")&amp;"-"&amp;M37&amp;"-"&amp;TEXT(ROW()-3,"0000"))</f>
        <v/>
      </c>
      <c r="AV37" s="19">
        <f>IF(A37="","",IF(OR(B37="",C37="",E37="",F37="",M37="",N37=""),"Revisar campos obligatorios",IF(AND(P37="Atraso primera hora",Q37=""),"Falta justificación atraso primera hora",IF(AND(Z37="No cumple",AA37=""),"Falta justificación recambio &gt;15 min",IF(AND(ISNUMBER(SEARCH("suspend",N37)),OR(AG37="",AH37="")),"Falta causa/motivo suspensión","OK")))))</f>
        <v/>
      </c>
      <c r="AW37" s="19">
        <f>IF(N37="","",IF(ISNUMBER(SEARCH("suspend",N37)),IF(AND(AG37="",AH37=""),"Sin causa/motivo registrado",IF(AG37="",AH37,IF(AH37="",AG37,AG37&amp;": "&amp;AH37))),""))</f>
        <v/>
      </c>
    </row>
    <row r="38" ht="16" customHeight="1" s="151">
      <c r="A38" s="32" t="n">
        <v>46169</v>
      </c>
      <c r="B38" s="33" t="inlineStr">
        <is>
          <t>NINOSKA ANDREA</t>
        </is>
      </c>
      <c r="C38" s="33" t="inlineStr">
        <is>
          <t>GONZÁLEZ</t>
        </is>
      </c>
      <c r="D38" s="33" t="inlineStr">
        <is>
          <t>37a 8m 23d</t>
        </is>
      </c>
      <c r="E38" s="33" t="inlineStr">
        <is>
          <t>AMIGDALECTOMIA C/S ADENOIDECTOMIA, UNI O BILATERAL</t>
        </is>
      </c>
      <c r="F38" s="40" t="inlineStr">
        <is>
          <t>SERVICIO DE CIRUGIA ADULTO</t>
        </is>
      </c>
      <c r="G38" s="19" t="n"/>
      <c r="H38" s="33" t="inlineStr">
        <is>
          <t>1302029-5</t>
        </is>
      </c>
      <c r="I38" s="19" t="n"/>
      <c r="J38" s="20">
        <f>IF(H38&lt;&gt;"",IFERROR(VLOOKUP(IFERROR(LEFT(H38,FIND("-",H38)-1),H38),'Catalogo MINSAL'!A:E,5,FALSE),""),IF(I38&lt;&gt;"",IFERROR(VLOOKUP(IFERROR(LEFT(I38,FIND("-",I38)-1),I38),'Catalogo MINSAL'!A:E,5,FALSE),""),""))</f>
        <v/>
      </c>
      <c r="K38" s="33" t="inlineStr">
        <is>
          <t>Jackeline Nuñez</t>
        </is>
      </c>
      <c r="L38" s="33" t="inlineStr">
        <is>
          <t>Dr. Pablo Acuña Espinoza</t>
        </is>
      </c>
      <c r="M38" s="33" t="inlineStr">
        <is>
          <t>Quirofano 06</t>
        </is>
      </c>
      <c r="N38" s="33" t="inlineStr">
        <is>
          <t>Atendido</t>
        </is>
      </c>
      <c r="O38" s="34" t="n">
        <v>0.4201388888888889</v>
      </c>
      <c r="P38" s="27">
        <f>IFERROR(IF(OR(O38="",A38="",M38=""),"",IF(SUMPRODUCT(($A$4:$A$500=A38)*($M$4:$M$500=M38)*($O$4:$O$500&lt;&gt;"")*(MOD($O$4:$O$500,1)&lt;MOD(O38,1)))=0,IF(MOD(O38,1)&lt;=TIME(8,15,0),"Ingreso adecuado primera hora","Atraso primera hora"),"No aplica")),"")</f>
        <v/>
      </c>
      <c r="Q38" s="27" t="n"/>
      <c r="R38" s="34" t="n">
        <v>0.4340277777777778</v>
      </c>
      <c r="S38" s="34" t="n">
        <v>0.46875</v>
      </c>
      <c r="T38" s="34" t="n">
        <v>0.4847222222222222</v>
      </c>
      <c r="U38" s="34">
        <f>IFERROR(VLOOKUP(M38,'Horario Pabellones'!$A$4:$D$17,2,FALSE),"")</f>
        <v/>
      </c>
      <c r="V38" s="34">
        <f>IFERROR(VLOOKUP(M38,'Horario Pabellones'!$A$4:$D$17,3,FALSE),"")</f>
        <v/>
      </c>
      <c r="W38" s="100">
        <f>IFERROR(VLOOKUP(M38,'Horario Pabellones'!$A$4:$D$17,4,FALSE),"")</f>
        <v/>
      </c>
      <c r="X38" s="90">
        <f>IFERROR(IF(OR(A38="",M38="",W38=""),"",(((_xludf.AGGREGATE(14,6,MOD($S$4:$S$500,1)/(($A$4:$A$500=A38)*($M$4:$M$500=M38)*($R$4:$R$500&lt;&gt;"")*($S$4:$S$500&lt;&gt;"")),1)-_xludf.AGGREGATE(15,6,MOD($R$4:$R$500,1)/(($A$4:$A$500=A38)*($M$4:$M$500=M38)*($R$4:$R$500&lt;&gt;"")*($S$4:$S$500&lt;&gt;"")),1))*1440)/60)/(W38/60)),"")</f>
        <v/>
      </c>
      <c r="Y38" s="35">
        <f>IFERROR(IF(OR(O38="",A38="",M38=""),"",(IF(ISNUMBER(O38),MOD(O38,1),TIMEVALUE(O38))-LOOKUP(2,1/(($A$4:$A$500=A38)*($M$4:$M$500=M38)*($T$4:$T$500&lt;&gt;"")*($T$4:$T$500&lt;IF(ISNUMBER(O38),MOD(O38,1),TIMEVALUE(O38)))),$T$4:$T$500))*1440),"")</f>
        <v/>
      </c>
      <c r="Z38" s="27">
        <f>IFERROR(IF(Y38="","",IF(ROUND(Y38,0)&lt;=15,"Cumple","No cumple")),"")</f>
        <v/>
      </c>
      <c r="AA38" s="27" t="n"/>
      <c r="AB38" s="26">
        <f>IFERROR(IF(OR(O38="",R38=""),"",IF(IF(ISNUMBER(R38),MOD(R38,1),TIMEVALUE(R38))&gt;=IF(ISNUMBER(O38),MOD(O38,1),TIMEVALUE(O38)),(IF(ISNUMBER(R38),MOD(R38,1),TIMEVALUE(R38))-IF(ISNUMBER(O38),MOD(O38,1),TIMEVALUE(O38)))*1440,(IF(ISNUMBER(R38),MOD(R38,1),TIMEVALUE(R38))+1-IF(ISNUMBER(O38),MOD(O38,1),TIMEVALUE(O38)))*1440)),"")</f>
        <v/>
      </c>
      <c r="AC38" s="28">
        <f>IFERROR(IF(OR(R38="",S38=""),"",IF(IF(ISNUMBER(S38),MOD(S38,1),TIMEVALUE(S38))&gt;=IF(ISNUMBER(R38),MOD(R38,1),TIMEVALUE(R38)),(IF(ISNUMBER(S38),MOD(S38,1),TIMEVALUE(S38))-IF(ISNUMBER(R38),MOD(R38,1),TIMEVALUE(R38)))*1440,(IF(ISNUMBER(S38),MOD(S38,1),TIMEVALUE(S38))+1-IF(ISNUMBER(R38),MOD(R38,1),TIMEVALUE(R38)))*1440)),"")</f>
        <v/>
      </c>
      <c r="AD38" s="100" t="n">
        <v>60</v>
      </c>
      <c r="AE38" s="26">
        <f>IFERROR(IF(OR(AC38="",AD38=""),"",AC38-AD38),"")</f>
        <v/>
      </c>
      <c r="AF38" s="27">
        <f>IFERROR(IF(AE38="","",IF(ROUND(AE38,0)&gt;15,"Subestimacion",IF(ROUND(AE38,0)&lt;-15,"Sobrestimacion","Asertivo"))),"")</f>
        <v/>
      </c>
      <c r="AG38" s="33" t="inlineStr">
        <is>
          <t>Sin Suspensión</t>
        </is>
      </c>
      <c r="AH38" s="33" t="n"/>
      <c r="AI38" s="33" t="n"/>
      <c r="AJ38" s="19" t="n"/>
      <c r="AK38" s="19" t="n"/>
      <c r="AL38" s="19" t="n"/>
      <c r="AM38" s="33" t="inlineStr">
        <is>
          <t>I0001188096</t>
        </is>
      </c>
      <c r="AN38" s="19" t="n"/>
      <c r="AO38" s="19" t="n"/>
      <c r="AP38" s="127">
        <f>IF(A38="","",A38-WEEKDAY(A38,2)+1)</f>
        <v/>
      </c>
      <c r="AQ38" s="127">
        <f>IF(AO38="","",AO38+6)</f>
        <v/>
      </c>
      <c r="AR38" s="19">
        <f>IF(AO38="","","Semana "&amp;TEXT(AO38,"dd-mm-yyyy")&amp;" al "&amp;TEXT(AP38,"dd-mm-yyyy"))</f>
        <v/>
      </c>
      <c r="AS38" s="19">
        <f>IF(A38="","",TEXT(A38,"mmmm yyyy"))</f>
        <v/>
      </c>
      <c r="AT38" s="19">
        <f>IF(A38="","",TEXT(A38,"dddd"))</f>
        <v/>
      </c>
      <c r="AU38" s="19">
        <f>IF(A38="","","CRR-"&amp;TEXT(A38,"yyyymmdd")&amp;"-"&amp;M38&amp;"-"&amp;TEXT(ROW()-3,"0000"))</f>
        <v/>
      </c>
      <c r="AV38" s="19">
        <f>IF(A38="","",IF(OR(B38="",C38="",E38="",F38="",M38="",N38=""),"Revisar campos obligatorios",IF(AND(P38="Atraso primera hora",Q38=""),"Falta justificación atraso primera hora",IF(AND(Z38="No cumple",AA38=""),"Falta justificación recambio &gt;15 min",IF(AND(ISNUMBER(SEARCH("suspend",N38)),OR(AG38="",AH38="")),"Falta causa/motivo suspensión","OK")))))</f>
        <v/>
      </c>
      <c r="AW38" s="19">
        <f>IF(N38="","",IF(ISNUMBER(SEARCH("suspend",N38)),IF(AND(AG38="",AH38=""),"Sin causa/motivo registrado",IF(AG38="",AH38,IF(AH38="",AG38,AG38&amp;": "&amp;AH38))),""))</f>
        <v/>
      </c>
    </row>
    <row r="39" ht="16" customHeight="1" s="151">
      <c r="A39" s="32" t="n">
        <v>46169</v>
      </c>
      <c r="B39" s="33" t="inlineStr">
        <is>
          <t>KETTELENE</t>
        </is>
      </c>
      <c r="C39" s="33" t="inlineStr">
        <is>
          <t>ORILUS</t>
        </is>
      </c>
      <c r="D39" s="33" t="inlineStr">
        <is>
          <t>29a 2m 4d</t>
        </is>
      </c>
      <c r="E39" s="33" t="inlineStr">
        <is>
          <t>Turbinectomía o cauterización de cornetes, cualquier técnica</t>
        </is>
      </c>
      <c r="F39" s="40" t="inlineStr">
        <is>
          <t>SERVICIO DE CIRUGIA ADULTO</t>
        </is>
      </c>
      <c r="G39" s="19" t="n"/>
      <c r="H39" s="33" t="inlineStr">
        <is>
          <t>1302042-4</t>
        </is>
      </c>
      <c r="I39" s="19" t="n"/>
      <c r="J39" s="20">
        <f>IF(H39&lt;&gt;"",IFERROR(VLOOKUP(IFERROR(LEFT(H39,FIND("-",H39)-1),H39),'Catalogo MINSAL'!A:E,5,FALSE),""),IF(I39&lt;&gt;"",IFERROR(VLOOKUP(IFERROR(LEFT(I39,FIND("-",I39)-1),I39),'Catalogo MINSAL'!A:E,5,FALSE),""),""))</f>
        <v/>
      </c>
      <c r="K39" s="33" t="inlineStr">
        <is>
          <t>Jackeline Nuñez</t>
        </is>
      </c>
      <c r="L39" s="33" t="inlineStr">
        <is>
          <t>Hector Contreras Pinto</t>
        </is>
      </c>
      <c r="M39" s="33" t="inlineStr">
        <is>
          <t>Quirofano 06</t>
        </is>
      </c>
      <c r="N39" s="33" t="inlineStr">
        <is>
          <t>Recepcionado</t>
        </is>
      </c>
      <c r="O39" s="34" t="n">
        <v>0.6041666666666666</v>
      </c>
      <c r="P39" s="27">
        <f>IFERROR(IF(OR(O39="",A39="",M39=""),"",IF(SUMPRODUCT(($A$4:$A$500=A39)*($M$4:$M$500=M39)*($O$4:$O$500&lt;&gt;"")*(MOD($O$4:$O$500,1)&lt;MOD(O39,1)))=0,IF(MOD(O39,1)&lt;=TIME(8,15,0),"Ingreso adecuado primera hora","Atraso primera hora"),"No aplica")),"")</f>
        <v/>
      </c>
      <c r="Q39" s="27" t="n"/>
      <c r="R39" s="34" t="n">
        <v>0.6145833333333334</v>
      </c>
      <c r="S39" s="34" t="n">
        <v>0.6319444444444444</v>
      </c>
      <c r="T39" s="34" t="n">
        <v>0.6458333333333334</v>
      </c>
      <c r="U39" s="34">
        <f>IFERROR(VLOOKUP(M39,'Horario Pabellones'!$A$4:$D$17,2,FALSE),"")</f>
        <v/>
      </c>
      <c r="V39" s="34">
        <f>IFERROR(VLOOKUP(M39,'Horario Pabellones'!$A$4:$D$17,3,FALSE),"")</f>
        <v/>
      </c>
      <c r="W39" s="100">
        <f>IFERROR(VLOOKUP(M39,'Horario Pabellones'!$A$4:$D$17,4,FALSE),"")</f>
        <v/>
      </c>
      <c r="X39" s="90">
        <f>IFERROR(IF(OR(A39="",M39="",W39=""),"",(((_xludf.AGGREGATE(14,6,MOD($S$4:$S$500,1)/(($A$4:$A$500=A39)*($M$4:$M$500=M39)*($R$4:$R$500&lt;&gt;"")*($S$4:$S$500&lt;&gt;"")),1)-_xludf.AGGREGATE(15,6,MOD($R$4:$R$500,1)/(($A$4:$A$500=A39)*($M$4:$M$500=M39)*($R$4:$R$500&lt;&gt;"")*($S$4:$S$500&lt;&gt;"")),1))*1440)/60)/(W39/60)),"")</f>
        <v/>
      </c>
      <c r="Y39" s="35">
        <f>IFERROR(IF(OR(O39="",A39="",M39=""),"",(IF(ISNUMBER(O39),MOD(O39,1),TIMEVALUE(O39))-LOOKUP(2,1/(($A$4:$A$500=A39)*($M$4:$M$500=M39)*($T$4:$T$500&lt;&gt;"")*($T$4:$T$500&lt;IF(ISNUMBER(O39),MOD(O39,1),TIMEVALUE(O39)))),$T$4:$T$500))*1440),"")</f>
        <v/>
      </c>
      <c r="Z39" s="27">
        <f>IFERROR(IF(Y39="","",IF(ROUND(Y39,0)&lt;=15,"Cumple","No cumple")),"")</f>
        <v/>
      </c>
      <c r="AA39" s="27" t="n"/>
      <c r="AB39" s="26">
        <f>IFERROR(IF(OR(O39="",R39=""),"",IF(IF(ISNUMBER(R39),MOD(R39,1),TIMEVALUE(R39))&gt;=IF(ISNUMBER(O39),MOD(O39,1),TIMEVALUE(O39)),(IF(ISNUMBER(R39),MOD(R39,1),TIMEVALUE(R39))-IF(ISNUMBER(O39),MOD(O39,1),TIMEVALUE(O39)))*1440,(IF(ISNUMBER(R39),MOD(R39,1),TIMEVALUE(R39))+1-IF(ISNUMBER(O39),MOD(O39,1),TIMEVALUE(O39)))*1440)),"")</f>
        <v/>
      </c>
      <c r="AC39" s="28">
        <f>IFERROR(IF(OR(R39="",S39=""),"",IF(IF(ISNUMBER(S39),MOD(S39,1),TIMEVALUE(S39))&gt;=IF(ISNUMBER(R39),MOD(R39,1),TIMEVALUE(R39)),(IF(ISNUMBER(S39),MOD(S39,1),TIMEVALUE(S39))-IF(ISNUMBER(R39),MOD(R39,1),TIMEVALUE(R39)))*1440,(IF(ISNUMBER(S39),MOD(S39,1),TIMEVALUE(S39))+1-IF(ISNUMBER(R39),MOD(R39,1),TIMEVALUE(R39)))*1440)),"")</f>
        <v/>
      </c>
      <c r="AD39" s="100" t="n">
        <v>60</v>
      </c>
      <c r="AE39" s="26">
        <f>IFERROR(IF(OR(AC39="",AD39=""),"",AC39-AD39),"")</f>
        <v/>
      </c>
      <c r="AF39" s="27">
        <f>IFERROR(IF(AE39="","",IF(ROUND(AE39,0)&gt;15,"Subestimacion",IF(ROUND(AE39,0)&lt;-15,"Sobrestimacion","Asertivo"))),"")</f>
        <v/>
      </c>
      <c r="AG39" s="33" t="inlineStr">
        <is>
          <t>Sin Suspensión</t>
        </is>
      </c>
      <c r="AH39" s="33" t="n"/>
      <c r="AI39" s="33" t="n"/>
      <c r="AJ39" s="19" t="n"/>
      <c r="AK39" s="19" t="n"/>
      <c r="AL39" s="19" t="n"/>
      <c r="AM39" s="33" t="inlineStr">
        <is>
          <t>I0001188101</t>
        </is>
      </c>
      <c r="AN39" s="19" t="n"/>
      <c r="AO39" s="19" t="n"/>
      <c r="AP39" s="127">
        <f>IF(A39="","",A39-WEEKDAY(A39,2)+1)</f>
        <v/>
      </c>
      <c r="AQ39" s="127">
        <f>IF(AO39="","",AO39+6)</f>
        <v/>
      </c>
      <c r="AR39" s="19">
        <f>IF(AO39="","","Semana "&amp;TEXT(AO39,"dd-mm-yyyy")&amp;" al "&amp;TEXT(AP39,"dd-mm-yyyy"))</f>
        <v/>
      </c>
      <c r="AS39" s="19">
        <f>IF(A39="","",TEXT(A39,"mmmm yyyy"))</f>
        <v/>
      </c>
      <c r="AT39" s="19">
        <f>IF(A39="","",TEXT(A39,"dddd"))</f>
        <v/>
      </c>
      <c r="AU39" s="19">
        <f>IF(A39="","","CRR-"&amp;TEXT(A39,"yyyymmdd")&amp;"-"&amp;M39&amp;"-"&amp;TEXT(ROW()-3,"0000"))</f>
        <v/>
      </c>
      <c r="AV39" s="19">
        <f>IF(A39="","",IF(OR(B39="",C39="",E39="",F39="",M39="",N39=""),"Revisar campos obligatorios",IF(AND(P39="Atraso primera hora",Q39=""),"Falta justificación atraso primera hora",IF(AND(Z39="No cumple",AA39=""),"Falta justificación recambio &gt;15 min",IF(AND(ISNUMBER(SEARCH("suspend",N39)),OR(AG39="",AH39="")),"Falta causa/motivo suspensión","OK")))))</f>
        <v/>
      </c>
      <c r="AW39" s="19">
        <f>IF(N39="","",IF(ISNUMBER(SEARCH("suspend",N39)),IF(AND(AG39="",AH39=""),"Sin causa/motivo registrado",IF(AG39="",AH39,IF(AH39="",AG39,AG39&amp;": "&amp;AH39))),""))</f>
        <v/>
      </c>
    </row>
    <row r="40" ht="16" customHeight="1" s="151">
      <c r="A40" s="32" t="n">
        <v>46169</v>
      </c>
      <c r="B40" s="33" t="inlineStr">
        <is>
          <t>PABLO ANDRES</t>
        </is>
      </c>
      <c r="C40" s="33" t="inlineStr">
        <is>
          <t>ALARCÓN</t>
        </is>
      </c>
      <c r="D40" s="33" t="inlineStr">
        <is>
          <t>4a 5m 25d</t>
        </is>
      </c>
      <c r="E40" s="33" t="inlineStr">
        <is>
          <t>Extracción cuerpo extraño en conducto auditivo externo</t>
        </is>
      </c>
      <c r="F40" s="40" t="inlineStr">
        <is>
          <t>SERVICIO DE CIRUGIA ADULTO</t>
        </is>
      </c>
      <c r="G40" s="19" t="n"/>
      <c r="H40" s="33" t="inlineStr">
        <is>
          <t>1302002-3</t>
        </is>
      </c>
      <c r="I40" s="19" t="n"/>
      <c r="J40" s="20">
        <f>IF(H40&lt;&gt;"",IFERROR(VLOOKUP(IFERROR(LEFT(H40,FIND("-",H40)-1),H40),'Catalogo MINSAL'!A:E,5,FALSE),""),IF(I40&lt;&gt;"",IFERROR(VLOOKUP(IFERROR(LEFT(I40,FIND("-",I40)-1),I40),'Catalogo MINSAL'!A:E,5,FALSE),""),""))</f>
        <v/>
      </c>
      <c r="K40" s="33" t="inlineStr">
        <is>
          <t>Valentina Fernanda Silva Barreto</t>
        </is>
      </c>
      <c r="L40" s="33" t="inlineStr">
        <is>
          <t>Dr. Pablo Acuña Espinoza</t>
        </is>
      </c>
      <c r="M40" s="33" t="inlineStr">
        <is>
          <t>Quirofano 06</t>
        </is>
      </c>
      <c r="N40" s="33" t="inlineStr">
        <is>
          <t>Suspendido</t>
        </is>
      </c>
      <c r="O40" s="37" t="n"/>
      <c r="P40" s="27">
        <f>IFERROR(IF(OR(O40="",A40="",M40=""),"",IF(SUMPRODUCT(($A$4:$A$500=A40)*($M$4:$M$500=M40)*($O$4:$O$500&lt;&gt;"")*(MOD($O$4:$O$500,1)&lt;MOD(O40,1)))=0,IF(MOD(O40,1)&lt;=TIME(8,15,0),"Ingreso adecuado primera hora","Atraso primera hora"),"No aplica")),"")</f>
        <v/>
      </c>
      <c r="Q40" s="27" t="n"/>
      <c r="R40" s="37" t="n"/>
      <c r="S40" s="37" t="n"/>
      <c r="T40" s="37" t="n"/>
      <c r="U40" s="34">
        <f>IFERROR(VLOOKUP(M40,'Horario Pabellones'!$A$4:$D$17,2,FALSE),"")</f>
        <v/>
      </c>
      <c r="V40" s="34">
        <f>IFERROR(VLOOKUP(M40,'Horario Pabellones'!$A$4:$D$17,3,FALSE),"")</f>
        <v/>
      </c>
      <c r="W40" s="101">
        <f>IFERROR(VLOOKUP(M40,'Horario Pabellones'!$A$4:$D$17,4,FALSE),"")</f>
        <v/>
      </c>
      <c r="X40" s="91">
        <f>IFERROR(IF(OR(A40="",M40="",W40=""),"",(((_xludf.AGGREGATE(14,6,MOD($S$4:$S$500,1)/(($A$4:$A$500=A40)*($M$4:$M$500=M40)*($R$4:$R$500&lt;&gt;"")*($S$4:$S$500&lt;&gt;"")),1)-_xludf.AGGREGATE(15,6,MOD($R$4:$R$500,1)/(($A$4:$A$500=A40)*($M$4:$M$500=M40)*($R$4:$R$500&lt;&gt;"")*($S$4:$S$500&lt;&gt;"")),1))*1440)/60)/(W40/60)),"")</f>
        <v/>
      </c>
      <c r="Y40" s="41">
        <f>IFERROR(IF(OR(O40="",A40="",M40=""),"",(IF(ISNUMBER(O40),MOD(O40,1),TIMEVALUE(O40))-LOOKUP(2,1/(($A$4:$A$500=A40)*($M$4:$M$500=M40)*($T$4:$T$500&lt;&gt;"")*($T$4:$T$500&lt;IF(ISNUMBER(O40),MOD(O40,1),TIMEVALUE(O40)))),$T$4:$T$500))*1440),"")</f>
        <v/>
      </c>
      <c r="Z40" s="27">
        <f>IFERROR(IF(Y40="","",IF(ROUND(Y40,0)&lt;=15,"Cumple","No cumple")),"")</f>
        <v/>
      </c>
      <c r="AA40" s="27" t="n"/>
      <c r="AB40" s="26">
        <f>IFERROR(IF(OR(O40="",R40=""),"",IF(IF(ISNUMBER(R40),MOD(R40,1),TIMEVALUE(R40))&gt;=IF(ISNUMBER(O40),MOD(O40,1),TIMEVALUE(O40)),(IF(ISNUMBER(R40),MOD(R40,1),TIMEVALUE(R40))-IF(ISNUMBER(O40),MOD(O40,1),TIMEVALUE(O40)))*1440,(IF(ISNUMBER(R40),MOD(R40,1),TIMEVALUE(R40))+1-IF(ISNUMBER(O40),MOD(O40,1),TIMEVALUE(O40)))*1440)),"")</f>
        <v/>
      </c>
      <c r="AC40" s="28">
        <f>IFERROR(IF(OR(R40="",S40=""),"",IF(IF(ISNUMBER(S40),MOD(S40,1),TIMEVALUE(S40))&gt;=IF(ISNUMBER(R40),MOD(R40,1),TIMEVALUE(R40)),(IF(ISNUMBER(S40),MOD(S40,1),TIMEVALUE(S40))-IF(ISNUMBER(R40),MOD(R40,1),TIMEVALUE(R40)))*1440,(IF(ISNUMBER(S40),MOD(S40,1),TIMEVALUE(S40))+1-IF(ISNUMBER(R40),MOD(R40,1),TIMEVALUE(R40)))*1440)),"")</f>
        <v/>
      </c>
      <c r="AD40" s="100" t="n">
        <v>60</v>
      </c>
      <c r="AE40" s="26">
        <f>IFERROR(IF(OR(AC40="",AD40=""),"",AC40-AD40),"")</f>
        <v/>
      </c>
      <c r="AF40" s="27">
        <f>IFERROR(IF(AE40="","",IF(ROUND(AE40,0)&gt;15,"Subestimacion",IF(ROUND(AE40,0)&lt;-15,"Sobrestimacion","Asertivo"))),"")</f>
        <v/>
      </c>
      <c r="AG40" s="43" t="inlineStr">
        <is>
          <t>Falta de preparación de piel, intestinal, antibiótica u otra específica</t>
        </is>
      </c>
      <c r="AH40" s="43" t="n"/>
      <c r="AI40" s="43" t="n"/>
      <c r="AJ40" s="19" t="n"/>
      <c r="AK40" s="19" t="n"/>
      <c r="AL40" s="19" t="n"/>
      <c r="AM40" s="33" t="inlineStr">
        <is>
          <t>I0001188094</t>
        </is>
      </c>
      <c r="AN40" s="19" t="n"/>
      <c r="AO40" s="19" t="n"/>
      <c r="AP40" s="127">
        <f>IF(A40="","",A40-WEEKDAY(A40,2)+1)</f>
        <v/>
      </c>
      <c r="AQ40" s="127">
        <f>IF(AO40="","",AO40+6)</f>
        <v/>
      </c>
      <c r="AR40" s="19">
        <f>IF(AO40="","","Semana "&amp;TEXT(AO40,"dd-mm-yyyy")&amp;" al "&amp;TEXT(AP40,"dd-mm-yyyy"))</f>
        <v/>
      </c>
      <c r="AS40" s="19">
        <f>IF(A40="","",TEXT(A40,"mmmm yyyy"))</f>
        <v/>
      </c>
      <c r="AT40" s="19">
        <f>IF(A40="","",TEXT(A40,"dddd"))</f>
        <v/>
      </c>
      <c r="AU40" s="19">
        <f>IF(A40="","","CRR-"&amp;TEXT(A40,"yyyymmdd")&amp;"-"&amp;M40&amp;"-"&amp;TEXT(ROW()-3,"0000"))</f>
        <v/>
      </c>
      <c r="AV40" s="19">
        <f>IF(A40="","",IF(OR(B40="",C40="",E40="",F40="",M40="",N40=""),"Revisar campos obligatorios",IF(AND(P40="Atraso primera hora",Q40=""),"Falta justificación atraso primera hora",IF(AND(Z40="No cumple",AA40=""),"Falta justificación recambio &gt;15 min",IF(AND(ISNUMBER(SEARCH("suspend",N40)),OR(AG40="",AH40="")),"Falta causa/motivo suspensión","OK")))))</f>
        <v/>
      </c>
      <c r="AW40" s="19">
        <f>IF(N40="","",IF(ISNUMBER(SEARCH("suspend",N40)),IF(AND(AG40="",AH40=""),"Sin causa/motivo registrado",IF(AG40="",AH40,IF(AH40="",AG40,AG40&amp;": "&amp;AH40))),""))</f>
        <v/>
      </c>
    </row>
    <row r="41" ht="16" customHeight="1" s="151">
      <c r="A41" s="32" t="n">
        <v>46169</v>
      </c>
      <c r="B41" s="33" t="inlineStr">
        <is>
          <t>MARGARITA JAVIERA</t>
        </is>
      </c>
      <c r="C41" s="33" t="inlineStr">
        <is>
          <t>TARRÉS</t>
        </is>
      </c>
      <c r="D41" s="33" t="inlineStr">
        <is>
          <t>69a 10m 24d</t>
        </is>
      </c>
      <c r="E41" s="33" t="inlineStr">
        <is>
          <t>Antrostomía seno maxilar, cualquier vía</t>
        </is>
      </c>
      <c r="F41" s="40" t="inlineStr">
        <is>
          <t>SERVICIO DE CIRUGIA ADULTO</t>
        </is>
      </c>
      <c r="G41" s="19" t="n"/>
      <c r="H41" s="33" t="inlineStr">
        <is>
          <t>1302055-6</t>
        </is>
      </c>
      <c r="I41" s="19" t="n"/>
      <c r="J41" s="20">
        <f>IF(H41&lt;&gt;"",IFERROR(VLOOKUP(IFERROR(LEFT(H41,FIND("-",H41)-1),H41),'Catalogo MINSAL'!A:E,5,FALSE),""),IF(I41&lt;&gt;"",IFERROR(VLOOKUP(IFERROR(LEFT(I41,FIND("-",I41)-1),I41),'Catalogo MINSAL'!A:E,5,FALSE),""),""))</f>
        <v/>
      </c>
      <c r="K41" s="33" t="inlineStr">
        <is>
          <t>Valentina Fernanda Silva Barreto</t>
        </is>
      </c>
      <c r="L41" s="33" t="inlineStr">
        <is>
          <t>Dr. Pablo Acuña Espinoza</t>
        </is>
      </c>
      <c r="M41" s="33" t="inlineStr">
        <is>
          <t>Quirofano 06</t>
        </is>
      </c>
      <c r="N41" s="33" t="inlineStr">
        <is>
          <t>Suspendido</t>
        </is>
      </c>
      <c r="O41" s="37" t="n"/>
      <c r="P41" s="27">
        <f>IFERROR(IF(OR(O41="",A41="",M41=""),"",IF(SUMPRODUCT(($A$4:$A$500=A41)*($M$4:$M$500=M41)*($O$4:$O$500&lt;&gt;"")*(MOD($O$4:$O$500,1)&lt;MOD(O41,1)))=0,IF(MOD(O41,1)&lt;=TIME(8,15,0),"Ingreso adecuado primera hora","Atraso primera hora"),"No aplica")),"")</f>
        <v/>
      </c>
      <c r="Q41" s="27" t="n"/>
      <c r="R41" s="37" t="n"/>
      <c r="S41" s="37" t="n"/>
      <c r="T41" s="37" t="n"/>
      <c r="U41" s="34">
        <f>IFERROR(VLOOKUP(M41,'Horario Pabellones'!$A$4:$D$17,2,FALSE),"")</f>
        <v/>
      </c>
      <c r="V41" s="34">
        <f>IFERROR(VLOOKUP(M41,'Horario Pabellones'!$A$4:$D$17,3,FALSE),"")</f>
        <v/>
      </c>
      <c r="W41" s="101">
        <f>IFERROR(VLOOKUP(M41,'Horario Pabellones'!$A$4:$D$17,4,FALSE),"")</f>
        <v/>
      </c>
      <c r="X41" s="91">
        <f>IFERROR(IF(OR(A41="",M41="",W41=""),"",(((_xludf.AGGREGATE(14,6,MOD($S$4:$S$500,1)/(($A$4:$A$500=A41)*($M$4:$M$500=M41)*($R$4:$R$500&lt;&gt;"")*($S$4:$S$500&lt;&gt;"")),1)-_xludf.AGGREGATE(15,6,MOD($R$4:$R$500,1)/(($A$4:$A$500=A41)*($M$4:$M$500=M41)*($R$4:$R$500&lt;&gt;"")*($S$4:$S$500&lt;&gt;"")),1))*1440)/60)/(W41/60)),"")</f>
        <v/>
      </c>
      <c r="Y41" s="41">
        <f>IFERROR(IF(OR(O41="",A41="",M41=""),"",(IF(ISNUMBER(O41),MOD(O41,1),TIMEVALUE(O41))-LOOKUP(2,1/(($A$4:$A$500=A41)*($M$4:$M$500=M41)*($T$4:$T$500&lt;&gt;"")*($T$4:$T$500&lt;IF(ISNUMBER(O41),MOD(O41,1),TIMEVALUE(O41)))),$T$4:$T$500))*1440),"")</f>
        <v/>
      </c>
      <c r="Z41" s="27">
        <f>IFERROR(IF(Y41="","",IF(ROUND(Y41,0)&lt;=15,"Cumple","No cumple")),"")</f>
        <v/>
      </c>
      <c r="AA41" s="27" t="n"/>
      <c r="AB41" s="26">
        <f>IFERROR(IF(OR(O41="",R41=""),"",IF(IF(ISNUMBER(R41),MOD(R41,1),TIMEVALUE(R41))&gt;=IF(ISNUMBER(O41),MOD(O41,1),TIMEVALUE(O41)),(IF(ISNUMBER(R41),MOD(R41,1),TIMEVALUE(R41))-IF(ISNUMBER(O41),MOD(O41,1),TIMEVALUE(O41)))*1440,(IF(ISNUMBER(R41),MOD(R41,1),TIMEVALUE(R41))+1-IF(ISNUMBER(O41),MOD(O41,1),TIMEVALUE(O41)))*1440)),"")</f>
        <v/>
      </c>
      <c r="AC41" s="28">
        <f>IFERROR(IF(OR(R41="",S41=""),"",IF(IF(ISNUMBER(S41),MOD(S41,1),TIMEVALUE(S41))&gt;=IF(ISNUMBER(R41),MOD(R41,1),TIMEVALUE(R41)),(IF(ISNUMBER(S41),MOD(S41,1),TIMEVALUE(S41))-IF(ISNUMBER(R41),MOD(R41,1),TIMEVALUE(R41)))*1440,(IF(ISNUMBER(S41),MOD(S41,1),TIMEVALUE(S41))+1-IF(ISNUMBER(R41),MOD(R41,1),TIMEVALUE(R41)))*1440)),"")</f>
        <v/>
      </c>
      <c r="AD41" s="100" t="n">
        <v>60</v>
      </c>
      <c r="AE41" s="26">
        <f>IFERROR(IF(OR(AC41="",AD41=""),"",AC41-AD41),"")</f>
        <v/>
      </c>
      <c r="AF41" s="27">
        <f>IFERROR(IF(AE41="","",IF(ROUND(AE41,0)&gt;15,"Subestimacion",IF(ROUND(AE41,0)&lt;-15,"Sobrestimacion","Asertivo"))),"")</f>
        <v/>
      </c>
      <c r="AG41" s="44" t="inlineStr">
        <is>
          <t>Instrumental y/o material con falla de esterilización</t>
        </is>
      </c>
      <c r="AH41" s="44" t="n"/>
      <c r="AI41" s="44" t="n"/>
      <c r="AJ41" s="19" t="n"/>
      <c r="AK41" s="19" t="n"/>
      <c r="AL41" s="19" t="n"/>
      <c r="AM41" s="33" t="inlineStr">
        <is>
          <t>I0001188099</t>
        </is>
      </c>
      <c r="AN41" s="19" t="n"/>
      <c r="AO41" s="19" t="n"/>
      <c r="AP41" s="127">
        <f>IF(A41="","",A41-WEEKDAY(A41,2)+1)</f>
        <v/>
      </c>
      <c r="AQ41" s="127">
        <f>IF(AO41="","",AO41+6)</f>
        <v/>
      </c>
      <c r="AR41" s="19">
        <f>IF(AO41="","","Semana "&amp;TEXT(AO41,"dd-mm-yyyy")&amp;" al "&amp;TEXT(AP41,"dd-mm-yyyy"))</f>
        <v/>
      </c>
      <c r="AS41" s="19">
        <f>IF(A41="","",TEXT(A41,"mmmm yyyy"))</f>
        <v/>
      </c>
      <c r="AT41" s="19">
        <f>IF(A41="","",TEXT(A41,"dddd"))</f>
        <v/>
      </c>
      <c r="AU41" s="19">
        <f>IF(A41="","","CRR-"&amp;TEXT(A41,"yyyymmdd")&amp;"-"&amp;M41&amp;"-"&amp;TEXT(ROW()-3,"0000"))</f>
        <v/>
      </c>
      <c r="AV41" s="19">
        <f>IF(A41="","",IF(OR(B41="",C41="",E41="",F41="",M41="",N41=""),"Revisar campos obligatorios",IF(AND(P41="Atraso primera hora",Q41=""),"Falta justificación atraso primera hora",IF(AND(Z41="No cumple",AA41=""),"Falta justificación recambio &gt;15 min",IF(AND(ISNUMBER(SEARCH("suspend",N41)),OR(AG41="",AH41="")),"Falta causa/motivo suspensión","OK")))))</f>
        <v/>
      </c>
      <c r="AW41" s="19">
        <f>IF(N41="","",IF(ISNUMBER(SEARCH("suspend",N41)),IF(AND(AG41="",AH41=""),"Sin causa/motivo registrado",IF(AG41="",AH41,IF(AH41="",AG41,AG41&amp;": "&amp;AH41))),""))</f>
        <v/>
      </c>
    </row>
    <row r="42" ht="16" customHeight="1" s="151">
      <c r="A42" s="32" t="n">
        <v>46169</v>
      </c>
      <c r="B42" s="33" t="inlineStr">
        <is>
          <t>MARÍA ADELA</t>
        </is>
      </c>
      <c r="C42" s="33" t="inlineStr">
        <is>
          <t>PALMA</t>
        </is>
      </c>
      <c r="D42" s="33" t="inlineStr">
        <is>
          <t>67a 10m 7d</t>
        </is>
      </c>
      <c r="E42" s="33" t="inlineStr">
        <is>
          <t>- FACOERESIS EXTRACAPSULAR CON IMPLANTE DE LENTE INTRAOCULAR (NO INCLUYE EL VALOR DE LA PROTESIS)</t>
        </is>
      </c>
      <c r="F42" s="45" t="inlineStr">
        <is>
          <t>UNIDAD DE OFTALMOLOGIA</t>
        </is>
      </c>
      <c r="G42" s="19" t="n"/>
      <c r="H42" s="33" t="inlineStr">
        <is>
          <t>1202064-10</t>
        </is>
      </c>
      <c r="I42" s="19" t="n"/>
      <c r="J42" s="20">
        <f>IF(H42&lt;&gt;"",IFERROR(VLOOKUP(IFERROR(LEFT(H42,FIND("-",H42)-1),H42),'Catalogo MINSAL'!A:E,5,FALSE),""),IF(I42&lt;&gt;"",IFERROR(VLOOKUP(IFERROR(LEFT(I42,FIND("-",I42)-1),I42),'Catalogo MINSAL'!A:E,5,FALSE),""),""))</f>
        <v/>
      </c>
      <c r="K42" s="33" t="inlineStr">
        <is>
          <t>Diandra Silva Rodriguez</t>
        </is>
      </c>
      <c r="L42" s="33" t="inlineStr">
        <is>
          <t>Dr. Arturo Hillerns Eltit</t>
        </is>
      </c>
      <c r="M42" s="33" t="inlineStr">
        <is>
          <t>Quirofano 08</t>
        </is>
      </c>
      <c r="N42" s="33" t="inlineStr">
        <is>
          <t>Atendido</t>
        </is>
      </c>
      <c r="O42" s="34" t="n">
        <v>0.3645833333333333</v>
      </c>
      <c r="P42" s="27">
        <f>IFERROR(IF(OR(O42="",A42="",M42=""),"",IF(SUMPRODUCT(($A$4:$A$500=A42)*($M$4:$M$500=M42)*($O$4:$O$500&lt;&gt;"")*(MOD($O$4:$O$500,1)&lt;MOD(O42,1)))=0,IF(MOD(O42,1)&lt;=TIME(8,15,0),"Ingreso adecuado primera hora","Atraso primera hora"),"No aplica")),"")</f>
        <v/>
      </c>
      <c r="Q42" s="27" t="n"/>
      <c r="R42" s="34" t="n">
        <v>0.3666666666666666</v>
      </c>
      <c r="S42" s="34" t="n">
        <v>0.3743055555555556</v>
      </c>
      <c r="T42" s="34" t="n">
        <v>0.3763888888888889</v>
      </c>
      <c r="U42" s="34">
        <f>IFERROR(VLOOKUP(M42,'Horario Pabellones'!$A$4:$D$17,2,FALSE),"")</f>
        <v/>
      </c>
      <c r="V42" s="34">
        <f>IFERROR(VLOOKUP(M42,'Horario Pabellones'!$A$4:$D$17,3,FALSE),"")</f>
        <v/>
      </c>
      <c r="W42" s="100">
        <f>IFERROR(VLOOKUP(M42,'Horario Pabellones'!$A$4:$D$17,4,FALSE),"")</f>
        <v/>
      </c>
      <c r="X42" s="90">
        <f>IFERROR(IF(OR(A42="",M42="",W42=""),"",(((_xludf.AGGREGATE(14,6,MOD($S$4:$S$500,1)/(($A$4:$A$500=A42)*($M$4:$M$500=M42)*($R$4:$R$500&lt;&gt;"")*($S$4:$S$500&lt;&gt;"")),1)-_xludf.AGGREGATE(15,6,MOD($R$4:$R$500,1)/(($A$4:$A$500=A42)*($M$4:$M$500=M42)*($R$4:$R$500&lt;&gt;"")*($S$4:$S$500&lt;&gt;"")),1))*1440)/60)/(W42/60)),"")</f>
        <v/>
      </c>
      <c r="Y42" s="35">
        <f>IFERROR(IF(OR(O42="",A42="",M42=""),"",(IF(ISNUMBER(O42),MOD(O42,1),TIMEVALUE(O42))-LOOKUP(2,1/(($A$4:$A$500=A42)*($M$4:$M$500=M42)*($T$4:$T$500&lt;&gt;"")*($T$4:$T$500&lt;IF(ISNUMBER(O42),MOD(O42,1),TIMEVALUE(O42)))),$T$4:$T$500))*1440),"")</f>
        <v/>
      </c>
      <c r="Z42" s="27">
        <f>IFERROR(IF(Y42="","",IF(ROUND(Y42,0)&lt;=15,"Cumple","No cumple")),"")</f>
        <v/>
      </c>
      <c r="AA42" s="27" t="n"/>
      <c r="AB42" s="26">
        <f>IFERROR(IF(OR(O42="",R42=""),"",IF(IF(ISNUMBER(R42),MOD(R42,1),TIMEVALUE(R42))&gt;=IF(ISNUMBER(O42),MOD(O42,1),TIMEVALUE(O42)),(IF(ISNUMBER(R42),MOD(R42,1),TIMEVALUE(R42))-IF(ISNUMBER(O42),MOD(O42,1),TIMEVALUE(O42)))*1440,(IF(ISNUMBER(R42),MOD(R42,1),TIMEVALUE(R42))+1-IF(ISNUMBER(O42),MOD(O42,1),TIMEVALUE(O42)))*1440)),"")</f>
        <v/>
      </c>
      <c r="AC42" s="28">
        <f>IFERROR(IF(OR(R42="",S42=""),"",IF(IF(ISNUMBER(S42),MOD(S42,1),TIMEVALUE(S42))&gt;=IF(ISNUMBER(R42),MOD(R42,1),TIMEVALUE(R42)),(IF(ISNUMBER(S42),MOD(S42,1),TIMEVALUE(S42))-IF(ISNUMBER(R42),MOD(R42,1),TIMEVALUE(R42)))*1440,(IF(ISNUMBER(S42),MOD(S42,1),TIMEVALUE(S42))+1-IF(ISNUMBER(R42),MOD(R42,1),TIMEVALUE(R42)))*1440)),"")</f>
        <v/>
      </c>
      <c r="AD42" s="100" t="n">
        <v>60</v>
      </c>
      <c r="AE42" s="26">
        <f>IFERROR(IF(OR(AC42="",AD42=""),"",AC42-AD42),"")</f>
        <v/>
      </c>
      <c r="AF42" s="27">
        <f>IFERROR(IF(AE42="","",IF(ROUND(AE42,0)&gt;15,"Subestimacion",IF(ROUND(AE42,0)&lt;-15,"Sobrestimacion","Asertivo"))),"")</f>
        <v/>
      </c>
      <c r="AG42" s="33" t="inlineStr">
        <is>
          <t>Sin Suspensión</t>
        </is>
      </c>
      <c r="AH42" s="33" t="n"/>
      <c r="AI42" s="33" t="n"/>
      <c r="AJ42" s="19" t="n"/>
      <c r="AK42" s="19" t="n"/>
      <c r="AL42" s="19" t="n"/>
      <c r="AM42" s="33" t="inlineStr">
        <is>
          <t>I0001188069</t>
        </is>
      </c>
      <c r="AN42" s="19" t="n"/>
      <c r="AO42" s="19" t="n"/>
      <c r="AP42" s="127">
        <f>IF(A42="","",A42-WEEKDAY(A42,2)+1)</f>
        <v/>
      </c>
      <c r="AQ42" s="127">
        <f>IF(AO42="","",AO42+6)</f>
        <v/>
      </c>
      <c r="AR42" s="19">
        <f>IF(AO42="","","Semana "&amp;TEXT(AO42,"dd-mm-yyyy")&amp;" al "&amp;TEXT(AP42,"dd-mm-yyyy"))</f>
        <v/>
      </c>
      <c r="AS42" s="19">
        <f>IF(A42="","",TEXT(A42,"mmmm yyyy"))</f>
        <v/>
      </c>
      <c r="AT42" s="19">
        <f>IF(A42="","",TEXT(A42,"dddd"))</f>
        <v/>
      </c>
      <c r="AU42" s="19">
        <f>IF(A42="","","CRR-"&amp;TEXT(A42,"yyyymmdd")&amp;"-"&amp;M42&amp;"-"&amp;TEXT(ROW()-3,"0000"))</f>
        <v/>
      </c>
      <c r="AV42" s="19">
        <f>IF(A42="","",IF(OR(B42="",C42="",E42="",F42="",M42="",N42=""),"Revisar campos obligatorios",IF(AND(P42="Atraso primera hora",Q42=""),"Falta justificación atraso primera hora",IF(AND(Z42="No cumple",AA42=""),"Falta justificación recambio &gt;15 min",IF(AND(ISNUMBER(SEARCH("suspend",N42)),OR(AG42="",AH42="")),"Falta causa/motivo suspensión","OK")))))</f>
        <v/>
      </c>
      <c r="AW42" s="19">
        <f>IF(N42="","",IF(ISNUMBER(SEARCH("suspend",N42)),IF(AND(AG42="",AH42=""),"Sin causa/motivo registrado",IF(AG42="",AH42,IF(AH42="",AG42,AG42&amp;": "&amp;AH42))),""))</f>
        <v/>
      </c>
    </row>
    <row r="43" ht="16" customHeight="1" s="151">
      <c r="A43" s="32" t="n">
        <v>46169</v>
      </c>
      <c r="B43" s="33" t="inlineStr">
        <is>
          <t>NAVIDAD DEL CARMEN</t>
        </is>
      </c>
      <c r="C43" s="33" t="inlineStr">
        <is>
          <t>OLIVERA</t>
        </is>
      </c>
      <c r="D43" s="33" t="inlineStr">
        <is>
          <t>65a 5m 2d</t>
        </is>
      </c>
      <c r="E43" s="33" t="inlineStr">
        <is>
          <t>VITRECTOMIA CON VITREOFAGO (PROC. AUT)</t>
        </is>
      </c>
      <c r="F43" s="45" t="inlineStr">
        <is>
          <t>UNIDAD DE OFTALMOLOGIA</t>
        </is>
      </c>
      <c r="G43" s="19" t="n"/>
      <c r="H43" s="33" t="inlineStr">
        <is>
          <t>1202062-8</t>
        </is>
      </c>
      <c r="I43" s="19" t="n"/>
      <c r="J43" s="20">
        <f>IF(H43&lt;&gt;"",IFERROR(VLOOKUP(IFERROR(LEFT(H43,FIND("-",H43)-1),H43),'Catalogo MINSAL'!A:E,5,FALSE),""),IF(I43&lt;&gt;"",IFERROR(VLOOKUP(IFERROR(LEFT(I43,FIND("-",I43)-1),I43),'Catalogo MINSAL'!A:E,5,FALSE),""),""))</f>
        <v/>
      </c>
      <c r="K43" s="33" t="inlineStr">
        <is>
          <t>Diandra Silva Rodriguez</t>
        </is>
      </c>
      <c r="L43" s="33" t="inlineStr">
        <is>
          <t>Dr. Arturo Hillerns Eltit</t>
        </is>
      </c>
      <c r="M43" s="33" t="inlineStr">
        <is>
          <t>Quirofano 08</t>
        </is>
      </c>
      <c r="N43" s="33" t="inlineStr">
        <is>
          <t>Atendido</t>
        </is>
      </c>
      <c r="O43" s="34" t="n">
        <v>0.4166666666666667</v>
      </c>
      <c r="P43" s="27">
        <f>IFERROR(IF(OR(O43="",A43="",M43=""),"",IF(SUMPRODUCT(($A$4:$A$500=A43)*($M$4:$M$500=M43)*($O$4:$O$500&lt;&gt;"")*(MOD($O$4:$O$500,1)&lt;MOD(O43,1)))=0,IF(MOD(O43,1)&lt;=TIME(8,15,0),"Ingreso adecuado primera hora","Atraso primera hora"),"No aplica")),"")</f>
        <v/>
      </c>
      <c r="Q43" s="27" t="n"/>
      <c r="R43" s="34" t="n">
        <v>0.41875</v>
      </c>
      <c r="S43" s="34" t="n">
        <v>0.4340277777777778</v>
      </c>
      <c r="T43" s="34" t="n">
        <v>0.4354166666666667</v>
      </c>
      <c r="U43" s="34">
        <f>IFERROR(VLOOKUP(M43,'Horario Pabellones'!$A$4:$D$17,2,FALSE),"")</f>
        <v/>
      </c>
      <c r="V43" s="34">
        <f>IFERROR(VLOOKUP(M43,'Horario Pabellones'!$A$4:$D$17,3,FALSE),"")</f>
        <v/>
      </c>
      <c r="W43" s="100">
        <f>IFERROR(VLOOKUP(M43,'Horario Pabellones'!$A$4:$D$17,4,FALSE),"")</f>
        <v/>
      </c>
      <c r="X43" s="90">
        <f>IFERROR(IF(OR(A43="",M43="",W43=""),"",(((_xludf.AGGREGATE(14,6,MOD($S$4:$S$500,1)/(($A$4:$A$500=A43)*($M$4:$M$500=M43)*($R$4:$R$500&lt;&gt;"")*($S$4:$S$500&lt;&gt;"")),1)-_xludf.AGGREGATE(15,6,MOD($R$4:$R$500,1)/(($A$4:$A$500=A43)*($M$4:$M$500=M43)*($R$4:$R$500&lt;&gt;"")*($S$4:$S$500&lt;&gt;"")),1))*1440)/60)/(W43/60)),"")</f>
        <v/>
      </c>
      <c r="Y43" s="35">
        <f>IFERROR(IF(OR(O43="",A43="",M43=""),"",(IF(ISNUMBER(O43),MOD(O43,1),TIMEVALUE(O43))-LOOKUP(2,1/(($A$4:$A$500=A43)*($M$4:$M$500=M43)*($T$4:$T$500&lt;&gt;"")*($T$4:$T$500&lt;IF(ISNUMBER(O43),MOD(O43,1),TIMEVALUE(O43)))),$T$4:$T$500))*1440),"")</f>
        <v/>
      </c>
      <c r="Z43" s="27">
        <f>IFERROR(IF(Y43="","",IF(ROUND(Y43,0)&lt;=15,"Cumple","No cumple")),"")</f>
        <v/>
      </c>
      <c r="AA43" s="27" t="n"/>
      <c r="AB43" s="26">
        <f>IFERROR(IF(OR(O43="",R43=""),"",IF(IF(ISNUMBER(R43),MOD(R43,1),TIMEVALUE(R43))&gt;=IF(ISNUMBER(O43),MOD(O43,1),TIMEVALUE(O43)),(IF(ISNUMBER(R43),MOD(R43,1),TIMEVALUE(R43))-IF(ISNUMBER(O43),MOD(O43,1),TIMEVALUE(O43)))*1440,(IF(ISNUMBER(R43),MOD(R43,1),TIMEVALUE(R43))+1-IF(ISNUMBER(O43),MOD(O43,1),TIMEVALUE(O43)))*1440)),"")</f>
        <v/>
      </c>
      <c r="AC43" s="28">
        <f>IFERROR(IF(OR(R43="",S43=""),"",IF(IF(ISNUMBER(S43),MOD(S43,1),TIMEVALUE(S43))&gt;=IF(ISNUMBER(R43),MOD(R43,1),TIMEVALUE(R43)),(IF(ISNUMBER(S43),MOD(S43,1),TIMEVALUE(S43))-IF(ISNUMBER(R43),MOD(R43,1),TIMEVALUE(R43)))*1440,(IF(ISNUMBER(S43),MOD(S43,1),TIMEVALUE(S43))+1-IF(ISNUMBER(R43),MOD(R43,1),TIMEVALUE(R43)))*1440)),"")</f>
        <v/>
      </c>
      <c r="AD43" s="100" t="n">
        <v>60</v>
      </c>
      <c r="AE43" s="26">
        <f>IFERROR(IF(OR(AC43="",AD43=""),"",AC43-AD43),"")</f>
        <v/>
      </c>
      <c r="AF43" s="27">
        <f>IFERROR(IF(AE43="","",IF(ROUND(AE43,0)&gt;15,"Subestimacion",IF(ROUND(AE43,0)&lt;-15,"Sobrestimacion","Asertivo"))),"")</f>
        <v/>
      </c>
      <c r="AG43" s="33" t="inlineStr">
        <is>
          <t>Sin Suspensión</t>
        </is>
      </c>
      <c r="AH43" s="33" t="n"/>
      <c r="AI43" s="33" t="n"/>
      <c r="AJ43" s="19" t="n"/>
      <c r="AK43" s="19" t="n"/>
      <c r="AL43" s="19" t="n"/>
      <c r="AM43" s="33" t="inlineStr">
        <is>
          <t>I0001188068</t>
        </is>
      </c>
      <c r="AN43" s="19" t="n"/>
      <c r="AO43" s="19" t="n"/>
      <c r="AP43" s="127">
        <f>IF(A43="","",A43-WEEKDAY(A43,2)+1)</f>
        <v/>
      </c>
      <c r="AQ43" s="127">
        <f>IF(AO43="","",AO43+6)</f>
        <v/>
      </c>
      <c r="AR43" s="19">
        <f>IF(AO43="","","Semana "&amp;TEXT(AO43,"dd-mm-yyyy")&amp;" al "&amp;TEXT(AP43,"dd-mm-yyyy"))</f>
        <v/>
      </c>
      <c r="AS43" s="19">
        <f>IF(A43="","",TEXT(A43,"mmmm yyyy"))</f>
        <v/>
      </c>
      <c r="AT43" s="19">
        <f>IF(A43="","",TEXT(A43,"dddd"))</f>
        <v/>
      </c>
      <c r="AU43" s="19">
        <f>IF(A43="","","CRR-"&amp;TEXT(A43,"yyyymmdd")&amp;"-"&amp;M43&amp;"-"&amp;TEXT(ROW()-3,"0000"))</f>
        <v/>
      </c>
      <c r="AV43" s="19">
        <f>IF(A43="","",IF(OR(B43="",C43="",E43="",F43="",M43="",N43=""),"Revisar campos obligatorios",IF(AND(P43="Atraso primera hora",Q43=""),"Falta justificación atraso primera hora",IF(AND(Z43="No cumple",AA43=""),"Falta justificación recambio &gt;15 min",IF(AND(ISNUMBER(SEARCH("suspend",N43)),OR(AG43="",AH43="")),"Falta causa/motivo suspensión","OK")))))</f>
        <v/>
      </c>
      <c r="AW43" s="19">
        <f>IF(N43="","",IF(ISNUMBER(SEARCH("suspend",N43)),IF(AND(AG43="",AH43=""),"Sin causa/motivo registrado",IF(AG43="",AH43,IF(AH43="",AG43,AG43&amp;": "&amp;AH43))),""))</f>
        <v/>
      </c>
    </row>
    <row r="44" ht="16" customHeight="1" s="151">
      <c r="A44" s="32" t="n">
        <v>46169</v>
      </c>
      <c r="B44" s="33" t="inlineStr">
        <is>
          <t>PATRICIA DEL CARMEN</t>
        </is>
      </c>
      <c r="C44" s="33" t="inlineStr">
        <is>
          <t>VELASCO</t>
        </is>
      </c>
      <c r="D44" s="33" t="inlineStr">
        <is>
          <t>69a 7m 16d</t>
        </is>
      </c>
      <c r="E44" s="33" t="inlineStr">
        <is>
          <t>- FACOERESIS EXTRACAPSULAR CON IMPLANTE DE LENTE INTRAOCULAR (NO INCLUYE EL VALOR DE LA PROTESIS)</t>
        </is>
      </c>
      <c r="F44" s="45" t="inlineStr">
        <is>
          <t>UNIDAD DE OFTALMOLOGIA</t>
        </is>
      </c>
      <c r="G44" s="19" t="n"/>
      <c r="H44" s="33" t="inlineStr">
        <is>
          <t>1202064-10</t>
        </is>
      </c>
      <c r="I44" s="19" t="n"/>
      <c r="J44" s="20">
        <f>IF(H44&lt;&gt;"",IFERROR(VLOOKUP(IFERROR(LEFT(H44,FIND("-",H44)-1),H44),'Catalogo MINSAL'!A:E,5,FALSE),""),IF(I44&lt;&gt;"",IFERROR(VLOOKUP(IFERROR(LEFT(I44,FIND("-",I44)-1),I44),'Catalogo MINSAL'!A:E,5,FALSE),""),""))</f>
        <v/>
      </c>
      <c r="K44" s="33" t="inlineStr">
        <is>
          <t>Diandra Silva Rodriguez</t>
        </is>
      </c>
      <c r="L44" s="33" t="inlineStr">
        <is>
          <t>Dr. Arturo Hillerns Eltit</t>
        </is>
      </c>
      <c r="M44" s="33" t="inlineStr">
        <is>
          <t>Quirofano 08</t>
        </is>
      </c>
      <c r="N44" s="33" t="inlineStr">
        <is>
          <t>Atendido</t>
        </is>
      </c>
      <c r="O44" s="34" t="n">
        <v>0.4430555555555555</v>
      </c>
      <c r="P44" s="27">
        <f>IFERROR(IF(OR(O44="",A44="",M44=""),"",IF(SUMPRODUCT(($A$4:$A$500=A44)*($M$4:$M$500=M44)*($O$4:$O$500&lt;&gt;"")*(MOD($O$4:$O$500,1)&lt;MOD(O44,1)))=0,IF(MOD(O44,1)&lt;=TIME(8,15,0),"Ingreso adecuado primera hora","Atraso primera hora"),"No aplica")),"")</f>
        <v/>
      </c>
      <c r="Q44" s="27" t="n"/>
      <c r="R44" s="34" t="n">
        <v>0.4479166666666667</v>
      </c>
      <c r="S44" s="34" t="n">
        <v>0.4604166666666666</v>
      </c>
      <c r="T44" s="34" t="n">
        <v>0.4618055555555556</v>
      </c>
      <c r="U44" s="34">
        <f>IFERROR(VLOOKUP(M44,'Horario Pabellones'!$A$4:$D$17,2,FALSE),"")</f>
        <v/>
      </c>
      <c r="V44" s="34">
        <f>IFERROR(VLOOKUP(M44,'Horario Pabellones'!$A$4:$D$17,3,FALSE),"")</f>
        <v/>
      </c>
      <c r="W44" s="100">
        <f>IFERROR(VLOOKUP(M44,'Horario Pabellones'!$A$4:$D$17,4,FALSE),"")</f>
        <v/>
      </c>
      <c r="X44" s="90">
        <f>IFERROR(IF(OR(A44="",M44="",W44=""),"",(((_xludf.AGGREGATE(14,6,MOD($S$4:$S$500,1)/(($A$4:$A$500=A44)*($M$4:$M$500=M44)*($R$4:$R$500&lt;&gt;"")*($S$4:$S$500&lt;&gt;"")),1)-_xludf.AGGREGATE(15,6,MOD($R$4:$R$500,1)/(($A$4:$A$500=A44)*($M$4:$M$500=M44)*($R$4:$R$500&lt;&gt;"")*($S$4:$S$500&lt;&gt;"")),1))*1440)/60)/(W44/60)),"")</f>
        <v/>
      </c>
      <c r="Y44" s="35">
        <f>IFERROR(IF(OR(O44="",A44="",M44=""),"",(IF(ISNUMBER(O44),MOD(O44,1),TIMEVALUE(O44))-LOOKUP(2,1/(($A$4:$A$500=A44)*($M$4:$M$500=M44)*($T$4:$T$500&lt;&gt;"")*($T$4:$T$500&lt;IF(ISNUMBER(O44),MOD(O44,1),TIMEVALUE(O44)))),$T$4:$T$500))*1440),"")</f>
        <v/>
      </c>
      <c r="Z44" s="27">
        <f>IFERROR(IF(Y44="","",IF(ROUND(Y44,0)&lt;=15,"Cumple","No cumple")),"")</f>
        <v/>
      </c>
      <c r="AA44" s="27" t="n"/>
      <c r="AB44" s="26">
        <f>IFERROR(IF(OR(O44="",R44=""),"",IF(IF(ISNUMBER(R44),MOD(R44,1),TIMEVALUE(R44))&gt;=IF(ISNUMBER(O44),MOD(O44,1),TIMEVALUE(O44)),(IF(ISNUMBER(R44),MOD(R44,1),TIMEVALUE(R44))-IF(ISNUMBER(O44),MOD(O44,1),TIMEVALUE(O44)))*1440,(IF(ISNUMBER(R44),MOD(R44,1),TIMEVALUE(R44))+1-IF(ISNUMBER(O44),MOD(O44,1),TIMEVALUE(O44)))*1440)),"")</f>
        <v/>
      </c>
      <c r="AC44" s="28">
        <f>IFERROR(IF(OR(R44="",S44=""),"",IF(IF(ISNUMBER(S44),MOD(S44,1),TIMEVALUE(S44))&gt;=IF(ISNUMBER(R44),MOD(R44,1),TIMEVALUE(R44)),(IF(ISNUMBER(S44),MOD(S44,1),TIMEVALUE(S44))-IF(ISNUMBER(R44),MOD(R44,1),TIMEVALUE(R44)))*1440,(IF(ISNUMBER(S44),MOD(S44,1),TIMEVALUE(S44))+1-IF(ISNUMBER(R44),MOD(R44,1),TIMEVALUE(R44)))*1440)),"")</f>
        <v/>
      </c>
      <c r="AD44" s="100" t="n">
        <v>60</v>
      </c>
      <c r="AE44" s="26">
        <f>IFERROR(IF(OR(AC44="",AD44=""),"",AC44-AD44),"")</f>
        <v/>
      </c>
      <c r="AF44" s="27">
        <f>IFERROR(IF(AE44="","",IF(ROUND(AE44,0)&gt;15,"Subestimacion",IF(ROUND(AE44,0)&lt;-15,"Sobrestimacion","Asertivo"))),"")</f>
        <v/>
      </c>
      <c r="AG44" s="33" t="inlineStr">
        <is>
          <t>Sin Suspensión</t>
        </is>
      </c>
      <c r="AH44" s="33" t="n"/>
      <c r="AI44" s="33" t="n"/>
      <c r="AJ44" s="19" t="n"/>
      <c r="AK44" s="19" t="n"/>
      <c r="AL44" s="19" t="n"/>
      <c r="AM44" s="33" t="inlineStr">
        <is>
          <t>I0001188070</t>
        </is>
      </c>
      <c r="AN44" s="19" t="n"/>
      <c r="AO44" s="19" t="n"/>
      <c r="AP44" s="127">
        <f>IF(A44="","",A44-WEEKDAY(A44,2)+1)</f>
        <v/>
      </c>
      <c r="AQ44" s="127">
        <f>IF(AO44="","",AO44+6)</f>
        <v/>
      </c>
      <c r="AR44" s="19">
        <f>IF(AO44="","","Semana "&amp;TEXT(AO44,"dd-mm-yyyy")&amp;" al "&amp;TEXT(AP44,"dd-mm-yyyy"))</f>
        <v/>
      </c>
      <c r="AS44" s="19">
        <f>IF(A44="","",TEXT(A44,"mmmm yyyy"))</f>
        <v/>
      </c>
      <c r="AT44" s="19">
        <f>IF(A44="","",TEXT(A44,"dddd"))</f>
        <v/>
      </c>
      <c r="AU44" s="19">
        <f>IF(A44="","","CRR-"&amp;TEXT(A44,"yyyymmdd")&amp;"-"&amp;M44&amp;"-"&amp;TEXT(ROW()-3,"0000"))</f>
        <v/>
      </c>
      <c r="AV44" s="19">
        <f>IF(A44="","",IF(OR(B44="",C44="",E44="",F44="",M44="",N44=""),"Revisar campos obligatorios",IF(AND(P44="Atraso primera hora",Q44=""),"Falta justificación atraso primera hora",IF(AND(Z44="No cumple",AA44=""),"Falta justificación recambio &gt;15 min",IF(AND(ISNUMBER(SEARCH("suspend",N44)),OR(AG44="",AH44="")),"Falta causa/motivo suspensión","OK")))))</f>
        <v/>
      </c>
      <c r="AW44" s="19">
        <f>IF(N44="","",IF(ISNUMBER(SEARCH("suspend",N44)),IF(AND(AG44="",AH44=""),"Sin causa/motivo registrado",IF(AG44="",AH44,IF(AH44="",AG44,AG44&amp;": "&amp;AH44))),""))</f>
        <v/>
      </c>
    </row>
    <row r="45" ht="16" customHeight="1" s="151">
      <c r="A45" s="32" t="n">
        <v>46169</v>
      </c>
      <c r="B45" s="33" t="inlineStr">
        <is>
          <t>LUZ ANDREA</t>
        </is>
      </c>
      <c r="C45" s="33" t="inlineStr">
        <is>
          <t>MOYANO</t>
        </is>
      </c>
      <c r="D45" s="33" t="inlineStr">
        <is>
          <t>77a 2m 2d</t>
        </is>
      </c>
      <c r="E45" s="33" t="inlineStr">
        <is>
          <t>- FACOERESIS EXTRACAPSULAR CON IMPLANTE DE LENTE INTRAOCULAR (INCLUYE EL VALOR DE LA PROTESIS)</t>
        </is>
      </c>
      <c r="F45" s="45" t="inlineStr">
        <is>
          <t>UNIDAD DE OFTALMOLOGIA</t>
        </is>
      </c>
      <c r="G45" s="19" t="n"/>
      <c r="H45" s="33" t="inlineStr">
        <is>
          <t>1202164-10</t>
        </is>
      </c>
      <c r="I45" s="19" t="n"/>
      <c r="J45" s="20">
        <f>IF(H45&lt;&gt;"",IFERROR(VLOOKUP(IFERROR(LEFT(H45,FIND("-",H45)-1),H45),'Catalogo MINSAL'!A:E,5,FALSE),""),IF(I45&lt;&gt;"",IFERROR(VLOOKUP(IFERROR(LEFT(I45,FIND("-",I45)-1),I45),'Catalogo MINSAL'!A:E,5,FALSE),""),""))</f>
        <v/>
      </c>
      <c r="K45" s="33" t="inlineStr">
        <is>
          <t>Diandra Silva Rodriguez</t>
        </is>
      </c>
      <c r="L45" s="33" t="inlineStr">
        <is>
          <t>Dr. Arturo Hillerns Eltit</t>
        </is>
      </c>
      <c r="M45" s="33" t="inlineStr">
        <is>
          <t>Quirofano 08</t>
        </is>
      </c>
      <c r="N45" s="33" t="inlineStr">
        <is>
          <t>Recepcionado</t>
        </is>
      </c>
      <c r="O45" s="34" t="n">
        <v>0.4965277777777778</v>
      </c>
      <c r="P45" s="27">
        <f>IFERROR(IF(OR(O45="",A45="",M45=""),"",IF(SUMPRODUCT(($A$4:$A$500=A45)*($M$4:$M$500=M45)*($O$4:$O$500&lt;&gt;"")*(MOD($O$4:$O$500,1)&lt;MOD(O45,1)))=0,IF(MOD(O45,1)&lt;=TIME(8,15,0),"Ingreso adecuado primera hora","Atraso primera hora"),"No aplica")),"")</f>
        <v/>
      </c>
      <c r="Q45" s="27" t="n"/>
      <c r="R45" s="34" t="n">
        <v>0.5055555555555555</v>
      </c>
      <c r="S45" s="34" t="n">
        <v>0.5104166666666666</v>
      </c>
      <c r="T45" s="34" t="n">
        <v>0.5152777777777777</v>
      </c>
      <c r="U45" s="34">
        <f>IFERROR(VLOOKUP(M45,'Horario Pabellones'!$A$4:$D$17,2,FALSE),"")</f>
        <v/>
      </c>
      <c r="V45" s="34">
        <f>IFERROR(VLOOKUP(M45,'Horario Pabellones'!$A$4:$D$17,3,FALSE),"")</f>
        <v/>
      </c>
      <c r="W45" s="100">
        <f>IFERROR(VLOOKUP(M45,'Horario Pabellones'!$A$4:$D$17,4,FALSE),"")</f>
        <v/>
      </c>
      <c r="X45" s="90">
        <f>IFERROR(IF(OR(A45="",M45="",W45=""),"",(((_xludf.AGGREGATE(14,6,MOD($S$4:$S$500,1)/(($A$4:$A$500=A45)*($M$4:$M$500=M45)*($R$4:$R$500&lt;&gt;"")*($S$4:$S$500&lt;&gt;"")),1)-_xludf.AGGREGATE(15,6,MOD($R$4:$R$500,1)/(($A$4:$A$500=A45)*($M$4:$M$500=M45)*($R$4:$R$500&lt;&gt;"")*($S$4:$S$500&lt;&gt;"")),1))*1440)/60)/(W45/60)),"")</f>
        <v/>
      </c>
      <c r="Y45" s="35">
        <f>IFERROR(IF(OR(O45="",A45="",M45=""),"",(IF(ISNUMBER(O45),MOD(O45,1),TIMEVALUE(O45))-LOOKUP(2,1/(($A$4:$A$500=A45)*($M$4:$M$500=M45)*($T$4:$T$500&lt;&gt;"")*($T$4:$T$500&lt;IF(ISNUMBER(O45),MOD(O45,1),TIMEVALUE(O45)))),$T$4:$T$500))*1440),"")</f>
        <v/>
      </c>
      <c r="Z45" s="27">
        <f>IFERROR(IF(Y45="","",IF(ROUND(Y45,0)&lt;=15,"Cumple","No cumple")),"")</f>
        <v/>
      </c>
      <c r="AA45" s="27" t="n"/>
      <c r="AB45" s="26">
        <f>IFERROR(IF(OR(O45="",R45=""),"",IF(IF(ISNUMBER(R45),MOD(R45,1),TIMEVALUE(R45))&gt;=IF(ISNUMBER(O45),MOD(O45,1),TIMEVALUE(O45)),(IF(ISNUMBER(R45),MOD(R45,1),TIMEVALUE(R45))-IF(ISNUMBER(O45),MOD(O45,1),TIMEVALUE(O45)))*1440,(IF(ISNUMBER(R45),MOD(R45,1),TIMEVALUE(R45))+1-IF(ISNUMBER(O45),MOD(O45,1),TIMEVALUE(O45)))*1440)),"")</f>
        <v/>
      </c>
      <c r="AC45" s="28">
        <f>IFERROR(IF(OR(R45="",S45=""),"",IF(IF(ISNUMBER(S45),MOD(S45,1),TIMEVALUE(S45))&gt;=IF(ISNUMBER(R45),MOD(R45,1),TIMEVALUE(R45)),(IF(ISNUMBER(S45),MOD(S45,1),TIMEVALUE(S45))-IF(ISNUMBER(R45),MOD(R45,1),TIMEVALUE(R45)))*1440,(IF(ISNUMBER(S45),MOD(S45,1),TIMEVALUE(S45))+1-IF(ISNUMBER(R45),MOD(R45,1),TIMEVALUE(R45)))*1440)),"")</f>
        <v/>
      </c>
      <c r="AD45" s="100" t="n">
        <v>60</v>
      </c>
      <c r="AE45" s="26">
        <f>IFERROR(IF(OR(AC45="",AD45=""),"",AC45-AD45),"")</f>
        <v/>
      </c>
      <c r="AF45" s="27">
        <f>IFERROR(IF(AE45="","",IF(ROUND(AE45,0)&gt;15,"Subestimacion",IF(ROUND(AE45,0)&lt;-15,"Sobrestimacion","Asertivo"))),"")</f>
        <v/>
      </c>
      <c r="AG45" s="33" t="inlineStr">
        <is>
          <t>Sin Suspensión</t>
        </is>
      </c>
      <c r="AH45" s="33" t="n"/>
      <c r="AI45" s="33" t="n"/>
      <c r="AJ45" s="19" t="n"/>
      <c r="AK45" s="19" t="n"/>
      <c r="AL45" s="19" t="n"/>
      <c r="AM45" s="33" t="inlineStr">
        <is>
          <t>I0001188091</t>
        </is>
      </c>
      <c r="AN45" s="19" t="n"/>
      <c r="AO45" s="19" t="n"/>
      <c r="AP45" s="127">
        <f>IF(A45="","",A45-WEEKDAY(A45,2)+1)</f>
        <v/>
      </c>
      <c r="AQ45" s="127">
        <f>IF(AO45="","",AO45+6)</f>
        <v/>
      </c>
      <c r="AR45" s="19">
        <f>IF(AO45="","","Semana "&amp;TEXT(AO45,"dd-mm-yyyy")&amp;" al "&amp;TEXT(AP45,"dd-mm-yyyy"))</f>
        <v/>
      </c>
      <c r="AS45" s="19">
        <f>IF(A45="","",TEXT(A45,"mmmm yyyy"))</f>
        <v/>
      </c>
      <c r="AT45" s="19">
        <f>IF(A45="","",TEXT(A45,"dddd"))</f>
        <v/>
      </c>
      <c r="AU45" s="19">
        <f>IF(A45="","","CRR-"&amp;TEXT(A45,"yyyymmdd")&amp;"-"&amp;M45&amp;"-"&amp;TEXT(ROW()-3,"0000"))</f>
        <v/>
      </c>
      <c r="AV45" s="19">
        <f>IF(A45="","",IF(OR(B45="",C45="",E45="",F45="",M45="",N45=""),"Revisar campos obligatorios",IF(AND(P45="Atraso primera hora",Q45=""),"Falta justificación atraso primera hora",IF(AND(Z45="No cumple",AA45=""),"Falta justificación recambio &gt;15 min",IF(AND(ISNUMBER(SEARCH("suspend",N45)),OR(AG45="",AH45="")),"Falta causa/motivo suspensión","OK")))))</f>
        <v/>
      </c>
      <c r="AW45" s="19">
        <f>IF(N45="","",IF(ISNUMBER(SEARCH("suspend",N45)),IF(AND(AG45="",AH45=""),"Sin causa/motivo registrado",IF(AG45="",AH45,IF(AH45="",AG45,AG45&amp;": "&amp;AH45))),""))</f>
        <v/>
      </c>
    </row>
    <row r="46" ht="16" customHeight="1" s="151">
      <c r="A46" s="32" t="n">
        <v>46169</v>
      </c>
      <c r="B46" s="33" t="inlineStr">
        <is>
          <t>CARMEN RAFAELA</t>
        </is>
      </c>
      <c r="C46" s="33" t="inlineStr">
        <is>
          <t>SIMOZA</t>
        </is>
      </c>
      <c r="D46" s="33" t="inlineStr">
        <is>
          <t>75a 7m 3d</t>
        </is>
      </c>
      <c r="E46" s="33" t="inlineStr">
        <is>
          <t>- FACOERESIS EXTRACAPSULAR CON IMPLANTE DE LENTE INTRAOCULAR (NO INCLUYE EL VALOR DE LA PROTESIS)</t>
        </is>
      </c>
      <c r="F46" s="45" t="inlineStr">
        <is>
          <t>UNIDAD DE OFTALMOLOGIA</t>
        </is>
      </c>
      <c r="G46" s="19" t="n"/>
      <c r="H46" s="33" t="inlineStr">
        <is>
          <t>1202064-10</t>
        </is>
      </c>
      <c r="I46" s="19" t="n"/>
      <c r="J46" s="20">
        <f>IF(H46&lt;&gt;"",IFERROR(VLOOKUP(IFERROR(LEFT(H46,FIND("-",H46)-1),H46),'Catalogo MINSAL'!A:E,5,FALSE),""),IF(I46&lt;&gt;"",IFERROR(VLOOKUP(IFERROR(LEFT(I46,FIND("-",I46)-1),I46),'Catalogo MINSAL'!A:E,5,FALSE),""),""))</f>
        <v/>
      </c>
      <c r="K46" s="33" t="inlineStr">
        <is>
          <t>Diandra Silva Rodriguez</t>
        </is>
      </c>
      <c r="L46" s="33" t="inlineStr">
        <is>
          <t>Dr. Arturo Hillerns Eltit</t>
        </is>
      </c>
      <c r="M46" s="33" t="inlineStr">
        <is>
          <t>Quirofano 08</t>
        </is>
      </c>
      <c r="N46" s="33" t="inlineStr">
        <is>
          <t>Atendido</t>
        </is>
      </c>
      <c r="O46" s="34" t="n">
        <v>0.5243055555555556</v>
      </c>
      <c r="P46" s="27">
        <f>IFERROR(IF(OR(O46="",A46="",M46=""),"",IF(SUMPRODUCT(($A$4:$A$500=A46)*($M$4:$M$500=M46)*($O$4:$O$500&lt;&gt;"")*(MOD($O$4:$O$500,1)&lt;MOD(O46,1)))=0,IF(MOD(O46,1)&lt;=TIME(8,15,0),"Ingreso adecuado primera hora","Atraso primera hora"),"No aplica")),"")</f>
        <v/>
      </c>
      <c r="Q46" s="27" t="n"/>
      <c r="R46" s="34" t="n">
        <v>0.53125</v>
      </c>
      <c r="S46" s="34" t="n">
        <v>0.5381944444444444</v>
      </c>
      <c r="T46" s="34" t="n">
        <v>0.5395833333333333</v>
      </c>
      <c r="U46" s="34">
        <f>IFERROR(VLOOKUP(M46,'Horario Pabellones'!$A$4:$D$17,2,FALSE),"")</f>
        <v/>
      </c>
      <c r="V46" s="34">
        <f>IFERROR(VLOOKUP(M46,'Horario Pabellones'!$A$4:$D$17,3,FALSE),"")</f>
        <v/>
      </c>
      <c r="W46" s="100">
        <f>IFERROR(VLOOKUP(M46,'Horario Pabellones'!$A$4:$D$17,4,FALSE),"")</f>
        <v/>
      </c>
      <c r="X46" s="90">
        <f>IFERROR(IF(OR(A46="",M46="",W46=""),"",(((_xludf.AGGREGATE(14,6,MOD($S$4:$S$500,1)/(($A$4:$A$500=A46)*($M$4:$M$500=M46)*($R$4:$R$500&lt;&gt;"")*($S$4:$S$500&lt;&gt;"")),1)-_xludf.AGGREGATE(15,6,MOD($R$4:$R$500,1)/(($A$4:$A$500=A46)*($M$4:$M$500=M46)*($R$4:$R$500&lt;&gt;"")*($S$4:$S$500&lt;&gt;"")),1))*1440)/60)/(W46/60)),"")</f>
        <v/>
      </c>
      <c r="Y46" s="35">
        <f>IFERROR(IF(OR(O46="",A46="",M46=""),"",(IF(ISNUMBER(O46),MOD(O46,1),TIMEVALUE(O46))-LOOKUP(2,1/(($A$4:$A$500=A46)*($M$4:$M$500=M46)*($T$4:$T$500&lt;&gt;"")*($T$4:$T$500&lt;IF(ISNUMBER(O46),MOD(O46,1),TIMEVALUE(O46)))),$T$4:$T$500))*1440),"")</f>
        <v/>
      </c>
      <c r="Z46" s="27">
        <f>IFERROR(IF(Y46="","",IF(ROUND(Y46,0)&lt;=15,"Cumple","No cumple")),"")</f>
        <v/>
      </c>
      <c r="AA46" s="27" t="n"/>
      <c r="AB46" s="26">
        <f>IFERROR(IF(OR(O46="",R46=""),"",IF(IF(ISNUMBER(R46),MOD(R46,1),TIMEVALUE(R46))&gt;=IF(ISNUMBER(O46),MOD(O46,1),TIMEVALUE(O46)),(IF(ISNUMBER(R46),MOD(R46,1),TIMEVALUE(R46))-IF(ISNUMBER(O46),MOD(O46,1),TIMEVALUE(O46)))*1440,(IF(ISNUMBER(R46),MOD(R46,1),TIMEVALUE(R46))+1-IF(ISNUMBER(O46),MOD(O46,1),TIMEVALUE(O46)))*1440)),"")</f>
        <v/>
      </c>
      <c r="AC46" s="28">
        <f>IFERROR(IF(OR(R46="",S46=""),"",IF(IF(ISNUMBER(S46),MOD(S46,1),TIMEVALUE(S46))&gt;=IF(ISNUMBER(R46),MOD(R46,1),TIMEVALUE(R46)),(IF(ISNUMBER(S46),MOD(S46,1),TIMEVALUE(S46))-IF(ISNUMBER(R46),MOD(R46,1),TIMEVALUE(R46)))*1440,(IF(ISNUMBER(S46),MOD(S46,1),TIMEVALUE(S46))+1-IF(ISNUMBER(R46),MOD(R46,1),TIMEVALUE(R46)))*1440)),"")</f>
        <v/>
      </c>
      <c r="AD46" s="100" t="n">
        <v>60</v>
      </c>
      <c r="AE46" s="26">
        <f>IFERROR(IF(OR(AC46="",AD46=""),"",AC46-AD46),"")</f>
        <v/>
      </c>
      <c r="AF46" s="27">
        <f>IFERROR(IF(AE46="","",IF(ROUND(AE46,0)&gt;15,"Subestimacion",IF(ROUND(AE46,0)&lt;-15,"Sobrestimacion","Asertivo"))),"")</f>
        <v/>
      </c>
      <c r="AG46" s="33" t="inlineStr">
        <is>
          <t>Sin Suspensión</t>
        </is>
      </c>
      <c r="AH46" s="33" t="n"/>
      <c r="AI46" s="33" t="n"/>
      <c r="AJ46" s="19" t="n"/>
      <c r="AK46" s="19" t="n"/>
      <c r="AL46" s="19" t="n"/>
      <c r="AM46" s="33" t="inlineStr">
        <is>
          <t>I0001188077</t>
        </is>
      </c>
      <c r="AN46" s="19" t="n"/>
      <c r="AO46" s="19" t="n"/>
      <c r="AP46" s="127">
        <f>IF(A46="","",A46-WEEKDAY(A46,2)+1)</f>
        <v/>
      </c>
      <c r="AQ46" s="127">
        <f>IF(AO46="","",AO46+6)</f>
        <v/>
      </c>
      <c r="AR46" s="19">
        <f>IF(AO46="","","Semana "&amp;TEXT(AO46,"dd-mm-yyyy")&amp;" al "&amp;TEXT(AP46,"dd-mm-yyyy"))</f>
        <v/>
      </c>
      <c r="AS46" s="19">
        <f>IF(A46="","",TEXT(A46,"mmmm yyyy"))</f>
        <v/>
      </c>
      <c r="AT46" s="19">
        <f>IF(A46="","",TEXT(A46,"dddd"))</f>
        <v/>
      </c>
      <c r="AU46" s="19">
        <f>IF(A46="","","CRR-"&amp;TEXT(A46,"yyyymmdd")&amp;"-"&amp;M46&amp;"-"&amp;TEXT(ROW()-3,"0000"))</f>
        <v/>
      </c>
      <c r="AV46" s="19">
        <f>IF(A46="","",IF(OR(B46="",C46="",E46="",F46="",M46="",N46=""),"Revisar campos obligatorios",IF(AND(P46="Atraso primera hora",Q46=""),"Falta justificación atraso primera hora",IF(AND(Z46="No cumple",AA46=""),"Falta justificación recambio &gt;15 min",IF(AND(ISNUMBER(SEARCH("suspend",N46)),OR(AG46="",AH46="")),"Falta causa/motivo suspensión","OK")))))</f>
        <v/>
      </c>
      <c r="AW46" s="19">
        <f>IF(N46="","",IF(ISNUMBER(SEARCH("suspend",N46)),IF(AND(AG46="",AH46=""),"Sin causa/motivo registrado",IF(AG46="",AH46,IF(AH46="",AG46,AG46&amp;": "&amp;AH46))),""))</f>
        <v/>
      </c>
    </row>
    <row r="47" ht="16" customHeight="1" s="151">
      <c r="A47" s="32" t="n">
        <v>46169</v>
      </c>
      <c r="B47" s="33" t="inlineStr">
        <is>
          <t>JOSÉ ABRAHAM</t>
        </is>
      </c>
      <c r="C47" s="33" t="inlineStr">
        <is>
          <t>CERDA</t>
        </is>
      </c>
      <c r="D47" s="33" t="inlineStr">
        <is>
          <t>66a 11m 23d</t>
        </is>
      </c>
      <c r="E47" s="33" t="inlineStr">
        <is>
          <t>- FACOERESIS EXTRACAPSULAR CON IMPLANTE DE LENTE INTRAOCULAR (NO INCLUYE EL VALOR DE LA PROTESIS)</t>
        </is>
      </c>
      <c r="F47" s="45" t="inlineStr">
        <is>
          <t>UNIDAD DE OFTALMOLOGIA</t>
        </is>
      </c>
      <c r="G47" s="19" t="n"/>
      <c r="H47" s="33" t="inlineStr">
        <is>
          <t>1202064-10</t>
        </is>
      </c>
      <c r="I47" s="19" t="n"/>
      <c r="J47" s="20">
        <f>IF(H47&lt;&gt;"",IFERROR(VLOOKUP(IFERROR(LEFT(H47,FIND("-",H47)-1),H47),'Catalogo MINSAL'!A:E,5,FALSE),""),IF(I47&lt;&gt;"",IFERROR(VLOOKUP(IFERROR(LEFT(I47,FIND("-",I47)-1),I47),'Catalogo MINSAL'!A:E,5,FALSE),""),""))</f>
        <v/>
      </c>
      <c r="K47" s="33" t="inlineStr">
        <is>
          <t>Diandra Silva Rodriguez</t>
        </is>
      </c>
      <c r="L47" s="33" t="inlineStr">
        <is>
          <t>Dr. Arturo Hillerns Eltit</t>
        </is>
      </c>
      <c r="M47" s="33" t="inlineStr">
        <is>
          <t>Quirofano 08</t>
        </is>
      </c>
      <c r="N47" s="33" t="inlineStr">
        <is>
          <t>Atendido</t>
        </is>
      </c>
      <c r="O47" s="34" t="n">
        <v>0.5868055555555556</v>
      </c>
      <c r="P47" s="27">
        <f>IFERROR(IF(OR(O47="",A47="",M47=""),"",IF(SUMPRODUCT(($A$4:$A$500=A47)*($M$4:$M$500=M47)*($O$4:$O$500&lt;&gt;"")*(MOD($O$4:$O$500,1)&lt;MOD(O47,1)))=0,IF(MOD(O47,1)&lt;=TIME(8,15,0),"Ingreso adecuado primera hora","Atraso primera hora"),"No aplica")),"")</f>
        <v/>
      </c>
      <c r="Q47" s="27" t="n"/>
      <c r="R47" s="34" t="n">
        <v>0.5972222222222222</v>
      </c>
      <c r="S47" s="34" t="n">
        <v>0.6173611111111111</v>
      </c>
      <c r="T47" s="34" t="n">
        <v>0.6194444444444445</v>
      </c>
      <c r="U47" s="34">
        <f>IFERROR(VLOOKUP(M47,'Horario Pabellones'!$A$4:$D$17,2,FALSE),"")</f>
        <v/>
      </c>
      <c r="V47" s="34">
        <f>IFERROR(VLOOKUP(M47,'Horario Pabellones'!$A$4:$D$17,3,FALSE),"")</f>
        <v/>
      </c>
      <c r="W47" s="100">
        <f>IFERROR(VLOOKUP(M47,'Horario Pabellones'!$A$4:$D$17,4,FALSE),"")</f>
        <v/>
      </c>
      <c r="X47" s="90">
        <f>IFERROR(IF(OR(A47="",M47="",W47=""),"",(((_xludf.AGGREGATE(14,6,MOD($S$4:$S$500,1)/(($A$4:$A$500=A47)*($M$4:$M$500=M47)*($R$4:$R$500&lt;&gt;"")*($S$4:$S$500&lt;&gt;"")),1)-_xludf.AGGREGATE(15,6,MOD($R$4:$R$500,1)/(($A$4:$A$500=A47)*($M$4:$M$500=M47)*($R$4:$R$500&lt;&gt;"")*($S$4:$S$500&lt;&gt;"")),1))*1440)/60)/(W47/60)),"")</f>
        <v/>
      </c>
      <c r="Y47" s="35">
        <f>IFERROR(IF(OR(O47="",A47="",M47=""),"",(IF(ISNUMBER(O47),MOD(O47,1),TIMEVALUE(O47))-LOOKUP(2,1/(($A$4:$A$500=A47)*($M$4:$M$500=M47)*($T$4:$T$500&lt;&gt;"")*($T$4:$T$500&lt;IF(ISNUMBER(O47),MOD(O47,1),TIMEVALUE(O47)))),$T$4:$T$500))*1440),"")</f>
        <v/>
      </c>
      <c r="Z47" s="27">
        <f>IFERROR(IF(Y47="","",IF(ROUND(Y47,0)&lt;=15,"Cumple","No cumple")),"")</f>
        <v/>
      </c>
      <c r="AA47" s="27" t="n"/>
      <c r="AB47" s="26">
        <f>IFERROR(IF(OR(O47="",R47=""),"",IF(IF(ISNUMBER(R47),MOD(R47,1),TIMEVALUE(R47))&gt;=IF(ISNUMBER(O47),MOD(O47,1),TIMEVALUE(O47)),(IF(ISNUMBER(R47),MOD(R47,1),TIMEVALUE(R47))-IF(ISNUMBER(O47),MOD(O47,1),TIMEVALUE(O47)))*1440,(IF(ISNUMBER(R47),MOD(R47,1),TIMEVALUE(R47))+1-IF(ISNUMBER(O47),MOD(O47,1),TIMEVALUE(O47)))*1440)),"")</f>
        <v/>
      </c>
      <c r="AC47" s="28">
        <f>IFERROR(IF(OR(R47="",S47=""),"",IF(IF(ISNUMBER(S47),MOD(S47,1),TIMEVALUE(S47))&gt;=IF(ISNUMBER(R47),MOD(R47,1),TIMEVALUE(R47)),(IF(ISNUMBER(S47),MOD(S47,1),TIMEVALUE(S47))-IF(ISNUMBER(R47),MOD(R47,1),TIMEVALUE(R47)))*1440,(IF(ISNUMBER(S47),MOD(S47,1),TIMEVALUE(S47))+1-IF(ISNUMBER(R47),MOD(R47,1),TIMEVALUE(R47)))*1440)),"")</f>
        <v/>
      </c>
      <c r="AD47" s="100" t="n">
        <v>60</v>
      </c>
      <c r="AE47" s="26">
        <f>IFERROR(IF(OR(AC47="",AD47=""),"",AC47-AD47),"")</f>
        <v/>
      </c>
      <c r="AF47" s="27">
        <f>IFERROR(IF(AE47="","",IF(ROUND(AE47,0)&gt;15,"Subestimacion",IF(ROUND(AE47,0)&lt;-15,"Sobrestimacion","Asertivo"))),"")</f>
        <v/>
      </c>
      <c r="AG47" s="33" t="inlineStr">
        <is>
          <t>Sin Suspensión</t>
        </is>
      </c>
      <c r="AH47" s="33" t="n"/>
      <c r="AI47" s="33" t="n"/>
      <c r="AJ47" s="19" t="n"/>
      <c r="AK47" s="19" t="n"/>
      <c r="AL47" s="19" t="n"/>
      <c r="AM47" s="33" t="inlineStr">
        <is>
          <t>I0001188071</t>
        </is>
      </c>
      <c r="AN47" s="19" t="n"/>
      <c r="AO47" s="19" t="n"/>
      <c r="AP47" s="127">
        <f>IF(A47="","",A47-WEEKDAY(A47,2)+1)</f>
        <v/>
      </c>
      <c r="AQ47" s="127">
        <f>IF(AO47="","",AO47+6)</f>
        <v/>
      </c>
      <c r="AR47" s="19">
        <f>IF(AO47="","","Semana "&amp;TEXT(AO47,"dd-mm-yyyy")&amp;" al "&amp;TEXT(AP47,"dd-mm-yyyy"))</f>
        <v/>
      </c>
      <c r="AS47" s="19">
        <f>IF(A47="","",TEXT(A47,"mmmm yyyy"))</f>
        <v/>
      </c>
      <c r="AT47" s="19">
        <f>IF(A47="","",TEXT(A47,"dddd"))</f>
        <v/>
      </c>
      <c r="AU47" s="19">
        <f>IF(A47="","","CRR-"&amp;TEXT(A47,"yyyymmdd")&amp;"-"&amp;M47&amp;"-"&amp;TEXT(ROW()-3,"0000"))</f>
        <v/>
      </c>
      <c r="AV47" s="19">
        <f>IF(A47="","",IF(OR(B47="",C47="",E47="",F47="",M47="",N47=""),"Revisar campos obligatorios",IF(AND(P47="Atraso primera hora",Q47=""),"Falta justificación atraso primera hora",IF(AND(Z47="No cumple",AA47=""),"Falta justificación recambio &gt;15 min",IF(AND(ISNUMBER(SEARCH("suspend",N47)),OR(AG47="",AH47="")),"Falta causa/motivo suspensión","OK")))))</f>
        <v/>
      </c>
      <c r="AW47" s="19">
        <f>IF(N47="","",IF(ISNUMBER(SEARCH("suspend",N47)),IF(AND(AG47="",AH47=""),"Sin causa/motivo registrado",IF(AG47="",AH47,IF(AH47="",AG47,AG47&amp;": "&amp;AH47))),""))</f>
        <v/>
      </c>
    </row>
    <row r="48" ht="16" customHeight="1" s="151">
      <c r="A48" s="32" t="n">
        <v>46169</v>
      </c>
      <c r="B48" s="33" t="inlineStr">
        <is>
          <t>MARÍA INÉS</t>
        </is>
      </c>
      <c r="C48" s="33" t="inlineStr">
        <is>
          <t>RÍOS</t>
        </is>
      </c>
      <c r="D48" s="33" t="inlineStr">
        <is>
          <t>67a 6m 12d</t>
        </is>
      </c>
      <c r="E48" s="33" t="inlineStr">
        <is>
          <t>- FACOERESIS EXTRACAPSULAR CON IMPLANTE DE LENTE INTRAOCULAR (NO INCLUYE EL VALOR DE LA PROTESIS)</t>
        </is>
      </c>
      <c r="F48" s="45" t="inlineStr">
        <is>
          <t>UNIDAD DE OFTALMOLOGIA</t>
        </is>
      </c>
      <c r="G48" s="19" t="n"/>
      <c r="H48" s="33" t="inlineStr">
        <is>
          <t>1202064-10</t>
        </is>
      </c>
      <c r="I48" s="19" t="n"/>
      <c r="J48" s="20">
        <f>IF(H48&lt;&gt;"",IFERROR(VLOOKUP(IFERROR(LEFT(H48,FIND("-",H48)-1),H48),'Catalogo MINSAL'!A:E,5,FALSE),""),IF(I48&lt;&gt;"",IFERROR(VLOOKUP(IFERROR(LEFT(I48,FIND("-",I48)-1),I48),'Catalogo MINSAL'!A:E,5,FALSE),""),""))</f>
        <v/>
      </c>
      <c r="K48" s="33" t="inlineStr">
        <is>
          <t>Diandra Silva Rodriguez</t>
        </is>
      </c>
      <c r="L48" s="33" t="inlineStr">
        <is>
          <t>Dr. Arturo Hillerns Eltit</t>
        </is>
      </c>
      <c r="M48" s="33" t="inlineStr">
        <is>
          <t>Quirofano 08</t>
        </is>
      </c>
      <c r="N48" s="33" t="inlineStr">
        <is>
          <t>Atendido</t>
        </is>
      </c>
      <c r="O48" s="34" t="n">
        <v>0.6215277777777778</v>
      </c>
      <c r="P48" s="27">
        <f>IFERROR(IF(OR(O48="",A48="",M48=""),"",IF(SUMPRODUCT(($A$4:$A$500=A48)*($M$4:$M$500=M48)*($O$4:$O$500&lt;&gt;"")*(MOD($O$4:$O$500,1)&lt;MOD(O48,1)))=0,IF(MOD(O48,1)&lt;=TIME(8,15,0),"Ingreso adecuado primera hora","Atraso primera hora"),"No aplica")),"")</f>
        <v/>
      </c>
      <c r="Q48" s="27" t="n"/>
      <c r="R48" s="34" t="n">
        <v>0.6305555555555555</v>
      </c>
      <c r="S48" s="34" t="n">
        <v>0.6444444444444445</v>
      </c>
      <c r="T48" s="34" t="n">
        <v>0.6458333333333334</v>
      </c>
      <c r="U48" s="34">
        <f>IFERROR(VLOOKUP(M48,'Horario Pabellones'!$A$4:$D$17,2,FALSE),"")</f>
        <v/>
      </c>
      <c r="V48" s="34">
        <f>IFERROR(VLOOKUP(M48,'Horario Pabellones'!$A$4:$D$17,3,FALSE),"")</f>
        <v/>
      </c>
      <c r="W48" s="100">
        <f>IFERROR(VLOOKUP(M48,'Horario Pabellones'!$A$4:$D$17,4,FALSE),"")</f>
        <v/>
      </c>
      <c r="X48" s="90">
        <f>IFERROR(IF(OR(A48="",M48="",W48=""),"",(((_xludf.AGGREGATE(14,6,MOD($S$4:$S$500,1)/(($A$4:$A$500=A48)*($M$4:$M$500=M48)*($R$4:$R$500&lt;&gt;"")*($S$4:$S$500&lt;&gt;"")),1)-_xludf.AGGREGATE(15,6,MOD($R$4:$R$500,1)/(($A$4:$A$500=A48)*($M$4:$M$500=M48)*($R$4:$R$500&lt;&gt;"")*($S$4:$S$500&lt;&gt;"")),1))*1440)/60)/(W48/60)),"")</f>
        <v/>
      </c>
      <c r="Y48" s="35">
        <f>IFERROR(IF(OR(O48="",A48="",M48=""),"",(IF(ISNUMBER(O48),MOD(O48,1),TIMEVALUE(O48))-LOOKUP(2,1/(($A$4:$A$500=A48)*($M$4:$M$500=M48)*($T$4:$T$500&lt;&gt;"")*($T$4:$T$500&lt;IF(ISNUMBER(O48),MOD(O48,1),TIMEVALUE(O48)))),$T$4:$T$500))*1440),"")</f>
        <v/>
      </c>
      <c r="Z48" s="27">
        <f>IFERROR(IF(Y48="","",IF(ROUND(Y48,0)&lt;=15,"Cumple","No cumple")),"")</f>
        <v/>
      </c>
      <c r="AA48" s="27" t="n"/>
      <c r="AB48" s="26">
        <f>IFERROR(IF(OR(O48="",R48=""),"",IF(IF(ISNUMBER(R48),MOD(R48,1),TIMEVALUE(R48))&gt;=IF(ISNUMBER(O48),MOD(O48,1),TIMEVALUE(O48)),(IF(ISNUMBER(R48),MOD(R48,1),TIMEVALUE(R48))-IF(ISNUMBER(O48),MOD(O48,1),TIMEVALUE(O48)))*1440,(IF(ISNUMBER(R48),MOD(R48,1),TIMEVALUE(R48))+1-IF(ISNUMBER(O48),MOD(O48,1),TIMEVALUE(O48)))*1440)),"")</f>
        <v/>
      </c>
      <c r="AC48" s="28">
        <f>IFERROR(IF(OR(R48="",S48=""),"",IF(IF(ISNUMBER(S48),MOD(S48,1),TIMEVALUE(S48))&gt;=IF(ISNUMBER(R48),MOD(R48,1),TIMEVALUE(R48)),(IF(ISNUMBER(S48),MOD(S48,1),TIMEVALUE(S48))-IF(ISNUMBER(R48),MOD(R48,1),TIMEVALUE(R48)))*1440,(IF(ISNUMBER(S48),MOD(S48,1),TIMEVALUE(S48))+1-IF(ISNUMBER(R48),MOD(R48,1),TIMEVALUE(R48)))*1440)),"")</f>
        <v/>
      </c>
      <c r="AD48" s="100" t="n">
        <v>60</v>
      </c>
      <c r="AE48" s="26">
        <f>IFERROR(IF(OR(AC48="",AD48=""),"",AC48-AD48),"")</f>
        <v/>
      </c>
      <c r="AF48" s="27">
        <f>IFERROR(IF(AE48="","",IF(ROUND(AE48,0)&gt;15,"Subestimacion",IF(ROUND(AE48,0)&lt;-15,"Sobrestimacion","Asertivo"))),"")</f>
        <v/>
      </c>
      <c r="AG48" s="33" t="inlineStr">
        <is>
          <t>Sin Suspensión</t>
        </is>
      </c>
      <c r="AH48" s="33" t="n"/>
      <c r="AI48" s="33" t="n"/>
      <c r="AJ48" s="19" t="n"/>
      <c r="AK48" s="19" t="n"/>
      <c r="AL48" s="19" t="n"/>
      <c r="AM48" s="33" t="inlineStr">
        <is>
          <t>I0001188072</t>
        </is>
      </c>
      <c r="AN48" s="19" t="n"/>
      <c r="AO48" s="19" t="n"/>
      <c r="AP48" s="127">
        <f>IF(A48="","",A48-WEEKDAY(A48,2)+1)</f>
        <v/>
      </c>
      <c r="AQ48" s="127">
        <f>IF(AO48="","",AO48+6)</f>
        <v/>
      </c>
      <c r="AR48" s="19">
        <f>IF(AO48="","","Semana "&amp;TEXT(AO48,"dd-mm-yyyy")&amp;" al "&amp;TEXT(AP48,"dd-mm-yyyy"))</f>
        <v/>
      </c>
      <c r="AS48" s="19">
        <f>IF(A48="","",TEXT(A48,"mmmm yyyy"))</f>
        <v/>
      </c>
      <c r="AT48" s="19">
        <f>IF(A48="","",TEXT(A48,"dddd"))</f>
        <v/>
      </c>
      <c r="AU48" s="19">
        <f>IF(A48="","","CRR-"&amp;TEXT(A48,"yyyymmdd")&amp;"-"&amp;M48&amp;"-"&amp;TEXT(ROW()-3,"0000"))</f>
        <v/>
      </c>
      <c r="AV48" s="19">
        <f>IF(A48="","",IF(OR(B48="",C48="",E48="",F48="",M48="",N48=""),"Revisar campos obligatorios",IF(AND(P48="Atraso primera hora",Q48=""),"Falta justificación atraso primera hora",IF(AND(Z48="No cumple",AA48=""),"Falta justificación recambio &gt;15 min",IF(AND(ISNUMBER(SEARCH("suspend",N48)),OR(AG48="",AH48="")),"Falta causa/motivo suspensión","OK")))))</f>
        <v/>
      </c>
      <c r="AW48" s="19">
        <f>IF(N48="","",IF(ISNUMBER(SEARCH("suspend",N48)),IF(AND(AG48="",AH48=""),"Sin causa/motivo registrado",IF(AG48="",AH48,IF(AH48="",AG48,AG48&amp;": "&amp;AH48))),""))</f>
        <v/>
      </c>
    </row>
    <row r="49" ht="16" customHeight="1" s="151">
      <c r="A49" s="32" t="n">
        <v>46169</v>
      </c>
      <c r="B49" s="33" t="inlineStr">
        <is>
          <t>TERESA DE LAS MERCEDES</t>
        </is>
      </c>
      <c r="C49" s="33" t="inlineStr">
        <is>
          <t>BLANCO</t>
        </is>
      </c>
      <c r="D49" s="33" t="inlineStr">
        <is>
          <t>76a 7m 24d</t>
        </is>
      </c>
      <c r="E49" s="33" t="inlineStr">
        <is>
          <t>- FACOERESIS EXTRACAPSULAR CON IMPLANTE DE LENTE INTRAOCULAR (NO INCLUYE EL VALOR DE LA PROTESIS)</t>
        </is>
      </c>
      <c r="F49" s="45" t="inlineStr">
        <is>
          <t>UNIDAD DE OFTALMOLOGIA</t>
        </is>
      </c>
      <c r="G49" s="19" t="n"/>
      <c r="H49" s="33" t="inlineStr">
        <is>
          <t>1202064-10</t>
        </is>
      </c>
      <c r="I49" s="19" t="n"/>
      <c r="J49" s="20">
        <f>IF(H49&lt;&gt;"",IFERROR(VLOOKUP(IFERROR(LEFT(H49,FIND("-",H49)-1),H49),'Catalogo MINSAL'!A:E,5,FALSE),""),IF(I49&lt;&gt;"",IFERROR(VLOOKUP(IFERROR(LEFT(I49,FIND("-",I49)-1),I49),'Catalogo MINSAL'!A:E,5,FALSE),""),""))</f>
        <v/>
      </c>
      <c r="K49" s="33" t="inlineStr">
        <is>
          <t>Diandra Silva Rodriguez</t>
        </is>
      </c>
      <c r="L49" s="33" t="inlineStr">
        <is>
          <t>Dr. Arturo Hillerns Eltit</t>
        </is>
      </c>
      <c r="M49" s="33" t="inlineStr">
        <is>
          <t>Quirofano 08</t>
        </is>
      </c>
      <c r="N49" s="33" t="inlineStr">
        <is>
          <t>Recepcionado</t>
        </is>
      </c>
      <c r="O49" s="34" t="n">
        <v>0.65</v>
      </c>
      <c r="P49" s="27">
        <f>IFERROR(IF(OR(O49="",A49="",M49=""),"",IF(SUMPRODUCT(($A$4:$A$500=A49)*($M$4:$M$500=M49)*($O$4:$O$500&lt;&gt;"")*(MOD($O$4:$O$500,1)&lt;MOD(O49,1)))=0,IF(MOD(O49,1)&lt;=TIME(8,15,0),"Ingreso adecuado primera hora","Atraso primera hora"),"No aplica")),"")</f>
        <v/>
      </c>
      <c r="Q49" s="27" t="n"/>
      <c r="R49" s="34" t="n">
        <v>0.6541666666666667</v>
      </c>
      <c r="S49" s="34" t="n">
        <v>0.6604166666666667</v>
      </c>
      <c r="T49" s="34" t="n">
        <v>0.6625</v>
      </c>
      <c r="U49" s="34">
        <f>IFERROR(VLOOKUP(M49,'Horario Pabellones'!$A$4:$D$17,2,FALSE),"")</f>
        <v/>
      </c>
      <c r="V49" s="34">
        <f>IFERROR(VLOOKUP(M49,'Horario Pabellones'!$A$4:$D$17,3,FALSE),"")</f>
        <v/>
      </c>
      <c r="W49" s="100">
        <f>IFERROR(VLOOKUP(M49,'Horario Pabellones'!$A$4:$D$17,4,FALSE),"")</f>
        <v/>
      </c>
      <c r="X49" s="90">
        <f>IFERROR(IF(OR(A49="",M49="",W49=""),"",(((_xludf.AGGREGATE(14,6,MOD($S$4:$S$500,1)/(($A$4:$A$500=A49)*($M$4:$M$500=M49)*($R$4:$R$500&lt;&gt;"")*($S$4:$S$500&lt;&gt;"")),1)-_xludf.AGGREGATE(15,6,MOD($R$4:$R$500,1)/(($A$4:$A$500=A49)*($M$4:$M$500=M49)*($R$4:$R$500&lt;&gt;"")*($S$4:$S$500&lt;&gt;"")),1))*1440)/60)/(W49/60)),"")</f>
        <v/>
      </c>
      <c r="Y49" s="35">
        <f>IFERROR(IF(OR(O49="",A49="",M49=""),"",(IF(ISNUMBER(O49),MOD(O49,1),TIMEVALUE(O49))-LOOKUP(2,1/(($A$4:$A$500=A49)*($M$4:$M$500=M49)*($T$4:$T$500&lt;&gt;"")*($T$4:$T$500&lt;IF(ISNUMBER(O49),MOD(O49,1),TIMEVALUE(O49)))),$T$4:$T$500))*1440),"")</f>
        <v/>
      </c>
      <c r="Z49" s="27">
        <f>IFERROR(IF(Y49="","",IF(ROUND(Y49,0)&lt;=15,"Cumple","No cumple")),"")</f>
        <v/>
      </c>
      <c r="AA49" s="27" t="n"/>
      <c r="AB49" s="26">
        <f>IFERROR(IF(OR(O49="",R49=""),"",IF(IF(ISNUMBER(R49),MOD(R49,1),TIMEVALUE(R49))&gt;=IF(ISNUMBER(O49),MOD(O49,1),TIMEVALUE(O49)),(IF(ISNUMBER(R49),MOD(R49,1),TIMEVALUE(R49))-IF(ISNUMBER(O49),MOD(O49,1),TIMEVALUE(O49)))*1440,(IF(ISNUMBER(R49),MOD(R49,1),TIMEVALUE(R49))+1-IF(ISNUMBER(O49),MOD(O49,1),TIMEVALUE(O49)))*1440)),"")</f>
        <v/>
      </c>
      <c r="AC49" s="28">
        <f>IFERROR(IF(OR(R49="",S49=""),"",IF(IF(ISNUMBER(S49),MOD(S49,1),TIMEVALUE(S49))&gt;=IF(ISNUMBER(R49),MOD(R49,1),TIMEVALUE(R49)),(IF(ISNUMBER(S49),MOD(S49,1),TIMEVALUE(S49))-IF(ISNUMBER(R49),MOD(R49,1),TIMEVALUE(R49)))*1440,(IF(ISNUMBER(S49),MOD(S49,1),TIMEVALUE(S49))+1-IF(ISNUMBER(R49),MOD(R49,1),TIMEVALUE(R49)))*1440)),"")</f>
        <v/>
      </c>
      <c r="AD49" s="100" t="n">
        <v>60</v>
      </c>
      <c r="AE49" s="26">
        <f>IFERROR(IF(OR(AC49="",AD49=""),"",AC49-AD49),"")</f>
        <v/>
      </c>
      <c r="AF49" s="27">
        <f>IFERROR(IF(AE49="","",IF(ROUND(AE49,0)&gt;15,"Subestimacion",IF(ROUND(AE49,0)&lt;-15,"Sobrestimacion","Asertivo"))),"")</f>
        <v/>
      </c>
      <c r="AG49" s="33" t="inlineStr">
        <is>
          <t>Sin Suspensión</t>
        </is>
      </c>
      <c r="AH49" s="33" t="n"/>
      <c r="AI49" s="33" t="n"/>
      <c r="AJ49" s="19" t="n"/>
      <c r="AK49" s="19" t="n"/>
      <c r="AL49" s="19" t="n"/>
      <c r="AM49" s="33" t="inlineStr">
        <is>
          <t>I0001188078</t>
        </is>
      </c>
      <c r="AN49" s="19" t="n"/>
      <c r="AO49" s="19" t="n"/>
      <c r="AP49" s="127">
        <f>IF(A49="","",A49-WEEKDAY(A49,2)+1)</f>
        <v/>
      </c>
      <c r="AQ49" s="127">
        <f>IF(AO49="","",AO49+6)</f>
        <v/>
      </c>
      <c r="AR49" s="19">
        <f>IF(AO49="","","Semana "&amp;TEXT(AO49,"dd-mm-yyyy")&amp;" al "&amp;TEXT(AP49,"dd-mm-yyyy"))</f>
        <v/>
      </c>
      <c r="AS49" s="19">
        <f>IF(A49="","",TEXT(A49,"mmmm yyyy"))</f>
        <v/>
      </c>
      <c r="AT49" s="19">
        <f>IF(A49="","",TEXT(A49,"dddd"))</f>
        <v/>
      </c>
      <c r="AU49" s="19">
        <f>IF(A49="","","CRR-"&amp;TEXT(A49,"yyyymmdd")&amp;"-"&amp;M49&amp;"-"&amp;TEXT(ROW()-3,"0000"))</f>
        <v/>
      </c>
      <c r="AV49" s="19">
        <f>IF(A49="","",IF(OR(B49="",C49="",E49="",F49="",M49="",N49=""),"Revisar campos obligatorios",IF(AND(P49="Atraso primera hora",Q49=""),"Falta justificación atraso primera hora",IF(AND(Z49="No cumple",AA49=""),"Falta justificación recambio &gt;15 min",IF(AND(ISNUMBER(SEARCH("suspend",N49)),OR(AG49="",AH49="")),"Falta causa/motivo suspensión","OK")))))</f>
        <v/>
      </c>
      <c r="AW49" s="19">
        <f>IF(N49="","",IF(ISNUMBER(SEARCH("suspend",N49)),IF(AND(AG49="",AH49=""),"Sin causa/motivo registrado",IF(AG49="",AH49,IF(AH49="",AG49,AG49&amp;": "&amp;AH49))),""))</f>
        <v/>
      </c>
    </row>
    <row r="50" ht="16" customHeight="1" s="151">
      <c r="A50" s="32" t="n">
        <v>46169</v>
      </c>
      <c r="B50" s="33" t="inlineStr">
        <is>
          <t>ERNESTO SEGUNDO</t>
        </is>
      </c>
      <c r="C50" s="33" t="inlineStr">
        <is>
          <t>MOYA</t>
        </is>
      </c>
      <c r="D50" s="33" t="inlineStr">
        <is>
          <t>64a 7m 2d</t>
        </is>
      </c>
      <c r="E50" s="33" t="inlineStr">
        <is>
          <t>- FACOERESIS EXTRACAPSULAR CON IMPLANTE DE LENTE INTRAOCULAR (NO INCLUYE EL VALOR DE LA PROTESIS)</t>
        </is>
      </c>
      <c r="F50" s="45" t="inlineStr">
        <is>
          <t>UNIDAD DE OFTALMOLOGIA</t>
        </is>
      </c>
      <c r="G50" s="19" t="n"/>
      <c r="H50" s="33" t="inlineStr">
        <is>
          <t>1202064-10</t>
        </is>
      </c>
      <c r="I50" s="19" t="n"/>
      <c r="J50" s="20">
        <f>IF(H50&lt;&gt;"",IFERROR(VLOOKUP(IFERROR(LEFT(H50,FIND("-",H50)-1),H50),'Catalogo MINSAL'!A:E,5,FALSE),""),IF(I50&lt;&gt;"",IFERROR(VLOOKUP(IFERROR(LEFT(I50,FIND("-",I50)-1),I50),'Catalogo MINSAL'!A:E,5,FALSE),""),""))</f>
        <v/>
      </c>
      <c r="K50" s="33" t="inlineStr">
        <is>
          <t>Diandra Silva Rodriguez</t>
        </is>
      </c>
      <c r="L50" s="33" t="inlineStr">
        <is>
          <t>Dr. Arturo Hillerns Eltit</t>
        </is>
      </c>
      <c r="M50" s="33" t="inlineStr">
        <is>
          <t>Quirofano 08</t>
        </is>
      </c>
      <c r="N50" s="33" t="inlineStr">
        <is>
          <t>Atendido</t>
        </is>
      </c>
      <c r="O50" s="34" t="n">
        <v>0.6666666666666666</v>
      </c>
      <c r="P50" s="27">
        <f>IFERROR(IF(OR(O50="",A50="",M50=""),"",IF(SUMPRODUCT(($A$4:$A$500=A50)*($M$4:$M$500=M50)*($O$4:$O$500&lt;&gt;"")*(MOD($O$4:$O$500,1)&lt;MOD(O50,1)))=0,IF(MOD(O50,1)&lt;=TIME(8,15,0),"Ingreso adecuado primera hora","Atraso primera hora"),"No aplica")),"")</f>
        <v/>
      </c>
      <c r="Q50" s="27" t="n"/>
      <c r="R50" s="34" t="n">
        <v>0.6694444444444444</v>
      </c>
      <c r="S50" s="34" t="n">
        <v>0.6784722222222223</v>
      </c>
      <c r="T50" s="34" t="n">
        <v>0.68125</v>
      </c>
      <c r="U50" s="34">
        <f>IFERROR(VLOOKUP(M50,'Horario Pabellones'!$A$4:$D$17,2,FALSE),"")</f>
        <v/>
      </c>
      <c r="V50" s="34">
        <f>IFERROR(VLOOKUP(M50,'Horario Pabellones'!$A$4:$D$17,3,FALSE),"")</f>
        <v/>
      </c>
      <c r="W50" s="100">
        <f>IFERROR(VLOOKUP(M50,'Horario Pabellones'!$A$4:$D$17,4,FALSE),"")</f>
        <v/>
      </c>
      <c r="X50" s="90">
        <f>IFERROR(IF(OR(A50="",M50="",W50=""),"",(((_xludf.AGGREGATE(14,6,MOD($S$4:$S$500,1)/(($A$4:$A$500=A50)*($M$4:$M$500=M50)*($R$4:$R$500&lt;&gt;"")*($S$4:$S$500&lt;&gt;"")),1)-_xludf.AGGREGATE(15,6,MOD($R$4:$R$500,1)/(($A$4:$A$500=A50)*($M$4:$M$500=M50)*($R$4:$R$500&lt;&gt;"")*($S$4:$S$500&lt;&gt;"")),1))*1440)/60)/(W50/60)),"")</f>
        <v/>
      </c>
      <c r="Y50" s="35">
        <f>IFERROR(IF(OR(O50="",A50="",M50=""),"",(IF(ISNUMBER(O50),MOD(O50,1),TIMEVALUE(O50))-LOOKUP(2,1/(($A$4:$A$500=A50)*($M$4:$M$500=M50)*($T$4:$T$500&lt;&gt;"")*($T$4:$T$500&lt;IF(ISNUMBER(O50),MOD(O50,1),TIMEVALUE(O50)))),$T$4:$T$500))*1440),"")</f>
        <v/>
      </c>
      <c r="Z50" s="27">
        <f>IFERROR(IF(Y50="","",IF(ROUND(Y50,0)&lt;=15,"Cumple","No cumple")),"")</f>
        <v/>
      </c>
      <c r="AA50" s="27" t="n"/>
      <c r="AB50" s="26">
        <f>IFERROR(IF(OR(O50="",R50=""),"",IF(IF(ISNUMBER(R50),MOD(R50,1),TIMEVALUE(R50))&gt;=IF(ISNUMBER(O50),MOD(O50,1),TIMEVALUE(O50)),(IF(ISNUMBER(R50),MOD(R50,1),TIMEVALUE(R50))-IF(ISNUMBER(O50),MOD(O50,1),TIMEVALUE(O50)))*1440,(IF(ISNUMBER(R50),MOD(R50,1),TIMEVALUE(R50))+1-IF(ISNUMBER(O50),MOD(O50,1),TIMEVALUE(O50)))*1440)),"")</f>
        <v/>
      </c>
      <c r="AC50" s="28">
        <f>IFERROR(IF(OR(R50="",S50=""),"",IF(IF(ISNUMBER(S50),MOD(S50,1),TIMEVALUE(S50))&gt;=IF(ISNUMBER(R50),MOD(R50,1),TIMEVALUE(R50)),(IF(ISNUMBER(S50),MOD(S50,1),TIMEVALUE(S50))-IF(ISNUMBER(R50),MOD(R50,1),TIMEVALUE(R50)))*1440,(IF(ISNUMBER(S50),MOD(S50,1),TIMEVALUE(S50))+1-IF(ISNUMBER(R50),MOD(R50,1),TIMEVALUE(R50)))*1440)),"")</f>
        <v/>
      </c>
      <c r="AD50" s="101" t="n"/>
      <c r="AE50" s="26">
        <f>IFERROR(IF(OR(AC50="",AD50=""),"",AC50-AD50),"")</f>
        <v/>
      </c>
      <c r="AF50" s="27">
        <f>IFERROR(IF(AE50="","",IF(ROUND(AE50,0)&gt;15,"Subestimacion",IF(ROUND(AE50,0)&lt;-15,"Sobrestimacion","Asertivo"))),"")</f>
        <v/>
      </c>
      <c r="AG50" s="33" t="inlineStr">
        <is>
          <t>Sin Suspensión</t>
        </is>
      </c>
      <c r="AH50" s="33" t="n"/>
      <c r="AI50" s="33" t="n"/>
      <c r="AJ50" s="19" t="n"/>
      <c r="AK50" s="19" t="n"/>
      <c r="AL50" s="19" t="n"/>
      <c r="AM50" s="33" t="inlineStr">
        <is>
          <t>I0001188347</t>
        </is>
      </c>
      <c r="AN50" s="19" t="n"/>
      <c r="AO50" s="19" t="n"/>
      <c r="AP50" s="127">
        <f>IF(A50="","",A50-WEEKDAY(A50,2)+1)</f>
        <v/>
      </c>
      <c r="AQ50" s="127">
        <f>IF(AO50="","",AO50+6)</f>
        <v/>
      </c>
      <c r="AR50" s="19">
        <f>IF(AO50="","","Semana "&amp;TEXT(AO50,"dd-mm-yyyy")&amp;" al "&amp;TEXT(AP50,"dd-mm-yyyy"))</f>
        <v/>
      </c>
      <c r="AS50" s="19">
        <f>IF(A50="","",TEXT(A50,"mmmm yyyy"))</f>
        <v/>
      </c>
      <c r="AT50" s="19">
        <f>IF(A50="","",TEXT(A50,"dddd"))</f>
        <v/>
      </c>
      <c r="AU50" s="19">
        <f>IF(A50="","","CRR-"&amp;TEXT(A50,"yyyymmdd")&amp;"-"&amp;M50&amp;"-"&amp;TEXT(ROW()-3,"0000"))</f>
        <v/>
      </c>
      <c r="AV50" s="19">
        <f>IF(A50="","",IF(OR(B50="",C50="",E50="",F50="",M50="",N50=""),"Revisar campos obligatorios",IF(AND(P50="Atraso primera hora",Q50=""),"Falta justificación atraso primera hora",IF(AND(Z50="No cumple",AA50=""),"Falta justificación recambio &gt;15 min",IF(AND(ISNUMBER(SEARCH("suspend",N50)),OR(AG50="",AH50="")),"Falta causa/motivo suspensión","OK")))))</f>
        <v/>
      </c>
      <c r="AW50" s="19">
        <f>IF(N50="","",IF(ISNUMBER(SEARCH("suspend",N50)),IF(AND(AG50="",AH50=""),"Sin causa/motivo registrado",IF(AG50="",AH50,IF(AH50="",AG50,AG50&amp;": "&amp;AH50))),""))</f>
        <v/>
      </c>
    </row>
    <row r="51" ht="16" customHeight="1" s="151">
      <c r="A51" s="32" t="n">
        <v>46170</v>
      </c>
      <c r="B51" s="33" t="inlineStr">
        <is>
          <t>JORGE ANTONIO</t>
        </is>
      </c>
      <c r="C51" s="33" t="inlineStr">
        <is>
          <t>QUEZADA</t>
        </is>
      </c>
      <c r="D51" s="33" t="inlineStr">
        <is>
          <t>51a 6m 12d</t>
        </is>
      </c>
      <c r="E51" s="33" t="inlineStr">
        <is>
          <t>Orquidectomía ampliada por cáncer testicular</t>
        </is>
      </c>
      <c r="F51" s="46" t="inlineStr">
        <is>
          <t>SERVICIO DE UROLOGIA</t>
        </is>
      </c>
      <c r="G51" s="19" t="n"/>
      <c r="H51" s="33" t="inlineStr">
        <is>
          <t>1902068-6</t>
        </is>
      </c>
      <c r="I51" s="19" t="n"/>
      <c r="J51" s="20">
        <f>IF(H51&lt;&gt;"",IFERROR(VLOOKUP(IFERROR(LEFT(H51,FIND("-",H51)-1),H51),'Catalogo MINSAL'!A:E,5,FALSE),""),IF(I51&lt;&gt;"",IFERROR(VLOOKUP(IFERROR(LEFT(I51,FIND("-",I51)-1),I51),'Catalogo MINSAL'!A:E,5,FALSE),""),""))</f>
        <v/>
      </c>
      <c r="K51" s="33" t="inlineStr">
        <is>
          <t>Ivette Lopez Muñoz</t>
        </is>
      </c>
      <c r="L51" s="33" t="inlineStr">
        <is>
          <t>Lucas Martin Arzeno Thome</t>
        </is>
      </c>
      <c r="M51" s="33" t="inlineStr">
        <is>
          <t>Quirofano 07</t>
        </is>
      </c>
      <c r="N51" s="33" t="inlineStr">
        <is>
          <t>Atendido</t>
        </is>
      </c>
      <c r="O51" s="34" t="n">
        <v>0.3472222222222222</v>
      </c>
      <c r="P51" s="27">
        <f>IFERROR(IF(OR(O51="",A51="",M51=""),"",IF(SUMPRODUCT(($A$4:$A$500=A51)*($M$4:$M$500=M51)*($O$4:$O$500&lt;&gt;"")*(MOD($O$4:$O$500,1)&lt;MOD(O51,1)))=0,IF(MOD(O51,1)&lt;=TIME(8,15,0),"Ingreso adecuado primera hora","Atraso primera hora"),"No aplica")),"")</f>
        <v/>
      </c>
      <c r="Q51" s="27" t="n"/>
      <c r="R51" s="34" t="n">
        <v>0.3645833333333333</v>
      </c>
      <c r="S51" s="34" t="n">
        <v>0.4131944444444444</v>
      </c>
      <c r="T51" s="34" t="n">
        <v>0.4201388888888889</v>
      </c>
      <c r="U51" s="34">
        <f>IFERROR(VLOOKUP(M51,'Horario Pabellones'!$A$4:$D$17,2,FALSE),"")</f>
        <v/>
      </c>
      <c r="V51" s="34">
        <f>IFERROR(VLOOKUP(M51,'Horario Pabellones'!$A$4:$D$17,3,FALSE),"")</f>
        <v/>
      </c>
      <c r="W51" s="100">
        <f>IFERROR(VLOOKUP(M51,'Horario Pabellones'!$A$4:$D$17,4,FALSE),"")</f>
        <v/>
      </c>
      <c r="X51" s="90">
        <f>IFERROR(IF(OR(A51="",M51="",W51=""),"",(((_xludf.AGGREGATE(14,6,MOD($S$4:$S$500,1)/(($A$4:$A$500=A51)*($M$4:$M$500=M51)*($R$4:$R$500&lt;&gt;"")*($S$4:$S$500&lt;&gt;"")),1)-_xludf.AGGREGATE(15,6,MOD($R$4:$R$500,1)/(($A$4:$A$500=A51)*($M$4:$M$500=M51)*($R$4:$R$500&lt;&gt;"")*($S$4:$S$500&lt;&gt;"")),1))*1440)/60)/(W51/60)),"")</f>
        <v/>
      </c>
      <c r="Y51" s="35">
        <f>IFERROR(IF(OR(O51="",A51="",M51=""),"",(IF(ISNUMBER(O51),MOD(O51,1),TIMEVALUE(O51))-LOOKUP(2,1/(($A$4:$A$500=A51)*($M$4:$M$500=M51)*($T$4:$T$500&lt;&gt;"")*($T$4:$T$500&lt;IF(ISNUMBER(O51),MOD(O51,1),TIMEVALUE(O51)))),$T$4:$T$500))*1440),"")</f>
        <v/>
      </c>
      <c r="Z51" s="27">
        <f>IFERROR(IF(Y51="","",IF(ROUND(Y51,0)&lt;=15,"Cumple","No cumple")),"")</f>
        <v/>
      </c>
      <c r="AA51" s="27" t="n"/>
      <c r="AB51" s="26">
        <f>IFERROR(IF(OR(O51="",R51=""),"",IF(IF(ISNUMBER(R51),MOD(R51,1),TIMEVALUE(R51))&gt;=IF(ISNUMBER(O51),MOD(O51,1),TIMEVALUE(O51)),(IF(ISNUMBER(R51),MOD(R51,1),TIMEVALUE(R51))-IF(ISNUMBER(O51),MOD(O51,1),TIMEVALUE(O51)))*1440,(IF(ISNUMBER(R51),MOD(R51,1),TIMEVALUE(R51))+1-IF(ISNUMBER(O51),MOD(O51,1),TIMEVALUE(O51)))*1440)),"")</f>
        <v/>
      </c>
      <c r="AC51" s="28">
        <f>IFERROR(IF(OR(R51="",S51=""),"",IF(IF(ISNUMBER(S51),MOD(S51,1),TIMEVALUE(S51))&gt;=IF(ISNUMBER(R51),MOD(R51,1),TIMEVALUE(R51)),(IF(ISNUMBER(S51),MOD(S51,1),TIMEVALUE(S51))-IF(ISNUMBER(R51),MOD(R51,1),TIMEVALUE(R51)))*1440,(IF(ISNUMBER(S51),MOD(S51,1),TIMEVALUE(S51))+1-IF(ISNUMBER(R51),MOD(R51,1),TIMEVALUE(R51)))*1440)),"")</f>
        <v/>
      </c>
      <c r="AD51" s="101" t="n"/>
      <c r="AE51" s="26">
        <f>IFERROR(IF(OR(AC51="",AD51=""),"",AC51-AD51),"")</f>
        <v/>
      </c>
      <c r="AF51" s="27">
        <f>IFERROR(IF(AE51="","",IF(ROUND(AE51,0)&gt;15,"Subestimacion",IF(ROUND(AE51,0)&lt;-15,"Sobrestimacion","Asertivo"))),"")</f>
        <v/>
      </c>
      <c r="AG51" s="33" t="inlineStr">
        <is>
          <t>Sin Suspensión</t>
        </is>
      </c>
      <c r="AH51" s="33" t="n"/>
      <c r="AI51" s="33" t="n"/>
      <c r="AJ51" s="19" t="n"/>
      <c r="AK51" s="19" t="n"/>
      <c r="AL51" s="19" t="n"/>
      <c r="AM51" s="33" t="inlineStr">
        <is>
          <t>I0001188400</t>
        </is>
      </c>
      <c r="AN51" s="19" t="n"/>
      <c r="AO51" s="19" t="n"/>
      <c r="AP51" s="127">
        <f>IF(A51="","",A51-WEEKDAY(A51,2)+1)</f>
        <v/>
      </c>
      <c r="AQ51" s="127">
        <f>IF(AO51="","",AO51+6)</f>
        <v/>
      </c>
      <c r="AR51" s="19">
        <f>IF(AO51="","","Semana "&amp;TEXT(AO51,"dd-mm-yyyy")&amp;" al "&amp;TEXT(AP51,"dd-mm-yyyy"))</f>
        <v/>
      </c>
      <c r="AS51" s="19">
        <f>IF(A51="","",TEXT(A51,"mmmm yyyy"))</f>
        <v/>
      </c>
      <c r="AT51" s="19">
        <f>IF(A51="","",TEXT(A51,"dddd"))</f>
        <v/>
      </c>
      <c r="AU51" s="19">
        <f>IF(A51="","","CRR-"&amp;TEXT(A51,"yyyymmdd")&amp;"-"&amp;M51&amp;"-"&amp;TEXT(ROW()-3,"0000"))</f>
        <v/>
      </c>
      <c r="AV51" s="19">
        <f>IF(A51="","",IF(OR(B51="",C51="",E51="",F51="",M51="",N51=""),"Revisar campos obligatorios",IF(AND(P51="Atraso primera hora",Q51=""),"Falta justificación atraso primera hora",IF(AND(Z51="No cumple",AA51=""),"Falta justificación recambio &gt;15 min",IF(AND(ISNUMBER(SEARCH("suspend",N51)),OR(AG51="",AH51="")),"Falta causa/motivo suspensión","OK")))))</f>
        <v/>
      </c>
      <c r="AW51" s="19">
        <f>IF(N51="","",IF(ISNUMBER(SEARCH("suspend",N51)),IF(AND(AG51="",AH51=""),"Sin causa/motivo registrado",IF(AG51="",AH51,IF(AH51="",AG51,AG51&amp;": "&amp;AH51))),""))</f>
        <v/>
      </c>
    </row>
    <row r="52" ht="16" customHeight="1" s="151">
      <c r="A52" s="32" t="n">
        <v>46170</v>
      </c>
      <c r="B52" s="33" t="inlineStr">
        <is>
          <t>MARLON RICARDO</t>
        </is>
      </c>
      <c r="C52" s="33" t="inlineStr">
        <is>
          <t>PIRAZAN</t>
        </is>
      </c>
      <c r="D52" s="33" t="inlineStr">
        <is>
          <t>43a 1m 13d</t>
        </is>
      </c>
      <c r="E52" s="33" t="inlineStr">
        <is>
          <t>CIRCUNCISION (INCLUYE SECCION DE FRENILLO, Y/O DE SINEQUIAS BALANO-PREPUCIALES, Y/O INCISION DORSAL C/S MEATOTOMIA)</t>
        </is>
      </c>
      <c r="F52" s="46" t="inlineStr">
        <is>
          <t>SERVICIO DE UROLOGIA</t>
        </is>
      </c>
      <c r="G52" s="19" t="n"/>
      <c r="H52" s="33" t="inlineStr">
        <is>
          <t>1902082-5</t>
        </is>
      </c>
      <c r="I52" s="19" t="n"/>
      <c r="J52" s="20">
        <f>IF(H52&lt;&gt;"",IFERROR(VLOOKUP(IFERROR(LEFT(H52,FIND("-",H52)-1),H52),'Catalogo MINSAL'!A:E,5,FALSE),""),IF(I52&lt;&gt;"",IFERROR(VLOOKUP(IFERROR(LEFT(I52,FIND("-",I52)-1),I52),'Catalogo MINSAL'!A:E,5,FALSE),""),""))</f>
        <v/>
      </c>
      <c r="K52" s="33" t="inlineStr">
        <is>
          <t>Ivette Lopez Muñoz</t>
        </is>
      </c>
      <c r="L52" s="33" t="inlineStr">
        <is>
          <t>Lucas Martin Arzeno Thome</t>
        </is>
      </c>
      <c r="M52" s="33" t="inlineStr">
        <is>
          <t>Quirofano 07</t>
        </is>
      </c>
      <c r="N52" s="33" t="inlineStr">
        <is>
          <t>Atendido</t>
        </is>
      </c>
      <c r="O52" s="34" t="n">
        <v>0.4305555555555556</v>
      </c>
      <c r="P52" s="27">
        <f>IFERROR(IF(OR(O52="",A52="",M52=""),"",IF(SUMPRODUCT(($A$4:$A$500=A52)*($M$4:$M$500=M52)*($O$4:$O$500&lt;&gt;"")*(MOD($O$4:$O$500,1)&lt;MOD(O52,1)))=0,IF(MOD(O52,1)&lt;=TIME(8,15,0),"Ingreso adecuado primera hora","Atraso primera hora"),"No aplica")),"")</f>
        <v/>
      </c>
      <c r="Q52" s="27" t="n"/>
      <c r="R52" s="34" t="n">
        <v>0.4548611111111111</v>
      </c>
      <c r="S52" s="34" t="n">
        <v>0.5034722222222222</v>
      </c>
      <c r="T52" s="34" t="n">
        <v>0.5138888888888888</v>
      </c>
      <c r="U52" s="34">
        <f>IFERROR(VLOOKUP(M52,'Horario Pabellones'!$A$4:$D$17,2,FALSE),"")</f>
        <v/>
      </c>
      <c r="V52" s="34">
        <f>IFERROR(VLOOKUP(M52,'Horario Pabellones'!$A$4:$D$17,3,FALSE),"")</f>
        <v/>
      </c>
      <c r="W52" s="100">
        <f>IFERROR(VLOOKUP(M52,'Horario Pabellones'!$A$4:$D$17,4,FALSE),"")</f>
        <v/>
      </c>
      <c r="X52" s="90">
        <f>IFERROR(IF(OR(A52="",M52="",W52=""),"",(((_xludf.AGGREGATE(14,6,MOD($S$4:$S$500,1)/(($A$4:$A$500=A52)*($M$4:$M$500=M52)*($R$4:$R$500&lt;&gt;"")*($S$4:$S$500&lt;&gt;"")),1)-_xludf.AGGREGATE(15,6,MOD($R$4:$R$500,1)/(($A$4:$A$500=A52)*($M$4:$M$500=M52)*($R$4:$R$500&lt;&gt;"")*($S$4:$S$500&lt;&gt;"")),1))*1440)/60)/(W52/60)),"")</f>
        <v/>
      </c>
      <c r="Y52" s="35">
        <f>IFERROR(IF(OR(O52="",A52="",M52=""),"",(IF(ISNUMBER(O52),MOD(O52,1),TIMEVALUE(O52))-LOOKUP(2,1/(($A$4:$A$500=A52)*($M$4:$M$500=M52)*($T$4:$T$500&lt;&gt;"")*($T$4:$T$500&lt;IF(ISNUMBER(O52),MOD(O52,1),TIMEVALUE(O52)))),$T$4:$T$500))*1440),"")</f>
        <v/>
      </c>
      <c r="Z52" s="27">
        <f>IFERROR(IF(Y52="","",IF(ROUND(Y52,0)&lt;=15,"Cumple","No cumple")),"")</f>
        <v/>
      </c>
      <c r="AA52" s="27" t="n"/>
      <c r="AB52" s="26">
        <f>IFERROR(IF(OR(O52="",R52=""),"",IF(IF(ISNUMBER(R52),MOD(R52,1),TIMEVALUE(R52))&gt;=IF(ISNUMBER(O52),MOD(O52,1),TIMEVALUE(O52)),(IF(ISNUMBER(R52),MOD(R52,1),TIMEVALUE(R52))-IF(ISNUMBER(O52),MOD(O52,1),TIMEVALUE(O52)))*1440,(IF(ISNUMBER(R52),MOD(R52,1),TIMEVALUE(R52))+1-IF(ISNUMBER(O52),MOD(O52,1),TIMEVALUE(O52)))*1440)),"")</f>
        <v/>
      </c>
      <c r="AC52" s="28">
        <f>IFERROR(IF(OR(R52="",S52=""),"",IF(IF(ISNUMBER(S52),MOD(S52,1),TIMEVALUE(S52))&gt;=IF(ISNUMBER(R52),MOD(R52,1),TIMEVALUE(R52)),(IF(ISNUMBER(S52),MOD(S52,1),TIMEVALUE(S52))-IF(ISNUMBER(R52),MOD(R52,1),TIMEVALUE(R52)))*1440,(IF(ISNUMBER(S52),MOD(S52,1),TIMEVALUE(S52))+1-IF(ISNUMBER(R52),MOD(R52,1),TIMEVALUE(R52)))*1440)),"")</f>
        <v/>
      </c>
      <c r="AD52" s="100" t="n">
        <v>30</v>
      </c>
      <c r="AE52" s="26">
        <f>IFERROR(IF(OR(AC52="",AD52=""),"",AC52-AD52),"")</f>
        <v/>
      </c>
      <c r="AF52" s="27">
        <f>IFERROR(IF(AE52="","",IF(ROUND(AE52,0)&gt;15,"Subestimacion",IF(ROUND(AE52,0)&lt;-15,"Sobrestimacion","Asertivo"))),"")</f>
        <v/>
      </c>
      <c r="AG52" s="33" t="inlineStr">
        <is>
          <t>Sin Suspensión</t>
        </is>
      </c>
      <c r="AH52" s="33" t="n"/>
      <c r="AI52" s="33" t="n"/>
      <c r="AJ52" s="19" t="n"/>
      <c r="AK52" s="19" t="n"/>
      <c r="AL52" s="19" t="n"/>
      <c r="AM52" s="33" t="inlineStr">
        <is>
          <t>I0001188399</t>
        </is>
      </c>
      <c r="AN52" s="19" t="n"/>
      <c r="AO52" s="19" t="n"/>
      <c r="AP52" s="127">
        <f>IF(A52="","",A52-WEEKDAY(A52,2)+1)</f>
        <v/>
      </c>
      <c r="AQ52" s="127">
        <f>IF(AO52="","",AO52+6)</f>
        <v/>
      </c>
      <c r="AR52" s="19">
        <f>IF(AO52="","","Semana "&amp;TEXT(AO52,"dd-mm-yyyy")&amp;" al "&amp;TEXT(AP52,"dd-mm-yyyy"))</f>
        <v/>
      </c>
      <c r="AS52" s="19">
        <f>IF(A52="","",TEXT(A52,"mmmm yyyy"))</f>
        <v/>
      </c>
      <c r="AT52" s="19">
        <f>IF(A52="","",TEXT(A52,"dddd"))</f>
        <v/>
      </c>
      <c r="AU52" s="19">
        <f>IF(A52="","","CRR-"&amp;TEXT(A52,"yyyymmdd")&amp;"-"&amp;M52&amp;"-"&amp;TEXT(ROW()-3,"0000"))</f>
        <v/>
      </c>
      <c r="AV52" s="19">
        <f>IF(A52="","",IF(OR(B52="",C52="",E52="",F52="",M52="",N52=""),"Revisar campos obligatorios",IF(AND(P52="Atraso primera hora",Q52=""),"Falta justificación atraso primera hora",IF(AND(Z52="No cumple",AA52=""),"Falta justificación recambio &gt;15 min",IF(AND(ISNUMBER(SEARCH("suspend",N52)),OR(AG52="",AH52="")),"Falta causa/motivo suspensión","OK")))))</f>
        <v/>
      </c>
      <c r="AW52" s="19">
        <f>IF(N52="","",IF(ISNUMBER(SEARCH("suspend",N52)),IF(AND(AG52="",AH52=""),"Sin causa/motivo registrado",IF(AG52="",AH52,IF(AH52="",AG52,AG52&amp;": "&amp;AH52))),""))</f>
        <v/>
      </c>
    </row>
    <row r="53" ht="16" customHeight="1" s="151">
      <c r="A53" s="32" t="n">
        <v>46170</v>
      </c>
      <c r="B53" s="33" t="inlineStr">
        <is>
          <t>JULIO CÉSAR</t>
        </is>
      </c>
      <c r="C53" s="33" t="inlineStr">
        <is>
          <t>ESPINOZA</t>
        </is>
      </c>
      <c r="D53" s="33" t="inlineStr">
        <is>
          <t>40a 6m 15d</t>
        </is>
      </c>
      <c r="E53" s="33" t="inlineStr">
        <is>
          <t>VASECTOMIA BILATERAL, (PROC. AUT.) (LA VASECTOMIA COMO TIEMPO PREVIO A UNA RESECCION DE PROSTATA ESTA INCLUIDA EN LA PROSTATECTOMIA)</t>
        </is>
      </c>
      <c r="F53" s="46" t="inlineStr">
        <is>
          <t>SERVICIO DE UROLOGIA</t>
        </is>
      </c>
      <c r="G53" s="19" t="n"/>
      <c r="H53" s="33" t="n">
        <v>1902076</v>
      </c>
      <c r="I53" s="19" t="n"/>
      <c r="J53" s="20">
        <f>IF(H53&lt;&gt;"",IFERROR(VLOOKUP(IFERROR(LEFT(H53,FIND("-",H53)-1),H53),'Catalogo MINSAL'!A:E,5,FALSE),""),IF(I53&lt;&gt;"",IFERROR(VLOOKUP(IFERROR(LEFT(I53,FIND("-",I53)-1),I53),'Catalogo MINSAL'!A:E,5,FALSE),""),""))</f>
        <v/>
      </c>
      <c r="K53" s="33" t="inlineStr">
        <is>
          <t>Ivette Lopez Muñoz</t>
        </is>
      </c>
      <c r="L53" s="33" t="inlineStr">
        <is>
          <t>Sara Francisca Barria Oyarce</t>
        </is>
      </c>
      <c r="M53" s="33" t="inlineStr">
        <is>
          <t>Quirofano 07</t>
        </is>
      </c>
      <c r="N53" s="33" t="inlineStr">
        <is>
          <t>Atendido</t>
        </is>
      </c>
      <c r="O53" s="34" t="n">
        <v>0.5208333333333334</v>
      </c>
      <c r="P53" s="27">
        <f>IFERROR(IF(OR(O53="",A53="",M53=""),"",IF(SUMPRODUCT(($A$4:$A$500=A53)*($M$4:$M$500=M53)*($O$4:$O$500&lt;&gt;"")*(MOD($O$4:$O$500,1)&lt;MOD(O53,1)))=0,IF(MOD(O53,1)&lt;=TIME(8,15,0),"Ingreso adecuado primera hora","Atraso primera hora"),"No aplica")),"")</f>
        <v/>
      </c>
      <c r="Q53" s="27" t="n"/>
      <c r="R53" s="34" t="n">
        <v>0.5409722222222222</v>
      </c>
      <c r="S53" s="34" t="n">
        <v>0.5604166666666667</v>
      </c>
      <c r="T53" s="34" t="n">
        <v>0.5645833333333333</v>
      </c>
      <c r="U53" s="34">
        <f>IFERROR(VLOOKUP(M53,'Horario Pabellones'!$A$4:$D$17,2,FALSE),"")</f>
        <v/>
      </c>
      <c r="V53" s="34">
        <f>IFERROR(VLOOKUP(M53,'Horario Pabellones'!$A$4:$D$17,3,FALSE),"")</f>
        <v/>
      </c>
      <c r="W53" s="100">
        <f>IFERROR(VLOOKUP(M53,'Horario Pabellones'!$A$4:$D$17,4,FALSE),"")</f>
        <v/>
      </c>
      <c r="X53" s="90">
        <f>IFERROR(IF(OR(A53="",M53="",W53=""),"",(((_xludf.AGGREGATE(14,6,MOD($S$4:$S$500,1)/(($A$4:$A$500=A53)*($M$4:$M$500=M53)*($R$4:$R$500&lt;&gt;"")*($S$4:$S$500&lt;&gt;"")),1)-_xludf.AGGREGATE(15,6,MOD($R$4:$R$500,1)/(($A$4:$A$500=A53)*($M$4:$M$500=M53)*($R$4:$R$500&lt;&gt;"")*($S$4:$S$500&lt;&gt;"")),1))*1440)/60)/(W53/60)),"")</f>
        <v/>
      </c>
      <c r="Y53" s="35">
        <f>IFERROR(IF(OR(O53="",A53="",M53=""),"",(IF(ISNUMBER(O53),MOD(O53,1),TIMEVALUE(O53))-LOOKUP(2,1/(($A$4:$A$500=A53)*($M$4:$M$500=M53)*($T$4:$T$500&lt;&gt;"")*($T$4:$T$500&lt;IF(ISNUMBER(O53),MOD(O53,1),TIMEVALUE(O53)))),$T$4:$T$500))*1440),"")</f>
        <v/>
      </c>
      <c r="Z53" s="27">
        <f>IFERROR(IF(Y53="","",IF(ROUND(Y53,0)&lt;=15,"Cumple","No cumple")),"")</f>
        <v/>
      </c>
      <c r="AA53" s="27" t="n"/>
      <c r="AB53" s="26">
        <f>IFERROR(IF(OR(O53="",R53=""),"",IF(IF(ISNUMBER(R53),MOD(R53,1),TIMEVALUE(R53))&gt;=IF(ISNUMBER(O53),MOD(O53,1),TIMEVALUE(O53)),(IF(ISNUMBER(R53),MOD(R53,1),TIMEVALUE(R53))-IF(ISNUMBER(O53),MOD(O53,1),TIMEVALUE(O53)))*1440,(IF(ISNUMBER(R53),MOD(R53,1),TIMEVALUE(R53))+1-IF(ISNUMBER(O53),MOD(O53,1),TIMEVALUE(O53)))*1440)),"")</f>
        <v/>
      </c>
      <c r="AC53" s="28">
        <f>IFERROR(IF(OR(R53="",S53=""),"",IF(IF(ISNUMBER(S53),MOD(S53,1),TIMEVALUE(S53))&gt;=IF(ISNUMBER(R53),MOD(R53,1),TIMEVALUE(R53)),(IF(ISNUMBER(S53),MOD(S53,1),TIMEVALUE(S53))-IF(ISNUMBER(R53),MOD(R53,1),TIMEVALUE(R53)))*1440,(IF(ISNUMBER(S53),MOD(S53,1),TIMEVALUE(S53))+1-IF(ISNUMBER(R53),MOD(R53,1),TIMEVALUE(R53)))*1440)),"")</f>
        <v/>
      </c>
      <c r="AD53" s="101" t="n"/>
      <c r="AE53" s="26">
        <f>IFERROR(IF(OR(AC53="",AD53=""),"",AC53-AD53),"")</f>
        <v/>
      </c>
      <c r="AF53" s="27">
        <f>IFERROR(IF(AE53="","",IF(ROUND(AE53,0)&gt;15,"Subestimacion",IF(ROUND(AE53,0)&lt;-15,"Sobrestimacion","Asertivo"))),"")</f>
        <v/>
      </c>
      <c r="AG53" s="33" t="inlineStr">
        <is>
          <t>Sin Suspensión</t>
        </is>
      </c>
      <c r="AH53" s="33" t="n"/>
      <c r="AI53" s="33" t="n"/>
      <c r="AJ53" s="19" t="n"/>
      <c r="AK53" s="19" t="n"/>
      <c r="AL53" s="19" t="n"/>
      <c r="AM53" s="33" t="inlineStr">
        <is>
          <t>I0001188587</t>
        </is>
      </c>
      <c r="AN53" s="19" t="n"/>
      <c r="AO53" s="19" t="n"/>
      <c r="AP53" s="127">
        <f>IF(A53="","",A53-WEEKDAY(A53,2)+1)</f>
        <v/>
      </c>
      <c r="AQ53" s="127">
        <f>IF(AO53="","",AO53+6)</f>
        <v/>
      </c>
      <c r="AR53" s="19">
        <f>IF(AO53="","","Semana "&amp;TEXT(AO53,"dd-mm-yyyy")&amp;" al "&amp;TEXT(AP53,"dd-mm-yyyy"))</f>
        <v/>
      </c>
      <c r="AS53" s="19">
        <f>IF(A53="","",TEXT(A53,"mmmm yyyy"))</f>
        <v/>
      </c>
      <c r="AT53" s="19">
        <f>IF(A53="","",TEXT(A53,"dddd"))</f>
        <v/>
      </c>
      <c r="AU53" s="19">
        <f>IF(A53="","","CRR-"&amp;TEXT(A53,"yyyymmdd")&amp;"-"&amp;M53&amp;"-"&amp;TEXT(ROW()-3,"0000"))</f>
        <v/>
      </c>
      <c r="AV53" s="19">
        <f>IF(A53="","",IF(OR(B53="",C53="",E53="",F53="",M53="",N53=""),"Revisar campos obligatorios",IF(AND(P53="Atraso primera hora",Q53=""),"Falta justificación atraso primera hora",IF(AND(Z53="No cumple",AA53=""),"Falta justificación recambio &gt;15 min",IF(AND(ISNUMBER(SEARCH("suspend",N53)),OR(AG53="",AH53="")),"Falta causa/motivo suspensión","OK")))))</f>
        <v/>
      </c>
      <c r="AW53" s="19">
        <f>IF(N53="","",IF(ISNUMBER(SEARCH("suspend",N53)),IF(AND(AG53="",AH53=""),"Sin causa/motivo registrado",IF(AG53="",AH53,IF(AH53="",AG53,AG53&amp;": "&amp;AH53))),""))</f>
        <v/>
      </c>
    </row>
    <row r="54" ht="16" customHeight="1" s="151">
      <c r="A54" s="32" t="n">
        <v>46170</v>
      </c>
      <c r="B54" s="33" t="inlineStr">
        <is>
          <t>JUAN IGNACIO</t>
        </is>
      </c>
      <c r="C54" s="33" t="inlineStr">
        <is>
          <t>VILLARROEL</t>
        </is>
      </c>
      <c r="D54" s="33" t="inlineStr">
        <is>
          <t>34a 11m 5d</t>
        </is>
      </c>
      <c r="E54" s="33" t="inlineStr">
        <is>
          <t>VASECTOMIA BILATERAL, (PROC. AUT.) (LA VASECTOMIA COMO TIEMPO PREVIO A UNA RESECCION DE PROSTATA ESTA INCLUIDA EN LA PROSTATECTOMIA)</t>
        </is>
      </c>
      <c r="F54" s="46" t="inlineStr">
        <is>
          <t>SERVICIO DE UROLOGIA</t>
        </is>
      </c>
      <c r="G54" s="19" t="n"/>
      <c r="H54" s="33" t="n">
        <v>1902076</v>
      </c>
      <c r="I54" s="19" t="n"/>
      <c r="J54" s="20">
        <f>IF(H54&lt;&gt;"",IFERROR(VLOOKUP(IFERROR(LEFT(H54,FIND("-",H54)-1),H54),'Catalogo MINSAL'!A:E,5,FALSE),""),IF(I54&lt;&gt;"",IFERROR(VLOOKUP(IFERROR(LEFT(I54,FIND("-",I54)-1),I54),'Catalogo MINSAL'!A:E,5,FALSE),""),""))</f>
        <v/>
      </c>
      <c r="K54" s="33" t="inlineStr">
        <is>
          <t>Ivette Lopez Muñoz</t>
        </is>
      </c>
      <c r="L54" s="33" t="inlineStr">
        <is>
          <t>Sara Francisca Barria Oyarce</t>
        </is>
      </c>
      <c r="M54" s="33" t="inlineStr">
        <is>
          <t>Quirofano 07</t>
        </is>
      </c>
      <c r="N54" s="33" t="inlineStr">
        <is>
          <t>Atendido</t>
        </is>
      </c>
      <c r="O54" s="34" t="n">
        <v>0.5756944444444444</v>
      </c>
      <c r="P54" s="27">
        <f>IFERROR(IF(OR(O54="",A54="",M54=""),"",IF(SUMPRODUCT(($A$4:$A$500=A54)*($M$4:$M$500=M54)*($O$4:$O$500&lt;&gt;"")*(MOD($O$4:$O$500,1)&lt;MOD(O54,1)))=0,IF(MOD(O54,1)&lt;=TIME(8,15,0),"Ingreso adecuado primera hora","Atraso primera hora"),"No aplica")),"")</f>
        <v/>
      </c>
      <c r="Q54" s="27" t="n"/>
      <c r="R54" s="34" t="n">
        <v>0.5875</v>
      </c>
      <c r="S54" s="34" t="n">
        <v>0.6076388888888888</v>
      </c>
      <c r="T54" s="34" t="n">
        <v>0.6152777777777778</v>
      </c>
      <c r="U54" s="34">
        <f>IFERROR(VLOOKUP(M54,'Horario Pabellones'!$A$4:$D$17,2,FALSE),"")</f>
        <v/>
      </c>
      <c r="V54" s="34">
        <f>IFERROR(VLOOKUP(M54,'Horario Pabellones'!$A$4:$D$17,3,FALSE),"")</f>
        <v/>
      </c>
      <c r="W54" s="100">
        <f>IFERROR(VLOOKUP(M54,'Horario Pabellones'!$A$4:$D$17,4,FALSE),"")</f>
        <v/>
      </c>
      <c r="X54" s="90">
        <f>IFERROR(IF(OR(A54="",M54="",W54=""),"",(((_xludf.AGGREGATE(14,6,MOD($S$4:$S$500,1)/(($A$4:$A$500=A54)*($M$4:$M$500=M54)*($R$4:$R$500&lt;&gt;"")*($S$4:$S$500&lt;&gt;"")),1)-_xludf.AGGREGATE(15,6,MOD($R$4:$R$500,1)/(($A$4:$A$500=A54)*($M$4:$M$500=M54)*($R$4:$R$500&lt;&gt;"")*($S$4:$S$500&lt;&gt;"")),1))*1440)/60)/(W54/60)),"")</f>
        <v/>
      </c>
      <c r="Y54" s="35">
        <f>IFERROR(IF(OR(O54="",A54="",M54=""),"",(IF(ISNUMBER(O54),MOD(O54,1),TIMEVALUE(O54))-LOOKUP(2,1/(($A$4:$A$500=A54)*($M$4:$M$500=M54)*($T$4:$T$500&lt;&gt;"")*($T$4:$T$500&lt;IF(ISNUMBER(O54),MOD(O54,1),TIMEVALUE(O54)))),$T$4:$T$500))*1440),"")</f>
        <v/>
      </c>
      <c r="Z54" s="27">
        <f>IFERROR(IF(Y54="","",IF(ROUND(Y54,0)&lt;=15,"Cumple","No cumple")),"")</f>
        <v/>
      </c>
      <c r="AA54" s="27" t="n"/>
      <c r="AB54" s="26">
        <f>IFERROR(IF(OR(O54="",R54=""),"",IF(IF(ISNUMBER(R54),MOD(R54,1),TIMEVALUE(R54))&gt;=IF(ISNUMBER(O54),MOD(O54,1),TIMEVALUE(O54)),(IF(ISNUMBER(R54),MOD(R54,1),TIMEVALUE(R54))-IF(ISNUMBER(O54),MOD(O54,1),TIMEVALUE(O54)))*1440,(IF(ISNUMBER(R54),MOD(R54,1),TIMEVALUE(R54))+1-IF(ISNUMBER(O54),MOD(O54,1),TIMEVALUE(O54)))*1440)),"")</f>
        <v/>
      </c>
      <c r="AC54" s="28">
        <f>IFERROR(IF(OR(R54="",S54=""),"",IF(IF(ISNUMBER(S54),MOD(S54,1),TIMEVALUE(S54))&gt;=IF(ISNUMBER(R54),MOD(R54,1),TIMEVALUE(R54)),(IF(ISNUMBER(S54),MOD(S54,1),TIMEVALUE(S54))-IF(ISNUMBER(R54),MOD(R54,1),TIMEVALUE(R54)))*1440,(IF(ISNUMBER(S54),MOD(S54,1),TIMEVALUE(S54))+1-IF(ISNUMBER(R54),MOD(R54,1),TIMEVALUE(R54)))*1440)),"")</f>
        <v/>
      </c>
      <c r="AD54" s="101" t="n"/>
      <c r="AE54" s="26">
        <f>IFERROR(IF(OR(AC54="",AD54=""),"",AC54-AD54),"")</f>
        <v/>
      </c>
      <c r="AF54" s="27">
        <f>IFERROR(IF(AE54="","",IF(ROUND(AE54,0)&gt;15,"Subestimacion",IF(ROUND(AE54,0)&lt;-15,"Sobrestimacion","Asertivo"))),"")</f>
        <v/>
      </c>
      <c r="AG54" s="33" t="inlineStr">
        <is>
          <t>Sin Suspensión</t>
        </is>
      </c>
      <c r="AH54" s="33" t="n"/>
      <c r="AI54" s="33" t="n"/>
      <c r="AJ54" s="19" t="n"/>
      <c r="AK54" s="19" t="n"/>
      <c r="AL54" s="19" t="n"/>
      <c r="AM54" s="33" t="inlineStr">
        <is>
          <t>I0001188395</t>
        </is>
      </c>
      <c r="AN54" s="19" t="n"/>
      <c r="AO54" s="19" t="n"/>
      <c r="AP54" s="127">
        <f>IF(A54="","",A54-WEEKDAY(A54,2)+1)</f>
        <v/>
      </c>
      <c r="AQ54" s="127">
        <f>IF(AO54="","",AO54+6)</f>
        <v/>
      </c>
      <c r="AR54" s="19">
        <f>IF(AO54="","","Semana "&amp;TEXT(AO54,"dd-mm-yyyy")&amp;" al "&amp;TEXT(AP54,"dd-mm-yyyy"))</f>
        <v/>
      </c>
      <c r="AS54" s="19">
        <f>IF(A54="","",TEXT(A54,"mmmm yyyy"))</f>
        <v/>
      </c>
      <c r="AT54" s="19">
        <f>IF(A54="","",TEXT(A54,"dddd"))</f>
        <v/>
      </c>
      <c r="AU54" s="19">
        <f>IF(A54="","","CRR-"&amp;TEXT(A54,"yyyymmdd")&amp;"-"&amp;M54&amp;"-"&amp;TEXT(ROW()-3,"0000"))</f>
        <v/>
      </c>
      <c r="AV54" s="19">
        <f>IF(A54="","",IF(OR(B54="",C54="",E54="",F54="",M54="",N54=""),"Revisar campos obligatorios",IF(AND(P54="Atraso primera hora",Q54=""),"Falta justificación atraso primera hora",IF(AND(Z54="No cumple",AA54=""),"Falta justificación recambio &gt;15 min",IF(AND(ISNUMBER(SEARCH("suspend",N54)),OR(AG54="",AH54="")),"Falta causa/motivo suspensión","OK")))))</f>
        <v/>
      </c>
      <c r="AW54" s="19">
        <f>IF(N54="","",IF(ISNUMBER(SEARCH("suspend",N54)),IF(AND(AG54="",AH54=""),"Sin causa/motivo registrado",IF(AG54="",AH54,IF(AH54="",AG54,AG54&amp;": "&amp;AH54))),""))</f>
        <v/>
      </c>
    </row>
    <row r="55" ht="16" customHeight="1" s="151">
      <c r="A55" s="32" t="n">
        <v>46170</v>
      </c>
      <c r="B55" s="33" t="inlineStr">
        <is>
          <t>DIEGO ALFREDO</t>
        </is>
      </c>
      <c r="C55" s="33" t="inlineStr">
        <is>
          <t>ZÚÑIGA</t>
        </is>
      </c>
      <c r="D55" s="33" t="inlineStr">
        <is>
          <t>35a 5m 19d</t>
        </is>
      </c>
      <c r="E55" s="33" t="inlineStr">
        <is>
          <t>VASECTOMIA BILATERAL, (PROC. AUT.) (LA VASECTOMIA COMO TIEMPO PREVIO A UNA RESECCION DE PROSTATA ESTA INCLUIDA EN LA PROSTATECTOMIA)</t>
        </is>
      </c>
      <c r="F55" s="46" t="inlineStr">
        <is>
          <t>SERVICIO DE UROLOGIA</t>
        </is>
      </c>
      <c r="G55" s="19" t="n"/>
      <c r="H55" s="33" t="n">
        <v>1902076</v>
      </c>
      <c r="I55" s="19" t="n"/>
      <c r="J55" s="20">
        <f>IF(H55&lt;&gt;"",IFERROR(VLOOKUP(IFERROR(LEFT(H55,FIND("-",H55)-1),H55),'Catalogo MINSAL'!A:E,5,FALSE),""),IF(I55&lt;&gt;"",IFERROR(VLOOKUP(IFERROR(LEFT(I55,FIND("-",I55)-1),I55),'Catalogo MINSAL'!A:E,5,FALSE),""),""))</f>
        <v/>
      </c>
      <c r="K55" s="33" t="inlineStr">
        <is>
          <t>Ivette Lopez Muñoz</t>
        </is>
      </c>
      <c r="L55" s="33" t="inlineStr">
        <is>
          <t>Sara Francisca Barria Oyarce</t>
        </is>
      </c>
      <c r="M55" s="33" t="inlineStr">
        <is>
          <t>Quirofano 07</t>
        </is>
      </c>
      <c r="N55" s="33" t="inlineStr">
        <is>
          <t>Recepcionado</t>
        </is>
      </c>
      <c r="O55" s="34" t="n">
        <v>0.6256944444444444</v>
      </c>
      <c r="P55" s="27">
        <f>IFERROR(IF(OR(O55="",A55="",M55=""),"",IF(SUMPRODUCT(($A$4:$A$500=A55)*($M$4:$M$500=M55)*($O$4:$O$500&lt;&gt;"")*(MOD($O$4:$O$500,1)&lt;MOD(O55,1)))=0,IF(MOD(O55,1)&lt;=TIME(8,15,0),"Ingreso adecuado primera hora","Atraso primera hora"),"No aplica")),"")</f>
        <v/>
      </c>
      <c r="Q55" s="27" t="n"/>
      <c r="R55" s="34" t="n">
        <v>0.6354166666666666</v>
      </c>
      <c r="S55" s="34" t="n">
        <v>0.65625</v>
      </c>
      <c r="T55" s="34" t="n">
        <v>0.6611111111111111</v>
      </c>
      <c r="U55" s="34">
        <f>IFERROR(VLOOKUP(M55,'Horario Pabellones'!$A$4:$D$17,2,FALSE),"")</f>
        <v/>
      </c>
      <c r="V55" s="34">
        <f>IFERROR(VLOOKUP(M55,'Horario Pabellones'!$A$4:$D$17,3,FALSE),"")</f>
        <v/>
      </c>
      <c r="W55" s="100">
        <f>IFERROR(VLOOKUP(M55,'Horario Pabellones'!$A$4:$D$17,4,FALSE),"")</f>
        <v/>
      </c>
      <c r="X55" s="90">
        <f>IFERROR(IF(OR(A55="",M55="",W55=""),"",(((_xludf.AGGREGATE(14,6,MOD($S$4:$S$500,1)/(($A$4:$A$500=A55)*($M$4:$M$500=M55)*($R$4:$R$500&lt;&gt;"")*($S$4:$S$500&lt;&gt;"")),1)-_xludf.AGGREGATE(15,6,MOD($R$4:$R$500,1)/(($A$4:$A$500=A55)*($M$4:$M$500=M55)*($R$4:$R$500&lt;&gt;"")*($S$4:$S$500&lt;&gt;"")),1))*1440)/60)/(W55/60)),"")</f>
        <v/>
      </c>
      <c r="Y55" s="35">
        <f>IFERROR(IF(OR(O55="",A55="",M55=""),"",(IF(ISNUMBER(O55),MOD(O55,1),TIMEVALUE(O55))-LOOKUP(2,1/(($A$4:$A$500=A55)*($M$4:$M$500=M55)*($T$4:$T$500&lt;&gt;"")*($T$4:$T$500&lt;IF(ISNUMBER(O55),MOD(O55,1),TIMEVALUE(O55)))),$T$4:$T$500))*1440),"")</f>
        <v/>
      </c>
      <c r="Z55" s="27">
        <f>IFERROR(IF(Y55="","",IF(ROUND(Y55,0)&lt;=15,"Cumple","No cumple")),"")</f>
        <v/>
      </c>
      <c r="AA55" s="27" t="n"/>
      <c r="AB55" s="26">
        <f>IFERROR(IF(OR(O55="",R55=""),"",IF(IF(ISNUMBER(R55),MOD(R55,1),TIMEVALUE(R55))&gt;=IF(ISNUMBER(O55),MOD(O55,1),TIMEVALUE(O55)),(IF(ISNUMBER(R55),MOD(R55,1),TIMEVALUE(R55))-IF(ISNUMBER(O55),MOD(O55,1),TIMEVALUE(O55)))*1440,(IF(ISNUMBER(R55),MOD(R55,1),TIMEVALUE(R55))+1-IF(ISNUMBER(O55),MOD(O55,1),TIMEVALUE(O55)))*1440)),"")</f>
        <v/>
      </c>
      <c r="AC55" s="28">
        <f>IFERROR(IF(OR(R55="",S55=""),"",IF(IF(ISNUMBER(S55),MOD(S55,1),TIMEVALUE(S55))&gt;=IF(ISNUMBER(R55),MOD(R55,1),TIMEVALUE(R55)),(IF(ISNUMBER(S55),MOD(S55,1),TIMEVALUE(S55))-IF(ISNUMBER(R55),MOD(R55,1),TIMEVALUE(R55)))*1440,(IF(ISNUMBER(S55),MOD(S55,1),TIMEVALUE(S55))+1-IF(ISNUMBER(R55),MOD(R55,1),TIMEVALUE(R55)))*1440)),"")</f>
        <v/>
      </c>
      <c r="AD55" s="101" t="n"/>
      <c r="AE55" s="26">
        <f>IFERROR(IF(OR(AC55="",AD55=""),"",AC55-AD55),"")</f>
        <v/>
      </c>
      <c r="AF55" s="27">
        <f>IFERROR(IF(AE55="","",IF(ROUND(AE55,0)&gt;15,"Subestimacion",IF(ROUND(AE55,0)&lt;-15,"Sobrestimacion","Asertivo"))),"")</f>
        <v/>
      </c>
      <c r="AG55" s="33" t="inlineStr">
        <is>
          <t>Sin Suspensión</t>
        </is>
      </c>
      <c r="AH55" s="33" t="n"/>
      <c r="AI55" s="33" t="n"/>
      <c r="AJ55" s="19" t="n"/>
      <c r="AK55" s="19" t="n"/>
      <c r="AL55" s="19" t="n"/>
      <c r="AM55" s="33" t="inlineStr">
        <is>
          <t>I0001188393</t>
        </is>
      </c>
      <c r="AN55" s="19" t="n"/>
      <c r="AO55" s="19" t="n"/>
      <c r="AP55" s="127">
        <f>IF(A55="","",A55-WEEKDAY(A55,2)+1)</f>
        <v/>
      </c>
      <c r="AQ55" s="127">
        <f>IF(AO55="","",AO55+6)</f>
        <v/>
      </c>
      <c r="AR55" s="19">
        <f>IF(AO55="","","Semana "&amp;TEXT(AO55,"dd-mm-yyyy")&amp;" al "&amp;TEXT(AP55,"dd-mm-yyyy"))</f>
        <v/>
      </c>
      <c r="AS55" s="19">
        <f>IF(A55="","",TEXT(A55,"mmmm yyyy"))</f>
        <v/>
      </c>
      <c r="AT55" s="19">
        <f>IF(A55="","",TEXT(A55,"dddd"))</f>
        <v/>
      </c>
      <c r="AU55" s="19">
        <f>IF(A55="","","CRR-"&amp;TEXT(A55,"yyyymmdd")&amp;"-"&amp;M55&amp;"-"&amp;TEXT(ROW()-3,"0000"))</f>
        <v/>
      </c>
      <c r="AV55" s="19">
        <f>IF(A55="","",IF(OR(B55="",C55="",E55="",F55="",M55="",N55=""),"Revisar campos obligatorios",IF(AND(P55="Atraso primera hora",Q55=""),"Falta justificación atraso primera hora",IF(AND(Z55="No cumple",AA55=""),"Falta justificación recambio &gt;15 min",IF(AND(ISNUMBER(SEARCH("suspend",N55)),OR(AG55="",AH55="")),"Falta causa/motivo suspensión","OK")))))</f>
        <v/>
      </c>
      <c r="AW55" s="19">
        <f>IF(N55="","",IF(ISNUMBER(SEARCH("suspend",N55)),IF(AND(AG55="",AH55=""),"Sin causa/motivo registrado",IF(AG55="",AH55,IF(AH55="",AG55,AG55&amp;": "&amp;AH55))),""))</f>
        <v/>
      </c>
    </row>
    <row r="56" ht="16" customHeight="1" s="151">
      <c r="A56" s="32" t="n">
        <v>46170</v>
      </c>
      <c r="B56" s="33" t="inlineStr">
        <is>
          <t>HORACIO ALEJANDRO</t>
        </is>
      </c>
      <c r="C56" s="33" t="inlineStr">
        <is>
          <t>GAVILÁN</t>
        </is>
      </c>
      <c r="D56" s="33" t="inlineStr">
        <is>
          <t>20a 2m 25d</t>
        </is>
      </c>
      <c r="E56" s="33" t="inlineStr">
        <is>
          <t>MEATOTOMIA HOMBRE Y/O SECCION FRENILLO Y/O INCISION DORSAL, (PROC. AUT.)</t>
        </is>
      </c>
      <c r="F56" s="46" t="inlineStr">
        <is>
          <t>SERVICIO DE UROLOGIA</t>
        </is>
      </c>
      <c r="G56" s="19" t="n"/>
      <c r="H56" s="33" t="inlineStr">
        <is>
          <t>1902084-4</t>
        </is>
      </c>
      <c r="I56" s="19" t="n"/>
      <c r="J56" s="20">
        <f>IF(H56&lt;&gt;"",IFERROR(VLOOKUP(IFERROR(LEFT(H56,FIND("-",H56)-1),H56),'Catalogo MINSAL'!A:E,5,FALSE),""),IF(I56&lt;&gt;"",IFERROR(VLOOKUP(IFERROR(LEFT(I56,FIND("-",I56)-1),I56),'Catalogo MINSAL'!A:E,5,FALSE),""),""))</f>
        <v/>
      </c>
      <c r="K56" s="33" t="inlineStr">
        <is>
          <t>Ivette Lopez Muñoz</t>
        </is>
      </c>
      <c r="L56" s="33" t="inlineStr">
        <is>
          <t>Sara Francisca Barria Oyarce</t>
        </is>
      </c>
      <c r="M56" s="33" t="inlineStr">
        <is>
          <t>Quirofano 07</t>
        </is>
      </c>
      <c r="N56" s="33" t="inlineStr">
        <is>
          <t>Recepcionado</t>
        </is>
      </c>
      <c r="O56" s="34" t="n">
        <v>0.6666666666666666</v>
      </c>
      <c r="P56" s="27">
        <f>IFERROR(IF(OR(O56="",A56="",M56=""),"",IF(SUMPRODUCT(($A$4:$A$500=A56)*($M$4:$M$500=M56)*($O$4:$O$500&lt;&gt;"")*(MOD($O$4:$O$500,1)&lt;MOD(O56,1)))=0,IF(MOD(O56,1)&lt;=TIME(8,15,0),"Ingreso adecuado primera hora","Atraso primera hora"),"No aplica")),"")</f>
        <v/>
      </c>
      <c r="Q56" s="27" t="n"/>
      <c r="R56" s="34" t="n">
        <v>0.6736111111111112</v>
      </c>
      <c r="S56" s="34" t="n">
        <v>0.6875</v>
      </c>
      <c r="T56" s="34" t="n">
        <v>0.6909722222222222</v>
      </c>
      <c r="U56" s="34">
        <f>IFERROR(VLOOKUP(M56,'Horario Pabellones'!$A$4:$D$17,2,FALSE),"")</f>
        <v/>
      </c>
      <c r="V56" s="34">
        <f>IFERROR(VLOOKUP(M56,'Horario Pabellones'!$A$4:$D$17,3,FALSE),"")</f>
        <v/>
      </c>
      <c r="W56" s="100">
        <f>IFERROR(VLOOKUP(M56,'Horario Pabellones'!$A$4:$D$17,4,FALSE),"")</f>
        <v/>
      </c>
      <c r="X56" s="90">
        <f>IFERROR(IF(OR(A56="",M56="",W56=""),"",(((_xludf.AGGREGATE(14,6,MOD($S$4:$S$500,1)/(($A$4:$A$500=A56)*($M$4:$M$500=M56)*($R$4:$R$500&lt;&gt;"")*($S$4:$S$500&lt;&gt;"")),1)-_xludf.AGGREGATE(15,6,MOD($R$4:$R$500,1)/(($A$4:$A$500=A56)*($M$4:$M$500=M56)*($R$4:$R$500&lt;&gt;"")*($S$4:$S$500&lt;&gt;"")),1))*1440)/60)/(W56/60)),"")</f>
        <v/>
      </c>
      <c r="Y56" s="35">
        <f>IFERROR(IF(OR(O56="",A56="",M56=""),"",(IF(ISNUMBER(O56),MOD(O56,1),TIMEVALUE(O56))-LOOKUP(2,1/(($A$4:$A$500=A56)*($M$4:$M$500=M56)*($T$4:$T$500&lt;&gt;"")*($T$4:$T$500&lt;IF(ISNUMBER(O56),MOD(O56,1),TIMEVALUE(O56)))),$T$4:$T$500))*1440),"")</f>
        <v/>
      </c>
      <c r="Z56" s="27">
        <f>IFERROR(IF(Y56="","",IF(ROUND(Y56,0)&lt;=15,"Cumple","No cumple")),"")</f>
        <v/>
      </c>
      <c r="AA56" s="27" t="n"/>
      <c r="AB56" s="26">
        <f>IFERROR(IF(OR(O56="",R56=""),"",IF(IF(ISNUMBER(R56),MOD(R56,1),TIMEVALUE(R56))&gt;=IF(ISNUMBER(O56),MOD(O56,1),TIMEVALUE(O56)),(IF(ISNUMBER(R56),MOD(R56,1),TIMEVALUE(R56))-IF(ISNUMBER(O56),MOD(O56,1),TIMEVALUE(O56)))*1440,(IF(ISNUMBER(R56),MOD(R56,1),TIMEVALUE(R56))+1-IF(ISNUMBER(O56),MOD(O56,1),TIMEVALUE(O56)))*1440)),"")</f>
        <v/>
      </c>
      <c r="AC56" s="28">
        <f>IFERROR(IF(OR(R56="",S56=""),"",IF(IF(ISNUMBER(S56),MOD(S56,1),TIMEVALUE(S56))&gt;=IF(ISNUMBER(R56),MOD(R56,1),TIMEVALUE(R56)),(IF(ISNUMBER(S56),MOD(S56,1),TIMEVALUE(S56))-IF(ISNUMBER(R56),MOD(R56,1),TIMEVALUE(R56)))*1440,(IF(ISNUMBER(S56),MOD(S56,1),TIMEVALUE(S56))+1-IF(ISNUMBER(R56),MOD(R56,1),TIMEVALUE(R56)))*1440)),"")</f>
        <v/>
      </c>
      <c r="AD56" s="101" t="n"/>
      <c r="AE56" s="26">
        <f>IFERROR(IF(OR(AC56="",AD56=""),"",AC56-AD56),"")</f>
        <v/>
      </c>
      <c r="AF56" s="27">
        <f>IFERROR(IF(AE56="","",IF(ROUND(AE56,0)&gt;15,"Subestimacion",IF(ROUND(AE56,0)&lt;-15,"Sobrestimacion","Asertivo"))),"")</f>
        <v/>
      </c>
      <c r="AG56" s="33" t="inlineStr">
        <is>
          <t>Sin Suspensión</t>
        </is>
      </c>
      <c r="AH56" s="33" t="n"/>
      <c r="AI56" s="33" t="n"/>
      <c r="AJ56" s="19" t="n"/>
      <c r="AK56" s="19" t="n"/>
      <c r="AL56" s="19" t="n"/>
      <c r="AM56" s="33" t="inlineStr">
        <is>
          <t>I0001188391</t>
        </is>
      </c>
      <c r="AN56" s="19" t="n"/>
      <c r="AO56" s="19" t="n"/>
      <c r="AP56" s="127">
        <f>IF(A56="","",A56-WEEKDAY(A56,2)+1)</f>
        <v/>
      </c>
      <c r="AQ56" s="127">
        <f>IF(AO56="","",AO56+6)</f>
        <v/>
      </c>
      <c r="AR56" s="19">
        <f>IF(AO56="","","Semana "&amp;TEXT(AO56,"dd-mm-yyyy")&amp;" al "&amp;TEXT(AP56,"dd-mm-yyyy"))</f>
        <v/>
      </c>
      <c r="AS56" s="19">
        <f>IF(A56="","",TEXT(A56,"mmmm yyyy"))</f>
        <v/>
      </c>
      <c r="AT56" s="19">
        <f>IF(A56="","",TEXT(A56,"dddd"))</f>
        <v/>
      </c>
      <c r="AU56" s="19">
        <f>IF(A56="","","CRR-"&amp;TEXT(A56,"yyyymmdd")&amp;"-"&amp;M56&amp;"-"&amp;TEXT(ROW()-3,"0000"))</f>
        <v/>
      </c>
      <c r="AV56" s="19">
        <f>IF(A56="","",IF(OR(B56="",C56="",E56="",F56="",M56="",N56=""),"Revisar campos obligatorios",IF(AND(P56="Atraso primera hora",Q56=""),"Falta justificación atraso primera hora",IF(AND(Z56="No cumple",AA56=""),"Falta justificación recambio &gt;15 min",IF(AND(ISNUMBER(SEARCH("suspend",N56)),OR(AG56="",AH56="")),"Falta causa/motivo suspensión","OK")))))</f>
        <v/>
      </c>
      <c r="AW56" s="19">
        <f>IF(N56="","",IF(ISNUMBER(SEARCH("suspend",N56)),IF(AND(AG56="",AH56=""),"Sin causa/motivo registrado",IF(AG56="",AH56,IF(AH56="",AG56,AG56&amp;": "&amp;AH56))),""))</f>
        <v/>
      </c>
    </row>
    <row r="57" ht="16" customHeight="1" s="151">
      <c r="A57" s="32" t="n">
        <v>46170</v>
      </c>
      <c r="B57" s="33" t="inlineStr">
        <is>
          <t>JORGE ALEX</t>
        </is>
      </c>
      <c r="C57" s="33" t="inlineStr">
        <is>
          <t>NEIRA</t>
        </is>
      </c>
      <c r="D57" s="33" t="inlineStr">
        <is>
          <t>56a 6m 15d</t>
        </is>
      </c>
      <c r="E57" s="33" t="inlineStr">
        <is>
          <t>CIRCUNCISION (INCLUYE SECCION DE FRENILLO, Y/O DE SINEQUIAS BALANO-PREPUCIALES, Y/O INCISION DORSAL C/S MEATOTOMIA)</t>
        </is>
      </c>
      <c r="F57" s="46" t="inlineStr">
        <is>
          <t>SERVICIO DE UROLOGIA</t>
        </is>
      </c>
      <c r="G57" s="19" t="n"/>
      <c r="H57" s="33" t="inlineStr">
        <is>
          <t>1902082-5</t>
        </is>
      </c>
      <c r="I57" s="19" t="n"/>
      <c r="J57" s="20">
        <f>IF(H57&lt;&gt;"",IFERROR(VLOOKUP(IFERROR(LEFT(H57,FIND("-",H57)-1),H57),'Catalogo MINSAL'!A:E,5,FALSE),""),IF(I57&lt;&gt;"",IFERROR(VLOOKUP(IFERROR(LEFT(I57,FIND("-",I57)-1),I57),'Catalogo MINSAL'!A:E,5,FALSE),""),""))</f>
        <v/>
      </c>
      <c r="K57" s="33" t="inlineStr">
        <is>
          <t>Ivette Lopez Muñoz</t>
        </is>
      </c>
      <c r="L57" s="33" t="inlineStr">
        <is>
          <t>Sara Francisca Barria Oyarce</t>
        </is>
      </c>
      <c r="M57" s="33" t="inlineStr">
        <is>
          <t>Quirofano 07</t>
        </is>
      </c>
      <c r="N57" s="33" t="inlineStr">
        <is>
          <t>Suspendido</t>
        </is>
      </c>
      <c r="O57" s="37" t="n"/>
      <c r="P57" s="27">
        <f>IFERROR(IF(OR(O57="",A57="",M57=""),"",IF(SUMPRODUCT(($A$4:$A$500=A57)*($M$4:$M$500=M57)*($O$4:$O$500&lt;&gt;"")*(MOD($O$4:$O$500,1)&lt;MOD(O57,1)))=0,IF(MOD(O57,1)&lt;=TIME(8,15,0),"Ingreso adecuado primera hora","Atraso primera hora"),"No aplica")),"")</f>
        <v/>
      </c>
      <c r="Q57" s="27" t="n"/>
      <c r="R57" s="37" t="n"/>
      <c r="S57" s="37" t="n"/>
      <c r="T57" s="37" t="n"/>
      <c r="U57" s="34">
        <f>IFERROR(VLOOKUP(M57,'Horario Pabellones'!$A$4:$D$17,2,FALSE),"")</f>
        <v/>
      </c>
      <c r="V57" s="34">
        <f>IFERROR(VLOOKUP(M57,'Horario Pabellones'!$A$4:$D$17,3,FALSE),"")</f>
        <v/>
      </c>
      <c r="W57" s="101">
        <f>IFERROR(VLOOKUP(M57,'Horario Pabellones'!$A$4:$D$17,4,FALSE),"")</f>
        <v/>
      </c>
      <c r="X57" s="91">
        <f>IFERROR(IF(OR(A57="",M57="",W57=""),"",(((_xludf.AGGREGATE(14,6,MOD($S$4:$S$500,1)/(($A$4:$A$500=A57)*($M$4:$M$500=M57)*($R$4:$R$500&lt;&gt;"")*($S$4:$S$500&lt;&gt;"")),1)-_xludf.AGGREGATE(15,6,MOD($R$4:$R$500,1)/(($A$4:$A$500=A57)*($M$4:$M$500=M57)*($R$4:$R$500&lt;&gt;"")*($S$4:$S$500&lt;&gt;"")),1))*1440)/60)/(W57/60)),"")</f>
        <v/>
      </c>
      <c r="Y57" s="41">
        <f>IFERROR(IF(OR(O57="",A57="",M57=""),"",(IF(ISNUMBER(O57),MOD(O57,1),TIMEVALUE(O57))-LOOKUP(2,1/(($A$4:$A$500=A57)*($M$4:$M$500=M57)*($T$4:$T$500&lt;&gt;"")*($T$4:$T$500&lt;IF(ISNUMBER(O57),MOD(O57,1),TIMEVALUE(O57)))),$T$4:$T$500))*1440),"")</f>
        <v/>
      </c>
      <c r="Z57" s="27">
        <f>IFERROR(IF(Y57="","",IF(ROUND(Y57,0)&lt;=15,"Cumple","No cumple")),"")</f>
        <v/>
      </c>
      <c r="AA57" s="27" t="n"/>
      <c r="AB57" s="26">
        <f>IFERROR(IF(OR(O57="",R57=""),"",IF(IF(ISNUMBER(R57),MOD(R57,1),TIMEVALUE(R57))&gt;=IF(ISNUMBER(O57),MOD(O57,1),TIMEVALUE(O57)),(IF(ISNUMBER(R57),MOD(R57,1),TIMEVALUE(R57))-IF(ISNUMBER(O57),MOD(O57,1),TIMEVALUE(O57)))*1440,(IF(ISNUMBER(R57),MOD(R57,1),TIMEVALUE(R57))+1-IF(ISNUMBER(O57),MOD(O57,1),TIMEVALUE(O57)))*1440)),"")</f>
        <v/>
      </c>
      <c r="AC57" s="28">
        <f>IFERROR(IF(OR(R57="",S57=""),"",IF(IF(ISNUMBER(S57),MOD(S57,1),TIMEVALUE(S57))&gt;=IF(ISNUMBER(R57),MOD(R57,1),TIMEVALUE(R57)),(IF(ISNUMBER(S57),MOD(S57,1),TIMEVALUE(S57))-IF(ISNUMBER(R57),MOD(R57,1),TIMEVALUE(R57)))*1440,(IF(ISNUMBER(S57),MOD(S57,1),TIMEVALUE(S57))+1-IF(ISNUMBER(R57),MOD(R57,1),TIMEVALUE(R57)))*1440)),"")</f>
        <v/>
      </c>
      <c r="AD57" s="101" t="n"/>
      <c r="AE57" s="26">
        <f>IFERROR(IF(OR(AC57="",AD57=""),"",AC57-AD57),"")</f>
        <v/>
      </c>
      <c r="AF57" s="27">
        <f>IFERROR(IF(AE57="","",IF(ROUND(AE57,0)&gt;15,"Subestimacion",IF(ROUND(AE57,0)&lt;-15,"Sobrestimacion","Asertivo"))),"")</f>
        <v/>
      </c>
      <c r="AG57" s="42" t="inlineStr">
        <is>
          <t>Error de programación</t>
        </is>
      </c>
      <c r="AH57" s="42" t="n"/>
      <c r="AI57" s="42" t="n"/>
      <c r="AJ57" s="19" t="n"/>
      <c r="AK57" s="19" t="n"/>
      <c r="AL57" s="19" t="n"/>
      <c r="AM57" s="33" t="inlineStr">
        <is>
          <t>I0001188397</t>
        </is>
      </c>
      <c r="AN57" s="19" t="n"/>
      <c r="AO57" s="19" t="n"/>
      <c r="AP57" s="127">
        <f>IF(A57="","",A57-WEEKDAY(A57,2)+1)</f>
        <v/>
      </c>
      <c r="AQ57" s="127">
        <f>IF(AO57="","",AO57+6)</f>
        <v/>
      </c>
      <c r="AR57" s="19">
        <f>IF(AO57="","","Semana "&amp;TEXT(AO57,"dd-mm-yyyy")&amp;" al "&amp;TEXT(AP57,"dd-mm-yyyy"))</f>
        <v/>
      </c>
      <c r="AS57" s="19">
        <f>IF(A57="","",TEXT(A57,"mmmm yyyy"))</f>
        <v/>
      </c>
      <c r="AT57" s="19">
        <f>IF(A57="","",TEXT(A57,"dddd"))</f>
        <v/>
      </c>
      <c r="AU57" s="19">
        <f>IF(A57="","","CRR-"&amp;TEXT(A57,"yyyymmdd")&amp;"-"&amp;M57&amp;"-"&amp;TEXT(ROW()-3,"0000"))</f>
        <v/>
      </c>
      <c r="AV57" s="19">
        <f>IF(A57="","",IF(OR(B57="",C57="",E57="",F57="",M57="",N57=""),"Revisar campos obligatorios",IF(AND(P57="Atraso primera hora",Q57=""),"Falta justificación atraso primera hora",IF(AND(Z57="No cumple",AA57=""),"Falta justificación recambio &gt;15 min",IF(AND(ISNUMBER(SEARCH("suspend",N57)),OR(AG57="",AH57="")),"Falta causa/motivo suspensión","OK")))))</f>
        <v/>
      </c>
      <c r="AW57" s="19">
        <f>IF(N57="","",IF(ISNUMBER(SEARCH("suspend",N57)),IF(AND(AG57="",AH57=""),"Sin causa/motivo registrado",IF(AG57="",AH57,IF(AH57="",AG57,AG57&amp;": "&amp;AH57))),""))</f>
        <v/>
      </c>
    </row>
    <row r="58" ht="16" customHeight="1" s="151">
      <c r="A58" s="32" t="n">
        <v>46170</v>
      </c>
      <c r="B58" s="33" t="inlineStr">
        <is>
          <t>MARÍA ELIANA</t>
        </is>
      </c>
      <c r="C58" s="33" t="inlineStr">
        <is>
          <t>NÚÑEZ</t>
        </is>
      </c>
      <c r="D58" s="33" t="inlineStr">
        <is>
          <t>75a 7m 19d</t>
        </is>
      </c>
      <c r="E58" s="33" t="inlineStr">
        <is>
          <t>- FACOERESIS EXTRACAPSULAR CON IMPLANTE DE LENTE INTRAOCULAR (NO INCLUYE EL VALOR DE LA PROTESIS)</t>
        </is>
      </c>
      <c r="F58" s="45" t="inlineStr">
        <is>
          <t>UNIDAD DE OFTALMOLOGIA</t>
        </is>
      </c>
      <c r="G58" s="19" t="n"/>
      <c r="H58" s="33" t="inlineStr">
        <is>
          <t>1202064-10</t>
        </is>
      </c>
      <c r="I58" s="19" t="n"/>
      <c r="J58" s="20">
        <f>IF(H58&lt;&gt;"",IFERROR(VLOOKUP(IFERROR(LEFT(H58,FIND("-",H58)-1),H58),'Catalogo MINSAL'!A:E,5,FALSE),""),IF(I58&lt;&gt;"",IFERROR(VLOOKUP(IFERROR(LEFT(I58,FIND("-",I58)-1),I58),'Catalogo MINSAL'!A:E,5,FALSE),""),""))</f>
        <v/>
      </c>
      <c r="K58" s="33" t="inlineStr">
        <is>
          <t>Isidora Fernanda Gonzalez Arenas</t>
        </is>
      </c>
      <c r="L58" s="33" t="inlineStr">
        <is>
          <t>Sebastian Aceituno Arroyo</t>
        </is>
      </c>
      <c r="M58" s="33" t="inlineStr">
        <is>
          <t>Quirofano 08</t>
        </is>
      </c>
      <c r="N58" s="33" t="inlineStr">
        <is>
          <t>Recepcionado</t>
        </is>
      </c>
      <c r="O58" s="34" t="n">
        <v>0.3819444444444444</v>
      </c>
      <c r="P58" s="27">
        <f>IFERROR(IF(OR(O58="",A58="",M58=""),"",IF(SUMPRODUCT(($A$4:$A$500=A58)*($M$4:$M$500=M58)*($O$4:$O$500&lt;&gt;"")*(MOD($O$4:$O$500,1)&lt;MOD(O58,1)))=0,IF(MOD(O58,1)&lt;=TIME(8,15,0),"Ingreso adecuado primera hora","Atraso primera hora"),"No aplica")),"")</f>
        <v/>
      </c>
      <c r="Q58" s="27" t="n"/>
      <c r="R58" s="34" t="n">
        <v>0.3888888888888889</v>
      </c>
      <c r="S58" s="34" t="n">
        <v>0.4118055555555555</v>
      </c>
      <c r="T58" s="34" t="n">
        <v>0.4131944444444444</v>
      </c>
      <c r="U58" s="34">
        <f>IFERROR(VLOOKUP(M58,'Horario Pabellones'!$A$4:$D$17,2,FALSE),"")</f>
        <v/>
      </c>
      <c r="V58" s="34">
        <f>IFERROR(VLOOKUP(M58,'Horario Pabellones'!$A$4:$D$17,3,FALSE),"")</f>
        <v/>
      </c>
      <c r="W58" s="100">
        <f>IFERROR(VLOOKUP(M58,'Horario Pabellones'!$A$4:$D$17,4,FALSE),"")</f>
        <v/>
      </c>
      <c r="X58" s="90">
        <f>IFERROR(IF(OR(A58="",M58="",W58=""),"",(((_xludf.AGGREGATE(14,6,MOD($S$4:$S$500,1)/(($A$4:$A$500=A58)*($M$4:$M$500=M58)*($R$4:$R$500&lt;&gt;"")*($S$4:$S$500&lt;&gt;"")),1)-_xludf.AGGREGATE(15,6,MOD($R$4:$R$500,1)/(($A$4:$A$500=A58)*($M$4:$M$500=M58)*($R$4:$R$500&lt;&gt;"")*($S$4:$S$500&lt;&gt;"")),1))*1440)/60)/(W58/60)),"")</f>
        <v/>
      </c>
      <c r="Y58" s="35">
        <f>IFERROR(IF(OR(O58="",A58="",M58=""),"",(IF(ISNUMBER(O58),MOD(O58,1),TIMEVALUE(O58))-LOOKUP(2,1/(($A$4:$A$500=A58)*($M$4:$M$500=M58)*($T$4:$T$500&lt;&gt;"")*($T$4:$T$500&lt;IF(ISNUMBER(O58),MOD(O58,1),TIMEVALUE(O58)))),$T$4:$T$500))*1440),"")</f>
        <v/>
      </c>
      <c r="Z58" s="27">
        <f>IFERROR(IF(Y58="","",IF(ROUND(Y58,0)&lt;=15,"Cumple","No cumple")),"")</f>
        <v/>
      </c>
      <c r="AA58" s="27" t="n"/>
      <c r="AB58" s="26">
        <f>IFERROR(IF(OR(O58="",R58=""),"",IF(IF(ISNUMBER(R58),MOD(R58,1),TIMEVALUE(R58))&gt;=IF(ISNUMBER(O58),MOD(O58,1),TIMEVALUE(O58)),(IF(ISNUMBER(R58),MOD(R58,1),TIMEVALUE(R58))-IF(ISNUMBER(O58),MOD(O58,1),TIMEVALUE(O58)))*1440,(IF(ISNUMBER(R58),MOD(R58,1),TIMEVALUE(R58))+1-IF(ISNUMBER(O58),MOD(O58,1),TIMEVALUE(O58)))*1440)),"")</f>
        <v/>
      </c>
      <c r="AC58" s="28">
        <f>IFERROR(IF(OR(R58="",S58=""),"",IF(IF(ISNUMBER(S58),MOD(S58,1),TIMEVALUE(S58))&gt;=IF(ISNUMBER(R58),MOD(R58,1),TIMEVALUE(R58)),(IF(ISNUMBER(S58),MOD(S58,1),TIMEVALUE(S58))-IF(ISNUMBER(R58),MOD(R58,1),TIMEVALUE(R58)))*1440,(IF(ISNUMBER(S58),MOD(S58,1),TIMEVALUE(S58))+1-IF(ISNUMBER(R58),MOD(R58,1),TIMEVALUE(R58)))*1440)),"")</f>
        <v/>
      </c>
      <c r="AD58" s="101" t="n"/>
      <c r="AE58" s="26">
        <f>IFERROR(IF(OR(AC58="",AD58=""),"",AC58-AD58),"")</f>
        <v/>
      </c>
      <c r="AF58" s="27">
        <f>IFERROR(IF(AE58="","",IF(ROUND(AE58,0)&gt;15,"Subestimacion",IF(ROUND(AE58,0)&lt;-15,"Sobrestimacion","Asertivo"))),"")</f>
        <v/>
      </c>
      <c r="AG58" s="33" t="inlineStr">
        <is>
          <t>Sin Suspensión</t>
        </is>
      </c>
      <c r="AH58" s="33" t="n"/>
      <c r="AI58" s="33" t="n"/>
      <c r="AJ58" s="19" t="n"/>
      <c r="AK58" s="19" t="n"/>
      <c r="AL58" s="19" t="n"/>
      <c r="AM58" s="33" t="inlineStr">
        <is>
          <t>I0001188442</t>
        </is>
      </c>
      <c r="AN58" s="19" t="n"/>
      <c r="AO58" s="19" t="n"/>
      <c r="AP58" s="127">
        <f>IF(A58="","",A58-WEEKDAY(A58,2)+1)</f>
        <v/>
      </c>
      <c r="AQ58" s="127">
        <f>IF(AO58="","",AO58+6)</f>
        <v/>
      </c>
      <c r="AR58" s="19">
        <f>IF(AO58="","","Semana "&amp;TEXT(AO58,"dd-mm-yyyy")&amp;" al "&amp;TEXT(AP58,"dd-mm-yyyy"))</f>
        <v/>
      </c>
      <c r="AS58" s="19">
        <f>IF(A58="","",TEXT(A58,"mmmm yyyy"))</f>
        <v/>
      </c>
      <c r="AT58" s="19">
        <f>IF(A58="","",TEXT(A58,"dddd"))</f>
        <v/>
      </c>
      <c r="AU58" s="19">
        <f>IF(A58="","","CRR-"&amp;TEXT(A58,"yyyymmdd")&amp;"-"&amp;M58&amp;"-"&amp;TEXT(ROW()-3,"0000"))</f>
        <v/>
      </c>
      <c r="AV58" s="19">
        <f>IF(A58="","",IF(OR(B58="",C58="",E58="",F58="",M58="",N58=""),"Revisar campos obligatorios",IF(AND(P58="Atraso primera hora",Q58=""),"Falta justificación atraso primera hora",IF(AND(Z58="No cumple",AA58=""),"Falta justificación recambio &gt;15 min",IF(AND(ISNUMBER(SEARCH("suspend",N58)),OR(AG58="",AH58="")),"Falta causa/motivo suspensión","OK")))))</f>
        <v/>
      </c>
      <c r="AW58" s="19">
        <f>IF(N58="","",IF(ISNUMBER(SEARCH("suspend",N58)),IF(AND(AG58="",AH58=""),"Sin causa/motivo registrado",IF(AG58="",AH58,IF(AH58="",AG58,AG58&amp;": "&amp;AH58))),""))</f>
        <v/>
      </c>
    </row>
    <row r="59" ht="16" customHeight="1" s="151">
      <c r="A59" s="32" t="n">
        <v>46170</v>
      </c>
      <c r="B59" s="33" t="inlineStr">
        <is>
          <t>GABRIEL BERNARDO</t>
        </is>
      </c>
      <c r="C59" s="33" t="inlineStr">
        <is>
          <t>COLOMA</t>
        </is>
      </c>
      <c r="D59" s="33" t="inlineStr">
        <is>
          <t>70a 7m 24d</t>
        </is>
      </c>
      <c r="E59" s="33" t="inlineStr">
        <is>
          <t>- FACOERESIS EXTRACAPSULAR CON IMPLANTE DE LENTE INTRAOCULAR (NO INCLUYE EL VALOR DE LA PROTESIS)</t>
        </is>
      </c>
      <c r="F59" s="45" t="inlineStr">
        <is>
          <t>UNIDAD DE OFTALMOLOGIA</t>
        </is>
      </c>
      <c r="G59" s="19" t="n"/>
      <c r="H59" s="33" t="inlineStr">
        <is>
          <t>1202064-10</t>
        </is>
      </c>
      <c r="I59" s="19" t="n"/>
      <c r="J59" s="20">
        <f>IF(H59&lt;&gt;"",IFERROR(VLOOKUP(IFERROR(LEFT(H59,FIND("-",H59)-1),H59),'Catalogo MINSAL'!A:E,5,FALSE),""),IF(I59&lt;&gt;"",IFERROR(VLOOKUP(IFERROR(LEFT(I59,FIND("-",I59)-1),I59),'Catalogo MINSAL'!A:E,5,FALSE),""),""))</f>
        <v/>
      </c>
      <c r="K59" s="33" t="inlineStr">
        <is>
          <t>Isidora Fernanda Gonzalez Arenas</t>
        </is>
      </c>
      <c r="L59" s="33" t="inlineStr">
        <is>
          <t>Sebastian Aceituno Arroyo</t>
        </is>
      </c>
      <c r="M59" s="33" t="inlineStr">
        <is>
          <t>Quirofano 08</t>
        </is>
      </c>
      <c r="N59" s="33" t="inlineStr">
        <is>
          <t>Atendido</t>
        </is>
      </c>
      <c r="O59" s="34" t="n">
        <v>0.41875</v>
      </c>
      <c r="P59" s="27">
        <f>IFERROR(IF(OR(O59="",A59="",M59=""),"",IF(SUMPRODUCT(($A$4:$A$500=A59)*($M$4:$M$500=M59)*($O$4:$O$500&lt;&gt;"")*(MOD($O$4:$O$500,1)&lt;MOD(O59,1)))=0,IF(MOD(O59,1)&lt;=TIME(8,15,0),"Ingreso adecuado primera hora","Atraso primera hora"),"No aplica")),"")</f>
        <v/>
      </c>
      <c r="Q59" s="27" t="n"/>
      <c r="R59" s="34" t="n">
        <v>0.4215277777777778</v>
      </c>
      <c r="S59" s="34" t="n">
        <v>0.4395833333333333</v>
      </c>
      <c r="T59" s="34" t="n">
        <v>0.4409722222222222</v>
      </c>
      <c r="U59" s="34">
        <f>IFERROR(VLOOKUP(M59,'Horario Pabellones'!$A$4:$D$17,2,FALSE),"")</f>
        <v/>
      </c>
      <c r="V59" s="34">
        <f>IFERROR(VLOOKUP(M59,'Horario Pabellones'!$A$4:$D$17,3,FALSE),"")</f>
        <v/>
      </c>
      <c r="W59" s="100">
        <f>IFERROR(VLOOKUP(M59,'Horario Pabellones'!$A$4:$D$17,4,FALSE),"")</f>
        <v/>
      </c>
      <c r="X59" s="90">
        <f>IFERROR(IF(OR(A59="",M59="",W59=""),"",(((_xludf.AGGREGATE(14,6,MOD($S$4:$S$500,1)/(($A$4:$A$500=A59)*($M$4:$M$500=M59)*($R$4:$R$500&lt;&gt;"")*($S$4:$S$500&lt;&gt;"")),1)-_xludf.AGGREGATE(15,6,MOD($R$4:$R$500,1)/(($A$4:$A$500=A59)*($M$4:$M$500=M59)*($R$4:$R$500&lt;&gt;"")*($S$4:$S$500&lt;&gt;"")),1))*1440)/60)/(W59/60)),"")</f>
        <v/>
      </c>
      <c r="Y59" s="35">
        <f>IFERROR(IF(OR(O59="",A59="",M59=""),"",(IF(ISNUMBER(O59),MOD(O59,1),TIMEVALUE(O59))-LOOKUP(2,1/(($A$4:$A$500=A59)*($M$4:$M$500=M59)*($T$4:$T$500&lt;&gt;"")*($T$4:$T$500&lt;IF(ISNUMBER(O59),MOD(O59,1),TIMEVALUE(O59)))),$T$4:$T$500))*1440),"")</f>
        <v/>
      </c>
      <c r="Z59" s="27">
        <f>IFERROR(IF(Y59="","",IF(ROUND(Y59,0)&lt;=15,"Cumple","No cumple")),"")</f>
        <v/>
      </c>
      <c r="AA59" s="27" t="n"/>
      <c r="AB59" s="26">
        <f>IFERROR(IF(OR(O59="",R59=""),"",IF(IF(ISNUMBER(R59),MOD(R59,1),TIMEVALUE(R59))&gt;=IF(ISNUMBER(O59),MOD(O59,1),TIMEVALUE(O59)),(IF(ISNUMBER(R59),MOD(R59,1),TIMEVALUE(R59))-IF(ISNUMBER(O59),MOD(O59,1),TIMEVALUE(O59)))*1440,(IF(ISNUMBER(R59),MOD(R59,1),TIMEVALUE(R59))+1-IF(ISNUMBER(O59),MOD(O59,1),TIMEVALUE(O59)))*1440)),"")</f>
        <v/>
      </c>
      <c r="AC59" s="28">
        <f>IFERROR(IF(OR(R59="",S59=""),"",IF(IF(ISNUMBER(S59),MOD(S59,1),TIMEVALUE(S59))&gt;=IF(ISNUMBER(R59),MOD(R59,1),TIMEVALUE(R59)),(IF(ISNUMBER(S59),MOD(S59,1),TIMEVALUE(S59))-IF(ISNUMBER(R59),MOD(R59,1),TIMEVALUE(R59)))*1440,(IF(ISNUMBER(S59),MOD(S59,1),TIMEVALUE(S59))+1-IF(ISNUMBER(R59),MOD(R59,1),TIMEVALUE(R59)))*1440)),"")</f>
        <v/>
      </c>
      <c r="AD59" s="101" t="n"/>
      <c r="AE59" s="26">
        <f>IFERROR(IF(OR(AC59="",AD59=""),"",AC59-AD59),"")</f>
        <v/>
      </c>
      <c r="AF59" s="27">
        <f>IFERROR(IF(AE59="","",IF(ROUND(AE59,0)&gt;15,"Subestimacion",IF(ROUND(AE59,0)&lt;-15,"Sobrestimacion","Asertivo"))),"")</f>
        <v/>
      </c>
      <c r="AG59" s="33" t="inlineStr">
        <is>
          <t>Sin Suspensión</t>
        </is>
      </c>
      <c r="AH59" s="33" t="n"/>
      <c r="AI59" s="33" t="n"/>
      <c r="AJ59" s="19" t="n"/>
      <c r="AK59" s="19" t="n"/>
      <c r="AL59" s="19" t="n"/>
      <c r="AM59" s="33" t="inlineStr">
        <is>
          <t>I0001188444</t>
        </is>
      </c>
      <c r="AN59" s="19" t="n"/>
      <c r="AO59" s="19" t="n"/>
      <c r="AP59" s="127">
        <f>IF(A59="","",A59-WEEKDAY(A59,2)+1)</f>
        <v/>
      </c>
      <c r="AQ59" s="127">
        <f>IF(AO59="","",AO59+6)</f>
        <v/>
      </c>
      <c r="AR59" s="19">
        <f>IF(AO59="","","Semana "&amp;TEXT(AO59,"dd-mm-yyyy")&amp;" al "&amp;TEXT(AP59,"dd-mm-yyyy"))</f>
        <v/>
      </c>
      <c r="AS59" s="19">
        <f>IF(A59="","",TEXT(A59,"mmmm yyyy"))</f>
        <v/>
      </c>
      <c r="AT59" s="19">
        <f>IF(A59="","",TEXT(A59,"dddd"))</f>
        <v/>
      </c>
      <c r="AU59" s="19">
        <f>IF(A59="","","CRR-"&amp;TEXT(A59,"yyyymmdd")&amp;"-"&amp;M59&amp;"-"&amp;TEXT(ROW()-3,"0000"))</f>
        <v/>
      </c>
      <c r="AV59" s="19">
        <f>IF(A59="","",IF(OR(B59="",C59="",E59="",F59="",M59="",N59=""),"Revisar campos obligatorios",IF(AND(P59="Atraso primera hora",Q59=""),"Falta justificación atraso primera hora",IF(AND(Z59="No cumple",AA59=""),"Falta justificación recambio &gt;15 min",IF(AND(ISNUMBER(SEARCH("suspend",N59)),OR(AG59="",AH59="")),"Falta causa/motivo suspensión","OK")))))</f>
        <v/>
      </c>
      <c r="AW59" s="19">
        <f>IF(N59="","",IF(ISNUMBER(SEARCH("suspend",N59)),IF(AND(AG59="",AH59=""),"Sin causa/motivo registrado",IF(AG59="",AH59,IF(AH59="",AG59,AG59&amp;": "&amp;AH59))),""))</f>
        <v/>
      </c>
    </row>
    <row r="60" ht="16" customHeight="1" s="151">
      <c r="A60" s="32" t="n">
        <v>46170</v>
      </c>
      <c r="B60" s="33" t="inlineStr">
        <is>
          <t>EMA MARÍA</t>
        </is>
      </c>
      <c r="C60" s="33" t="inlineStr">
        <is>
          <t>DE LA FUENTE</t>
        </is>
      </c>
      <c r="D60" s="33" t="inlineStr">
        <is>
          <t>75a 7m 25d</t>
        </is>
      </c>
      <c r="E60" s="33" t="inlineStr">
        <is>
          <t>- FACOERESIS EXTRACAPSULAR CON IMPLANTE DE LENTE INTRAOCULAR (NO INCLUYE EL VALOR DE LA PROTESIS)</t>
        </is>
      </c>
      <c r="F60" s="45" t="inlineStr">
        <is>
          <t>UNIDAD DE OFTALMOLOGIA</t>
        </is>
      </c>
      <c r="G60" s="19" t="n"/>
      <c r="H60" s="33" t="inlineStr">
        <is>
          <t>1202064-10</t>
        </is>
      </c>
      <c r="I60" s="19" t="n"/>
      <c r="J60" s="20">
        <f>IF(H60&lt;&gt;"",IFERROR(VLOOKUP(IFERROR(LEFT(H60,FIND("-",H60)-1),H60),'Catalogo MINSAL'!A:E,5,FALSE),""),IF(I60&lt;&gt;"",IFERROR(VLOOKUP(IFERROR(LEFT(I60,FIND("-",I60)-1),I60),'Catalogo MINSAL'!A:E,5,FALSE),""),""))</f>
        <v/>
      </c>
      <c r="K60" s="33" t="inlineStr">
        <is>
          <t>Isidora Fernanda Gonzalez Arenas</t>
        </is>
      </c>
      <c r="L60" s="33" t="inlineStr">
        <is>
          <t>Sebastian Aceituno Arroyo</t>
        </is>
      </c>
      <c r="M60" s="33" t="inlineStr">
        <is>
          <t>Quirofano 08</t>
        </is>
      </c>
      <c r="N60" s="33" t="inlineStr">
        <is>
          <t>Recepcionado</t>
        </is>
      </c>
      <c r="O60" s="34" t="n">
        <v>0.4444444444444444</v>
      </c>
      <c r="P60" s="27">
        <f>IFERROR(IF(OR(O60="",A60="",M60=""),"",IF(SUMPRODUCT(($A$4:$A$500=A60)*($M$4:$M$500=M60)*($O$4:$O$500&lt;&gt;"")*(MOD($O$4:$O$500,1)&lt;MOD(O60,1)))=0,IF(MOD(O60,1)&lt;=TIME(8,15,0),"Ingreso adecuado primera hora","Atraso primera hora"),"No aplica")),"")</f>
        <v/>
      </c>
      <c r="Q60" s="27" t="n"/>
      <c r="R60" s="34" t="n">
        <v>0.4472222222222222</v>
      </c>
      <c r="S60" s="34" t="n">
        <v>0.4618055555555556</v>
      </c>
      <c r="T60" s="34" t="n">
        <v>0.4631944444444445</v>
      </c>
      <c r="U60" s="34">
        <f>IFERROR(VLOOKUP(M60,'Horario Pabellones'!$A$4:$D$17,2,FALSE),"")</f>
        <v/>
      </c>
      <c r="V60" s="34">
        <f>IFERROR(VLOOKUP(M60,'Horario Pabellones'!$A$4:$D$17,3,FALSE),"")</f>
        <v/>
      </c>
      <c r="W60" s="100">
        <f>IFERROR(VLOOKUP(M60,'Horario Pabellones'!$A$4:$D$17,4,FALSE),"")</f>
        <v/>
      </c>
      <c r="X60" s="90">
        <f>IFERROR(IF(OR(A60="",M60="",W60=""),"",(((_xludf.AGGREGATE(14,6,MOD($S$4:$S$500,1)/(($A$4:$A$500=A60)*($M$4:$M$500=M60)*($R$4:$R$500&lt;&gt;"")*($S$4:$S$500&lt;&gt;"")),1)-_xludf.AGGREGATE(15,6,MOD($R$4:$R$500,1)/(($A$4:$A$500=A60)*($M$4:$M$500=M60)*($R$4:$R$500&lt;&gt;"")*($S$4:$S$500&lt;&gt;"")),1))*1440)/60)/(W60/60)),"")</f>
        <v/>
      </c>
      <c r="Y60" s="35">
        <f>IFERROR(IF(OR(O60="",A60="",M60=""),"",(IF(ISNUMBER(O60),MOD(O60,1),TIMEVALUE(O60))-LOOKUP(2,1/(($A$4:$A$500=A60)*($M$4:$M$500=M60)*($T$4:$T$500&lt;&gt;"")*($T$4:$T$500&lt;IF(ISNUMBER(O60),MOD(O60,1),TIMEVALUE(O60)))),$T$4:$T$500))*1440),"")</f>
        <v/>
      </c>
      <c r="Z60" s="27">
        <f>IFERROR(IF(Y60="","",IF(ROUND(Y60,0)&lt;=15,"Cumple","No cumple")),"")</f>
        <v/>
      </c>
      <c r="AA60" s="27" t="n"/>
      <c r="AB60" s="26">
        <f>IFERROR(IF(OR(O60="",R60=""),"",IF(IF(ISNUMBER(R60),MOD(R60,1),TIMEVALUE(R60))&gt;=IF(ISNUMBER(O60),MOD(O60,1),TIMEVALUE(O60)),(IF(ISNUMBER(R60),MOD(R60,1),TIMEVALUE(R60))-IF(ISNUMBER(O60),MOD(O60,1),TIMEVALUE(O60)))*1440,(IF(ISNUMBER(R60),MOD(R60,1),TIMEVALUE(R60))+1-IF(ISNUMBER(O60),MOD(O60,1),TIMEVALUE(O60)))*1440)),"")</f>
        <v/>
      </c>
      <c r="AC60" s="28">
        <f>IFERROR(IF(OR(R60="",S60=""),"",IF(IF(ISNUMBER(S60),MOD(S60,1),TIMEVALUE(S60))&gt;=IF(ISNUMBER(R60),MOD(R60,1),TIMEVALUE(R60)),(IF(ISNUMBER(S60),MOD(S60,1),TIMEVALUE(S60))-IF(ISNUMBER(R60),MOD(R60,1),TIMEVALUE(R60)))*1440,(IF(ISNUMBER(S60),MOD(S60,1),TIMEVALUE(S60))+1-IF(ISNUMBER(R60),MOD(R60,1),TIMEVALUE(R60)))*1440)),"")</f>
        <v/>
      </c>
      <c r="AD60" s="101" t="n"/>
      <c r="AE60" s="26">
        <f>IFERROR(IF(OR(AC60="",AD60=""),"",AC60-AD60),"")</f>
        <v/>
      </c>
      <c r="AF60" s="27">
        <f>IFERROR(IF(AE60="","",IF(ROUND(AE60,0)&gt;15,"Subestimacion",IF(ROUND(AE60,0)&lt;-15,"Sobrestimacion","Asertivo"))),"")</f>
        <v/>
      </c>
      <c r="AG60" s="43" t="inlineStr">
        <is>
          <t>Patología crónica descompensada</t>
        </is>
      </c>
      <c r="AH60" s="43" t="n"/>
      <c r="AI60" s="43" t="n"/>
      <c r="AJ60" s="19" t="n"/>
      <c r="AK60" s="19" t="n"/>
      <c r="AL60" s="19" t="n"/>
      <c r="AM60" s="33" t="inlineStr">
        <is>
          <t>I0001188445</t>
        </is>
      </c>
      <c r="AN60" s="19" t="n"/>
      <c r="AO60" s="19" t="n"/>
      <c r="AP60" s="127">
        <f>IF(A60="","",A60-WEEKDAY(A60,2)+1)</f>
        <v/>
      </c>
      <c r="AQ60" s="127">
        <f>IF(AO60="","",AO60+6)</f>
        <v/>
      </c>
      <c r="AR60" s="19">
        <f>IF(AO60="","","Semana "&amp;TEXT(AO60,"dd-mm-yyyy")&amp;" al "&amp;TEXT(AP60,"dd-mm-yyyy"))</f>
        <v/>
      </c>
      <c r="AS60" s="19">
        <f>IF(A60="","",TEXT(A60,"mmmm yyyy"))</f>
        <v/>
      </c>
      <c r="AT60" s="19">
        <f>IF(A60="","",TEXT(A60,"dddd"))</f>
        <v/>
      </c>
      <c r="AU60" s="19">
        <f>IF(A60="","","CRR-"&amp;TEXT(A60,"yyyymmdd")&amp;"-"&amp;M60&amp;"-"&amp;TEXT(ROW()-3,"0000"))</f>
        <v/>
      </c>
      <c r="AV60" s="19">
        <f>IF(A60="","",IF(OR(B60="",C60="",E60="",F60="",M60="",N60=""),"Revisar campos obligatorios",IF(AND(P60="Atraso primera hora",Q60=""),"Falta justificación atraso primera hora",IF(AND(Z60="No cumple",AA60=""),"Falta justificación recambio &gt;15 min",IF(AND(ISNUMBER(SEARCH("suspend",N60)),OR(AG60="",AH60="")),"Falta causa/motivo suspensión","OK")))))</f>
        <v/>
      </c>
      <c r="AW60" s="19">
        <f>IF(N60="","",IF(ISNUMBER(SEARCH("suspend",N60)),IF(AND(AG60="",AH60=""),"Sin causa/motivo registrado",IF(AG60="",AH60,IF(AH60="",AG60,AG60&amp;": "&amp;AH60))),""))</f>
        <v/>
      </c>
    </row>
    <row r="61" ht="16" customHeight="1" s="151">
      <c r="A61" s="32" t="n">
        <v>46170</v>
      </c>
      <c r="B61" s="33" t="inlineStr">
        <is>
          <t>ALICIA DEL CARMEN</t>
        </is>
      </c>
      <c r="C61" s="33" t="inlineStr">
        <is>
          <t>VERGARA</t>
        </is>
      </c>
      <c r="D61" s="33" t="inlineStr">
        <is>
          <t>75a 9m 25d</t>
        </is>
      </c>
      <c r="E61" s="33" t="inlineStr">
        <is>
          <t>- FACOERESIS EXTRACAPSULAR CON IMPLANTE DE LENTE INTRAOCULAR (NO INCLUYE EL VALOR DE LA PROTESIS)</t>
        </is>
      </c>
      <c r="F61" s="45" t="inlineStr">
        <is>
          <t>UNIDAD DE OFTALMOLOGIA</t>
        </is>
      </c>
      <c r="G61" s="19" t="n"/>
      <c r="H61" s="33" t="inlineStr">
        <is>
          <t>1202064-10</t>
        </is>
      </c>
      <c r="I61" s="19" t="n"/>
      <c r="J61" s="20">
        <f>IF(H61&lt;&gt;"",IFERROR(VLOOKUP(IFERROR(LEFT(H61,FIND("-",H61)-1),H61),'Catalogo MINSAL'!A:E,5,FALSE),""),IF(I61&lt;&gt;"",IFERROR(VLOOKUP(IFERROR(LEFT(I61,FIND("-",I61)-1),I61),'Catalogo MINSAL'!A:E,5,FALSE),""),""))</f>
        <v/>
      </c>
      <c r="K61" s="33" t="inlineStr">
        <is>
          <t>Isidora Fernanda Gonzalez Arenas</t>
        </is>
      </c>
      <c r="L61" s="33" t="inlineStr">
        <is>
          <t>Sebastian Aceituno Arroyo</t>
        </is>
      </c>
      <c r="M61" s="33" t="inlineStr">
        <is>
          <t>Quirofano 08</t>
        </is>
      </c>
      <c r="N61" s="33" t="inlineStr">
        <is>
          <t>Atendido</t>
        </is>
      </c>
      <c r="O61" s="34" t="n">
        <v>0.4722222222222222</v>
      </c>
      <c r="P61" s="27">
        <f>IFERROR(IF(OR(O61="",A61="",M61=""),"",IF(SUMPRODUCT(($A$4:$A$500=A61)*($M$4:$M$500=M61)*($O$4:$O$500&lt;&gt;"")*(MOD($O$4:$O$500,1)&lt;MOD(O61,1)))=0,IF(MOD(O61,1)&lt;=TIME(8,15,0),"Ingreso adecuado primera hora","Atraso primera hora"),"No aplica")),"")</f>
        <v/>
      </c>
      <c r="Q61" s="27" t="n"/>
      <c r="R61" s="34" t="n">
        <v>0.4763888888888889</v>
      </c>
      <c r="S61" s="34" t="n">
        <v>0.4909722222222222</v>
      </c>
      <c r="T61" s="34" t="n">
        <v>0.4930555555555556</v>
      </c>
      <c r="U61" s="34">
        <f>IFERROR(VLOOKUP(M61,'Horario Pabellones'!$A$4:$D$17,2,FALSE),"")</f>
        <v/>
      </c>
      <c r="V61" s="34">
        <f>IFERROR(VLOOKUP(M61,'Horario Pabellones'!$A$4:$D$17,3,FALSE),"")</f>
        <v/>
      </c>
      <c r="W61" s="100">
        <f>IFERROR(VLOOKUP(M61,'Horario Pabellones'!$A$4:$D$17,4,FALSE),"")</f>
        <v/>
      </c>
      <c r="X61" s="90">
        <f>IFERROR(IF(OR(A61="",M61="",W61=""),"",(((_xludf.AGGREGATE(14,6,MOD($S$4:$S$500,1)/(($A$4:$A$500=A61)*($M$4:$M$500=M61)*($R$4:$R$500&lt;&gt;"")*($S$4:$S$500&lt;&gt;"")),1)-_xludf.AGGREGATE(15,6,MOD($R$4:$R$500,1)/(($A$4:$A$500=A61)*($M$4:$M$500=M61)*($R$4:$R$500&lt;&gt;"")*($S$4:$S$500&lt;&gt;"")),1))*1440)/60)/(W61/60)),"")</f>
        <v/>
      </c>
      <c r="Y61" s="35">
        <f>IFERROR(IF(OR(O61="",A61="",M61=""),"",(IF(ISNUMBER(O61),MOD(O61,1),TIMEVALUE(O61))-LOOKUP(2,1/(($A$4:$A$500=A61)*($M$4:$M$500=M61)*($T$4:$T$500&lt;&gt;"")*($T$4:$T$500&lt;IF(ISNUMBER(O61),MOD(O61,1),TIMEVALUE(O61)))),$T$4:$T$500))*1440),"")</f>
        <v/>
      </c>
      <c r="Z61" s="27">
        <f>IFERROR(IF(Y61="","",IF(ROUND(Y61,0)&lt;=15,"Cumple","No cumple")),"")</f>
        <v/>
      </c>
      <c r="AA61" s="27" t="n"/>
      <c r="AB61" s="26">
        <f>IFERROR(IF(OR(O61="",R61=""),"",IF(IF(ISNUMBER(R61),MOD(R61,1),TIMEVALUE(R61))&gt;=IF(ISNUMBER(O61),MOD(O61,1),TIMEVALUE(O61)),(IF(ISNUMBER(R61),MOD(R61,1),TIMEVALUE(R61))-IF(ISNUMBER(O61),MOD(O61,1),TIMEVALUE(O61)))*1440,(IF(ISNUMBER(R61),MOD(R61,1),TIMEVALUE(R61))+1-IF(ISNUMBER(O61),MOD(O61,1),TIMEVALUE(O61)))*1440)),"")</f>
        <v/>
      </c>
      <c r="AC61" s="28">
        <f>IFERROR(IF(OR(R61="",S61=""),"",IF(IF(ISNUMBER(S61),MOD(S61,1),TIMEVALUE(S61))&gt;=IF(ISNUMBER(R61),MOD(R61,1),TIMEVALUE(R61)),(IF(ISNUMBER(S61),MOD(S61,1),TIMEVALUE(S61))-IF(ISNUMBER(R61),MOD(R61,1),TIMEVALUE(R61)))*1440,(IF(ISNUMBER(S61),MOD(S61,1),TIMEVALUE(S61))+1-IF(ISNUMBER(R61),MOD(R61,1),TIMEVALUE(R61)))*1440)),"")</f>
        <v/>
      </c>
      <c r="AD61" s="100" t="n">
        <v>60</v>
      </c>
      <c r="AE61" s="26">
        <f>IFERROR(IF(OR(AC61="",AD61=""),"",AC61-AD61),"")</f>
        <v/>
      </c>
      <c r="AF61" s="27">
        <f>IFERROR(IF(AE61="","",IF(ROUND(AE61,0)&gt;15,"Subestimacion",IF(ROUND(AE61,0)&lt;-15,"Sobrestimacion","Asertivo"))),"")</f>
        <v/>
      </c>
      <c r="AG61" s="33" t="inlineStr">
        <is>
          <t>Sin Suspensión</t>
        </is>
      </c>
      <c r="AH61" s="33" t="n"/>
      <c r="AI61" s="33" t="n"/>
      <c r="AJ61" s="19" t="n"/>
      <c r="AK61" s="19" t="n"/>
      <c r="AL61" s="19" t="n"/>
      <c r="AM61" s="33" t="inlineStr">
        <is>
          <t>I0001188424</t>
        </is>
      </c>
      <c r="AN61" s="19" t="n"/>
      <c r="AO61" s="19" t="n"/>
      <c r="AP61" s="127">
        <f>IF(A61="","",A61-WEEKDAY(A61,2)+1)</f>
        <v/>
      </c>
      <c r="AQ61" s="127">
        <f>IF(AO61="","",AO61+6)</f>
        <v/>
      </c>
      <c r="AR61" s="19">
        <f>IF(AO61="","","Semana "&amp;TEXT(AO61,"dd-mm-yyyy")&amp;" al "&amp;TEXT(AP61,"dd-mm-yyyy"))</f>
        <v/>
      </c>
      <c r="AS61" s="19">
        <f>IF(A61="","",TEXT(A61,"mmmm yyyy"))</f>
        <v/>
      </c>
      <c r="AT61" s="19">
        <f>IF(A61="","",TEXT(A61,"dddd"))</f>
        <v/>
      </c>
      <c r="AU61" s="19">
        <f>IF(A61="","","CRR-"&amp;TEXT(A61,"yyyymmdd")&amp;"-"&amp;M61&amp;"-"&amp;TEXT(ROW()-3,"0000"))</f>
        <v/>
      </c>
      <c r="AV61" s="19">
        <f>IF(A61="","",IF(OR(B61="",C61="",E61="",F61="",M61="",N61=""),"Revisar campos obligatorios",IF(AND(P61="Atraso primera hora",Q61=""),"Falta justificación atraso primera hora",IF(AND(Z61="No cumple",AA61=""),"Falta justificación recambio &gt;15 min",IF(AND(ISNUMBER(SEARCH("suspend",N61)),OR(AG61="",AH61="")),"Falta causa/motivo suspensión","OK")))))</f>
        <v/>
      </c>
      <c r="AW61" s="19">
        <f>IF(N61="","",IF(ISNUMBER(SEARCH("suspend",N61)),IF(AND(AG61="",AH61=""),"Sin causa/motivo registrado",IF(AG61="",AH61,IF(AH61="",AG61,AG61&amp;": "&amp;AH61))),""))</f>
        <v/>
      </c>
    </row>
    <row r="62" ht="16" customHeight="1" s="151">
      <c r="A62" s="32" t="n">
        <v>46170</v>
      </c>
      <c r="B62" s="33" t="inlineStr">
        <is>
          <t>GUILLERMINA DEL CARM</t>
        </is>
      </c>
      <c r="C62" s="33" t="inlineStr">
        <is>
          <t>CEA</t>
        </is>
      </c>
      <c r="D62" s="33" t="inlineStr">
        <is>
          <t>73a 11m 3d</t>
        </is>
      </c>
      <c r="E62" s="33" t="inlineStr">
        <is>
          <t>- FACOERESIS EXTRACAPSULAR CON IMPLANTE DE LENTE INTRAOCULAR (NO INCLUYE EL VALOR DE LA PROTESIS)</t>
        </is>
      </c>
      <c r="F62" s="45" t="inlineStr">
        <is>
          <t>UNIDAD DE OFTALMOLOGIA</t>
        </is>
      </c>
      <c r="G62" s="19" t="n"/>
      <c r="H62" s="33" t="inlineStr">
        <is>
          <t>1202064-10</t>
        </is>
      </c>
      <c r="I62" s="19" t="n"/>
      <c r="J62" s="20">
        <f>IF(H62&lt;&gt;"",IFERROR(VLOOKUP(IFERROR(LEFT(H62,FIND("-",H62)-1),H62),'Catalogo MINSAL'!A:E,5,FALSE),""),IF(I62&lt;&gt;"",IFERROR(VLOOKUP(IFERROR(LEFT(I62,FIND("-",I62)-1),I62),'Catalogo MINSAL'!A:E,5,FALSE),""),""))</f>
        <v/>
      </c>
      <c r="K62" s="33" t="inlineStr">
        <is>
          <t>Isidora Fernanda Gonzalez Arenas</t>
        </is>
      </c>
      <c r="L62" s="33" t="inlineStr">
        <is>
          <t>Sebastian Aceituno Arroyo</t>
        </is>
      </c>
      <c r="M62" s="33" t="inlineStr">
        <is>
          <t>Quirofano 08</t>
        </is>
      </c>
      <c r="N62" s="33" t="inlineStr">
        <is>
          <t>Atendido</t>
        </is>
      </c>
      <c r="O62" s="34" t="n">
        <v>0.4986111111111111</v>
      </c>
      <c r="P62" s="27">
        <f>IFERROR(IF(OR(O62="",A62="",M62=""),"",IF(SUMPRODUCT(($A$4:$A$500=A62)*($M$4:$M$500=M62)*($O$4:$O$500&lt;&gt;"")*(MOD($O$4:$O$500,1)&lt;MOD(O62,1)))=0,IF(MOD(O62,1)&lt;=TIME(8,15,0),"Ingreso adecuado primera hora","Atraso primera hora"),"No aplica")),"")</f>
        <v/>
      </c>
      <c r="Q62" s="27" t="n"/>
      <c r="R62" s="34" t="n">
        <v>0.5034722222222222</v>
      </c>
      <c r="S62" s="34" t="n">
        <v>0.5152777777777777</v>
      </c>
      <c r="T62" s="34" t="n">
        <v>0.51875</v>
      </c>
      <c r="U62" s="34">
        <f>IFERROR(VLOOKUP(M62,'Horario Pabellones'!$A$4:$D$17,2,FALSE),"")</f>
        <v/>
      </c>
      <c r="V62" s="34">
        <f>IFERROR(VLOOKUP(M62,'Horario Pabellones'!$A$4:$D$17,3,FALSE),"")</f>
        <v/>
      </c>
      <c r="W62" s="100">
        <f>IFERROR(VLOOKUP(M62,'Horario Pabellones'!$A$4:$D$17,4,FALSE),"")</f>
        <v/>
      </c>
      <c r="X62" s="90">
        <f>IFERROR(IF(OR(A62="",M62="",W62=""),"",(((_xludf.AGGREGATE(14,6,MOD($S$4:$S$500,1)/(($A$4:$A$500=A62)*($M$4:$M$500=M62)*($R$4:$R$500&lt;&gt;"")*($S$4:$S$500&lt;&gt;"")),1)-_xludf.AGGREGATE(15,6,MOD($R$4:$R$500,1)/(($A$4:$A$500=A62)*($M$4:$M$500=M62)*($R$4:$R$500&lt;&gt;"")*($S$4:$S$500&lt;&gt;"")),1))*1440)/60)/(W62/60)),"")</f>
        <v/>
      </c>
      <c r="Y62" s="35">
        <f>IFERROR(IF(OR(O62="",A62="",M62=""),"",(IF(ISNUMBER(O62),MOD(O62,1),TIMEVALUE(O62))-LOOKUP(2,1/(($A$4:$A$500=A62)*($M$4:$M$500=M62)*($T$4:$T$500&lt;&gt;"")*($T$4:$T$500&lt;IF(ISNUMBER(O62),MOD(O62,1),TIMEVALUE(O62)))),$T$4:$T$500))*1440),"")</f>
        <v/>
      </c>
      <c r="Z62" s="27">
        <f>IFERROR(IF(Y62="","",IF(ROUND(Y62,0)&lt;=15,"Cumple","No cumple")),"")</f>
        <v/>
      </c>
      <c r="AA62" s="27" t="n"/>
      <c r="AB62" s="26">
        <f>IFERROR(IF(OR(O62="",R62=""),"",IF(IF(ISNUMBER(R62),MOD(R62,1),TIMEVALUE(R62))&gt;=IF(ISNUMBER(O62),MOD(O62,1),TIMEVALUE(O62)),(IF(ISNUMBER(R62),MOD(R62,1),TIMEVALUE(R62))-IF(ISNUMBER(O62),MOD(O62,1),TIMEVALUE(O62)))*1440,(IF(ISNUMBER(R62),MOD(R62,1),TIMEVALUE(R62))+1-IF(ISNUMBER(O62),MOD(O62,1),TIMEVALUE(O62)))*1440)),"")</f>
        <v/>
      </c>
      <c r="AC62" s="28">
        <f>IFERROR(IF(OR(R62="",S62=""),"",IF(IF(ISNUMBER(S62),MOD(S62,1),TIMEVALUE(S62))&gt;=IF(ISNUMBER(R62),MOD(R62,1),TIMEVALUE(R62)),(IF(ISNUMBER(S62),MOD(S62,1),TIMEVALUE(S62))-IF(ISNUMBER(R62),MOD(R62,1),TIMEVALUE(R62)))*1440,(IF(ISNUMBER(S62),MOD(S62,1),TIMEVALUE(S62))+1-IF(ISNUMBER(R62),MOD(R62,1),TIMEVALUE(R62)))*1440)),"")</f>
        <v/>
      </c>
      <c r="AD62" s="100" t="n">
        <v>60</v>
      </c>
      <c r="AE62" s="26">
        <f>IFERROR(IF(OR(AC62="",AD62=""),"",AC62-AD62),"")</f>
        <v/>
      </c>
      <c r="AF62" s="27">
        <f>IFERROR(IF(AE62="","",IF(ROUND(AE62,0)&gt;15,"Subestimacion",IF(ROUND(AE62,0)&lt;-15,"Sobrestimacion","Asertivo"))),"")</f>
        <v/>
      </c>
      <c r="AG62" s="33" t="inlineStr">
        <is>
          <t>Sin Suspensión</t>
        </is>
      </c>
      <c r="AH62" s="33" t="n"/>
      <c r="AI62" s="33" t="n"/>
      <c r="AJ62" s="19" t="n"/>
      <c r="AK62" s="19" t="n"/>
      <c r="AL62" s="19" t="n"/>
      <c r="AM62" s="33" t="inlineStr">
        <is>
          <t>I0001188427</t>
        </is>
      </c>
      <c r="AN62" s="19" t="n"/>
      <c r="AO62" s="19" t="n"/>
      <c r="AP62" s="127">
        <f>IF(A62="","",A62-WEEKDAY(A62,2)+1)</f>
        <v/>
      </c>
      <c r="AQ62" s="127">
        <f>IF(AO62="","",AO62+6)</f>
        <v/>
      </c>
      <c r="AR62" s="19">
        <f>IF(AO62="","","Semana "&amp;TEXT(AO62,"dd-mm-yyyy")&amp;" al "&amp;TEXT(AP62,"dd-mm-yyyy"))</f>
        <v/>
      </c>
      <c r="AS62" s="19">
        <f>IF(A62="","",TEXT(A62,"mmmm yyyy"))</f>
        <v/>
      </c>
      <c r="AT62" s="19">
        <f>IF(A62="","",TEXT(A62,"dddd"))</f>
        <v/>
      </c>
      <c r="AU62" s="19">
        <f>IF(A62="","","CRR-"&amp;TEXT(A62,"yyyymmdd")&amp;"-"&amp;M62&amp;"-"&amp;TEXT(ROW()-3,"0000"))</f>
        <v/>
      </c>
      <c r="AV62" s="19">
        <f>IF(A62="","",IF(OR(B62="",C62="",E62="",F62="",M62="",N62=""),"Revisar campos obligatorios",IF(AND(P62="Atraso primera hora",Q62=""),"Falta justificación atraso primera hora",IF(AND(Z62="No cumple",AA62=""),"Falta justificación recambio &gt;15 min",IF(AND(ISNUMBER(SEARCH("suspend",N62)),OR(AG62="",AH62="")),"Falta causa/motivo suspensión","OK")))))</f>
        <v/>
      </c>
      <c r="AW62" s="19">
        <f>IF(N62="","",IF(ISNUMBER(SEARCH("suspend",N62)),IF(AND(AG62="",AH62=""),"Sin causa/motivo registrado",IF(AG62="",AH62,IF(AH62="",AG62,AG62&amp;": "&amp;AH62))),""))</f>
        <v/>
      </c>
    </row>
    <row r="63" ht="16" customHeight="1" s="151">
      <c r="A63" s="32" t="n">
        <v>46170</v>
      </c>
      <c r="B63" s="33" t="inlineStr">
        <is>
          <t>FRESIA OLIVIA</t>
        </is>
      </c>
      <c r="C63" s="33" t="inlineStr">
        <is>
          <t>MORENO</t>
        </is>
      </c>
      <c r="D63" s="33" t="inlineStr">
        <is>
          <t>83a 8m 8d</t>
        </is>
      </c>
      <c r="E63" s="33" t="inlineStr">
        <is>
          <t>- FACOERESIS EXTRACAPSULAR CON IMPLANTE DE LENTE INTRAOCULAR (NO INCLUYE EL VALOR DE LA PROTESIS)</t>
        </is>
      </c>
      <c r="F63" s="45" t="inlineStr">
        <is>
          <t>UNIDAD DE OFTALMOLOGIA</t>
        </is>
      </c>
      <c r="G63" s="19" t="n"/>
      <c r="H63" s="33" t="inlineStr">
        <is>
          <t>1202064-10</t>
        </is>
      </c>
      <c r="I63" s="19" t="n"/>
      <c r="J63" s="20">
        <f>IF(H63&lt;&gt;"",IFERROR(VLOOKUP(IFERROR(LEFT(H63,FIND("-",H63)-1),H63),'Catalogo MINSAL'!A:E,5,FALSE),""),IF(I63&lt;&gt;"",IFERROR(VLOOKUP(IFERROR(LEFT(I63,FIND("-",I63)-1),I63),'Catalogo MINSAL'!A:E,5,FALSE),""),""))</f>
        <v/>
      </c>
      <c r="K63" s="33" t="inlineStr">
        <is>
          <t>Isidora Fernanda Gonzalez Arenas</t>
        </is>
      </c>
      <c r="L63" s="33" t="inlineStr">
        <is>
          <t>Sebastian Aceituno Arroyo</t>
        </is>
      </c>
      <c r="M63" s="33" t="inlineStr">
        <is>
          <t>Quirofano 08</t>
        </is>
      </c>
      <c r="N63" s="33" t="inlineStr">
        <is>
          <t>Atendido</t>
        </is>
      </c>
      <c r="O63" s="34" t="n">
        <v>0.525</v>
      </c>
      <c r="P63" s="27">
        <f>IFERROR(IF(OR(O63="",A63="",M63=""),"",IF(SUMPRODUCT(($A$4:$A$500=A63)*($M$4:$M$500=M63)*($O$4:$O$500&lt;&gt;"")*(MOD($O$4:$O$500,1)&lt;MOD(O63,1)))=0,IF(MOD(O63,1)&lt;=TIME(8,15,0),"Ingreso adecuado primera hora","Atraso primera hora"),"No aplica")),"")</f>
        <v/>
      </c>
      <c r="Q63" s="27" t="n"/>
      <c r="R63" s="34" t="n">
        <v>0.5284722222222222</v>
      </c>
      <c r="S63" s="34" t="n">
        <v>0.5430555555555555</v>
      </c>
      <c r="T63" s="34" t="n">
        <v>0.5451388888888888</v>
      </c>
      <c r="U63" s="34">
        <f>IFERROR(VLOOKUP(M63,'Horario Pabellones'!$A$4:$D$17,2,FALSE),"")</f>
        <v/>
      </c>
      <c r="V63" s="34">
        <f>IFERROR(VLOOKUP(M63,'Horario Pabellones'!$A$4:$D$17,3,FALSE),"")</f>
        <v/>
      </c>
      <c r="W63" s="100">
        <f>IFERROR(VLOOKUP(M63,'Horario Pabellones'!$A$4:$D$17,4,FALSE),"")</f>
        <v/>
      </c>
      <c r="X63" s="90">
        <f>IFERROR(IF(OR(A63="",M63="",W63=""),"",(((_xludf.AGGREGATE(14,6,MOD($S$4:$S$500,1)/(($A$4:$A$500=A63)*($M$4:$M$500=M63)*($R$4:$R$500&lt;&gt;"")*($S$4:$S$500&lt;&gt;"")),1)-_xludf.AGGREGATE(15,6,MOD($R$4:$R$500,1)/(($A$4:$A$500=A63)*($M$4:$M$500=M63)*($R$4:$R$500&lt;&gt;"")*($S$4:$S$500&lt;&gt;"")),1))*1440)/60)/(W63/60)),"")</f>
        <v/>
      </c>
      <c r="Y63" s="35">
        <f>IFERROR(IF(OR(O63="",A63="",M63=""),"",(IF(ISNUMBER(O63),MOD(O63,1),TIMEVALUE(O63))-LOOKUP(2,1/(($A$4:$A$500=A63)*($M$4:$M$500=M63)*($T$4:$T$500&lt;&gt;"")*($T$4:$T$500&lt;IF(ISNUMBER(O63),MOD(O63,1),TIMEVALUE(O63)))),$T$4:$T$500))*1440),"")</f>
        <v/>
      </c>
      <c r="Z63" s="27">
        <f>IFERROR(IF(Y63="","",IF(ROUND(Y63,0)&lt;=15,"Cumple","No cumple")),"")</f>
        <v/>
      </c>
      <c r="AA63" s="27" t="n"/>
      <c r="AB63" s="26">
        <f>IFERROR(IF(OR(O63="",R63=""),"",IF(IF(ISNUMBER(R63),MOD(R63,1),TIMEVALUE(R63))&gt;=IF(ISNUMBER(O63),MOD(O63,1),TIMEVALUE(O63)),(IF(ISNUMBER(R63),MOD(R63,1),TIMEVALUE(R63))-IF(ISNUMBER(O63),MOD(O63,1),TIMEVALUE(O63)))*1440,(IF(ISNUMBER(R63),MOD(R63,1),TIMEVALUE(R63))+1-IF(ISNUMBER(O63),MOD(O63,1),TIMEVALUE(O63)))*1440)),"")</f>
        <v/>
      </c>
      <c r="AC63" s="28">
        <f>IFERROR(IF(OR(R63="",S63=""),"",IF(IF(ISNUMBER(S63),MOD(S63,1),TIMEVALUE(S63))&gt;=IF(ISNUMBER(R63),MOD(R63,1),TIMEVALUE(R63)),(IF(ISNUMBER(S63),MOD(S63,1),TIMEVALUE(S63))-IF(ISNUMBER(R63),MOD(R63,1),TIMEVALUE(R63)))*1440,(IF(ISNUMBER(S63),MOD(S63,1),TIMEVALUE(S63))+1-IF(ISNUMBER(R63),MOD(R63,1),TIMEVALUE(R63)))*1440)),"")</f>
        <v/>
      </c>
      <c r="AD63" s="100" t="n">
        <v>60</v>
      </c>
      <c r="AE63" s="26">
        <f>IFERROR(IF(OR(AC63="",AD63=""),"",AC63-AD63),"")</f>
        <v/>
      </c>
      <c r="AF63" s="27">
        <f>IFERROR(IF(AE63="","",IF(ROUND(AE63,0)&gt;15,"Subestimacion",IF(ROUND(AE63,0)&lt;-15,"Sobrestimacion","Asertivo"))),"")</f>
        <v/>
      </c>
      <c r="AG63" s="33" t="inlineStr">
        <is>
          <t>Sin Suspensión</t>
        </is>
      </c>
      <c r="AH63" s="33" t="n"/>
      <c r="AI63" s="33" t="n"/>
      <c r="AJ63" s="19" t="n"/>
      <c r="AK63" s="19" t="n"/>
      <c r="AL63" s="19" t="n"/>
      <c r="AM63" s="33" t="inlineStr">
        <is>
          <t>I0001188431</t>
        </is>
      </c>
      <c r="AN63" s="19" t="n"/>
      <c r="AO63" s="19" t="n"/>
      <c r="AP63" s="127">
        <f>IF(A63="","",A63-WEEKDAY(A63,2)+1)</f>
        <v/>
      </c>
      <c r="AQ63" s="127">
        <f>IF(AO63="","",AO63+6)</f>
        <v/>
      </c>
      <c r="AR63" s="19">
        <f>IF(AO63="","","Semana "&amp;TEXT(AO63,"dd-mm-yyyy")&amp;" al "&amp;TEXT(AP63,"dd-mm-yyyy"))</f>
        <v/>
      </c>
      <c r="AS63" s="19">
        <f>IF(A63="","",TEXT(A63,"mmmm yyyy"))</f>
        <v/>
      </c>
      <c r="AT63" s="19">
        <f>IF(A63="","",TEXT(A63,"dddd"))</f>
        <v/>
      </c>
      <c r="AU63" s="19">
        <f>IF(A63="","","CRR-"&amp;TEXT(A63,"yyyymmdd")&amp;"-"&amp;M63&amp;"-"&amp;TEXT(ROW()-3,"0000"))</f>
        <v/>
      </c>
      <c r="AV63" s="19">
        <f>IF(A63="","",IF(OR(B63="",C63="",E63="",F63="",M63="",N63=""),"Revisar campos obligatorios",IF(AND(P63="Atraso primera hora",Q63=""),"Falta justificación atraso primera hora",IF(AND(Z63="No cumple",AA63=""),"Falta justificación recambio &gt;15 min",IF(AND(ISNUMBER(SEARCH("suspend",N63)),OR(AG63="",AH63="")),"Falta causa/motivo suspensión","OK")))))</f>
        <v/>
      </c>
      <c r="AW63" s="19">
        <f>IF(N63="","",IF(ISNUMBER(SEARCH("suspend",N63)),IF(AND(AG63="",AH63=""),"Sin causa/motivo registrado",IF(AG63="",AH63,IF(AH63="",AG63,AG63&amp;": "&amp;AH63))),""))</f>
        <v/>
      </c>
    </row>
    <row r="64" ht="16" customHeight="1" s="151">
      <c r="A64" s="32" t="n">
        <v>46171</v>
      </c>
      <c r="B64" s="33" t="inlineStr">
        <is>
          <t>DANTE GABRIEL</t>
        </is>
      </c>
      <c r="C64" s="33" t="inlineStr">
        <is>
          <t>ARAYA</t>
        </is>
      </c>
      <c r="D64" s="33" t="inlineStr">
        <is>
          <t>8a 3m 4d</t>
        </is>
      </c>
      <c r="E64" s="33" t="inlineStr">
        <is>
          <t>Descenso testicular con o sin hernia, cualquier tiempo, cualquier técnica</t>
        </is>
      </c>
      <c r="F64" s="47" t="inlineStr">
        <is>
          <t>SERVICIO DE CIRUGIA INFANTIL</t>
        </is>
      </c>
      <c r="G64" s="19" t="n"/>
      <c r="H64" s="33" t="inlineStr">
        <is>
          <t>1902060-6</t>
        </is>
      </c>
      <c r="I64" s="19" t="n"/>
      <c r="J64" s="20">
        <f>IF(H64&lt;&gt;"",IFERROR(VLOOKUP(IFERROR(LEFT(H64,FIND("-",H64)-1),H64),'Catalogo MINSAL'!A:E,5,FALSE),""),IF(I64&lt;&gt;"",IFERROR(VLOOKUP(IFERROR(LEFT(I64,FIND("-",I64)-1),I64),'Catalogo MINSAL'!A:E,5,FALSE),""),""))</f>
        <v/>
      </c>
      <c r="K64" s="33" t="inlineStr">
        <is>
          <t>Maximo Sepulveda Pizarro</t>
        </is>
      </c>
      <c r="L64" s="33" t="inlineStr">
        <is>
          <t>Dr. Richard Vega Duran</t>
        </is>
      </c>
      <c r="M64" s="33" t="inlineStr">
        <is>
          <t>Quirofano 09</t>
        </is>
      </c>
      <c r="N64" s="33" t="inlineStr">
        <is>
          <t>Atendido</t>
        </is>
      </c>
      <c r="O64" s="34" t="n">
        <v>0.3395833333333333</v>
      </c>
      <c r="P64" s="27">
        <f>IFERROR(IF(OR(O64="",A64="",M64=""),"",IF(SUMPRODUCT(($A$4:$A$500=A64)*($M$4:$M$500=M64)*($O$4:$O$500&lt;&gt;"")*(MOD($O$4:$O$500,1)&lt;MOD(O64,1)))=0,IF(MOD(O64,1)&lt;=TIME(8,15,0),"Ingreso adecuado primera hora","Atraso primera hora"),"No aplica")),"")</f>
        <v/>
      </c>
      <c r="Q64" s="27" t="n"/>
      <c r="R64" s="34" t="n">
        <v>0.3638888888888889</v>
      </c>
      <c r="S64" s="34" t="n">
        <v>0.40625</v>
      </c>
      <c r="T64" s="34" t="n">
        <v>0.4270833333333333</v>
      </c>
      <c r="U64" s="34">
        <f>IFERROR(VLOOKUP(M64,'Horario Pabellones'!$A$4:$D$17,2,FALSE),"")</f>
        <v/>
      </c>
      <c r="V64" s="34">
        <f>IFERROR(VLOOKUP(M64,'Horario Pabellones'!$A$4:$D$17,3,FALSE),"")</f>
        <v/>
      </c>
      <c r="W64" s="100">
        <f>IFERROR(VLOOKUP(M64,'Horario Pabellones'!$A$4:$D$17,4,FALSE),"")</f>
        <v/>
      </c>
      <c r="X64" s="90">
        <f>IFERROR(IF(OR(A64="",M64="",W64=""),"",(((_xludf.AGGREGATE(14,6,MOD($S$4:$S$500,1)/(($A$4:$A$500=A64)*($M$4:$M$500=M64)*($R$4:$R$500&lt;&gt;"")*($S$4:$S$500&lt;&gt;"")),1)-_xludf.AGGREGATE(15,6,MOD($R$4:$R$500,1)/(($A$4:$A$500=A64)*($M$4:$M$500=M64)*($R$4:$R$500&lt;&gt;"")*($S$4:$S$500&lt;&gt;"")),1))*1440)/60)/(W64/60)),"")</f>
        <v/>
      </c>
      <c r="Y64" s="35">
        <f>IFERROR(IF(OR(O64="",A64="",M64=""),"",(IF(ISNUMBER(O64),MOD(O64,1),TIMEVALUE(O64))-LOOKUP(2,1/(($A$4:$A$500=A64)*($M$4:$M$500=M64)*($T$4:$T$500&lt;&gt;"")*($T$4:$T$500&lt;IF(ISNUMBER(O64),MOD(O64,1),TIMEVALUE(O64)))),$T$4:$T$500))*1440),"")</f>
        <v/>
      </c>
      <c r="Z64" s="27">
        <f>IFERROR(IF(Y64="","",IF(ROUND(Y64,0)&lt;=15,"Cumple","No cumple")),"")</f>
        <v/>
      </c>
      <c r="AA64" s="27" t="n"/>
      <c r="AB64" s="26">
        <f>IFERROR(IF(OR(O64="",R64=""),"",IF(IF(ISNUMBER(R64),MOD(R64,1),TIMEVALUE(R64))&gt;=IF(ISNUMBER(O64),MOD(O64,1),TIMEVALUE(O64)),(IF(ISNUMBER(R64),MOD(R64,1),TIMEVALUE(R64))-IF(ISNUMBER(O64),MOD(O64,1),TIMEVALUE(O64)))*1440,(IF(ISNUMBER(R64),MOD(R64,1),TIMEVALUE(R64))+1-IF(ISNUMBER(O64),MOD(O64,1),TIMEVALUE(O64)))*1440)),"")</f>
        <v/>
      </c>
      <c r="AC64" s="28">
        <f>IFERROR(IF(OR(R64="",S64=""),"",IF(IF(ISNUMBER(S64),MOD(S64,1),TIMEVALUE(S64))&gt;=IF(ISNUMBER(R64),MOD(R64,1),TIMEVALUE(R64)),(IF(ISNUMBER(S64),MOD(S64,1),TIMEVALUE(S64))-IF(ISNUMBER(R64),MOD(R64,1),TIMEVALUE(R64)))*1440,(IF(ISNUMBER(S64),MOD(S64,1),TIMEVALUE(S64))+1-IF(ISNUMBER(R64),MOD(R64,1),TIMEVALUE(R64)))*1440)),"")</f>
        <v/>
      </c>
      <c r="AD64" s="100" t="n">
        <v>60</v>
      </c>
      <c r="AE64" s="26">
        <f>IFERROR(IF(OR(AC64="",AD64=""),"",AC64-AD64),"")</f>
        <v/>
      </c>
      <c r="AF64" s="27">
        <f>IFERROR(IF(AE64="","",IF(ROUND(AE64,0)&gt;15,"Subestimacion",IF(ROUND(AE64,0)&lt;-15,"Sobrestimacion","Asertivo"))),"")</f>
        <v/>
      </c>
      <c r="AG64" s="33" t="inlineStr">
        <is>
          <t>Sin Suspensión</t>
        </is>
      </c>
      <c r="AH64" s="33" t="n"/>
      <c r="AI64" s="33" t="n"/>
      <c r="AJ64" s="19" t="n"/>
      <c r="AK64" s="19" t="n"/>
      <c r="AL64" s="19" t="n"/>
      <c r="AM64" s="33" t="inlineStr">
        <is>
          <t>I0001188708</t>
        </is>
      </c>
      <c r="AN64" s="19" t="n"/>
      <c r="AO64" s="19" t="n"/>
      <c r="AP64" s="127">
        <f>IF(A64="","",A64-WEEKDAY(A64,2)+1)</f>
        <v/>
      </c>
      <c r="AQ64" s="127">
        <f>IF(AO64="","",AO64+6)</f>
        <v/>
      </c>
      <c r="AR64" s="19">
        <f>IF(AO64="","","Semana "&amp;TEXT(AO64,"dd-mm-yyyy")&amp;" al "&amp;TEXT(AP64,"dd-mm-yyyy"))</f>
        <v/>
      </c>
      <c r="AS64" s="19">
        <f>IF(A64="","",TEXT(A64,"mmmm yyyy"))</f>
        <v/>
      </c>
      <c r="AT64" s="19">
        <f>IF(A64="","",TEXT(A64,"dddd"))</f>
        <v/>
      </c>
      <c r="AU64" s="19">
        <f>IF(A64="","","CRR-"&amp;TEXT(A64,"yyyymmdd")&amp;"-"&amp;M64&amp;"-"&amp;TEXT(ROW()-3,"0000"))</f>
        <v/>
      </c>
      <c r="AV64" s="19">
        <f>IF(A64="","",IF(OR(B64="",C64="",E64="",F64="",M64="",N64=""),"Revisar campos obligatorios",IF(AND(P64="Atraso primera hora",Q64=""),"Falta justificación atraso primera hora",IF(AND(Z64="No cumple",AA64=""),"Falta justificación recambio &gt;15 min",IF(AND(ISNUMBER(SEARCH("suspend",N64)),OR(AG64="",AH64="")),"Falta causa/motivo suspensión","OK")))))</f>
        <v/>
      </c>
      <c r="AW64" s="19">
        <f>IF(N64="","",IF(ISNUMBER(SEARCH("suspend",N64)),IF(AND(AG64="",AH64=""),"Sin causa/motivo registrado",IF(AG64="",AH64,IF(AH64="",AG64,AG64&amp;": "&amp;AH64))),""))</f>
        <v/>
      </c>
    </row>
    <row r="65" ht="16" customHeight="1" s="151">
      <c r="A65" s="32" t="n">
        <v>46171</v>
      </c>
      <c r="B65" s="33" t="inlineStr">
        <is>
          <t>LUKAS MATEO</t>
        </is>
      </c>
      <c r="C65" s="33" t="inlineStr">
        <is>
          <t>RAMÍREZ</t>
        </is>
      </c>
      <c r="D65" s="33" t="inlineStr">
        <is>
          <t>11a 4m 29d</t>
        </is>
      </c>
      <c r="E65" s="33" t="inlineStr">
        <is>
          <t>Descenso testicular con o sin hernia, cualquier tiempo, cualquier técnica</t>
        </is>
      </c>
      <c r="F65" s="47" t="inlineStr">
        <is>
          <t>SERVICIO DE CIRUGIA INFANTIL</t>
        </is>
      </c>
      <c r="G65" s="19" t="n"/>
      <c r="H65" s="33" t="inlineStr">
        <is>
          <t>1902060-6</t>
        </is>
      </c>
      <c r="I65" s="19" t="n"/>
      <c r="J65" s="20">
        <f>IF(H65&lt;&gt;"",IFERROR(VLOOKUP(IFERROR(LEFT(H65,FIND("-",H65)-1),H65),'Catalogo MINSAL'!A:E,5,FALSE),""),IF(I65&lt;&gt;"",IFERROR(VLOOKUP(IFERROR(LEFT(I65,FIND("-",I65)-1),I65),'Catalogo MINSAL'!A:E,5,FALSE),""),""))</f>
        <v/>
      </c>
      <c r="K65" s="33" t="inlineStr">
        <is>
          <t>Maximo Sepulveda Pizarro</t>
        </is>
      </c>
      <c r="L65" s="33" t="inlineStr">
        <is>
          <t>Dr. Richard Vega Duran</t>
        </is>
      </c>
      <c r="M65" s="33" t="inlineStr">
        <is>
          <t>Quirofano 09</t>
        </is>
      </c>
      <c r="N65" s="33" t="inlineStr">
        <is>
          <t>Atendido</t>
        </is>
      </c>
      <c r="O65" s="34" t="n">
        <v>0.4361111111111111</v>
      </c>
      <c r="P65" s="27">
        <f>IFERROR(IF(OR(O65="",A65="",M65=""),"",IF(SUMPRODUCT(($A$4:$A$500=A65)*($M$4:$M$500=M65)*($O$4:$O$500&lt;&gt;"")*(MOD($O$4:$O$500,1)&lt;MOD(O65,1)))=0,IF(MOD(O65,1)&lt;=TIME(8,15,0),"Ingreso adecuado primera hora","Atraso primera hora"),"No aplica")),"")</f>
        <v/>
      </c>
      <c r="Q65" s="27" t="n"/>
      <c r="R65" s="34" t="n">
        <v>0.4527777777777778</v>
      </c>
      <c r="S65" s="34" t="n">
        <v>0.4930555555555556</v>
      </c>
      <c r="T65" s="34" t="n">
        <v>0.5006944444444444</v>
      </c>
      <c r="U65" s="34">
        <f>IFERROR(VLOOKUP(M65,'Horario Pabellones'!$A$4:$D$17,2,FALSE),"")</f>
        <v/>
      </c>
      <c r="V65" s="34">
        <f>IFERROR(VLOOKUP(M65,'Horario Pabellones'!$A$4:$D$17,3,FALSE),"")</f>
        <v/>
      </c>
      <c r="W65" s="100">
        <f>IFERROR(VLOOKUP(M65,'Horario Pabellones'!$A$4:$D$17,4,FALSE),"")</f>
        <v/>
      </c>
      <c r="X65" s="90">
        <f>IFERROR(IF(OR(A65="",M65="",W65=""),"",(((_xludf.AGGREGATE(14,6,MOD($S$4:$S$500,1)/(($A$4:$A$500=A65)*($M$4:$M$500=M65)*($R$4:$R$500&lt;&gt;"")*($S$4:$S$500&lt;&gt;"")),1)-_xludf.AGGREGATE(15,6,MOD($R$4:$R$500,1)/(($A$4:$A$500=A65)*($M$4:$M$500=M65)*($R$4:$R$500&lt;&gt;"")*($S$4:$S$500&lt;&gt;"")),1))*1440)/60)/(W65/60)),"")</f>
        <v/>
      </c>
      <c r="Y65" s="35">
        <f>IFERROR(IF(OR(O65="",A65="",M65=""),"",(IF(ISNUMBER(O65),MOD(O65,1),TIMEVALUE(O65))-LOOKUP(2,1/(($A$4:$A$500=A65)*($M$4:$M$500=M65)*($T$4:$T$500&lt;&gt;"")*($T$4:$T$500&lt;IF(ISNUMBER(O65),MOD(O65,1),TIMEVALUE(O65)))),$T$4:$T$500))*1440),"")</f>
        <v/>
      </c>
      <c r="Z65" s="27">
        <f>IFERROR(IF(Y65="","",IF(ROUND(Y65,0)&lt;=15,"Cumple","No cumple")),"")</f>
        <v/>
      </c>
      <c r="AA65" s="27" t="n"/>
      <c r="AB65" s="26">
        <f>IFERROR(IF(OR(O65="",R65=""),"",IF(IF(ISNUMBER(R65),MOD(R65,1),TIMEVALUE(R65))&gt;=IF(ISNUMBER(O65),MOD(O65,1),TIMEVALUE(O65)),(IF(ISNUMBER(R65),MOD(R65,1),TIMEVALUE(R65))-IF(ISNUMBER(O65),MOD(O65,1),TIMEVALUE(O65)))*1440,(IF(ISNUMBER(R65),MOD(R65,1),TIMEVALUE(R65))+1-IF(ISNUMBER(O65),MOD(O65,1),TIMEVALUE(O65)))*1440)),"")</f>
        <v/>
      </c>
      <c r="AC65" s="28">
        <f>IFERROR(IF(OR(R65="",S65=""),"",IF(IF(ISNUMBER(S65),MOD(S65,1),TIMEVALUE(S65))&gt;=IF(ISNUMBER(R65),MOD(R65,1),TIMEVALUE(R65)),(IF(ISNUMBER(S65),MOD(S65,1),TIMEVALUE(S65))-IF(ISNUMBER(R65),MOD(R65,1),TIMEVALUE(R65)))*1440,(IF(ISNUMBER(S65),MOD(S65,1),TIMEVALUE(S65))+1-IF(ISNUMBER(R65),MOD(R65,1),TIMEVALUE(R65)))*1440)),"")</f>
        <v/>
      </c>
      <c r="AD65" s="100" t="n">
        <v>60</v>
      </c>
      <c r="AE65" s="26">
        <f>IFERROR(IF(OR(AC65="",AD65=""),"",AC65-AD65),"")</f>
        <v/>
      </c>
      <c r="AF65" s="27">
        <f>IFERROR(IF(AE65="","",IF(ROUND(AE65,0)&gt;15,"Subestimacion",IF(ROUND(AE65,0)&lt;-15,"Sobrestimacion","Asertivo"))),"")</f>
        <v/>
      </c>
      <c r="AG65" s="33" t="inlineStr">
        <is>
          <t>Sin Suspensión</t>
        </is>
      </c>
      <c r="AH65" s="33" t="n"/>
      <c r="AI65" s="33" t="n"/>
      <c r="AJ65" s="19" t="n"/>
      <c r="AK65" s="19" t="n"/>
      <c r="AL65" s="19" t="n"/>
      <c r="AM65" s="33" t="inlineStr">
        <is>
          <t>I0001188711</t>
        </is>
      </c>
      <c r="AN65" s="19" t="n"/>
      <c r="AO65" s="19" t="n"/>
      <c r="AP65" s="127">
        <f>IF(A65="","",A65-WEEKDAY(A65,2)+1)</f>
        <v/>
      </c>
      <c r="AQ65" s="127">
        <f>IF(AO65="","",AO65+6)</f>
        <v/>
      </c>
      <c r="AR65" s="19">
        <f>IF(AO65="","","Semana "&amp;TEXT(AO65,"dd-mm-yyyy")&amp;" al "&amp;TEXT(AP65,"dd-mm-yyyy"))</f>
        <v/>
      </c>
      <c r="AS65" s="19">
        <f>IF(A65="","",TEXT(A65,"mmmm yyyy"))</f>
        <v/>
      </c>
      <c r="AT65" s="19">
        <f>IF(A65="","",TEXT(A65,"dddd"))</f>
        <v/>
      </c>
      <c r="AU65" s="19">
        <f>IF(A65="","","CRR-"&amp;TEXT(A65,"yyyymmdd")&amp;"-"&amp;M65&amp;"-"&amp;TEXT(ROW()-3,"0000"))</f>
        <v/>
      </c>
      <c r="AV65" s="19">
        <f>IF(A65="","",IF(OR(B65="",C65="",E65="",F65="",M65="",N65=""),"Revisar campos obligatorios",IF(AND(P65="Atraso primera hora",Q65=""),"Falta justificación atraso primera hora",IF(AND(Z65="No cumple",AA65=""),"Falta justificación recambio &gt;15 min",IF(AND(ISNUMBER(SEARCH("suspend",N65)),OR(AG65="",AH65="")),"Falta causa/motivo suspensión","OK")))))</f>
        <v/>
      </c>
      <c r="AW65" s="19">
        <f>IF(N65="","",IF(ISNUMBER(SEARCH("suspend",N65)),IF(AND(AG65="",AH65=""),"Sin causa/motivo registrado",IF(AG65="",AH65,IF(AH65="",AG65,AG65&amp;": "&amp;AH65))),""))</f>
        <v/>
      </c>
    </row>
    <row r="66" ht="16" customHeight="1" s="151">
      <c r="A66" s="32" t="n">
        <v>46171</v>
      </c>
      <c r="B66" s="33" t="inlineStr">
        <is>
          <t>MICHEL ANDY</t>
        </is>
      </c>
      <c r="C66" s="33" t="inlineStr">
        <is>
          <t>MONTILUS</t>
        </is>
      </c>
      <c r="D66" s="33" t="inlineStr">
        <is>
          <t>9a 3m 19d</t>
        </is>
      </c>
      <c r="E66" s="33" t="inlineStr">
        <is>
          <t>Descenso testicular con o sin hernia, cualquier tiempo, cualquier técnica</t>
        </is>
      </c>
      <c r="F66" s="47" t="inlineStr">
        <is>
          <t>SERVICIO DE CIRUGIA INFANTIL</t>
        </is>
      </c>
      <c r="G66" s="19" t="n"/>
      <c r="H66" s="33" t="inlineStr">
        <is>
          <t>1902060-6</t>
        </is>
      </c>
      <c r="I66" s="19" t="n"/>
      <c r="J66" s="20">
        <f>IF(H66&lt;&gt;"",IFERROR(VLOOKUP(IFERROR(LEFT(H66,FIND("-",H66)-1),H66),'Catalogo MINSAL'!A:E,5,FALSE),""),IF(I66&lt;&gt;"",IFERROR(VLOOKUP(IFERROR(LEFT(I66,FIND("-",I66)-1),I66),'Catalogo MINSAL'!A:E,5,FALSE),""),""))</f>
        <v/>
      </c>
      <c r="K66" s="33" t="inlineStr">
        <is>
          <t>Maximo Sepulveda Pizarro</t>
        </is>
      </c>
      <c r="L66" s="33" t="inlineStr">
        <is>
          <t>Dr. Richard Vega Duran</t>
        </is>
      </c>
      <c r="M66" s="33" t="inlineStr">
        <is>
          <t>Quirofano 09</t>
        </is>
      </c>
      <c r="N66" s="33" t="inlineStr">
        <is>
          <t>Atendido</t>
        </is>
      </c>
      <c r="O66" s="34" t="n">
        <v>0.5111111111111111</v>
      </c>
      <c r="P66" s="27">
        <f>IFERROR(IF(OR(O66="",A66="",M66=""),"",IF(SUMPRODUCT(($A$4:$A$500=A66)*($M$4:$M$500=M66)*($O$4:$O$500&lt;&gt;"")*(MOD($O$4:$O$500,1)&lt;MOD(O66,1)))=0,IF(MOD(O66,1)&lt;=TIME(8,15,0),"Ingreso adecuado primera hora","Atraso primera hora"),"No aplica")),"")</f>
        <v/>
      </c>
      <c r="Q66" s="27" t="n"/>
      <c r="R66" s="34" t="n">
        <v>0.5305555555555556</v>
      </c>
      <c r="S66" s="34" t="n">
        <v>0.54375</v>
      </c>
      <c r="T66" s="34" t="n">
        <v>0.5625</v>
      </c>
      <c r="U66" s="34">
        <f>IFERROR(VLOOKUP(M66,'Horario Pabellones'!$A$4:$D$17,2,FALSE),"")</f>
        <v/>
      </c>
      <c r="V66" s="34">
        <f>IFERROR(VLOOKUP(M66,'Horario Pabellones'!$A$4:$D$17,3,FALSE),"")</f>
        <v/>
      </c>
      <c r="W66" s="100">
        <f>IFERROR(VLOOKUP(M66,'Horario Pabellones'!$A$4:$D$17,4,FALSE),"")</f>
        <v/>
      </c>
      <c r="X66" s="90">
        <f>IFERROR(IF(OR(A66="",M66="",W66=""),"",(((_xludf.AGGREGATE(14,6,MOD($S$4:$S$500,1)/(($A$4:$A$500=A66)*($M$4:$M$500=M66)*($R$4:$R$500&lt;&gt;"")*($S$4:$S$500&lt;&gt;"")),1)-_xludf.AGGREGATE(15,6,MOD($R$4:$R$500,1)/(($A$4:$A$500=A66)*($M$4:$M$500=M66)*($R$4:$R$500&lt;&gt;"")*($S$4:$S$500&lt;&gt;"")),1))*1440)/60)/(W66/60)),"")</f>
        <v/>
      </c>
      <c r="Y66" s="35">
        <f>IFERROR(IF(OR(O66="",A66="",M66=""),"",(IF(ISNUMBER(O66),MOD(O66,1),TIMEVALUE(O66))-LOOKUP(2,1/(($A$4:$A$500=A66)*($M$4:$M$500=M66)*($T$4:$T$500&lt;&gt;"")*($T$4:$T$500&lt;IF(ISNUMBER(O66),MOD(O66,1),TIMEVALUE(O66)))),$T$4:$T$500))*1440),"")</f>
        <v/>
      </c>
      <c r="Z66" s="27">
        <f>IFERROR(IF(Y66="","",IF(ROUND(Y66,0)&lt;=15,"Cumple","No cumple")),"")</f>
        <v/>
      </c>
      <c r="AA66" s="27" t="n"/>
      <c r="AB66" s="26">
        <f>IFERROR(IF(OR(O66="",R66=""),"",IF(IF(ISNUMBER(R66),MOD(R66,1),TIMEVALUE(R66))&gt;=IF(ISNUMBER(O66),MOD(O66,1),TIMEVALUE(O66)),(IF(ISNUMBER(R66),MOD(R66,1),TIMEVALUE(R66))-IF(ISNUMBER(O66),MOD(O66,1),TIMEVALUE(O66)))*1440,(IF(ISNUMBER(R66),MOD(R66,1),TIMEVALUE(R66))+1-IF(ISNUMBER(O66),MOD(O66,1),TIMEVALUE(O66)))*1440)),"")</f>
        <v/>
      </c>
      <c r="AC66" s="28">
        <f>IFERROR(IF(OR(R66="",S66=""),"",IF(IF(ISNUMBER(S66),MOD(S66,1),TIMEVALUE(S66))&gt;=IF(ISNUMBER(R66),MOD(R66,1),TIMEVALUE(R66)),(IF(ISNUMBER(S66),MOD(S66,1),TIMEVALUE(S66))-IF(ISNUMBER(R66),MOD(R66,1),TIMEVALUE(R66)))*1440,(IF(ISNUMBER(S66),MOD(S66,1),TIMEVALUE(S66))+1-IF(ISNUMBER(R66),MOD(R66,1),TIMEVALUE(R66)))*1440)),"")</f>
        <v/>
      </c>
      <c r="AD66" s="100" t="n">
        <v>60</v>
      </c>
      <c r="AE66" s="26">
        <f>IFERROR(IF(OR(AC66="",AD66=""),"",AC66-AD66),"")</f>
        <v/>
      </c>
      <c r="AF66" s="27">
        <f>IFERROR(IF(AE66="","",IF(ROUND(AE66,0)&gt;15,"Subestimacion",IF(ROUND(AE66,0)&lt;-15,"Sobrestimacion","Asertivo"))),"")</f>
        <v/>
      </c>
      <c r="AG66" s="33" t="inlineStr">
        <is>
          <t>Sin Suspensión</t>
        </is>
      </c>
      <c r="AH66" s="33" t="n"/>
      <c r="AI66" s="33" t="n"/>
      <c r="AJ66" s="19" t="n"/>
      <c r="AK66" s="19" t="n"/>
      <c r="AL66" s="19" t="n"/>
      <c r="AM66" s="33" t="inlineStr">
        <is>
          <t>I0001188712</t>
        </is>
      </c>
      <c r="AN66" s="19" t="n"/>
      <c r="AO66" s="19" t="n"/>
      <c r="AP66" s="127">
        <f>IF(A66="","",A66-WEEKDAY(A66,2)+1)</f>
        <v/>
      </c>
      <c r="AQ66" s="127">
        <f>IF(AO66="","",AO66+6)</f>
        <v/>
      </c>
      <c r="AR66" s="19">
        <f>IF(AO66="","","Semana "&amp;TEXT(AO66,"dd-mm-yyyy")&amp;" al "&amp;TEXT(AP66,"dd-mm-yyyy"))</f>
        <v/>
      </c>
      <c r="AS66" s="19">
        <f>IF(A66="","",TEXT(A66,"mmmm yyyy"))</f>
        <v/>
      </c>
      <c r="AT66" s="19">
        <f>IF(A66="","",TEXT(A66,"dddd"))</f>
        <v/>
      </c>
      <c r="AU66" s="19">
        <f>IF(A66="","","CRR-"&amp;TEXT(A66,"yyyymmdd")&amp;"-"&amp;M66&amp;"-"&amp;TEXT(ROW()-3,"0000"))</f>
        <v/>
      </c>
      <c r="AV66" s="19">
        <f>IF(A66="","",IF(OR(B66="",C66="",E66="",F66="",M66="",N66=""),"Revisar campos obligatorios",IF(AND(P66="Atraso primera hora",Q66=""),"Falta justificación atraso primera hora",IF(AND(Z66="No cumple",AA66=""),"Falta justificación recambio &gt;15 min",IF(AND(ISNUMBER(SEARCH("suspend",N66)),OR(AG66="",AH66="")),"Falta causa/motivo suspensión","OK")))))</f>
        <v/>
      </c>
      <c r="AW66" s="19">
        <f>IF(N66="","",IF(ISNUMBER(SEARCH("suspend",N66)),IF(AND(AG66="",AH66=""),"Sin causa/motivo registrado",IF(AG66="",AH66,IF(AH66="",AG66,AG66&amp;": "&amp;AH66))),""))</f>
        <v/>
      </c>
    </row>
    <row r="67" ht="16" customHeight="1" s="151">
      <c r="A67" s="32" t="n">
        <v>46171</v>
      </c>
      <c r="B67" s="33" t="inlineStr">
        <is>
          <t>RAFAEL ANTONIO</t>
        </is>
      </c>
      <c r="C67" s="33" t="inlineStr">
        <is>
          <t>SALAS</t>
        </is>
      </c>
      <c r="D67" s="33" t="inlineStr">
        <is>
          <t>9a 3m 9d</t>
        </is>
      </c>
      <c r="E67" s="33" t="inlineStr">
        <is>
          <t>CIRCUNCISION (INCLUYE SECCION DE FRENILLO, Y/O DE SINEQUIAS BALANO-PREPUCIALES, Y/O INCISION DORSAL C/S MEATOTOMIA)</t>
        </is>
      </c>
      <c r="F67" s="47" t="inlineStr">
        <is>
          <t>SERVICIO DE CIRUGIA INFANTIL</t>
        </is>
      </c>
      <c r="G67" s="19" t="n"/>
      <c r="H67" s="33" t="inlineStr">
        <is>
          <t>1902082-5</t>
        </is>
      </c>
      <c r="I67" s="19" t="n"/>
      <c r="J67" s="20">
        <f>IF(H67&lt;&gt;"",IFERROR(VLOOKUP(IFERROR(LEFT(H67,FIND("-",H67)-1),H67),'Catalogo MINSAL'!A:E,5,FALSE),""),IF(I67&lt;&gt;"",IFERROR(VLOOKUP(IFERROR(LEFT(I67,FIND("-",I67)-1),I67),'Catalogo MINSAL'!A:E,5,FALSE),""),""))</f>
        <v/>
      </c>
      <c r="K67" s="33" t="inlineStr">
        <is>
          <t>Maximo Sepulveda Pizarro</t>
        </is>
      </c>
      <c r="L67" s="33" t="inlineStr">
        <is>
          <t>Sebastián Ramón Cáceres González</t>
        </is>
      </c>
      <c r="M67" s="33" t="inlineStr">
        <is>
          <t>Quirofano 09</t>
        </is>
      </c>
      <c r="N67" s="33" t="inlineStr">
        <is>
          <t>Recepcionado</t>
        </is>
      </c>
      <c r="O67" s="34" t="n">
        <v>0.5722222222222222</v>
      </c>
      <c r="P67" s="27">
        <f>IFERROR(IF(OR(O67="",A67="",M67=""),"",IF(SUMPRODUCT(($A$4:$A$500=A67)*($M$4:$M$500=M67)*($O$4:$O$500&lt;&gt;"")*(MOD($O$4:$O$500,1)&lt;MOD(O67,1)))=0,IF(MOD(O67,1)&lt;=TIME(8,15,0),"Ingreso adecuado primera hora","Atraso primera hora"),"No aplica")),"")</f>
        <v/>
      </c>
      <c r="Q67" s="27" t="n"/>
      <c r="R67" s="34" t="n">
        <v>0.6111111111111112</v>
      </c>
      <c r="S67" s="34" t="n">
        <v>0.6159722222222223</v>
      </c>
      <c r="T67" s="34" t="n">
        <v>0.6277777777777778</v>
      </c>
      <c r="U67" s="34">
        <f>IFERROR(VLOOKUP(M67,'Horario Pabellones'!$A$4:$D$17,2,FALSE),"")</f>
        <v/>
      </c>
      <c r="V67" s="34">
        <f>IFERROR(VLOOKUP(M67,'Horario Pabellones'!$A$4:$D$17,3,FALSE),"")</f>
        <v/>
      </c>
      <c r="W67" s="100">
        <f>IFERROR(VLOOKUP(M67,'Horario Pabellones'!$A$4:$D$17,4,FALSE),"")</f>
        <v/>
      </c>
      <c r="X67" s="90">
        <f>IFERROR(IF(OR(A67="",M67="",W67=""),"",(((_xludf.AGGREGATE(14,6,MOD($S$4:$S$500,1)/(($A$4:$A$500=A67)*($M$4:$M$500=M67)*($R$4:$R$500&lt;&gt;"")*($S$4:$S$500&lt;&gt;"")),1)-_xludf.AGGREGATE(15,6,MOD($R$4:$R$500,1)/(($A$4:$A$500=A67)*($M$4:$M$500=M67)*($R$4:$R$500&lt;&gt;"")*($S$4:$S$500&lt;&gt;"")),1))*1440)/60)/(W67/60)),"")</f>
        <v/>
      </c>
      <c r="Y67" s="35">
        <f>IFERROR(IF(OR(O67="",A67="",M67=""),"",(IF(ISNUMBER(O67),MOD(O67,1),TIMEVALUE(O67))-LOOKUP(2,1/(($A$4:$A$500=A67)*($M$4:$M$500=M67)*($T$4:$T$500&lt;&gt;"")*($T$4:$T$500&lt;IF(ISNUMBER(O67),MOD(O67,1),TIMEVALUE(O67)))),$T$4:$T$500))*1440),"")</f>
        <v/>
      </c>
      <c r="Z67" s="27">
        <f>IFERROR(IF(Y67="","",IF(ROUND(Y67,0)&lt;=15,"Cumple","No cumple")),"")</f>
        <v/>
      </c>
      <c r="AA67" s="27" t="n"/>
      <c r="AB67" s="26">
        <f>IFERROR(IF(OR(O67="",R67=""),"",IF(IF(ISNUMBER(R67),MOD(R67,1),TIMEVALUE(R67))&gt;=IF(ISNUMBER(O67),MOD(O67,1),TIMEVALUE(O67)),(IF(ISNUMBER(R67),MOD(R67,1),TIMEVALUE(R67))-IF(ISNUMBER(O67),MOD(O67,1),TIMEVALUE(O67)))*1440,(IF(ISNUMBER(R67),MOD(R67,1),TIMEVALUE(R67))+1-IF(ISNUMBER(O67),MOD(O67,1),TIMEVALUE(O67)))*1440)),"")</f>
        <v/>
      </c>
      <c r="AC67" s="28">
        <f>IFERROR(IF(OR(R67="",S67=""),"",IF(IF(ISNUMBER(S67),MOD(S67,1),TIMEVALUE(S67))&gt;=IF(ISNUMBER(R67),MOD(R67,1),TIMEVALUE(R67)),(IF(ISNUMBER(S67),MOD(S67,1),TIMEVALUE(S67))-IF(ISNUMBER(R67),MOD(R67,1),TIMEVALUE(R67)))*1440,(IF(ISNUMBER(S67),MOD(S67,1),TIMEVALUE(S67))+1-IF(ISNUMBER(R67),MOD(R67,1),TIMEVALUE(R67)))*1440)),"")</f>
        <v/>
      </c>
      <c r="AD67" s="100" t="n">
        <v>60</v>
      </c>
      <c r="AE67" s="26">
        <f>IFERROR(IF(OR(AC67="",AD67=""),"",AC67-AD67),"")</f>
        <v/>
      </c>
      <c r="AF67" s="27">
        <f>IFERROR(IF(AE67="","",IF(ROUND(AE67,0)&gt;15,"Subestimacion",IF(ROUND(AE67,0)&lt;-15,"Sobrestimacion","Asertivo"))),"")</f>
        <v/>
      </c>
      <c r="AG67" s="33" t="inlineStr">
        <is>
          <t>Sin Suspensión</t>
        </is>
      </c>
      <c r="AH67" s="33" t="n"/>
      <c r="AI67" s="33" t="n"/>
      <c r="AJ67" s="19" t="n"/>
      <c r="AK67" s="19" t="n"/>
      <c r="AL67" s="19" t="n"/>
      <c r="AM67" s="33" t="inlineStr">
        <is>
          <t>I0001188714</t>
        </is>
      </c>
      <c r="AN67" s="19" t="n"/>
      <c r="AO67" s="19" t="n"/>
      <c r="AP67" s="127">
        <f>IF(A67="","",A67-WEEKDAY(A67,2)+1)</f>
        <v/>
      </c>
      <c r="AQ67" s="127">
        <f>IF(AO67="","",AO67+6)</f>
        <v/>
      </c>
      <c r="AR67" s="19">
        <f>IF(AO67="","","Semana "&amp;TEXT(AO67,"dd-mm-yyyy")&amp;" al "&amp;TEXT(AP67,"dd-mm-yyyy"))</f>
        <v/>
      </c>
      <c r="AS67" s="19">
        <f>IF(A67="","",TEXT(A67,"mmmm yyyy"))</f>
        <v/>
      </c>
      <c r="AT67" s="19">
        <f>IF(A67="","",TEXT(A67,"dddd"))</f>
        <v/>
      </c>
      <c r="AU67" s="19">
        <f>IF(A67="","","CRR-"&amp;TEXT(A67,"yyyymmdd")&amp;"-"&amp;M67&amp;"-"&amp;TEXT(ROW()-3,"0000"))</f>
        <v/>
      </c>
      <c r="AV67" s="19">
        <f>IF(A67="","",IF(OR(B67="",C67="",E67="",F67="",M67="",N67=""),"Revisar campos obligatorios",IF(AND(P67="Atraso primera hora",Q67=""),"Falta justificación atraso primera hora",IF(AND(Z67="No cumple",AA67=""),"Falta justificación recambio &gt;15 min",IF(AND(ISNUMBER(SEARCH("suspend",N67)),OR(AG67="",AH67="")),"Falta causa/motivo suspensión","OK")))))</f>
        <v/>
      </c>
      <c r="AW67" s="19">
        <f>IF(N67="","",IF(ISNUMBER(SEARCH("suspend",N67)),IF(AND(AG67="",AH67=""),"Sin causa/motivo registrado",IF(AG67="",AH67,IF(AH67="",AG67,AG67&amp;": "&amp;AH67))),""))</f>
        <v/>
      </c>
    </row>
    <row r="68" ht="16" customHeight="1" s="151">
      <c r="A68" s="32" t="n">
        <v>46171</v>
      </c>
      <c r="B68" s="33" t="inlineStr">
        <is>
          <t>SEBASTIÁN DARIEL</t>
        </is>
      </c>
      <c r="C68" s="33" t="inlineStr">
        <is>
          <t>LUCERO</t>
        </is>
      </c>
      <c r="D68" s="33" t="inlineStr">
        <is>
          <t>13a 4m 12d</t>
        </is>
      </c>
      <c r="E68" s="33" t="inlineStr">
        <is>
          <t>CIRCUNCISION (INCLUYE SECCION DE FRENILLO, Y/O DE SINEQUIAS BALANO-PREPUCIALES, Y/O INCISION DORSAL C/S MEATOTOMIA)</t>
        </is>
      </c>
      <c r="F68" s="47" t="inlineStr">
        <is>
          <t>SERVICIO DE CIRUGIA INFANTIL</t>
        </is>
      </c>
      <c r="G68" s="19" t="n"/>
      <c r="H68" s="33" t="inlineStr">
        <is>
          <t>1902082-5</t>
        </is>
      </c>
      <c r="I68" s="19" t="n"/>
      <c r="J68" s="20">
        <f>IF(H68&lt;&gt;"",IFERROR(VLOOKUP(IFERROR(LEFT(H68,FIND("-",H68)-1),H68),'Catalogo MINSAL'!A:E,5,FALSE),""),IF(I68&lt;&gt;"",IFERROR(VLOOKUP(IFERROR(LEFT(I68,FIND("-",I68)-1),I68),'Catalogo MINSAL'!A:E,5,FALSE),""),""))</f>
        <v/>
      </c>
      <c r="K68" s="33" t="inlineStr">
        <is>
          <t>Maximo Sepulveda Pizarro</t>
        </is>
      </c>
      <c r="L68" s="33" t="inlineStr">
        <is>
          <t>Diego Ahumada Perez</t>
        </is>
      </c>
      <c r="M68" s="33" t="inlineStr">
        <is>
          <t>Quirofano 09</t>
        </is>
      </c>
      <c r="N68" s="33" t="inlineStr">
        <is>
          <t>Atendido</t>
        </is>
      </c>
      <c r="O68" s="34" t="n">
        <v>0.6326388888888889</v>
      </c>
      <c r="P68" s="27">
        <f>IFERROR(IF(OR(O68="",A68="",M68=""),"",IF(SUMPRODUCT(($A$4:$A$500=A68)*($M$4:$M$500=M68)*($O$4:$O$500&lt;&gt;"")*(MOD($O$4:$O$500,1)&lt;MOD(O68,1)))=0,IF(MOD(O68,1)&lt;=TIME(8,15,0),"Ingreso adecuado primera hora","Atraso primera hora"),"No aplica")),"")</f>
        <v/>
      </c>
      <c r="Q68" s="27" t="n"/>
      <c r="R68" s="34" t="n">
        <v>0.6527777777777778</v>
      </c>
      <c r="S68" s="34" t="n">
        <v>0.6736111111111112</v>
      </c>
      <c r="T68" s="34" t="n">
        <v>0.6875</v>
      </c>
      <c r="U68" s="34">
        <f>IFERROR(VLOOKUP(M68,'Horario Pabellones'!$A$4:$D$17,2,FALSE),"")</f>
        <v/>
      </c>
      <c r="V68" s="34">
        <f>IFERROR(VLOOKUP(M68,'Horario Pabellones'!$A$4:$D$17,3,FALSE),"")</f>
        <v/>
      </c>
      <c r="W68" s="100">
        <f>IFERROR(VLOOKUP(M68,'Horario Pabellones'!$A$4:$D$17,4,FALSE),"")</f>
        <v/>
      </c>
      <c r="X68" s="90">
        <f>IFERROR(IF(OR(A68="",M68="",W68=""),"",(((_xludf.AGGREGATE(14,6,MOD($S$4:$S$500,1)/(($A$4:$A$500=A68)*($M$4:$M$500=M68)*($R$4:$R$500&lt;&gt;"")*($S$4:$S$500&lt;&gt;"")),1)-_xludf.AGGREGATE(15,6,MOD($R$4:$R$500,1)/(($A$4:$A$500=A68)*($M$4:$M$500=M68)*($R$4:$R$500&lt;&gt;"")*($S$4:$S$500&lt;&gt;"")),1))*1440)/60)/(W68/60)),"")</f>
        <v/>
      </c>
      <c r="Y68" s="35">
        <f>IFERROR(IF(OR(O68="",A68="",M68=""),"",(IF(ISNUMBER(O68),MOD(O68,1),TIMEVALUE(O68))-LOOKUP(2,1/(($A$4:$A$500=A68)*($M$4:$M$500=M68)*($T$4:$T$500&lt;&gt;"")*($T$4:$T$500&lt;IF(ISNUMBER(O68),MOD(O68,1),TIMEVALUE(O68)))),$T$4:$T$500))*1440),"")</f>
        <v/>
      </c>
      <c r="Z68" s="27">
        <f>IFERROR(IF(Y68="","",IF(ROUND(Y68,0)&lt;=15,"Cumple","No cumple")),"")</f>
        <v/>
      </c>
      <c r="AA68" s="27" t="n"/>
      <c r="AB68" s="26">
        <f>IFERROR(IF(OR(O68="",R68=""),"",IF(IF(ISNUMBER(R68),MOD(R68,1),TIMEVALUE(R68))&gt;=IF(ISNUMBER(O68),MOD(O68,1),TIMEVALUE(O68)),(IF(ISNUMBER(R68),MOD(R68,1),TIMEVALUE(R68))-IF(ISNUMBER(O68),MOD(O68,1),TIMEVALUE(O68)))*1440,(IF(ISNUMBER(R68),MOD(R68,1),TIMEVALUE(R68))+1-IF(ISNUMBER(O68),MOD(O68,1),TIMEVALUE(O68)))*1440)),"")</f>
        <v/>
      </c>
      <c r="AC68" s="28">
        <f>IFERROR(IF(OR(R68="",S68=""),"",IF(IF(ISNUMBER(S68),MOD(S68,1),TIMEVALUE(S68))&gt;=IF(ISNUMBER(R68),MOD(R68,1),TIMEVALUE(R68)),(IF(ISNUMBER(S68),MOD(S68,1),TIMEVALUE(S68))-IF(ISNUMBER(R68),MOD(R68,1),TIMEVALUE(R68)))*1440,(IF(ISNUMBER(S68),MOD(S68,1),TIMEVALUE(S68))+1-IF(ISNUMBER(R68),MOD(R68,1),TIMEVALUE(R68)))*1440)),"")</f>
        <v/>
      </c>
      <c r="AD68" s="100" t="n">
        <v>30</v>
      </c>
      <c r="AE68" s="26">
        <f>IFERROR(IF(OR(AC68="",AD68=""),"",AC68-AD68),"")</f>
        <v/>
      </c>
      <c r="AF68" s="27">
        <f>IFERROR(IF(AE68="","",IF(ROUND(AE68,0)&gt;15,"Subestimacion",IF(ROUND(AE68,0)&lt;-15,"Sobrestimacion","Asertivo"))),"")</f>
        <v/>
      </c>
      <c r="AG68" s="33" t="inlineStr">
        <is>
          <t>Sin Suspensión</t>
        </is>
      </c>
      <c r="AH68" s="33" t="n"/>
      <c r="AI68" s="33" t="n"/>
      <c r="AJ68" s="19" t="n"/>
      <c r="AK68" s="19" t="n"/>
      <c r="AL68" s="19" t="n"/>
      <c r="AM68" s="33" t="inlineStr">
        <is>
          <t>I0001188715</t>
        </is>
      </c>
      <c r="AN68" s="19" t="n"/>
      <c r="AO68" s="19" t="n"/>
      <c r="AP68" s="127">
        <f>IF(A68="","",A68-WEEKDAY(A68,2)+1)</f>
        <v/>
      </c>
      <c r="AQ68" s="127">
        <f>IF(AO68="","",AO68+6)</f>
        <v/>
      </c>
      <c r="AR68" s="19">
        <f>IF(AO68="","","Semana "&amp;TEXT(AO68,"dd-mm-yyyy")&amp;" al "&amp;TEXT(AP68,"dd-mm-yyyy"))</f>
        <v/>
      </c>
      <c r="AS68" s="19">
        <f>IF(A68="","",TEXT(A68,"mmmm yyyy"))</f>
        <v/>
      </c>
      <c r="AT68" s="19">
        <f>IF(A68="","",TEXT(A68,"dddd"))</f>
        <v/>
      </c>
      <c r="AU68" s="19">
        <f>IF(A68="","","CRR-"&amp;TEXT(A68,"yyyymmdd")&amp;"-"&amp;M68&amp;"-"&amp;TEXT(ROW()-3,"0000"))</f>
        <v/>
      </c>
      <c r="AV68" s="19">
        <f>IF(A68="","",IF(OR(B68="",C68="",E68="",F68="",M68="",N68=""),"Revisar campos obligatorios",IF(AND(P68="Atraso primera hora",Q68=""),"Falta justificación atraso primera hora",IF(AND(Z68="No cumple",AA68=""),"Falta justificación recambio &gt;15 min",IF(AND(ISNUMBER(SEARCH("suspend",N68)),OR(AG68="",AH68="")),"Falta causa/motivo suspensión","OK")))))</f>
        <v/>
      </c>
      <c r="AW68" s="19">
        <f>IF(N68="","",IF(ISNUMBER(SEARCH("suspend",N68)),IF(AND(AG68="",AH68=""),"Sin causa/motivo registrado",IF(AG68="",AH68,IF(AH68="",AG68,AG68&amp;": "&amp;AH68))),""))</f>
        <v/>
      </c>
    </row>
    <row r="69" ht="16" customHeight="1" s="151">
      <c r="A69" s="32" t="n">
        <v>46171</v>
      </c>
      <c r="B69" s="33" t="inlineStr">
        <is>
          <t>JAIRO ISAAC</t>
        </is>
      </c>
      <c r="C69" s="33" t="inlineStr">
        <is>
          <t>ROJAS</t>
        </is>
      </c>
      <c r="D69" s="33" t="inlineStr">
        <is>
          <t>10a 6m 24d</t>
        </is>
      </c>
      <c r="E69" s="33" t="inlineStr">
        <is>
          <t>CIRCUNCISION (INCLUYE SECCION DE FRENILLO, Y/O DE SINEQUIAS BALANO-PREPUCIALES, Y/O INCISION DORSAL C/S MEATOTOMIA)</t>
        </is>
      </c>
      <c r="F69" s="47" t="inlineStr">
        <is>
          <t>SERVICIO DE CIRUGIA INFANTIL</t>
        </is>
      </c>
      <c r="G69" s="19" t="n"/>
      <c r="H69" s="33" t="inlineStr">
        <is>
          <t>1902082-5</t>
        </is>
      </c>
      <c r="I69" s="19" t="n"/>
      <c r="J69" s="20">
        <f>IF(H69&lt;&gt;"",IFERROR(VLOOKUP(IFERROR(LEFT(H69,FIND("-",H69)-1),H69),'Catalogo MINSAL'!A:E,5,FALSE),""),IF(I69&lt;&gt;"",IFERROR(VLOOKUP(IFERROR(LEFT(I69,FIND("-",I69)-1),I69),'Catalogo MINSAL'!A:E,5,FALSE),""),""))</f>
        <v/>
      </c>
      <c r="K69" s="33" t="inlineStr">
        <is>
          <t>Maximo Sepulveda Pizarro</t>
        </is>
      </c>
      <c r="L69" s="33" t="inlineStr">
        <is>
          <t>Diego Echiburu Perez</t>
        </is>
      </c>
      <c r="M69" s="33" t="inlineStr">
        <is>
          <t>Quirofano 09</t>
        </is>
      </c>
      <c r="N69" s="33" t="inlineStr">
        <is>
          <t>Recepcionado</t>
        </is>
      </c>
      <c r="O69" s="34" t="n">
        <v>0.6958333333333333</v>
      </c>
      <c r="P69" s="27">
        <f>IFERROR(IF(OR(O69="",A69="",M69=""),"",IF(SUMPRODUCT(($A$4:$A$500=A69)*($M$4:$M$500=M69)*($O$4:$O$500&lt;&gt;"")*(MOD($O$4:$O$500,1)&lt;MOD(O69,1)))=0,IF(MOD(O69,1)&lt;=TIME(8,15,0),"Ingreso adecuado primera hora","Atraso primera hora"),"No aplica")),"")</f>
        <v/>
      </c>
      <c r="Q69" s="27" t="n"/>
      <c r="R69" s="34" t="n">
        <v>0.7222222222222222</v>
      </c>
      <c r="S69" s="34" t="n">
        <v>0.7715277777777778</v>
      </c>
      <c r="T69" s="34" t="n">
        <v>0.7819444444444444</v>
      </c>
      <c r="U69" s="34">
        <f>IFERROR(VLOOKUP(M69,'Horario Pabellones'!$A$4:$D$17,2,FALSE),"")</f>
        <v/>
      </c>
      <c r="V69" s="34">
        <f>IFERROR(VLOOKUP(M69,'Horario Pabellones'!$A$4:$D$17,3,FALSE),"")</f>
        <v/>
      </c>
      <c r="W69" s="100">
        <f>IFERROR(VLOOKUP(M69,'Horario Pabellones'!$A$4:$D$17,4,FALSE),"")</f>
        <v/>
      </c>
      <c r="X69" s="90">
        <f>IFERROR(IF(OR(A69="",M69="",W69=""),"",(((_xludf.AGGREGATE(14,6,MOD($S$4:$S$500,1)/(($A$4:$A$500=A69)*($M$4:$M$500=M69)*($R$4:$R$500&lt;&gt;"")*($S$4:$S$500&lt;&gt;"")),1)-_xludf.AGGREGATE(15,6,MOD($R$4:$R$500,1)/(($A$4:$A$500=A69)*($M$4:$M$500=M69)*($R$4:$R$500&lt;&gt;"")*($S$4:$S$500&lt;&gt;"")),1))*1440)/60)/(W69/60)),"")</f>
        <v/>
      </c>
      <c r="Y69" s="35">
        <f>IFERROR(IF(OR(O69="",A69="",M69=""),"",(IF(ISNUMBER(O69),MOD(O69,1),TIMEVALUE(O69))-LOOKUP(2,1/(($A$4:$A$500=A69)*($M$4:$M$500=M69)*($T$4:$T$500&lt;&gt;"")*($T$4:$T$500&lt;IF(ISNUMBER(O69),MOD(O69,1),TIMEVALUE(O69)))),$T$4:$T$500))*1440),"")</f>
        <v/>
      </c>
      <c r="Z69" s="27">
        <f>IFERROR(IF(Y69="","",IF(ROUND(Y69,0)&lt;=15,"Cumple","No cumple")),"")</f>
        <v/>
      </c>
      <c r="AA69" s="27" t="n"/>
      <c r="AB69" s="26">
        <f>IFERROR(IF(OR(O69="",R69=""),"",IF(IF(ISNUMBER(R69),MOD(R69,1),TIMEVALUE(R69))&gt;=IF(ISNUMBER(O69),MOD(O69,1),TIMEVALUE(O69)),(IF(ISNUMBER(R69),MOD(R69,1),TIMEVALUE(R69))-IF(ISNUMBER(O69),MOD(O69,1),TIMEVALUE(O69)))*1440,(IF(ISNUMBER(R69),MOD(R69,1),TIMEVALUE(R69))+1-IF(ISNUMBER(O69),MOD(O69,1),TIMEVALUE(O69)))*1440)),"")</f>
        <v/>
      </c>
      <c r="AC69" s="28">
        <f>IFERROR(IF(OR(R69="",S69=""),"",IF(IF(ISNUMBER(S69),MOD(S69,1),TIMEVALUE(S69))&gt;=IF(ISNUMBER(R69),MOD(R69,1),TIMEVALUE(R69)),(IF(ISNUMBER(S69),MOD(S69,1),TIMEVALUE(S69))-IF(ISNUMBER(R69),MOD(R69,1),TIMEVALUE(R69)))*1440,(IF(ISNUMBER(S69),MOD(S69,1),TIMEVALUE(S69))+1-IF(ISNUMBER(R69),MOD(R69,1),TIMEVALUE(R69)))*1440)),"")</f>
        <v/>
      </c>
      <c r="AD69" s="100" t="n">
        <v>30</v>
      </c>
      <c r="AE69" s="26">
        <f>IFERROR(IF(OR(AC69="",AD69=""),"",AC69-AD69),"")</f>
        <v/>
      </c>
      <c r="AF69" s="27">
        <f>IFERROR(IF(AE69="","",IF(ROUND(AE69,0)&gt;15,"Subestimacion",IF(ROUND(AE69,0)&lt;-15,"Sobrestimacion","Asertivo"))),"")</f>
        <v/>
      </c>
      <c r="AG69" s="33" t="inlineStr">
        <is>
          <t>Sin Suspensión</t>
        </is>
      </c>
      <c r="AH69" s="33" t="n"/>
      <c r="AI69" s="33" t="n"/>
      <c r="AJ69" s="19" t="n"/>
      <c r="AK69" s="19" t="n"/>
      <c r="AL69" s="19" t="n"/>
      <c r="AM69" s="33" t="inlineStr">
        <is>
          <t>I0001188716</t>
        </is>
      </c>
      <c r="AN69" s="19" t="n"/>
      <c r="AO69" s="19" t="n"/>
      <c r="AP69" s="127">
        <f>IF(A69="","",A69-WEEKDAY(A69,2)+1)</f>
        <v/>
      </c>
      <c r="AQ69" s="127">
        <f>IF(AO69="","",AO69+6)</f>
        <v/>
      </c>
      <c r="AR69" s="19">
        <f>IF(AO69="","","Semana "&amp;TEXT(AO69,"dd-mm-yyyy")&amp;" al "&amp;TEXT(AP69,"dd-mm-yyyy"))</f>
        <v/>
      </c>
      <c r="AS69" s="19">
        <f>IF(A69="","",TEXT(A69,"mmmm yyyy"))</f>
        <v/>
      </c>
      <c r="AT69" s="19">
        <f>IF(A69="","",TEXT(A69,"dddd"))</f>
        <v/>
      </c>
      <c r="AU69" s="19">
        <f>IF(A69="","","CRR-"&amp;TEXT(A69,"yyyymmdd")&amp;"-"&amp;M69&amp;"-"&amp;TEXT(ROW()-3,"0000"))</f>
        <v/>
      </c>
      <c r="AV69" s="19">
        <f>IF(A69="","",IF(OR(B69="",C69="",E69="",F69="",M69="",N69=""),"Revisar campos obligatorios",IF(AND(P69="Atraso primera hora",Q69=""),"Falta justificación atraso primera hora",IF(AND(Z69="No cumple",AA69=""),"Falta justificación recambio &gt;15 min",IF(AND(ISNUMBER(SEARCH("suspend",N69)),OR(AG69="",AH69="")),"Falta causa/motivo suspensión","OK")))))</f>
        <v/>
      </c>
      <c r="AW69" s="19">
        <f>IF(N69="","",IF(ISNUMBER(SEARCH("suspend",N69)),IF(AND(AG69="",AH69=""),"Sin causa/motivo registrado",IF(AG69="",AH69,IF(AH69="",AG69,AG69&amp;": "&amp;AH69))),""))</f>
        <v/>
      </c>
    </row>
    <row r="70" ht="16" customHeight="1" s="151">
      <c r="A70" s="32" t="n">
        <v>46171</v>
      </c>
      <c r="B70" s="33" t="inlineStr">
        <is>
          <t>CECILIA DE LAS MERCEDES</t>
        </is>
      </c>
      <c r="C70" s="33" t="inlineStr">
        <is>
          <t>PÉREZ</t>
        </is>
      </c>
      <c r="D70" s="33" t="inlineStr">
        <is>
          <t>60a 8m 6d</t>
        </is>
      </c>
      <c r="E70" s="33" t="inlineStr">
        <is>
          <t>OSTEOSINTESIS, FRACT. CERRADA CUBITO Y/O RADIO (CUALQ. TECN.)</t>
        </is>
      </c>
      <c r="F70" s="33" t="inlineStr">
        <is>
          <t>SERVICIO DE TRAUMATOLOGIA</t>
        </is>
      </c>
      <c r="G70" s="19" t="n"/>
      <c r="H70" s="33" t="inlineStr">
        <is>
          <t>2104073-6</t>
        </is>
      </c>
      <c r="I70" s="19" t="n"/>
      <c r="J70" s="20">
        <f>IF(H70&lt;&gt;"",IFERROR(VLOOKUP(IFERROR(LEFT(H70,FIND("-",H70)-1),H70),'Catalogo MINSAL'!A:E,5,FALSE),""),IF(I70&lt;&gt;"",IFERROR(VLOOKUP(IFERROR(LEFT(I70,FIND("-",I70)-1),I70),'Catalogo MINSAL'!A:E,5,FALSE),""),""))</f>
        <v/>
      </c>
      <c r="K70" s="33" t="inlineStr">
        <is>
          <t>Juan Carlos Gonzalez Segovia</t>
        </is>
      </c>
      <c r="L70" s="33" t="inlineStr">
        <is>
          <t>Dra. Lisette Irausquin Gudiño</t>
        </is>
      </c>
      <c r="M70" s="33" t="inlineStr">
        <is>
          <t>Quirofano 13</t>
        </is>
      </c>
      <c r="N70" s="33" t="inlineStr">
        <is>
          <t>Atendido</t>
        </is>
      </c>
      <c r="O70" s="34" t="n">
        <v>0.3555555555555556</v>
      </c>
      <c r="P70" s="27">
        <f>IFERROR(IF(OR(O70="",A70="",M70=""),"",IF(SUMPRODUCT(($A$4:$A$500=A70)*($M$4:$M$500=M70)*($O$4:$O$500&lt;&gt;"")*(MOD($O$4:$O$500,1)&lt;MOD(O70,1)))=0,IF(MOD(O70,1)&lt;=TIME(8,15,0),"Ingreso adecuado primera hora","Atraso primera hora"),"No aplica")),"")</f>
        <v/>
      </c>
      <c r="Q70" s="27" t="n"/>
      <c r="R70" s="34" t="n">
        <v>0.375</v>
      </c>
      <c r="S70" s="34" t="n">
        <v>0.4270833333333333</v>
      </c>
      <c r="T70" s="34" t="n">
        <v>0.4416666666666667</v>
      </c>
      <c r="U70" s="34">
        <f>IFERROR(VLOOKUP(M70,'Horario Pabellones'!$A$4:$D$17,2,FALSE),"")</f>
        <v/>
      </c>
      <c r="V70" s="34">
        <f>IFERROR(VLOOKUP(M70,'Horario Pabellones'!$A$4:$D$17,3,FALSE),"")</f>
        <v/>
      </c>
      <c r="W70" s="100">
        <f>IFERROR(VLOOKUP(M70,'Horario Pabellones'!$A$4:$D$17,4,FALSE),"")</f>
        <v/>
      </c>
      <c r="X70" s="90">
        <f>IFERROR(IF(OR(A70="",M70="",W70=""),"",(((_xludf.AGGREGATE(14,6,MOD($S$4:$S$500,1)/(($A$4:$A$500=A70)*($M$4:$M$500=M70)*($R$4:$R$500&lt;&gt;"")*($S$4:$S$500&lt;&gt;"")),1)-_xludf.AGGREGATE(15,6,MOD($R$4:$R$500,1)/(($A$4:$A$500=A70)*($M$4:$M$500=M70)*($R$4:$R$500&lt;&gt;"")*($S$4:$S$500&lt;&gt;"")),1))*1440)/60)/(W70/60)),"")</f>
        <v/>
      </c>
      <c r="Y70" s="35">
        <f>IFERROR(IF(OR(O70="",A70="",M70=""),"",(IF(ISNUMBER(O70),MOD(O70,1),TIMEVALUE(O70))-LOOKUP(2,1/(($A$4:$A$500=A70)*($M$4:$M$500=M70)*($T$4:$T$500&lt;&gt;"")*($T$4:$T$500&lt;IF(ISNUMBER(O70),MOD(O70,1),TIMEVALUE(O70)))),$T$4:$T$500))*1440),"")</f>
        <v/>
      </c>
      <c r="Z70" s="27">
        <f>IFERROR(IF(Y70="","",IF(ROUND(Y70,0)&lt;=15,"Cumple","No cumple")),"")</f>
        <v/>
      </c>
      <c r="AA70" s="27" t="n"/>
      <c r="AB70" s="26">
        <f>IFERROR(IF(OR(O70="",R70=""),"",IF(IF(ISNUMBER(R70),MOD(R70,1),TIMEVALUE(R70))&gt;=IF(ISNUMBER(O70),MOD(O70,1),TIMEVALUE(O70)),(IF(ISNUMBER(R70),MOD(R70,1),TIMEVALUE(R70))-IF(ISNUMBER(O70),MOD(O70,1),TIMEVALUE(O70)))*1440,(IF(ISNUMBER(R70),MOD(R70,1),TIMEVALUE(R70))+1-IF(ISNUMBER(O70),MOD(O70,1),TIMEVALUE(O70)))*1440)),"")</f>
        <v/>
      </c>
      <c r="AC70" s="28">
        <f>IFERROR(IF(OR(R70="",S70=""),"",IF(IF(ISNUMBER(S70),MOD(S70,1),TIMEVALUE(S70))&gt;=IF(ISNUMBER(R70),MOD(R70,1),TIMEVALUE(R70)),(IF(ISNUMBER(S70),MOD(S70,1),TIMEVALUE(S70))-IF(ISNUMBER(R70),MOD(R70,1),TIMEVALUE(R70)))*1440,(IF(ISNUMBER(S70),MOD(S70,1),TIMEVALUE(S70))+1-IF(ISNUMBER(R70),MOD(R70,1),TIMEVALUE(R70)))*1440)),"")</f>
        <v/>
      </c>
      <c r="AD70" s="100" t="n">
        <v>30</v>
      </c>
      <c r="AE70" s="26">
        <f>IFERROR(IF(OR(AC70="",AD70=""),"",AC70-AD70),"")</f>
        <v/>
      </c>
      <c r="AF70" s="27">
        <f>IFERROR(IF(AE70="","",IF(ROUND(AE70,0)&gt;15,"Subestimacion",IF(ROUND(AE70,0)&lt;-15,"Sobrestimacion","Asertivo"))),"")</f>
        <v/>
      </c>
      <c r="AG70" s="33" t="inlineStr">
        <is>
          <t>Sin Suspensión</t>
        </is>
      </c>
      <c r="AH70" s="33" t="n"/>
      <c r="AI70" s="33" t="n"/>
      <c r="AJ70" s="19" t="n"/>
      <c r="AK70" s="19" t="n"/>
      <c r="AL70" s="19" t="n"/>
      <c r="AM70" s="33" t="inlineStr">
        <is>
          <t>I0001188719</t>
        </is>
      </c>
      <c r="AN70" s="19" t="n"/>
      <c r="AO70" s="19" t="n"/>
      <c r="AP70" s="127">
        <f>IF(A70="","",A70-WEEKDAY(A70,2)+1)</f>
        <v/>
      </c>
      <c r="AQ70" s="127">
        <f>IF(AO70="","",AO70+6)</f>
        <v/>
      </c>
      <c r="AR70" s="19">
        <f>IF(AO70="","","Semana "&amp;TEXT(AO70,"dd-mm-yyyy")&amp;" al "&amp;TEXT(AP70,"dd-mm-yyyy"))</f>
        <v/>
      </c>
      <c r="AS70" s="19">
        <f>IF(A70="","",TEXT(A70,"mmmm yyyy"))</f>
        <v/>
      </c>
      <c r="AT70" s="19">
        <f>IF(A70="","",TEXT(A70,"dddd"))</f>
        <v/>
      </c>
      <c r="AU70" s="19">
        <f>IF(A70="","","CRR-"&amp;TEXT(A70,"yyyymmdd")&amp;"-"&amp;M70&amp;"-"&amp;TEXT(ROW()-3,"0000"))</f>
        <v/>
      </c>
      <c r="AV70" s="19">
        <f>IF(A70="","",IF(OR(B70="",C70="",E70="",F70="",M70="",N70=""),"Revisar campos obligatorios",IF(AND(P70="Atraso primera hora",Q70=""),"Falta justificación atraso primera hora",IF(AND(Z70="No cumple",AA70=""),"Falta justificación recambio &gt;15 min",IF(AND(ISNUMBER(SEARCH("suspend",N70)),OR(AG70="",AH70="")),"Falta causa/motivo suspensión","OK")))))</f>
        <v/>
      </c>
      <c r="AW70" s="19">
        <f>IF(N70="","",IF(ISNUMBER(SEARCH("suspend",N70)),IF(AND(AG70="",AH70=""),"Sin causa/motivo registrado",IF(AG70="",AH70,IF(AH70="",AG70,AG70&amp;": "&amp;AH70))),""))</f>
        <v/>
      </c>
    </row>
    <row r="71" ht="16" customHeight="1" s="151">
      <c r="A71" s="32" t="n">
        <v>46171</v>
      </c>
      <c r="B71" s="33" t="inlineStr">
        <is>
          <t>MARÍA ELENA</t>
        </is>
      </c>
      <c r="C71" s="33" t="inlineStr">
        <is>
          <t>SALINAS</t>
        </is>
      </c>
      <c r="D71" s="33" t="inlineStr">
        <is>
          <t>82a 11m 9d</t>
        </is>
      </c>
      <c r="E71" s="33" t="inlineStr">
        <is>
          <t>OSTEOSINTESIS, FRACT. CERRADA CUBITO Y/O RADIO (CUALQ. TECN.)</t>
        </is>
      </c>
      <c r="F71" s="33" t="inlineStr">
        <is>
          <t>SERVICIO DE TRAUMATOLOGIA</t>
        </is>
      </c>
      <c r="G71" s="19" t="n"/>
      <c r="H71" s="33" t="inlineStr">
        <is>
          <t>2104073-6</t>
        </is>
      </c>
      <c r="I71" s="19" t="n"/>
      <c r="J71" s="20">
        <f>IF(H71&lt;&gt;"",IFERROR(VLOOKUP(IFERROR(LEFT(H71,FIND("-",H71)-1),H71),'Catalogo MINSAL'!A:E,5,FALSE),""),IF(I71&lt;&gt;"",IFERROR(VLOOKUP(IFERROR(LEFT(I71,FIND("-",I71)-1),I71),'Catalogo MINSAL'!A:E,5,FALSE),""),""))</f>
        <v/>
      </c>
      <c r="K71" s="33" t="inlineStr">
        <is>
          <t>Juan Carlos Gonzalez Segovia</t>
        </is>
      </c>
      <c r="L71" s="33" t="inlineStr">
        <is>
          <t>Paula Ramírez Vargas</t>
        </is>
      </c>
      <c r="M71" s="33" t="inlineStr">
        <is>
          <t>Quirofano 13</t>
        </is>
      </c>
      <c r="N71" s="33" t="inlineStr">
        <is>
          <t>Atendido</t>
        </is>
      </c>
      <c r="O71" s="34" t="n">
        <v>0.45625</v>
      </c>
      <c r="P71" s="27">
        <f>IFERROR(IF(OR(O71="",A71="",M71=""),"",IF(SUMPRODUCT(($A$4:$A$500=A71)*($M$4:$M$500=M71)*($O$4:$O$500&lt;&gt;"")*(MOD($O$4:$O$500,1)&lt;MOD(O71,1)))=0,IF(MOD(O71,1)&lt;=TIME(8,15,0),"Ingreso adecuado primera hora","Atraso primera hora"),"No aplica")),"")</f>
        <v/>
      </c>
      <c r="Q71" s="27" t="n"/>
      <c r="R71" s="34" t="n">
        <v>0.4770833333333334</v>
      </c>
      <c r="S71" s="34" t="n">
        <v>0.5833333333333334</v>
      </c>
      <c r="T71" s="34" t="n">
        <v>0.6027777777777777</v>
      </c>
      <c r="U71" s="34">
        <f>IFERROR(VLOOKUP(M71,'Horario Pabellones'!$A$4:$D$17,2,FALSE),"")</f>
        <v/>
      </c>
      <c r="V71" s="34">
        <f>IFERROR(VLOOKUP(M71,'Horario Pabellones'!$A$4:$D$17,3,FALSE),"")</f>
        <v/>
      </c>
      <c r="W71" s="100">
        <f>IFERROR(VLOOKUP(M71,'Horario Pabellones'!$A$4:$D$17,4,FALSE),"")</f>
        <v/>
      </c>
      <c r="X71" s="90">
        <f>IFERROR(IF(OR(A71="",M71="",W71=""),"",(((_xludf.AGGREGATE(14,6,MOD($S$4:$S$500,1)/(($A$4:$A$500=A71)*($M$4:$M$500=M71)*($R$4:$R$500&lt;&gt;"")*($S$4:$S$500&lt;&gt;"")),1)-_xludf.AGGREGATE(15,6,MOD($R$4:$R$500,1)/(($A$4:$A$500=A71)*($M$4:$M$500=M71)*($R$4:$R$500&lt;&gt;"")*($S$4:$S$500&lt;&gt;"")),1))*1440)/60)/(W71/60)),"")</f>
        <v/>
      </c>
      <c r="Y71" s="35">
        <f>IFERROR(IF(OR(O71="",A71="",M71=""),"",(IF(ISNUMBER(O71),MOD(O71,1),TIMEVALUE(O71))-LOOKUP(2,1/(($A$4:$A$500=A71)*($M$4:$M$500=M71)*($T$4:$T$500&lt;&gt;"")*($T$4:$T$500&lt;IF(ISNUMBER(O71),MOD(O71,1),TIMEVALUE(O71)))),$T$4:$T$500))*1440),"")</f>
        <v/>
      </c>
      <c r="Z71" s="27">
        <f>IFERROR(IF(Y71="","",IF(ROUND(Y71,0)&lt;=15,"Cumple","No cumple")),"")</f>
        <v/>
      </c>
      <c r="AA71" s="27" t="n"/>
      <c r="AB71" s="26">
        <f>IFERROR(IF(OR(O71="",R71=""),"",IF(IF(ISNUMBER(R71),MOD(R71,1),TIMEVALUE(R71))&gt;=IF(ISNUMBER(O71),MOD(O71,1),TIMEVALUE(O71)),(IF(ISNUMBER(R71),MOD(R71,1),TIMEVALUE(R71))-IF(ISNUMBER(O71),MOD(O71,1),TIMEVALUE(O71)))*1440,(IF(ISNUMBER(R71),MOD(R71,1),TIMEVALUE(R71))+1-IF(ISNUMBER(O71),MOD(O71,1),TIMEVALUE(O71)))*1440)),"")</f>
        <v/>
      </c>
      <c r="AC71" s="28">
        <f>IFERROR(IF(OR(R71="",S71=""),"",IF(IF(ISNUMBER(S71),MOD(S71,1),TIMEVALUE(S71))&gt;=IF(ISNUMBER(R71),MOD(R71,1),TIMEVALUE(R71)),(IF(ISNUMBER(S71),MOD(S71,1),TIMEVALUE(S71))-IF(ISNUMBER(R71),MOD(R71,1),TIMEVALUE(R71)))*1440,(IF(ISNUMBER(S71),MOD(S71,1),TIMEVALUE(S71))+1-IF(ISNUMBER(R71),MOD(R71,1),TIMEVALUE(R71)))*1440)),"")</f>
        <v/>
      </c>
      <c r="AD71" s="100" t="n">
        <v>30</v>
      </c>
      <c r="AE71" s="26">
        <f>IFERROR(IF(OR(AC71="",AD71=""),"",AC71-AD71),"")</f>
        <v/>
      </c>
      <c r="AF71" s="27">
        <f>IFERROR(IF(AE71="","",IF(ROUND(AE71,0)&gt;15,"Subestimacion",IF(ROUND(AE71,0)&lt;-15,"Sobrestimacion","Asertivo"))),"")</f>
        <v/>
      </c>
      <c r="AG71" s="33" t="inlineStr">
        <is>
          <t>Sin Suspensión</t>
        </is>
      </c>
      <c r="AH71" s="33" t="n"/>
      <c r="AI71" s="33" t="n"/>
      <c r="AJ71" s="19" t="n"/>
      <c r="AK71" s="19" t="n"/>
      <c r="AL71" s="19" t="n"/>
      <c r="AM71" s="33" t="inlineStr">
        <is>
          <t>I0001188722</t>
        </is>
      </c>
      <c r="AN71" s="19" t="n"/>
      <c r="AO71" s="19" t="n"/>
      <c r="AP71" s="127">
        <f>IF(A71="","",A71-WEEKDAY(A71,2)+1)</f>
        <v/>
      </c>
      <c r="AQ71" s="127">
        <f>IF(AO71="","",AO71+6)</f>
        <v/>
      </c>
      <c r="AR71" s="19">
        <f>IF(AO71="","","Semana "&amp;TEXT(AO71,"dd-mm-yyyy")&amp;" al "&amp;TEXT(AP71,"dd-mm-yyyy"))</f>
        <v/>
      </c>
      <c r="AS71" s="19">
        <f>IF(A71="","",TEXT(A71,"mmmm yyyy"))</f>
        <v/>
      </c>
      <c r="AT71" s="19">
        <f>IF(A71="","",TEXT(A71,"dddd"))</f>
        <v/>
      </c>
      <c r="AU71" s="19">
        <f>IF(A71="","","CRR-"&amp;TEXT(A71,"yyyymmdd")&amp;"-"&amp;M71&amp;"-"&amp;TEXT(ROW()-3,"0000"))</f>
        <v/>
      </c>
      <c r="AV71" s="19">
        <f>IF(A71="","",IF(OR(B71="",C71="",E71="",F71="",M71="",N71=""),"Revisar campos obligatorios",IF(AND(P71="Atraso primera hora",Q71=""),"Falta justificación atraso primera hora",IF(AND(Z71="No cumple",AA71=""),"Falta justificación recambio &gt;15 min",IF(AND(ISNUMBER(SEARCH("suspend",N71)),OR(AG71="",AH71="")),"Falta causa/motivo suspensión","OK")))))</f>
        <v/>
      </c>
      <c r="AW71" s="19">
        <f>IF(N71="","",IF(ISNUMBER(SEARCH("suspend",N71)),IF(AND(AG71="",AH71=""),"Sin causa/motivo registrado",IF(AG71="",AH71,IF(AH71="",AG71,AG71&amp;": "&amp;AH71))),""))</f>
        <v/>
      </c>
    </row>
    <row r="72" ht="16" customHeight="1" s="151">
      <c r="A72" s="32" t="n">
        <v>46171</v>
      </c>
      <c r="B72" s="33" t="inlineStr">
        <is>
          <t>SAMANTHA BELEN</t>
        </is>
      </c>
      <c r="C72" s="33" t="inlineStr">
        <is>
          <t>VELÁSQUEZ</t>
        </is>
      </c>
      <c r="D72" s="33" t="inlineStr">
        <is>
          <t>20a 6m 12d</t>
        </is>
      </c>
      <c r="E72" s="33" t="inlineStr">
        <is>
          <t>REDUCCION SIMPLE (PROC. AUT.)</t>
        </is>
      </c>
      <c r="F72" s="33" t="inlineStr">
        <is>
          <t>SERVICIO DE TRAUMATOLOGIA</t>
        </is>
      </c>
      <c r="G72" s="19" t="n"/>
      <c r="H72" s="33" t="inlineStr">
        <is>
          <t>1402060-3</t>
        </is>
      </c>
      <c r="I72" s="19" t="n"/>
      <c r="J72" s="20">
        <f>IF(H72&lt;&gt;"",IFERROR(VLOOKUP(IFERROR(LEFT(H72,FIND("-",H72)-1),H72),'Catalogo MINSAL'!A:E,5,FALSE),""),IF(I72&lt;&gt;"",IFERROR(VLOOKUP(IFERROR(LEFT(I72,FIND("-",I72)-1),I72),'Catalogo MINSAL'!A:E,5,FALSE),""),""))</f>
        <v/>
      </c>
      <c r="K72" s="33" t="inlineStr">
        <is>
          <t>Juan Carlos Gonzalez Segovia</t>
        </is>
      </c>
      <c r="L72" s="33" t="inlineStr">
        <is>
          <t>Dra. Lisette Irausquin Gudiño</t>
        </is>
      </c>
      <c r="M72" s="33" t="inlineStr">
        <is>
          <t>Quirofano 13</t>
        </is>
      </c>
      <c r="N72" s="33" t="inlineStr">
        <is>
          <t>Atendido</t>
        </is>
      </c>
      <c r="O72" s="34" t="n">
        <v>0.6493055555555556</v>
      </c>
      <c r="P72" s="27">
        <f>IFERROR(IF(OR(O72="",A72="",M72=""),"",IF(SUMPRODUCT(($A$4:$A$500=A72)*($M$4:$M$500=M72)*($O$4:$O$500&lt;&gt;"")*(MOD($O$4:$O$500,1)&lt;MOD(O72,1)))=0,IF(MOD(O72,1)&lt;=TIME(8,15,0),"Ingreso adecuado primera hora","Atraso primera hora"),"No aplica")),"")</f>
        <v/>
      </c>
      <c r="Q72" s="27" t="n"/>
      <c r="R72" s="34" t="n">
        <v>0.6666666666666666</v>
      </c>
      <c r="S72" s="34" t="n">
        <v>0.6979166666666666</v>
      </c>
      <c r="T72" s="34" t="n">
        <v>0.7</v>
      </c>
      <c r="U72" s="34">
        <f>IFERROR(VLOOKUP(M72,'Horario Pabellones'!$A$4:$D$17,2,FALSE),"")</f>
        <v/>
      </c>
      <c r="V72" s="34">
        <f>IFERROR(VLOOKUP(M72,'Horario Pabellones'!$A$4:$D$17,3,FALSE),"")</f>
        <v/>
      </c>
      <c r="W72" s="100">
        <f>IFERROR(VLOOKUP(M72,'Horario Pabellones'!$A$4:$D$17,4,FALSE),"")</f>
        <v/>
      </c>
      <c r="X72" s="90">
        <f>IFERROR(IF(OR(A72="",M72="",W72=""),"",(((_xludf.AGGREGATE(14,6,MOD($S$4:$S$500,1)/(($A$4:$A$500=A72)*($M$4:$M$500=M72)*($R$4:$R$500&lt;&gt;"")*($S$4:$S$500&lt;&gt;"")),1)-_xludf.AGGREGATE(15,6,MOD($R$4:$R$500,1)/(($A$4:$A$500=A72)*($M$4:$M$500=M72)*($R$4:$R$500&lt;&gt;"")*($S$4:$S$500&lt;&gt;"")),1))*1440)/60)/(W72/60)),"")</f>
        <v/>
      </c>
      <c r="Y72" s="35">
        <f>IFERROR(IF(OR(O72="",A72="",M72=""),"",(IF(ISNUMBER(O72),MOD(O72,1),TIMEVALUE(O72))-LOOKUP(2,1/(($A$4:$A$500=A72)*($M$4:$M$500=M72)*($T$4:$T$500&lt;&gt;"")*($T$4:$T$500&lt;IF(ISNUMBER(O72),MOD(O72,1),TIMEVALUE(O72)))),$T$4:$T$500))*1440),"")</f>
        <v/>
      </c>
      <c r="Z72" s="27">
        <f>IFERROR(IF(Y72="","",IF(ROUND(Y72,0)&lt;=15,"Cumple","No cumple")),"")</f>
        <v/>
      </c>
      <c r="AA72" s="27" t="n"/>
      <c r="AB72" s="26">
        <f>IFERROR(IF(OR(O72="",R72=""),"",IF(IF(ISNUMBER(R72),MOD(R72,1),TIMEVALUE(R72))&gt;=IF(ISNUMBER(O72),MOD(O72,1),TIMEVALUE(O72)),(IF(ISNUMBER(R72),MOD(R72,1),TIMEVALUE(R72))-IF(ISNUMBER(O72),MOD(O72,1),TIMEVALUE(O72)))*1440,(IF(ISNUMBER(R72),MOD(R72,1),TIMEVALUE(R72))+1-IF(ISNUMBER(O72),MOD(O72,1),TIMEVALUE(O72)))*1440)),"")</f>
        <v/>
      </c>
      <c r="AC72" s="28">
        <f>IFERROR(IF(OR(R72="",S72=""),"",IF(IF(ISNUMBER(S72),MOD(S72,1),TIMEVALUE(S72))&gt;=IF(ISNUMBER(R72),MOD(R72,1),TIMEVALUE(R72)),(IF(ISNUMBER(S72),MOD(S72,1),TIMEVALUE(S72))-IF(ISNUMBER(R72),MOD(R72,1),TIMEVALUE(R72)))*1440,(IF(ISNUMBER(S72),MOD(S72,1),TIMEVALUE(S72))+1-IF(ISNUMBER(R72),MOD(R72,1),TIMEVALUE(R72)))*1440)),"")</f>
        <v/>
      </c>
      <c r="AD72" s="100" t="n">
        <v>30</v>
      </c>
      <c r="AE72" s="26">
        <f>IFERROR(IF(OR(AC72="",AD72=""),"",AC72-AD72),"")</f>
        <v/>
      </c>
      <c r="AF72" s="27">
        <f>IFERROR(IF(AE72="","",IF(ROUND(AE72,0)&gt;15,"Subestimacion",IF(ROUND(AE72,0)&lt;-15,"Sobrestimacion","Asertivo"))),"")</f>
        <v/>
      </c>
      <c r="AG72" s="33" t="inlineStr">
        <is>
          <t>Sin Suspensión</t>
        </is>
      </c>
      <c r="AH72" s="33" t="n"/>
      <c r="AI72" s="33" t="n"/>
      <c r="AJ72" s="19" t="n"/>
      <c r="AK72" s="19" t="n"/>
      <c r="AL72" s="19" t="n"/>
      <c r="AM72" s="33" t="inlineStr">
        <is>
          <t>I0001188729</t>
        </is>
      </c>
      <c r="AN72" s="19" t="n"/>
      <c r="AO72" s="19" t="n"/>
      <c r="AP72" s="127">
        <f>IF(A72="","",A72-WEEKDAY(A72,2)+1)</f>
        <v/>
      </c>
      <c r="AQ72" s="127">
        <f>IF(AO72="","",AO72+6)</f>
        <v/>
      </c>
      <c r="AR72" s="19">
        <f>IF(AO72="","","Semana "&amp;TEXT(AO72,"dd-mm-yyyy")&amp;" al "&amp;TEXT(AP72,"dd-mm-yyyy"))</f>
        <v/>
      </c>
      <c r="AS72" s="19">
        <f>IF(A72="","",TEXT(A72,"mmmm yyyy"))</f>
        <v/>
      </c>
      <c r="AT72" s="19">
        <f>IF(A72="","",TEXT(A72,"dddd"))</f>
        <v/>
      </c>
      <c r="AU72" s="19">
        <f>IF(A72="","","CRR-"&amp;TEXT(A72,"yyyymmdd")&amp;"-"&amp;M72&amp;"-"&amp;TEXT(ROW()-3,"0000"))</f>
        <v/>
      </c>
      <c r="AV72" s="19">
        <f>IF(A72="","",IF(OR(B72="",C72="",E72="",F72="",M72="",N72=""),"Revisar campos obligatorios",IF(AND(P72="Atraso primera hora",Q72=""),"Falta justificación atraso primera hora",IF(AND(Z72="No cumple",AA72=""),"Falta justificación recambio &gt;15 min",IF(AND(ISNUMBER(SEARCH("suspend",N72)),OR(AG72="",AH72="")),"Falta causa/motivo suspensión","OK")))))</f>
        <v/>
      </c>
      <c r="AW72" s="19">
        <f>IF(N72="","",IF(ISNUMBER(SEARCH("suspend",N72)),IF(AND(AG72="",AH72=""),"Sin causa/motivo registrado",IF(AG72="",AH72,IF(AH72="",AG72,AG72&amp;": "&amp;AH72))),""))</f>
        <v/>
      </c>
    </row>
    <row r="73" ht="16" customHeight="1" s="151">
      <c r="A73" s="32" t="n">
        <v>46171</v>
      </c>
      <c r="B73" s="33" t="inlineStr">
        <is>
          <t>GUSTAVO PATRICIO</t>
        </is>
      </c>
      <c r="C73" s="33" t="inlineStr">
        <is>
          <t>PÉREZ</t>
        </is>
      </c>
      <c r="D73" s="33" t="inlineStr">
        <is>
          <t>37a 4m 5d</t>
        </is>
      </c>
      <c r="E73" s="33" t="inlineStr">
        <is>
          <t>CUERPO EXTRAÑO CUTANEO, Y/O NEVUS, Y/O ANGIOMA CUTANEO O MUCOSO Y/O TUMOR BENIGNO, EXTIRP. DE 6 O MAS ELEMENTOS</t>
        </is>
      </c>
      <c r="F73" s="33" t="inlineStr">
        <is>
          <t>SERVICIO DE TRAUMATOLOGIA</t>
        </is>
      </c>
      <c r="G73" s="19" t="n"/>
      <c r="H73" s="33" t="inlineStr">
        <is>
          <t>1602003-3</t>
        </is>
      </c>
      <c r="I73" s="19" t="n"/>
      <c r="J73" s="20">
        <f>IF(H73&lt;&gt;"",IFERROR(VLOOKUP(IFERROR(LEFT(H73,FIND("-",H73)-1),H73),'Catalogo MINSAL'!A:E,5,FALSE),""),IF(I73&lt;&gt;"",IFERROR(VLOOKUP(IFERROR(LEFT(I73,FIND("-",I73)-1),I73),'Catalogo MINSAL'!A:E,5,FALSE),""),""))</f>
        <v/>
      </c>
      <c r="K73" s="33" t="inlineStr">
        <is>
          <t>Juan Carlos Gonzalez Segovia</t>
        </is>
      </c>
      <c r="L73" s="33" t="inlineStr">
        <is>
          <t>Dra. Lisette Irausquin Gudiño</t>
        </is>
      </c>
      <c r="M73" s="33" t="inlineStr">
        <is>
          <t>Quirofano 13</t>
        </is>
      </c>
      <c r="N73" s="33" t="inlineStr">
        <is>
          <t>Atendido</t>
        </is>
      </c>
      <c r="O73" s="34" t="n">
        <v>0.7111111111111111</v>
      </c>
      <c r="P73" s="27">
        <f>IFERROR(IF(OR(O73="",A73="",M73=""),"",IF(SUMPRODUCT(($A$4:$A$500=A73)*($M$4:$M$500=M73)*($O$4:$O$500&lt;&gt;"")*(MOD($O$4:$O$500,1)&lt;MOD(O73,1)))=0,IF(MOD(O73,1)&lt;=TIME(8,15,0),"Ingreso adecuado primera hora","Atraso primera hora"),"No aplica")),"")</f>
        <v/>
      </c>
      <c r="Q73" s="27" t="n"/>
      <c r="R73" s="34" t="n">
        <v>0.7361111111111112</v>
      </c>
      <c r="S73" s="34" t="n">
        <v>0.7569444444444444</v>
      </c>
      <c r="T73" s="34" t="n">
        <v>0.7604166666666666</v>
      </c>
      <c r="U73" s="34">
        <f>IFERROR(VLOOKUP(M73,'Horario Pabellones'!$A$4:$D$17,2,FALSE),"")</f>
        <v/>
      </c>
      <c r="V73" s="34">
        <f>IFERROR(VLOOKUP(M73,'Horario Pabellones'!$A$4:$D$17,3,FALSE),"")</f>
        <v/>
      </c>
      <c r="W73" s="100">
        <f>IFERROR(VLOOKUP(M73,'Horario Pabellones'!$A$4:$D$17,4,FALSE),"")</f>
        <v/>
      </c>
      <c r="X73" s="90">
        <f>IFERROR(IF(OR(A73="",M73="",W73=""),"",(((_xludf.AGGREGATE(14,6,MOD($S$4:$S$500,1)/(($A$4:$A$500=A73)*($M$4:$M$500=M73)*($R$4:$R$500&lt;&gt;"")*($S$4:$S$500&lt;&gt;"")),1)-_xludf.AGGREGATE(15,6,MOD($R$4:$R$500,1)/(($A$4:$A$500=A73)*($M$4:$M$500=M73)*($R$4:$R$500&lt;&gt;"")*($S$4:$S$500&lt;&gt;"")),1))*1440)/60)/(W73/60)),"")</f>
        <v/>
      </c>
      <c r="Y73" s="35">
        <f>IFERROR(IF(OR(O73="",A73="",M73=""),"",(IF(ISNUMBER(O73),MOD(O73,1),TIMEVALUE(O73))-LOOKUP(2,1/(($A$4:$A$500=A73)*($M$4:$M$500=M73)*($T$4:$T$500&lt;&gt;"")*($T$4:$T$500&lt;IF(ISNUMBER(O73),MOD(O73,1),TIMEVALUE(O73)))),$T$4:$T$500))*1440),"")</f>
        <v/>
      </c>
      <c r="Z73" s="27">
        <f>IFERROR(IF(Y73="","",IF(ROUND(Y73,0)&lt;=15,"Cumple","No cumple")),"")</f>
        <v/>
      </c>
      <c r="AA73" s="27" t="n"/>
      <c r="AB73" s="26">
        <f>IFERROR(IF(OR(O73="",R73=""),"",IF(IF(ISNUMBER(R73),MOD(R73,1),TIMEVALUE(R73))&gt;=IF(ISNUMBER(O73),MOD(O73,1),TIMEVALUE(O73)),(IF(ISNUMBER(R73),MOD(R73,1),TIMEVALUE(R73))-IF(ISNUMBER(O73),MOD(O73,1),TIMEVALUE(O73)))*1440,(IF(ISNUMBER(R73),MOD(R73,1),TIMEVALUE(R73))+1-IF(ISNUMBER(O73),MOD(O73,1),TIMEVALUE(O73)))*1440)),"")</f>
        <v/>
      </c>
      <c r="AC73" s="28">
        <f>IFERROR(IF(OR(R73="",S73=""),"",IF(IF(ISNUMBER(S73),MOD(S73,1),TIMEVALUE(S73))&gt;=IF(ISNUMBER(R73),MOD(R73,1),TIMEVALUE(R73)),(IF(ISNUMBER(S73),MOD(S73,1),TIMEVALUE(S73))-IF(ISNUMBER(R73),MOD(R73,1),TIMEVALUE(R73)))*1440,(IF(ISNUMBER(S73),MOD(S73,1),TIMEVALUE(S73))+1-IF(ISNUMBER(R73),MOD(R73,1),TIMEVALUE(R73)))*1440)),"")</f>
        <v/>
      </c>
      <c r="AD73" s="100" t="n">
        <v>30</v>
      </c>
      <c r="AE73" s="26">
        <f>IFERROR(IF(OR(AC73="",AD73=""),"",AC73-AD73),"")</f>
        <v/>
      </c>
      <c r="AF73" s="27">
        <f>IFERROR(IF(AE73="","",IF(ROUND(AE73,0)&gt;15,"Subestimacion",IF(ROUND(AE73,0)&lt;-15,"Sobrestimacion","Asertivo"))),"")</f>
        <v/>
      </c>
      <c r="AG73" s="33" t="inlineStr">
        <is>
          <t>Sin Suspensión</t>
        </is>
      </c>
      <c r="AH73" s="33" t="n"/>
      <c r="AI73" s="33" t="n"/>
      <c r="AJ73" s="19" t="n"/>
      <c r="AK73" s="19" t="n"/>
      <c r="AL73" s="19" t="n"/>
      <c r="AM73" s="33" t="inlineStr">
        <is>
          <t>I0001188732</t>
        </is>
      </c>
      <c r="AN73" s="19" t="n"/>
      <c r="AO73" s="19" t="n"/>
      <c r="AP73" s="127">
        <f>IF(A73="","",A73-WEEKDAY(A73,2)+1)</f>
        <v/>
      </c>
      <c r="AQ73" s="127">
        <f>IF(AO73="","",AO73+6)</f>
        <v/>
      </c>
      <c r="AR73" s="19">
        <f>IF(AO73="","","Semana "&amp;TEXT(AO73,"dd-mm-yyyy")&amp;" al "&amp;TEXT(AP73,"dd-mm-yyyy"))</f>
        <v/>
      </c>
      <c r="AS73" s="19">
        <f>IF(A73="","",TEXT(A73,"mmmm yyyy"))</f>
        <v/>
      </c>
      <c r="AT73" s="19">
        <f>IF(A73="","",TEXT(A73,"dddd"))</f>
        <v/>
      </c>
      <c r="AU73" s="19">
        <f>IF(A73="","","CRR-"&amp;TEXT(A73,"yyyymmdd")&amp;"-"&amp;M73&amp;"-"&amp;TEXT(ROW()-3,"0000"))</f>
        <v/>
      </c>
      <c r="AV73" s="19">
        <f>IF(A73="","",IF(OR(B73="",C73="",E73="",F73="",M73="",N73=""),"Revisar campos obligatorios",IF(AND(P73="Atraso primera hora",Q73=""),"Falta justificación atraso primera hora",IF(AND(Z73="No cumple",AA73=""),"Falta justificación recambio &gt;15 min",IF(AND(ISNUMBER(SEARCH("suspend",N73)),OR(AG73="",AH73="")),"Falta causa/motivo suspensión","OK")))))</f>
        <v/>
      </c>
      <c r="AW73" s="19">
        <f>IF(N73="","",IF(ISNUMBER(SEARCH("suspend",N73)),IF(AND(AG73="",AH73=""),"Sin causa/motivo registrado",IF(AG73="",AH73,IF(AH73="",AG73,AG73&amp;": "&amp;AH73))),""))</f>
        <v/>
      </c>
    </row>
    <row r="74" ht="16" customHeight="1" s="151">
      <c r="A74" s="32" t="n">
        <v>46171</v>
      </c>
      <c r="B74" s="33" t="inlineStr">
        <is>
          <t>GONZALO ANTONIO</t>
        </is>
      </c>
      <c r="C74" s="33" t="inlineStr">
        <is>
          <t>CERRO</t>
        </is>
      </c>
      <c r="D74" s="33" t="inlineStr">
        <is>
          <t>41a 5m 28d</t>
        </is>
      </c>
      <c r="E74" s="33" t="inlineStr">
        <is>
          <t>REDUCCION SIMPLE (PROC. AUT.)</t>
        </is>
      </c>
      <c r="F74" s="33" t="inlineStr">
        <is>
          <t>SERVICIO DE TRAUMATOLOGIA</t>
        </is>
      </c>
      <c r="G74" s="19" t="n"/>
      <c r="H74" s="33" t="inlineStr">
        <is>
          <t>1402060-3</t>
        </is>
      </c>
      <c r="I74" s="19" t="n"/>
      <c r="J74" s="20">
        <f>IF(H74&lt;&gt;"",IFERROR(VLOOKUP(IFERROR(LEFT(H74,FIND("-",H74)-1),H74),'Catalogo MINSAL'!A:E,5,FALSE),""),IF(I74&lt;&gt;"",IFERROR(VLOOKUP(IFERROR(LEFT(I74,FIND("-",I74)-1),I74),'Catalogo MINSAL'!A:E,5,FALSE),""),""))</f>
        <v/>
      </c>
      <c r="K74" s="33" t="inlineStr">
        <is>
          <t>Juan Carlos Gonzalez Segovia</t>
        </is>
      </c>
      <c r="L74" s="33" t="inlineStr">
        <is>
          <t>Dra. Lisette Irausquin Gudiño</t>
        </is>
      </c>
      <c r="M74" s="33" t="inlineStr">
        <is>
          <t>Quirofano 13</t>
        </is>
      </c>
      <c r="N74" s="33" t="inlineStr">
        <is>
          <t>Suspendido</t>
        </is>
      </c>
      <c r="O74" s="37" t="n"/>
      <c r="P74" s="27">
        <f>IFERROR(IF(OR(O74="",A74="",M74=""),"",IF(SUMPRODUCT(($A$4:$A$500=A74)*($M$4:$M$500=M74)*($O$4:$O$500&lt;&gt;"")*(MOD($O$4:$O$500,1)&lt;MOD(O74,1)))=0,IF(MOD(O74,1)&lt;=TIME(8,15,0),"Ingreso adecuado primera hora","Atraso primera hora"),"No aplica")),"")</f>
        <v/>
      </c>
      <c r="Q74" s="27" t="n"/>
      <c r="R74" s="37" t="n"/>
      <c r="S74" s="37" t="n"/>
      <c r="T74" s="37" t="n"/>
      <c r="U74" s="34">
        <f>IFERROR(VLOOKUP(M74,'Horario Pabellones'!$A$4:$D$17,2,FALSE),"")</f>
        <v/>
      </c>
      <c r="V74" s="34">
        <f>IFERROR(VLOOKUP(M74,'Horario Pabellones'!$A$4:$D$17,3,FALSE),"")</f>
        <v/>
      </c>
      <c r="W74" s="101">
        <f>IFERROR(VLOOKUP(M74,'Horario Pabellones'!$A$4:$D$17,4,FALSE),"")</f>
        <v/>
      </c>
      <c r="X74" s="91">
        <f>IFERROR(IF(OR(A74="",M74="",W74=""),"",(((_xludf.AGGREGATE(14,6,MOD($S$4:$S$500,1)/(($A$4:$A$500=A74)*($M$4:$M$500=M74)*($R$4:$R$500&lt;&gt;"")*($S$4:$S$500&lt;&gt;"")),1)-_xludf.AGGREGATE(15,6,MOD($R$4:$R$500,1)/(($A$4:$A$500=A74)*($M$4:$M$500=M74)*($R$4:$R$500&lt;&gt;"")*($S$4:$S$500&lt;&gt;"")),1))*1440)/60)/(W74/60)),"")</f>
        <v/>
      </c>
      <c r="Y74" s="41">
        <f>IFERROR(IF(OR(O74="",A74="",M74=""),"",(IF(ISNUMBER(O74),MOD(O74,1),TIMEVALUE(O74))-LOOKUP(2,1/(($A$4:$A$500=A74)*($M$4:$M$500=M74)*($T$4:$T$500&lt;&gt;"")*($T$4:$T$500&lt;IF(ISNUMBER(O74),MOD(O74,1),TIMEVALUE(O74)))),$T$4:$T$500))*1440),"")</f>
        <v/>
      </c>
      <c r="Z74" s="27">
        <f>IFERROR(IF(Y74="","",IF(ROUND(Y74,0)&lt;=15,"Cumple","No cumple")),"")</f>
        <v/>
      </c>
      <c r="AA74" s="27" t="n"/>
      <c r="AB74" s="26">
        <f>IFERROR(IF(OR(O74="",R74=""),"",IF(IF(ISNUMBER(R74),MOD(R74,1),TIMEVALUE(R74))&gt;=IF(ISNUMBER(O74),MOD(O74,1),TIMEVALUE(O74)),(IF(ISNUMBER(R74),MOD(R74,1),TIMEVALUE(R74))-IF(ISNUMBER(O74),MOD(O74,1),TIMEVALUE(O74)))*1440,(IF(ISNUMBER(R74),MOD(R74,1),TIMEVALUE(R74))+1-IF(ISNUMBER(O74),MOD(O74,1),TIMEVALUE(O74)))*1440)),"")</f>
        <v/>
      </c>
      <c r="AC74" s="28">
        <f>IFERROR(IF(OR(R74="",S74=""),"",IF(IF(ISNUMBER(S74),MOD(S74,1),TIMEVALUE(S74))&gt;=IF(ISNUMBER(R74),MOD(R74,1),TIMEVALUE(R74)),(IF(ISNUMBER(S74),MOD(S74,1),TIMEVALUE(S74))-IF(ISNUMBER(R74),MOD(R74,1),TIMEVALUE(R74)))*1440,(IF(ISNUMBER(S74),MOD(S74,1),TIMEVALUE(S74))+1-IF(ISNUMBER(R74),MOD(R74,1),TIMEVALUE(R74)))*1440)),"")</f>
        <v/>
      </c>
      <c r="AD74" s="100" t="n">
        <v>60</v>
      </c>
      <c r="AE74" s="26">
        <f>IFERROR(IF(OR(AC74="",AD74=""),"",AC74-AD74),"")</f>
        <v/>
      </c>
      <c r="AF74" s="27">
        <f>IFERROR(IF(AE74="","",IF(ROUND(AE74,0)&gt;15,"Subestimacion",IF(ROUND(AE74,0)&lt;-15,"Sobrestimacion","Asertivo"))),"")</f>
        <v/>
      </c>
      <c r="AG74" s="44" t="inlineStr">
        <is>
          <t>Instrumental y/o material con falla de esterilización</t>
        </is>
      </c>
      <c r="AH74" s="44" t="n"/>
      <c r="AI74" s="44" t="n"/>
      <c r="AJ74" s="19" t="n"/>
      <c r="AK74" s="19" t="n"/>
      <c r="AL74" s="19" t="n"/>
      <c r="AM74" s="33" t="inlineStr">
        <is>
          <t>I0001188727</t>
        </is>
      </c>
      <c r="AN74" s="19" t="n"/>
      <c r="AO74" s="19" t="n"/>
      <c r="AP74" s="127">
        <f>IF(A74="","",A74-WEEKDAY(A74,2)+1)</f>
        <v/>
      </c>
      <c r="AQ74" s="127">
        <f>IF(AO74="","",AO74+6)</f>
        <v/>
      </c>
      <c r="AR74" s="19">
        <f>IF(AO74="","","Semana "&amp;TEXT(AO74,"dd-mm-yyyy")&amp;" al "&amp;TEXT(AP74,"dd-mm-yyyy"))</f>
        <v/>
      </c>
      <c r="AS74" s="19">
        <f>IF(A74="","",TEXT(A74,"mmmm yyyy"))</f>
        <v/>
      </c>
      <c r="AT74" s="19">
        <f>IF(A74="","",TEXT(A74,"dddd"))</f>
        <v/>
      </c>
      <c r="AU74" s="19">
        <f>IF(A74="","","CRR-"&amp;TEXT(A74,"yyyymmdd")&amp;"-"&amp;M74&amp;"-"&amp;TEXT(ROW()-3,"0000"))</f>
        <v/>
      </c>
      <c r="AV74" s="19">
        <f>IF(A74="","",IF(OR(B74="",C74="",E74="",F74="",M74="",N74=""),"Revisar campos obligatorios",IF(AND(P74="Atraso primera hora",Q74=""),"Falta justificación atraso primera hora",IF(AND(Z74="No cumple",AA74=""),"Falta justificación recambio &gt;15 min",IF(AND(ISNUMBER(SEARCH("suspend",N74)),OR(AG74="",AH74="")),"Falta causa/motivo suspensión","OK")))))</f>
        <v/>
      </c>
      <c r="AW74" s="19">
        <f>IF(N74="","",IF(ISNUMBER(SEARCH("suspend",N74)),IF(AND(AG74="",AH74=""),"Sin causa/motivo registrado",IF(AG74="",AH74,IF(AH74="",AG74,AG74&amp;": "&amp;AH74))),""))</f>
        <v/>
      </c>
    </row>
    <row r="75" ht="16" customHeight="1" s="151">
      <c r="A75" s="32" t="n">
        <v>46171</v>
      </c>
      <c r="B75" s="33" t="inlineStr">
        <is>
          <t>MARIBEL DEL CARMEN</t>
        </is>
      </c>
      <c r="C75" s="33" t="inlineStr">
        <is>
          <t>GONZÁLEZ</t>
        </is>
      </c>
      <c r="D75" s="33" t="inlineStr">
        <is>
          <t>61a 10m 6d</t>
        </is>
      </c>
      <c r="E75" s="33" t="inlineStr">
        <is>
          <t>Paratiroidectomía o exploración de paratiroides (abordaje cervical, clásico o mínimamente invasivo)</t>
        </is>
      </c>
      <c r="F75" s="33" t="inlineStr">
        <is>
          <t>SERVICIO DE TRAUMATOLOGIA</t>
        </is>
      </c>
      <c r="G75" s="19" t="n"/>
      <c r="H75" s="33" t="inlineStr">
        <is>
          <t>1402009-7</t>
        </is>
      </c>
      <c r="I75" s="19" t="n"/>
      <c r="J75" s="20">
        <f>IF(H75&lt;&gt;"",IFERROR(VLOOKUP(IFERROR(LEFT(H75,FIND("-",H75)-1),H75),'Catalogo MINSAL'!A:E,5,FALSE),""),IF(I75&lt;&gt;"",IFERROR(VLOOKUP(IFERROR(LEFT(I75,FIND("-",I75)-1),I75),'Catalogo MINSAL'!A:E,5,FALSE),""),""))</f>
        <v/>
      </c>
      <c r="K75" s="33" t="inlineStr">
        <is>
          <t>Juan Carlos Gonzalez Segovia</t>
        </is>
      </c>
      <c r="L75" s="33" t="inlineStr">
        <is>
          <t>Dra. Lisette Irausquin Gudiño</t>
        </is>
      </c>
      <c r="M75" s="33" t="inlineStr">
        <is>
          <t>Quirofano 13</t>
        </is>
      </c>
      <c r="N75" s="33" t="inlineStr">
        <is>
          <t>Suspendido</t>
        </is>
      </c>
      <c r="O75" s="37" t="n"/>
      <c r="P75" s="27">
        <f>IFERROR(IF(OR(O75="",A75="",M75=""),"",IF(SUMPRODUCT(($A$4:$A$500=A75)*($M$4:$M$500=M75)*($O$4:$O$500&lt;&gt;"")*(MOD($O$4:$O$500,1)&lt;MOD(O75,1)))=0,IF(MOD(O75,1)&lt;=TIME(8,15,0),"Ingreso adecuado primera hora","Atraso primera hora"),"No aplica")),"")</f>
        <v/>
      </c>
      <c r="Q75" s="27" t="n"/>
      <c r="R75" s="37" t="n"/>
      <c r="S75" s="37" t="n"/>
      <c r="T75" s="37" t="n"/>
      <c r="U75" s="34">
        <f>IFERROR(VLOOKUP(M75,'Horario Pabellones'!$A$4:$D$17,2,FALSE),"")</f>
        <v/>
      </c>
      <c r="V75" s="34">
        <f>IFERROR(VLOOKUP(M75,'Horario Pabellones'!$A$4:$D$17,3,FALSE),"")</f>
        <v/>
      </c>
      <c r="W75" s="101">
        <f>IFERROR(VLOOKUP(M75,'Horario Pabellones'!$A$4:$D$17,4,FALSE),"")</f>
        <v/>
      </c>
      <c r="X75" s="91">
        <f>IFERROR(IF(OR(A75="",M75="",W75=""),"",(((_xludf.AGGREGATE(14,6,MOD($S$4:$S$500,1)/(($A$4:$A$500=A75)*($M$4:$M$500=M75)*($R$4:$R$500&lt;&gt;"")*($S$4:$S$500&lt;&gt;"")),1)-_xludf.AGGREGATE(15,6,MOD($R$4:$R$500,1)/(($A$4:$A$500=A75)*($M$4:$M$500=M75)*($R$4:$R$500&lt;&gt;"")*($S$4:$S$500&lt;&gt;"")),1))*1440)/60)/(W75/60)),"")</f>
        <v/>
      </c>
      <c r="Y75" s="41">
        <f>IFERROR(IF(OR(O75="",A75="",M75=""),"",(IF(ISNUMBER(O75),MOD(O75,1),TIMEVALUE(O75))-LOOKUP(2,1/(($A$4:$A$500=A75)*($M$4:$M$500=M75)*($T$4:$T$500&lt;&gt;"")*($T$4:$T$500&lt;IF(ISNUMBER(O75),MOD(O75,1),TIMEVALUE(O75)))),$T$4:$T$500))*1440),"")</f>
        <v/>
      </c>
      <c r="Z75" s="27">
        <f>IFERROR(IF(Y75="","",IF(ROUND(Y75,0)&lt;=15,"Cumple","No cumple")),"")</f>
        <v/>
      </c>
      <c r="AA75" s="27" t="n"/>
      <c r="AB75" s="26">
        <f>IFERROR(IF(OR(O75="",R75=""),"",IF(IF(ISNUMBER(R75),MOD(R75,1),TIMEVALUE(R75))&gt;=IF(ISNUMBER(O75),MOD(O75,1),TIMEVALUE(O75)),(IF(ISNUMBER(R75),MOD(R75,1),TIMEVALUE(R75))-IF(ISNUMBER(O75),MOD(O75,1),TIMEVALUE(O75)))*1440,(IF(ISNUMBER(R75),MOD(R75,1),TIMEVALUE(R75))+1-IF(ISNUMBER(O75),MOD(O75,1),TIMEVALUE(O75)))*1440)),"")</f>
        <v/>
      </c>
      <c r="AC75" s="28">
        <f>IFERROR(IF(OR(R75="",S75=""),"",IF(IF(ISNUMBER(S75),MOD(S75,1),TIMEVALUE(S75))&gt;=IF(ISNUMBER(R75),MOD(R75,1),TIMEVALUE(R75)),(IF(ISNUMBER(S75),MOD(S75,1),TIMEVALUE(S75))-IF(ISNUMBER(R75),MOD(R75,1),TIMEVALUE(R75)))*1440,(IF(ISNUMBER(S75),MOD(S75,1),TIMEVALUE(S75))+1-IF(ISNUMBER(R75),MOD(R75,1),TIMEVALUE(R75)))*1440)),"")</f>
        <v/>
      </c>
      <c r="AD75" s="100" t="n">
        <v>90</v>
      </c>
      <c r="AE75" s="26">
        <f>IFERROR(IF(OR(AC75="",AD75=""),"",AC75-AD75),"")</f>
        <v/>
      </c>
      <c r="AF75" s="27">
        <f>IFERROR(IF(AE75="","",IF(ROUND(AE75,0)&gt;15,"Subestimacion",IF(ROUND(AE75,0)&lt;-15,"Sobrestimacion","Asertivo"))),"")</f>
        <v/>
      </c>
      <c r="AG75" s="43" t="inlineStr">
        <is>
          <t>Rechaza operación</t>
        </is>
      </c>
      <c r="AH75" s="43" t="n"/>
      <c r="AI75" s="43" t="n"/>
      <c r="AJ75" s="19" t="n"/>
      <c r="AK75" s="19" t="n"/>
      <c r="AL75" s="19" t="n"/>
      <c r="AM75" s="33" t="inlineStr">
        <is>
          <t>I0001188725</t>
        </is>
      </c>
      <c r="AN75" s="19" t="n"/>
      <c r="AO75" s="19" t="n"/>
      <c r="AP75" s="127">
        <f>IF(A75="","",A75-WEEKDAY(A75,2)+1)</f>
        <v/>
      </c>
      <c r="AQ75" s="127">
        <f>IF(AO75="","",AO75+6)</f>
        <v/>
      </c>
      <c r="AR75" s="19">
        <f>IF(AO75="","","Semana "&amp;TEXT(AO75,"dd-mm-yyyy")&amp;" al "&amp;TEXT(AP75,"dd-mm-yyyy"))</f>
        <v/>
      </c>
      <c r="AS75" s="19">
        <f>IF(A75="","",TEXT(A75,"mmmm yyyy"))</f>
        <v/>
      </c>
      <c r="AT75" s="19">
        <f>IF(A75="","",TEXT(A75,"dddd"))</f>
        <v/>
      </c>
      <c r="AU75" s="19">
        <f>IF(A75="","","CRR-"&amp;TEXT(A75,"yyyymmdd")&amp;"-"&amp;M75&amp;"-"&amp;TEXT(ROW()-3,"0000"))</f>
        <v/>
      </c>
      <c r="AV75" s="19">
        <f>IF(A75="","",IF(OR(B75="",C75="",E75="",F75="",M75="",N75=""),"Revisar campos obligatorios",IF(AND(P75="Atraso primera hora",Q75=""),"Falta justificación atraso primera hora",IF(AND(Z75="No cumple",AA75=""),"Falta justificación recambio &gt;15 min",IF(AND(ISNUMBER(SEARCH("suspend",N75)),OR(AG75="",AH75="")),"Falta causa/motivo suspensión","OK")))))</f>
        <v/>
      </c>
      <c r="AW75" s="19">
        <f>IF(N75="","",IF(ISNUMBER(SEARCH("suspend",N75)),IF(AND(AG75="",AH75=""),"Sin causa/motivo registrado",IF(AG75="",AH75,IF(AH75="",AG75,AG75&amp;": "&amp;AH75))),""))</f>
        <v/>
      </c>
    </row>
    <row r="76" ht="16" customHeight="1" s="151">
      <c r="A76" s="32" t="n">
        <v>46174</v>
      </c>
      <c r="B76" s="33" t="inlineStr">
        <is>
          <t>MARGARITA DEL CARMEN</t>
        </is>
      </c>
      <c r="C76" s="33" t="inlineStr">
        <is>
          <t>ROJAS</t>
        </is>
      </c>
      <c r="D76" s="33" t="inlineStr">
        <is>
          <t>69a 8m 22d</t>
        </is>
      </c>
      <c r="E76" s="33" t="inlineStr">
        <is>
          <t>- FACOERESIS EXTRACAPSULAR CON IMPLANTE DE LENTE INTRAOCULAR (NO INCLUYE EL VALOR DE LA PROTESIS)</t>
        </is>
      </c>
      <c r="F76" s="45" t="inlineStr">
        <is>
          <t>UNIDAD DE OFTALMOLOGIA</t>
        </is>
      </c>
      <c r="G76" s="19" t="n"/>
      <c r="H76" s="33" t="inlineStr">
        <is>
          <t>1202064-10</t>
        </is>
      </c>
      <c r="I76" s="19" t="n"/>
      <c r="J76" s="20">
        <f>IF(H76&lt;&gt;"",IFERROR(VLOOKUP(IFERROR(LEFT(H76,FIND("-",H76)-1),H76),'Catalogo MINSAL'!A:E,5,FALSE),""),IF(I76&lt;&gt;"",IFERROR(VLOOKUP(IFERROR(LEFT(I76,FIND("-",I76)-1),I76),'Catalogo MINSAL'!A:E,5,FALSE),""),""))</f>
        <v/>
      </c>
      <c r="K76" s="33" t="inlineStr">
        <is>
          <t>Luz Rojas Nef</t>
        </is>
      </c>
      <c r="L76" s="33" t="inlineStr">
        <is>
          <t>Sebastian Andres Ramirez Ramirez</t>
        </is>
      </c>
      <c r="M76" s="33" t="inlineStr">
        <is>
          <t>Quirofano 07</t>
        </is>
      </c>
      <c r="N76" s="48" t="inlineStr">
        <is>
          <t>Realizado</t>
        </is>
      </c>
      <c r="O76" s="49" t="n">
        <v>0.3451388888888889</v>
      </c>
      <c r="P76" s="27">
        <f>IFERROR(IF(OR(O76="",A76="",M76=""),"",IF(SUMPRODUCT(($A$4:$A$500=A76)*($M$4:$M$500=M76)*($O$4:$O$500&lt;&gt;"")*(MOD($O$4:$O$500,1)&lt;MOD(O76,1)))=0,IF(MOD(O76,1)&lt;=TIME(8,15,0),"Ingreso adecuado primera hora","Atraso primera hora"),"No aplica")),"")</f>
        <v/>
      </c>
      <c r="Q76" s="86" t="inlineStr">
        <is>
          <t>Atraso de anestesista y cirujano</t>
        </is>
      </c>
      <c r="R76" s="49" t="n">
        <v>0.3541666666666667</v>
      </c>
      <c r="S76" s="49" t="n">
        <v>0.3645833333333333</v>
      </c>
      <c r="T76" s="49" t="n">
        <v>0.3680555555555556</v>
      </c>
      <c r="U76" s="34">
        <f>IFERROR(VLOOKUP(M76,'Horario Pabellones'!$A$4:$D$17,2,FALSE),"")</f>
        <v/>
      </c>
      <c r="V76" s="34">
        <f>IFERROR(VLOOKUP(M76,'Horario Pabellones'!$A$4:$D$17,3,FALSE),"")</f>
        <v/>
      </c>
      <c r="W76" s="100">
        <f>IFERROR(VLOOKUP(M76,'Horario Pabellones'!$A$4:$D$17,4,FALSE),"")</f>
        <v/>
      </c>
      <c r="X76" s="90">
        <f>IFERROR(IF(OR(A76="",M76="",W76=""),"",(((_xludf.AGGREGATE(14,6,MOD($S$4:$S$500,1)/(($A$4:$A$500=A76)*($M$4:$M$500=M76)*($R$4:$R$500&lt;&gt;"")*($S$4:$S$500&lt;&gt;"")),1)-_xludf.AGGREGATE(15,6,MOD($R$4:$R$500,1)/(($A$4:$A$500=A76)*($M$4:$M$500=M76)*($R$4:$R$500&lt;&gt;"")*($S$4:$S$500&lt;&gt;"")),1))*1440)/60)/(W76/60)),"")</f>
        <v/>
      </c>
      <c r="Y76" s="35">
        <f>IFERROR(IF(OR(O76="",A76="",M76=""),"",(IF(ISNUMBER(O76),MOD(O76,1),TIMEVALUE(O76))-LOOKUP(2,1/(($A$4:$A$500=A76)*($M$4:$M$500=M76)*($T$4:$T$500&lt;&gt;"")*($T$4:$T$500&lt;IF(ISNUMBER(O76),MOD(O76,1),TIMEVALUE(O76)))),$T$4:$T$500))*1440),"")</f>
        <v/>
      </c>
      <c r="Z76" s="27">
        <f>IFERROR(IF(Y76="","",IF(ROUND(Y76,0)&lt;=15,"Cumple","No cumple")),"")</f>
        <v/>
      </c>
      <c r="AA76" s="85" t="n"/>
      <c r="AB76" s="26">
        <f>IFERROR(IF(OR(O76="",R76=""),"",IF(IF(ISNUMBER(R76),MOD(R76,1),TIMEVALUE(R76))&gt;=IF(ISNUMBER(O76),MOD(O76,1),TIMEVALUE(O76)),(IF(ISNUMBER(R76),MOD(R76,1),TIMEVALUE(R76))-IF(ISNUMBER(O76),MOD(O76,1),TIMEVALUE(O76)))*1440,(IF(ISNUMBER(R76),MOD(R76,1),TIMEVALUE(R76))+1-IF(ISNUMBER(O76),MOD(O76,1),TIMEVALUE(O76)))*1440)),"")</f>
        <v/>
      </c>
      <c r="AC76" s="28">
        <f>IFERROR(IF(OR(R76="",S76=""),"",IF(IF(ISNUMBER(S76),MOD(S76,1),TIMEVALUE(S76))&gt;=IF(ISNUMBER(R76),MOD(R76,1),TIMEVALUE(R76)),(IF(ISNUMBER(S76),MOD(S76,1),TIMEVALUE(S76))-IF(ISNUMBER(R76),MOD(R76,1),TIMEVALUE(R76)))*1440,(IF(ISNUMBER(S76),MOD(S76,1),TIMEVALUE(S76))+1-IF(ISNUMBER(R76),MOD(R76,1),TIMEVALUE(R76)))*1440)),"")</f>
        <v/>
      </c>
      <c r="AD76" s="100" t="n">
        <v>30</v>
      </c>
      <c r="AE76" s="26">
        <f>IFERROR(IF(OR(AC76="",AD76=""),"",AC76-AD76),"")</f>
        <v/>
      </c>
      <c r="AF76" s="27">
        <f>IFERROR(IF(AE76="","",IF(ROUND(AE76,0)&gt;15,"Subestimacion",IF(ROUND(AE76,0)&lt;-15,"Sobrestimacion","Asertivo"))),"")</f>
        <v/>
      </c>
      <c r="AG76" s="33" t="inlineStr">
        <is>
          <t>Sin Suspensión</t>
        </is>
      </c>
      <c r="AH76" s="85" t="n"/>
      <c r="AI76" s="85" t="n"/>
      <c r="AJ76" s="19" t="n"/>
      <c r="AK76" s="19" t="n"/>
      <c r="AL76" s="19" t="n"/>
      <c r="AM76" s="33" t="inlineStr">
        <is>
          <t>I0001188996</t>
        </is>
      </c>
      <c r="AN76" s="19" t="n"/>
      <c r="AO76" s="19" t="n"/>
      <c r="AP76" s="127">
        <f>IF(A76="","",A76-WEEKDAY(A76,2)+1)</f>
        <v/>
      </c>
      <c r="AQ76" s="127">
        <f>IF(AO76="","",AO76+6)</f>
        <v/>
      </c>
      <c r="AR76" s="19">
        <f>IF(AO76="","","Semana "&amp;TEXT(AO76,"dd-mm-yyyy")&amp;" al "&amp;TEXT(AP76,"dd-mm-yyyy"))</f>
        <v/>
      </c>
      <c r="AS76" s="19">
        <f>IF(A76="","",TEXT(A76,"mmmm yyyy"))</f>
        <v/>
      </c>
      <c r="AT76" s="19">
        <f>IF(A76="","",TEXT(A76,"dddd"))</f>
        <v/>
      </c>
      <c r="AU76" s="19">
        <f>IF(A76="","","CRR-"&amp;TEXT(A76,"yyyymmdd")&amp;"-"&amp;M76&amp;"-"&amp;TEXT(ROW()-3,"0000"))</f>
        <v/>
      </c>
      <c r="AV76" s="19">
        <f>IF(A76="","",IF(OR(B76="",C76="",E76="",F76="",M76="",N76=""),"Revisar campos obligatorios",IF(AND(P76="Atraso primera hora",Q76=""),"Falta justificación atraso primera hora",IF(AND(Z76="No cumple",AA76=""),"Falta justificación recambio &gt;15 min",IF(AND(ISNUMBER(SEARCH("suspend",N76)),OR(AG76="",AH76="")),"Falta causa/motivo suspensión","OK")))))</f>
        <v/>
      </c>
      <c r="AW76" s="19">
        <f>IF(N76="","",IF(ISNUMBER(SEARCH("suspend",N76)),IF(AND(AG76="",AH76=""),"Sin causa/motivo registrado",IF(AG76="",AH76,IF(AH76="",AG76,AG76&amp;": "&amp;AH76))),""))</f>
        <v/>
      </c>
    </row>
    <row r="77" ht="16" customHeight="1" s="151">
      <c r="A77" s="32" t="n">
        <v>46174</v>
      </c>
      <c r="B77" s="33" t="inlineStr">
        <is>
          <t>EXEQUIEL ARTURO</t>
        </is>
      </c>
      <c r="C77" s="33" t="inlineStr">
        <is>
          <t>TORO</t>
        </is>
      </c>
      <c r="D77" s="33" t="inlineStr">
        <is>
          <t>80a 1m 26d</t>
        </is>
      </c>
      <c r="E77" s="33" t="inlineStr">
        <is>
          <t>- FACOERESIS EXTRACAPSULAR CON IMPLANTE DE LENTE INTRAOCULAR (NO INCLUYE EL VALOR DE LA PROTESIS)</t>
        </is>
      </c>
      <c r="F77" s="45" t="inlineStr">
        <is>
          <t>UNIDAD DE OFTALMOLOGIA</t>
        </is>
      </c>
      <c r="G77" s="19" t="n"/>
      <c r="H77" s="33" t="inlineStr">
        <is>
          <t>1202064-10</t>
        </is>
      </c>
      <c r="I77" s="19" t="n"/>
      <c r="J77" s="20">
        <f>IF(H77&lt;&gt;"",IFERROR(VLOOKUP(IFERROR(LEFT(H77,FIND("-",H77)-1),H77),'Catalogo MINSAL'!A:E,5,FALSE),""),IF(I77&lt;&gt;"",IFERROR(VLOOKUP(IFERROR(LEFT(I77,FIND("-",I77)-1),I77),'Catalogo MINSAL'!A:E,5,FALSE),""),""))</f>
        <v/>
      </c>
      <c r="K77" s="33" t="inlineStr">
        <is>
          <t>Luz Rojas Nef</t>
        </is>
      </c>
      <c r="L77" s="33" t="inlineStr">
        <is>
          <t>Sebastian Andres Ramirez Ramirez</t>
        </is>
      </c>
      <c r="M77" s="33" t="inlineStr">
        <is>
          <t>Quirofano 07</t>
        </is>
      </c>
      <c r="N77" s="48" t="inlineStr">
        <is>
          <t>Realizado</t>
        </is>
      </c>
      <c r="O77" s="49" t="n">
        <v>0.3715277777777778</v>
      </c>
      <c r="P77" s="27">
        <f>IFERROR(IF(OR(O77="",A77="",M77=""),"",IF(SUMPRODUCT(($A$4:$A$500=A77)*($M$4:$M$500=M77)*($O$4:$O$500&lt;&gt;"")*(MOD($O$4:$O$500,1)&lt;MOD(O77,1)))=0,IF(MOD(O77,1)&lt;=TIME(8,15,0),"Ingreso adecuado primera hora","Atraso primera hora"),"No aplica")),"")</f>
        <v/>
      </c>
      <c r="Q77" s="87" t="n"/>
      <c r="R77" s="49" t="n">
        <v>0.3784722222222222</v>
      </c>
      <c r="S77" s="49" t="n">
        <v>0.3888888888888889</v>
      </c>
      <c r="T77" s="49" t="n">
        <v>0.3923611111111111</v>
      </c>
      <c r="U77" s="34">
        <f>IFERROR(VLOOKUP(M77,'Horario Pabellones'!$A$4:$D$17,2,FALSE),"")</f>
        <v/>
      </c>
      <c r="V77" s="34">
        <f>IFERROR(VLOOKUP(M77,'Horario Pabellones'!$A$4:$D$17,3,FALSE),"")</f>
        <v/>
      </c>
      <c r="W77" s="100">
        <f>IFERROR(VLOOKUP(M77,'Horario Pabellones'!$A$4:$D$17,4,FALSE),"")</f>
        <v/>
      </c>
      <c r="X77" s="90">
        <f>IFERROR(IF(OR(A77="",M77="",W77=""),"",(((_xludf.AGGREGATE(14,6,MOD($S$4:$S$500,1)/(($A$4:$A$500=A77)*($M$4:$M$500=M77)*($R$4:$R$500&lt;&gt;"")*($S$4:$S$500&lt;&gt;"")),1)-_xludf.AGGREGATE(15,6,MOD($R$4:$R$500,1)/(($A$4:$A$500=A77)*($M$4:$M$500=M77)*($R$4:$R$500&lt;&gt;"")*($S$4:$S$500&lt;&gt;"")),1))*1440)/60)/(W77/60)),"")</f>
        <v/>
      </c>
      <c r="Y77" s="35">
        <f>IFERROR(IF(OR(O77="",A77="",M77=""),"",(IF(ISNUMBER(O77),MOD(O77,1),TIMEVALUE(O77))-LOOKUP(2,1/(($A$4:$A$500=A77)*($M$4:$M$500=M77)*($T$4:$T$500&lt;&gt;"")*($T$4:$T$500&lt;IF(ISNUMBER(O77),MOD(O77,1),TIMEVALUE(O77)))),$T$4:$T$500))*1440),"")</f>
        <v/>
      </c>
      <c r="Z77" s="27">
        <f>IFERROR(IF(Y77="","",IF(ROUND(Y77,0)&lt;=15,"Cumple","No cumple")),"")</f>
        <v/>
      </c>
      <c r="AA77" s="15" t="n"/>
      <c r="AB77" s="26">
        <f>IFERROR(IF(OR(O77="",R77=""),"",IF(IF(ISNUMBER(R77),MOD(R77,1),TIMEVALUE(R77))&gt;=IF(ISNUMBER(O77),MOD(O77,1),TIMEVALUE(O77)),(IF(ISNUMBER(R77),MOD(R77,1),TIMEVALUE(R77))-IF(ISNUMBER(O77),MOD(O77,1),TIMEVALUE(O77)))*1440,(IF(ISNUMBER(R77),MOD(R77,1),TIMEVALUE(R77))+1-IF(ISNUMBER(O77),MOD(O77,1),TIMEVALUE(O77)))*1440)),"")</f>
        <v/>
      </c>
      <c r="AC77" s="28">
        <f>IFERROR(IF(OR(R77="",S77=""),"",IF(IF(ISNUMBER(S77),MOD(S77,1),TIMEVALUE(S77))&gt;=IF(ISNUMBER(R77),MOD(R77,1),TIMEVALUE(R77)),(IF(ISNUMBER(S77),MOD(S77,1),TIMEVALUE(S77))-IF(ISNUMBER(R77),MOD(R77,1),TIMEVALUE(R77)))*1440,(IF(ISNUMBER(S77),MOD(S77,1),TIMEVALUE(S77))+1-IF(ISNUMBER(R77),MOD(R77,1),TIMEVALUE(R77)))*1440)),"")</f>
        <v/>
      </c>
      <c r="AD77" s="100" t="n">
        <v>30</v>
      </c>
      <c r="AE77" s="26">
        <f>IFERROR(IF(OR(AC77="",AD77=""),"",AC77-AD77),"")</f>
        <v/>
      </c>
      <c r="AF77" s="27">
        <f>IFERROR(IF(AE77="","",IF(ROUND(AE77,0)&gt;15,"Subestimacion",IF(ROUND(AE77,0)&lt;-15,"Sobrestimacion","Asertivo"))),"")</f>
        <v/>
      </c>
      <c r="AG77" s="33" t="inlineStr">
        <is>
          <t>Sin Suspensión</t>
        </is>
      </c>
      <c r="AH77" s="15" t="n"/>
      <c r="AI77" s="15" t="n"/>
      <c r="AJ77" s="19" t="n"/>
      <c r="AK77" s="19" t="n"/>
      <c r="AL77" s="19" t="n"/>
      <c r="AM77" s="33" t="inlineStr">
        <is>
          <t>I0001188997</t>
        </is>
      </c>
      <c r="AN77" s="19" t="n"/>
      <c r="AO77" s="19" t="n"/>
      <c r="AP77" s="127">
        <f>IF(A77="","",A77-WEEKDAY(A77,2)+1)</f>
        <v/>
      </c>
      <c r="AQ77" s="127">
        <f>IF(AO77="","",AO77+6)</f>
        <v/>
      </c>
      <c r="AR77" s="19">
        <f>IF(AO77="","","Semana "&amp;TEXT(AO77,"dd-mm-yyyy")&amp;" al "&amp;TEXT(AP77,"dd-mm-yyyy"))</f>
        <v/>
      </c>
      <c r="AS77" s="19">
        <f>IF(A77="","",TEXT(A77,"mmmm yyyy"))</f>
        <v/>
      </c>
      <c r="AT77" s="19">
        <f>IF(A77="","",TEXT(A77,"dddd"))</f>
        <v/>
      </c>
      <c r="AU77" s="19">
        <f>IF(A77="","","CRR-"&amp;TEXT(A77,"yyyymmdd")&amp;"-"&amp;M77&amp;"-"&amp;TEXT(ROW()-3,"0000"))</f>
        <v/>
      </c>
      <c r="AV77" s="19">
        <f>IF(A77="","",IF(OR(B77="",C77="",E77="",F77="",M77="",N77=""),"Revisar campos obligatorios",IF(AND(P77="Atraso primera hora",Q77=""),"Falta justificación atraso primera hora",IF(AND(Z77="No cumple",AA77=""),"Falta justificación recambio &gt;15 min",IF(AND(ISNUMBER(SEARCH("suspend",N77)),OR(AG77="",AH77="")),"Falta causa/motivo suspensión","OK")))))</f>
        <v/>
      </c>
      <c r="AW77" s="19">
        <f>IF(N77="","",IF(ISNUMBER(SEARCH("suspend",N77)),IF(AND(AG77="",AH77=""),"Sin causa/motivo registrado",IF(AG77="",AH77,IF(AH77="",AG77,AG77&amp;": "&amp;AH77))),""))</f>
        <v/>
      </c>
    </row>
    <row r="78" ht="16" customHeight="1" s="151">
      <c r="A78" s="32" t="n">
        <v>46174</v>
      </c>
      <c r="B78" s="33" t="inlineStr">
        <is>
          <t>RENÉ ADOLFO</t>
        </is>
      </c>
      <c r="C78" s="33" t="inlineStr">
        <is>
          <t>GARRETÓN</t>
        </is>
      </c>
      <c r="D78" s="33" t="inlineStr">
        <is>
          <t>71a 8m 5d</t>
        </is>
      </c>
      <c r="E78" s="33" t="inlineStr">
        <is>
          <t>- FACOERESIS EXTRACAPSULAR CON IMPLANTE DE LENTE INTRAOCULAR (NO INCLUYE EL VALOR DE LA PROTESIS)</t>
        </is>
      </c>
      <c r="F78" s="45" t="inlineStr">
        <is>
          <t>UNIDAD DE OFTALMOLOGIA</t>
        </is>
      </c>
      <c r="G78" s="19" t="n"/>
      <c r="H78" s="33" t="inlineStr">
        <is>
          <t>1202064-10</t>
        </is>
      </c>
      <c r="I78" s="19" t="n"/>
      <c r="J78" s="20">
        <f>IF(H78&lt;&gt;"",IFERROR(VLOOKUP(IFERROR(LEFT(H78,FIND("-",H78)-1),H78),'Catalogo MINSAL'!A:E,5,FALSE),""),IF(I78&lt;&gt;"",IFERROR(VLOOKUP(IFERROR(LEFT(I78,FIND("-",I78)-1),I78),'Catalogo MINSAL'!A:E,5,FALSE),""),""))</f>
        <v/>
      </c>
      <c r="K78" s="33" t="inlineStr">
        <is>
          <t>Luz Rojas Nef</t>
        </is>
      </c>
      <c r="L78" s="33" t="inlineStr">
        <is>
          <t>Sebastian Andres Ramirez Ramirez</t>
        </is>
      </c>
      <c r="M78" s="33" t="inlineStr">
        <is>
          <t>Quirofano 07</t>
        </is>
      </c>
      <c r="N78" s="48" t="inlineStr">
        <is>
          <t>Realizado</t>
        </is>
      </c>
      <c r="O78" s="49" t="n">
        <v>0.3993055555555556</v>
      </c>
      <c r="P78" s="27">
        <f>IFERROR(IF(OR(O78="",A78="",M78=""),"",IF(SUMPRODUCT(($A$4:$A$500=A78)*($M$4:$M$500=M78)*($O$4:$O$500&lt;&gt;"")*(MOD($O$4:$O$500,1)&lt;MOD(O78,1)))=0,IF(MOD(O78,1)&lt;=TIME(8,15,0),"Ingreso adecuado primera hora","Atraso primera hora"),"No aplica")),"")</f>
        <v/>
      </c>
      <c r="Q78" s="87" t="n"/>
      <c r="R78" s="49" t="n">
        <v>0.40625</v>
      </c>
      <c r="S78" s="49" t="n">
        <v>0.4236111111111111</v>
      </c>
      <c r="T78" s="49" t="n">
        <v>0.4270833333333333</v>
      </c>
      <c r="U78" s="34">
        <f>IFERROR(VLOOKUP(M78,'Horario Pabellones'!$A$4:$D$17,2,FALSE),"")</f>
        <v/>
      </c>
      <c r="V78" s="34">
        <f>IFERROR(VLOOKUP(M78,'Horario Pabellones'!$A$4:$D$17,3,FALSE),"")</f>
        <v/>
      </c>
      <c r="W78" s="100">
        <f>IFERROR(VLOOKUP(M78,'Horario Pabellones'!$A$4:$D$17,4,FALSE),"")</f>
        <v/>
      </c>
      <c r="X78" s="90">
        <f>IFERROR(IF(OR(A78="",M78="",W78=""),"",(((_xludf.AGGREGATE(14,6,MOD($S$4:$S$500,1)/(($A$4:$A$500=A78)*($M$4:$M$500=M78)*($R$4:$R$500&lt;&gt;"")*($S$4:$S$500&lt;&gt;"")),1)-_xludf.AGGREGATE(15,6,MOD($R$4:$R$500,1)/(($A$4:$A$500=A78)*($M$4:$M$500=M78)*($R$4:$R$500&lt;&gt;"")*($S$4:$S$500&lt;&gt;"")),1))*1440)/60)/(W78/60)),"")</f>
        <v/>
      </c>
      <c r="Y78" s="35">
        <f>IFERROR(IF(OR(O78="",A78="",M78=""),"",(IF(ISNUMBER(O78),MOD(O78,1),TIMEVALUE(O78))-LOOKUP(2,1/(($A$4:$A$500=A78)*($M$4:$M$500=M78)*($T$4:$T$500&lt;&gt;"")*($T$4:$T$500&lt;IF(ISNUMBER(O78),MOD(O78,1),TIMEVALUE(O78)))),$T$4:$T$500))*1440),"")</f>
        <v/>
      </c>
      <c r="Z78" s="27">
        <f>IFERROR(IF(Y78="","",IF(ROUND(Y78,0)&lt;=15,"Cumple","No cumple")),"")</f>
        <v/>
      </c>
      <c r="AA78" s="15" t="n"/>
      <c r="AB78" s="26">
        <f>IFERROR(IF(OR(O78="",R78=""),"",IF(IF(ISNUMBER(R78),MOD(R78,1),TIMEVALUE(R78))&gt;=IF(ISNUMBER(O78),MOD(O78,1),TIMEVALUE(O78)),(IF(ISNUMBER(R78),MOD(R78,1),TIMEVALUE(R78))-IF(ISNUMBER(O78),MOD(O78,1),TIMEVALUE(O78)))*1440,(IF(ISNUMBER(R78),MOD(R78,1),TIMEVALUE(R78))+1-IF(ISNUMBER(O78),MOD(O78,1),TIMEVALUE(O78)))*1440)),"")</f>
        <v/>
      </c>
      <c r="AC78" s="28">
        <f>IFERROR(IF(OR(R78="",S78=""),"",IF(IF(ISNUMBER(S78),MOD(S78,1),TIMEVALUE(S78))&gt;=IF(ISNUMBER(R78),MOD(R78,1),TIMEVALUE(R78)),(IF(ISNUMBER(S78),MOD(S78,1),TIMEVALUE(S78))-IF(ISNUMBER(R78),MOD(R78,1),TIMEVALUE(R78)))*1440,(IF(ISNUMBER(S78),MOD(S78,1),TIMEVALUE(S78))+1-IF(ISNUMBER(R78),MOD(R78,1),TIMEVALUE(R78)))*1440)),"")</f>
        <v/>
      </c>
      <c r="AD78" s="100" t="n">
        <v>30</v>
      </c>
      <c r="AE78" s="26">
        <f>IFERROR(IF(OR(AC78="",AD78=""),"",AC78-AD78),"")</f>
        <v/>
      </c>
      <c r="AF78" s="27">
        <f>IFERROR(IF(AE78="","",IF(ROUND(AE78,0)&gt;15,"Subestimacion",IF(ROUND(AE78,0)&lt;-15,"Sobrestimacion","Asertivo"))),"")</f>
        <v/>
      </c>
      <c r="AG78" s="33" t="inlineStr">
        <is>
          <t>Sin Suspensión</t>
        </is>
      </c>
      <c r="AH78" s="15" t="n"/>
      <c r="AI78" s="15" t="n"/>
      <c r="AJ78" s="19" t="n"/>
      <c r="AK78" s="19" t="n"/>
      <c r="AL78" s="19" t="n"/>
      <c r="AM78" s="33" t="inlineStr">
        <is>
          <t>I0001189000</t>
        </is>
      </c>
      <c r="AN78" s="19" t="n"/>
      <c r="AO78" s="19" t="n"/>
      <c r="AP78" s="127">
        <f>IF(A78="","",A78-WEEKDAY(A78,2)+1)</f>
        <v/>
      </c>
      <c r="AQ78" s="127">
        <f>IF(AO78="","",AO78+6)</f>
        <v/>
      </c>
      <c r="AR78" s="19">
        <f>IF(AO78="","","Semana "&amp;TEXT(AO78,"dd-mm-yyyy")&amp;" al "&amp;TEXT(AP78,"dd-mm-yyyy"))</f>
        <v/>
      </c>
      <c r="AS78" s="19">
        <f>IF(A78="","",TEXT(A78,"mmmm yyyy"))</f>
        <v/>
      </c>
      <c r="AT78" s="19">
        <f>IF(A78="","",TEXT(A78,"dddd"))</f>
        <v/>
      </c>
      <c r="AU78" s="19">
        <f>IF(A78="","","CRR-"&amp;TEXT(A78,"yyyymmdd")&amp;"-"&amp;M78&amp;"-"&amp;TEXT(ROW()-3,"0000"))</f>
        <v/>
      </c>
      <c r="AV78" s="19">
        <f>IF(A78="","",IF(OR(B78="",C78="",E78="",F78="",M78="",N78=""),"Revisar campos obligatorios",IF(AND(P78="Atraso primera hora",Q78=""),"Falta justificación atraso primera hora",IF(AND(Z78="No cumple",AA78=""),"Falta justificación recambio &gt;15 min",IF(AND(ISNUMBER(SEARCH("suspend",N78)),OR(AG78="",AH78="")),"Falta causa/motivo suspensión","OK")))))</f>
        <v/>
      </c>
      <c r="AW78" s="19">
        <f>IF(N78="","",IF(ISNUMBER(SEARCH("suspend",N78)),IF(AND(AG78="",AH78=""),"Sin causa/motivo registrado",IF(AG78="",AH78,IF(AH78="",AG78,AG78&amp;": "&amp;AH78))),""))</f>
        <v/>
      </c>
    </row>
    <row r="79" ht="16" customHeight="1" s="151">
      <c r="A79" s="32" t="n">
        <v>46174</v>
      </c>
      <c r="B79" s="33" t="inlineStr">
        <is>
          <t>MARGARITA MARTA</t>
        </is>
      </c>
      <c r="C79" s="33" t="inlineStr">
        <is>
          <t>PIZARRO</t>
        </is>
      </c>
      <c r="D79" s="33" t="inlineStr">
        <is>
          <t>77a 6m 9d</t>
        </is>
      </c>
      <c r="E79" s="33" t="inlineStr">
        <is>
          <t>- FACOERESIS EXTRACAPSULAR CON IMPLANTE DE LENTE INTRAOCULAR (NO INCLUYE EL VALOR DE LA PROTESIS)</t>
        </is>
      </c>
      <c r="F79" s="45" t="inlineStr">
        <is>
          <t>UNIDAD DE OFTALMOLOGIA</t>
        </is>
      </c>
      <c r="G79" s="19" t="n"/>
      <c r="H79" s="33" t="inlineStr">
        <is>
          <t>1202064-10</t>
        </is>
      </c>
      <c r="I79" s="19" t="n"/>
      <c r="J79" s="20">
        <f>IF(H79&lt;&gt;"",IFERROR(VLOOKUP(IFERROR(LEFT(H79,FIND("-",H79)-1),H79),'Catalogo MINSAL'!A:E,5,FALSE),""),IF(I79&lt;&gt;"",IFERROR(VLOOKUP(IFERROR(LEFT(I79,FIND("-",I79)-1),I79),'Catalogo MINSAL'!A:E,5,FALSE),""),""))</f>
        <v/>
      </c>
      <c r="K79" s="33" t="inlineStr">
        <is>
          <t>Luz Rojas Nef</t>
        </is>
      </c>
      <c r="L79" s="33" t="inlineStr">
        <is>
          <t>Sebastian Andres Ramirez Ramirez</t>
        </is>
      </c>
      <c r="M79" s="33" t="inlineStr">
        <is>
          <t>Quirofano 07</t>
        </is>
      </c>
      <c r="N79" s="48" t="inlineStr">
        <is>
          <t>Realizado</t>
        </is>
      </c>
      <c r="O79" s="49" t="n">
        <v>0.4305555555555556</v>
      </c>
      <c r="P79" s="27">
        <f>IFERROR(IF(OR(O79="",A79="",M79=""),"",IF(SUMPRODUCT(($A$4:$A$500=A79)*($M$4:$M$500=M79)*($O$4:$O$500&lt;&gt;"")*(MOD($O$4:$O$500,1)&lt;MOD(O79,1)))=0,IF(MOD(O79,1)&lt;=TIME(8,15,0),"Ingreso adecuado primera hora","Atraso primera hora"),"No aplica")),"")</f>
        <v/>
      </c>
      <c r="Q79" s="87" t="n"/>
      <c r="R79" s="49" t="n">
        <v>0.4375</v>
      </c>
      <c r="S79" s="49" t="n">
        <v>0.4444444444444444</v>
      </c>
      <c r="T79" s="49" t="n">
        <v>0.4479166666666667</v>
      </c>
      <c r="U79" s="34">
        <f>IFERROR(VLOOKUP(M79,'Horario Pabellones'!$A$4:$D$17,2,FALSE),"")</f>
        <v/>
      </c>
      <c r="V79" s="34">
        <f>IFERROR(VLOOKUP(M79,'Horario Pabellones'!$A$4:$D$17,3,FALSE),"")</f>
        <v/>
      </c>
      <c r="W79" s="100">
        <f>IFERROR(VLOOKUP(M79,'Horario Pabellones'!$A$4:$D$17,4,FALSE),"")</f>
        <v/>
      </c>
      <c r="X79" s="90">
        <f>IFERROR(IF(OR(A79="",M79="",W79=""),"",(((_xludf.AGGREGATE(14,6,MOD($S$4:$S$500,1)/(($A$4:$A$500=A79)*($M$4:$M$500=M79)*($R$4:$R$500&lt;&gt;"")*($S$4:$S$500&lt;&gt;"")),1)-_xludf.AGGREGATE(15,6,MOD($R$4:$R$500,1)/(($A$4:$A$500=A79)*($M$4:$M$500=M79)*($R$4:$R$500&lt;&gt;"")*($S$4:$S$500&lt;&gt;"")),1))*1440)/60)/(W79/60)),"")</f>
        <v/>
      </c>
      <c r="Y79" s="35">
        <f>IFERROR(IF(OR(O79="",A79="",M79=""),"",(IF(ISNUMBER(O79),MOD(O79,1),TIMEVALUE(O79))-LOOKUP(2,1/(($A$4:$A$500=A79)*($M$4:$M$500=M79)*($T$4:$T$500&lt;&gt;"")*($T$4:$T$500&lt;IF(ISNUMBER(O79),MOD(O79,1),TIMEVALUE(O79)))),$T$4:$T$500))*1440),"")</f>
        <v/>
      </c>
      <c r="Z79" s="27">
        <f>IFERROR(IF(Y79="","",IF(ROUND(Y79,0)&lt;=15,"Cumple","No cumple")),"")</f>
        <v/>
      </c>
      <c r="AA79" s="15" t="n"/>
      <c r="AB79" s="26">
        <f>IFERROR(IF(OR(O79="",R79=""),"",IF(IF(ISNUMBER(R79),MOD(R79,1),TIMEVALUE(R79))&gt;=IF(ISNUMBER(O79),MOD(O79,1),TIMEVALUE(O79)),(IF(ISNUMBER(R79),MOD(R79,1),TIMEVALUE(R79))-IF(ISNUMBER(O79),MOD(O79,1),TIMEVALUE(O79)))*1440,(IF(ISNUMBER(R79),MOD(R79,1),TIMEVALUE(R79))+1-IF(ISNUMBER(O79),MOD(O79,1),TIMEVALUE(O79)))*1440)),"")</f>
        <v/>
      </c>
      <c r="AC79" s="28">
        <f>IFERROR(IF(OR(R79="",S79=""),"",IF(IF(ISNUMBER(S79),MOD(S79,1),TIMEVALUE(S79))&gt;=IF(ISNUMBER(R79),MOD(R79,1),TIMEVALUE(R79)),(IF(ISNUMBER(S79),MOD(S79,1),TIMEVALUE(S79))-IF(ISNUMBER(R79),MOD(R79,1),TIMEVALUE(R79)))*1440,(IF(ISNUMBER(S79),MOD(S79,1),TIMEVALUE(S79))+1-IF(ISNUMBER(R79),MOD(R79,1),TIMEVALUE(R79)))*1440)),"")</f>
        <v/>
      </c>
      <c r="AD79" s="100" t="n">
        <v>30</v>
      </c>
      <c r="AE79" s="26">
        <f>IFERROR(IF(OR(AC79="",AD79=""),"",AC79-AD79),"")</f>
        <v/>
      </c>
      <c r="AF79" s="27">
        <f>IFERROR(IF(AE79="","",IF(ROUND(AE79,0)&gt;15,"Subestimacion",IF(ROUND(AE79,0)&lt;-15,"Sobrestimacion","Asertivo"))),"")</f>
        <v/>
      </c>
      <c r="AG79" s="33" t="inlineStr">
        <is>
          <t>Sin Suspensión</t>
        </is>
      </c>
      <c r="AH79" s="15" t="n"/>
      <c r="AI79" s="15" t="n"/>
      <c r="AJ79" s="19" t="n"/>
      <c r="AK79" s="19" t="n"/>
      <c r="AL79" s="19" t="n"/>
      <c r="AM79" s="33" t="inlineStr">
        <is>
          <t>I0001188998</t>
        </is>
      </c>
      <c r="AN79" s="19" t="n"/>
      <c r="AO79" s="19" t="n"/>
      <c r="AP79" s="127">
        <f>IF(A79="","",A79-WEEKDAY(A79,2)+1)</f>
        <v/>
      </c>
      <c r="AQ79" s="127">
        <f>IF(AO79="","",AO79+6)</f>
        <v/>
      </c>
      <c r="AR79" s="19">
        <f>IF(AO79="","","Semana "&amp;TEXT(AO79,"dd-mm-yyyy")&amp;" al "&amp;TEXT(AP79,"dd-mm-yyyy"))</f>
        <v/>
      </c>
      <c r="AS79" s="19">
        <f>IF(A79="","",TEXT(A79,"mmmm yyyy"))</f>
        <v/>
      </c>
      <c r="AT79" s="19">
        <f>IF(A79="","",TEXT(A79,"dddd"))</f>
        <v/>
      </c>
      <c r="AU79" s="19">
        <f>IF(A79="","","CRR-"&amp;TEXT(A79,"yyyymmdd")&amp;"-"&amp;M79&amp;"-"&amp;TEXT(ROW()-3,"0000"))</f>
        <v/>
      </c>
      <c r="AV79" s="19">
        <f>IF(A79="","",IF(OR(B79="",C79="",E79="",F79="",M79="",N79=""),"Revisar campos obligatorios",IF(AND(P79="Atraso primera hora",Q79=""),"Falta justificación atraso primera hora",IF(AND(Z79="No cumple",AA79=""),"Falta justificación recambio &gt;15 min",IF(AND(ISNUMBER(SEARCH("suspend",N79)),OR(AG79="",AH79="")),"Falta causa/motivo suspensión","OK")))))</f>
        <v/>
      </c>
      <c r="AW79" s="19">
        <f>IF(N79="","",IF(ISNUMBER(SEARCH("suspend",N79)),IF(AND(AG79="",AH79=""),"Sin causa/motivo registrado",IF(AG79="",AH79,IF(AH79="",AG79,AG79&amp;": "&amp;AH79))),""))</f>
        <v/>
      </c>
    </row>
    <row r="80" ht="16" customHeight="1" s="151">
      <c r="A80" s="32" t="n">
        <v>46174</v>
      </c>
      <c r="B80" s="33" t="inlineStr">
        <is>
          <t>ALFREDO DEL CARMEN</t>
        </is>
      </c>
      <c r="C80" s="33" t="inlineStr">
        <is>
          <t>FIGUEROA</t>
        </is>
      </c>
      <c r="D80" s="33" t="inlineStr">
        <is>
          <t>75a 3m 7d</t>
        </is>
      </c>
      <c r="E80" s="33" t="inlineStr">
        <is>
          <t>- FACOERESIS EXTRACAPSULAR CON IMPLANTE DE LENTE INTRAOCULAR (NO INCLUYE EL VALOR DE LA PROTESIS)</t>
        </is>
      </c>
      <c r="F80" s="45" t="inlineStr">
        <is>
          <t>UNIDAD DE OFTALMOLOGIA</t>
        </is>
      </c>
      <c r="G80" s="19" t="n"/>
      <c r="H80" s="33" t="inlineStr">
        <is>
          <t>1202064-10</t>
        </is>
      </c>
      <c r="I80" s="19" t="n"/>
      <c r="J80" s="20">
        <f>IF(H80&lt;&gt;"",IFERROR(VLOOKUP(IFERROR(LEFT(H80,FIND("-",H80)-1),H80),'Catalogo MINSAL'!A:E,5,FALSE),""),IF(I80&lt;&gt;"",IFERROR(VLOOKUP(IFERROR(LEFT(I80,FIND("-",I80)-1),I80),'Catalogo MINSAL'!A:E,5,FALSE),""),""))</f>
        <v/>
      </c>
      <c r="K80" s="33" t="inlineStr">
        <is>
          <t>Luz Rojas Nef</t>
        </is>
      </c>
      <c r="L80" s="33" t="inlineStr">
        <is>
          <t>Sebastian Andres Ramirez Ramirez</t>
        </is>
      </c>
      <c r="M80" s="33" t="inlineStr">
        <is>
          <t>Quirofano 07</t>
        </is>
      </c>
      <c r="N80" s="48" t="inlineStr">
        <is>
          <t>Realizado</t>
        </is>
      </c>
      <c r="O80" s="49" t="n">
        <v>0.4513888888888889</v>
      </c>
      <c r="P80" s="27">
        <f>IFERROR(IF(OR(O80="",A80="",M80=""),"",IF(SUMPRODUCT(($A$4:$A$500=A80)*($M$4:$M$500=M80)*($O$4:$O$500&lt;&gt;"")*(MOD($O$4:$O$500,1)&lt;MOD(O80,1)))=0,IF(MOD(O80,1)&lt;=TIME(8,15,0),"Ingreso adecuado primera hora","Atraso primera hora"),"No aplica")),"")</f>
        <v/>
      </c>
      <c r="Q80" s="87" t="n"/>
      <c r="R80" s="49" t="n">
        <v>0.4583333333333333</v>
      </c>
      <c r="S80" s="49" t="n">
        <v>0.46875</v>
      </c>
      <c r="T80" s="49" t="n">
        <v>0.4722222222222222</v>
      </c>
      <c r="U80" s="34">
        <f>IFERROR(VLOOKUP(M80,'Horario Pabellones'!$A$4:$D$17,2,FALSE),"")</f>
        <v/>
      </c>
      <c r="V80" s="34">
        <f>IFERROR(VLOOKUP(M80,'Horario Pabellones'!$A$4:$D$17,3,FALSE),"")</f>
        <v/>
      </c>
      <c r="W80" s="100">
        <f>IFERROR(VLOOKUP(M80,'Horario Pabellones'!$A$4:$D$17,4,FALSE),"")</f>
        <v/>
      </c>
      <c r="X80" s="90">
        <f>IFERROR(IF(OR(A80="",M80="",W80=""),"",(((_xludf.AGGREGATE(14,6,MOD($S$4:$S$500,1)/(($A$4:$A$500=A80)*($M$4:$M$500=M80)*($R$4:$R$500&lt;&gt;"")*($S$4:$S$500&lt;&gt;"")),1)-_xludf.AGGREGATE(15,6,MOD($R$4:$R$500,1)/(($A$4:$A$500=A80)*($M$4:$M$500=M80)*($R$4:$R$500&lt;&gt;"")*($S$4:$S$500&lt;&gt;"")),1))*1440)/60)/(W80/60)),"")</f>
        <v/>
      </c>
      <c r="Y80" s="35">
        <f>IFERROR(IF(OR(O80="",A80="",M80=""),"",(IF(ISNUMBER(O80),MOD(O80,1),TIMEVALUE(O80))-LOOKUP(2,1/(($A$4:$A$500=A80)*($M$4:$M$500=M80)*($T$4:$T$500&lt;&gt;"")*($T$4:$T$500&lt;IF(ISNUMBER(O80),MOD(O80,1),TIMEVALUE(O80)))),$T$4:$T$500))*1440),"")</f>
        <v/>
      </c>
      <c r="Z80" s="27">
        <f>IFERROR(IF(Y80="","",IF(ROUND(Y80,0)&lt;=15,"Cumple","No cumple")),"")</f>
        <v/>
      </c>
      <c r="AA80" s="15" t="n"/>
      <c r="AB80" s="26">
        <f>IFERROR(IF(OR(O80="",R80=""),"",IF(IF(ISNUMBER(R80),MOD(R80,1),TIMEVALUE(R80))&gt;=IF(ISNUMBER(O80),MOD(O80,1),TIMEVALUE(O80)),(IF(ISNUMBER(R80),MOD(R80,1),TIMEVALUE(R80))-IF(ISNUMBER(O80),MOD(O80,1),TIMEVALUE(O80)))*1440,(IF(ISNUMBER(R80),MOD(R80,1),TIMEVALUE(R80))+1-IF(ISNUMBER(O80),MOD(O80,1),TIMEVALUE(O80)))*1440)),"")</f>
        <v/>
      </c>
      <c r="AC80" s="28">
        <f>IFERROR(IF(OR(R80="",S80=""),"",IF(IF(ISNUMBER(S80),MOD(S80,1),TIMEVALUE(S80))&gt;=IF(ISNUMBER(R80),MOD(R80,1),TIMEVALUE(R80)),(IF(ISNUMBER(S80),MOD(S80,1),TIMEVALUE(S80))-IF(ISNUMBER(R80),MOD(R80,1),TIMEVALUE(R80)))*1440,(IF(ISNUMBER(S80),MOD(S80,1),TIMEVALUE(S80))+1-IF(ISNUMBER(R80),MOD(R80,1),TIMEVALUE(R80)))*1440)),"")</f>
        <v/>
      </c>
      <c r="AD80" s="100" t="n">
        <v>30</v>
      </c>
      <c r="AE80" s="26">
        <f>IFERROR(IF(OR(AC80="",AD80=""),"",AC80-AD80),"")</f>
        <v/>
      </c>
      <c r="AF80" s="27">
        <f>IFERROR(IF(AE80="","",IF(ROUND(AE80,0)&gt;15,"Subestimacion",IF(ROUND(AE80,0)&lt;-15,"Sobrestimacion","Asertivo"))),"")</f>
        <v/>
      </c>
      <c r="AG80" s="33" t="inlineStr">
        <is>
          <t>Sin Suspensión</t>
        </is>
      </c>
      <c r="AH80" s="15" t="n"/>
      <c r="AI80" s="15" t="n"/>
      <c r="AJ80" s="19" t="n"/>
      <c r="AK80" s="19" t="n"/>
      <c r="AL80" s="19" t="n"/>
      <c r="AM80" s="33" t="inlineStr">
        <is>
          <t>I0001188999</t>
        </is>
      </c>
      <c r="AN80" s="19" t="n"/>
      <c r="AO80" s="19" t="n"/>
      <c r="AP80" s="127">
        <f>IF(A80="","",A80-WEEKDAY(A80,2)+1)</f>
        <v/>
      </c>
      <c r="AQ80" s="127">
        <f>IF(AO80="","",AO80+6)</f>
        <v/>
      </c>
      <c r="AR80" s="19">
        <f>IF(AO80="","","Semana "&amp;TEXT(AO80,"dd-mm-yyyy")&amp;" al "&amp;TEXT(AP80,"dd-mm-yyyy"))</f>
        <v/>
      </c>
      <c r="AS80" s="19">
        <f>IF(A80="","",TEXT(A80,"mmmm yyyy"))</f>
        <v/>
      </c>
      <c r="AT80" s="19">
        <f>IF(A80="","",TEXT(A80,"dddd"))</f>
        <v/>
      </c>
      <c r="AU80" s="19">
        <f>IF(A80="","","CRR-"&amp;TEXT(A80,"yyyymmdd")&amp;"-"&amp;M80&amp;"-"&amp;TEXT(ROW()-3,"0000"))</f>
        <v/>
      </c>
      <c r="AV80" s="19">
        <f>IF(A80="","",IF(OR(B80="",C80="",E80="",F80="",M80="",N80=""),"Revisar campos obligatorios",IF(AND(P80="Atraso primera hora",Q80=""),"Falta justificación atraso primera hora",IF(AND(Z80="No cumple",AA80=""),"Falta justificación recambio &gt;15 min",IF(AND(ISNUMBER(SEARCH("suspend",N80)),OR(AG80="",AH80="")),"Falta causa/motivo suspensión","OK")))))</f>
        <v/>
      </c>
      <c r="AW80" s="19">
        <f>IF(N80="","",IF(ISNUMBER(SEARCH("suspend",N80)),IF(AND(AG80="",AH80=""),"Sin causa/motivo registrado",IF(AG80="",AH80,IF(AH80="",AG80,AG80&amp;": "&amp;AH80))),""))</f>
        <v/>
      </c>
    </row>
    <row r="81" ht="16" customHeight="1" s="151">
      <c r="A81" s="32" t="n">
        <v>46174</v>
      </c>
      <c r="B81" s="33" t="inlineStr">
        <is>
          <t>MARCO ANTONIO</t>
        </is>
      </c>
      <c r="C81" s="33" t="inlineStr">
        <is>
          <t>SILVA</t>
        </is>
      </c>
      <c r="D81" s="33" t="inlineStr">
        <is>
          <t>59a 5m 7d</t>
        </is>
      </c>
      <c r="E81" s="33" t="inlineStr">
        <is>
          <t>- FACOERESIS EXTRACAPSULAR CON IMPLANTE DE LENTE INTRAOCULAR (NO INCLUYE EL VALOR DE LA PROTESIS)</t>
        </is>
      </c>
      <c r="F81" s="45" t="inlineStr">
        <is>
          <t>UNIDAD DE OFTALMOLOGIA</t>
        </is>
      </c>
      <c r="G81" s="19" t="n"/>
      <c r="H81" s="33" t="inlineStr">
        <is>
          <t>1202064-10</t>
        </is>
      </c>
      <c r="I81" s="19" t="n"/>
      <c r="J81" s="20">
        <f>IF(H81&lt;&gt;"",IFERROR(VLOOKUP(IFERROR(LEFT(H81,FIND("-",H81)-1),H81),'Catalogo MINSAL'!A:E,5,FALSE),""),IF(I81&lt;&gt;"",IFERROR(VLOOKUP(IFERROR(LEFT(I81,FIND("-",I81)-1),I81),'Catalogo MINSAL'!A:E,5,FALSE),""),""))</f>
        <v/>
      </c>
      <c r="K81" s="33" t="inlineStr">
        <is>
          <t>Luz Rojas Nef</t>
        </is>
      </c>
      <c r="L81" s="33" t="inlineStr">
        <is>
          <t>Sebastian Andres Ramirez Ramirez</t>
        </is>
      </c>
      <c r="M81" s="33" t="inlineStr">
        <is>
          <t>Quirofano 07</t>
        </is>
      </c>
      <c r="N81" s="48" t="inlineStr">
        <is>
          <t>Realizado</t>
        </is>
      </c>
      <c r="O81" s="49" t="n">
        <v>0.4756944444444444</v>
      </c>
      <c r="P81" s="27">
        <f>IFERROR(IF(OR(O81="",A81="",M81=""),"",IF(SUMPRODUCT(($A$4:$A$500=A81)*($M$4:$M$500=M81)*($O$4:$O$500&lt;&gt;"")*(MOD($O$4:$O$500,1)&lt;MOD(O81,1)))=0,IF(MOD(O81,1)&lt;=TIME(8,15,0),"Ingreso adecuado primera hora","Atraso primera hora"),"No aplica")),"")</f>
        <v/>
      </c>
      <c r="Q81" s="87" t="n"/>
      <c r="R81" s="49" t="n">
        <v>0.4819444444444445</v>
      </c>
      <c r="S81" s="49" t="n">
        <v>0.4895833333333333</v>
      </c>
      <c r="T81" s="49" t="n">
        <v>0.4930555555555556</v>
      </c>
      <c r="U81" s="34">
        <f>IFERROR(VLOOKUP(M81,'Horario Pabellones'!$A$4:$D$17,2,FALSE),"")</f>
        <v/>
      </c>
      <c r="V81" s="34">
        <f>IFERROR(VLOOKUP(M81,'Horario Pabellones'!$A$4:$D$17,3,FALSE),"")</f>
        <v/>
      </c>
      <c r="W81" s="100">
        <f>IFERROR(VLOOKUP(M81,'Horario Pabellones'!$A$4:$D$17,4,FALSE),"")</f>
        <v/>
      </c>
      <c r="X81" s="90">
        <f>IFERROR(IF(OR(A81="",M81="",W81=""),"",(((_xludf.AGGREGATE(14,6,MOD($S$4:$S$500,1)/(($A$4:$A$500=A81)*($M$4:$M$500=M81)*($R$4:$R$500&lt;&gt;"")*($S$4:$S$500&lt;&gt;"")),1)-_xludf.AGGREGATE(15,6,MOD($R$4:$R$500,1)/(($A$4:$A$500=A81)*($M$4:$M$500=M81)*($R$4:$R$500&lt;&gt;"")*($S$4:$S$500&lt;&gt;"")),1))*1440)/60)/(W81/60)),"")</f>
        <v/>
      </c>
      <c r="Y81" s="35">
        <f>IFERROR(IF(OR(O81="",A81="",M81=""),"",(IF(ISNUMBER(O81),MOD(O81,1),TIMEVALUE(O81))-LOOKUP(2,1/(($A$4:$A$500=A81)*($M$4:$M$500=M81)*($T$4:$T$500&lt;&gt;"")*($T$4:$T$500&lt;IF(ISNUMBER(O81),MOD(O81,1),TIMEVALUE(O81)))),$T$4:$T$500))*1440),"")</f>
        <v/>
      </c>
      <c r="Z81" s="27">
        <f>IFERROR(IF(Y81="","",IF(ROUND(Y81,0)&lt;=15,"Cumple","No cumple")),"")</f>
        <v/>
      </c>
      <c r="AA81" s="15" t="n"/>
      <c r="AB81" s="26">
        <f>IFERROR(IF(OR(O81="",R81=""),"",IF(IF(ISNUMBER(R81),MOD(R81,1),TIMEVALUE(R81))&gt;=IF(ISNUMBER(O81),MOD(O81,1),TIMEVALUE(O81)),(IF(ISNUMBER(R81),MOD(R81,1),TIMEVALUE(R81))-IF(ISNUMBER(O81),MOD(O81,1),TIMEVALUE(O81)))*1440,(IF(ISNUMBER(R81),MOD(R81,1),TIMEVALUE(R81))+1-IF(ISNUMBER(O81),MOD(O81,1),TIMEVALUE(O81)))*1440)),"")</f>
        <v/>
      </c>
      <c r="AC81" s="28">
        <f>IFERROR(IF(OR(R81="",S81=""),"",IF(IF(ISNUMBER(S81),MOD(S81,1),TIMEVALUE(S81))&gt;=IF(ISNUMBER(R81),MOD(R81,1),TIMEVALUE(R81)),(IF(ISNUMBER(S81),MOD(S81,1),TIMEVALUE(S81))-IF(ISNUMBER(R81),MOD(R81,1),TIMEVALUE(R81)))*1440,(IF(ISNUMBER(S81),MOD(S81,1),TIMEVALUE(S81))+1-IF(ISNUMBER(R81),MOD(R81,1),TIMEVALUE(R81)))*1440)),"")</f>
        <v/>
      </c>
      <c r="AD81" s="100" t="n">
        <v>30</v>
      </c>
      <c r="AE81" s="26">
        <f>IFERROR(IF(OR(AC81="",AD81=""),"",AC81-AD81),"")</f>
        <v/>
      </c>
      <c r="AF81" s="27">
        <f>IFERROR(IF(AE81="","",IF(ROUND(AE81,0)&gt;15,"Subestimacion",IF(ROUND(AE81,0)&lt;-15,"Sobrestimacion","Asertivo"))),"")</f>
        <v/>
      </c>
      <c r="AG81" s="33" t="inlineStr">
        <is>
          <t>Sin Suspensión</t>
        </is>
      </c>
      <c r="AH81" s="15" t="n"/>
      <c r="AI81" s="15" t="n"/>
      <c r="AJ81" s="19" t="n"/>
      <c r="AK81" s="19" t="n"/>
      <c r="AL81" s="19" t="n"/>
      <c r="AM81" s="33" t="inlineStr">
        <is>
          <t>I0001189001</t>
        </is>
      </c>
      <c r="AN81" s="19" t="n"/>
      <c r="AO81" s="19" t="n"/>
      <c r="AP81" s="127">
        <f>IF(A81="","",A81-WEEKDAY(A81,2)+1)</f>
        <v/>
      </c>
      <c r="AQ81" s="127">
        <f>IF(AO81="","",AO81+6)</f>
        <v/>
      </c>
      <c r="AR81" s="19">
        <f>IF(AO81="","","Semana "&amp;TEXT(AO81,"dd-mm-yyyy")&amp;" al "&amp;TEXT(AP81,"dd-mm-yyyy"))</f>
        <v/>
      </c>
      <c r="AS81" s="19">
        <f>IF(A81="","",TEXT(A81,"mmmm yyyy"))</f>
        <v/>
      </c>
      <c r="AT81" s="19">
        <f>IF(A81="","",TEXT(A81,"dddd"))</f>
        <v/>
      </c>
      <c r="AU81" s="19">
        <f>IF(A81="","","CRR-"&amp;TEXT(A81,"yyyymmdd")&amp;"-"&amp;M81&amp;"-"&amp;TEXT(ROW()-3,"0000"))</f>
        <v/>
      </c>
      <c r="AV81" s="19">
        <f>IF(A81="","",IF(OR(B81="",C81="",E81="",F81="",M81="",N81=""),"Revisar campos obligatorios",IF(AND(P81="Atraso primera hora",Q81=""),"Falta justificación atraso primera hora",IF(AND(Z81="No cumple",AA81=""),"Falta justificación recambio &gt;15 min",IF(AND(ISNUMBER(SEARCH("suspend",N81)),OR(AG81="",AH81="")),"Falta causa/motivo suspensión","OK")))))</f>
        <v/>
      </c>
      <c r="AW81" s="19">
        <f>IF(N81="","",IF(ISNUMBER(SEARCH("suspend",N81)),IF(AND(AG81="",AH81=""),"Sin causa/motivo registrado",IF(AG81="",AH81,IF(AH81="",AG81,AG81&amp;": "&amp;AH81))),""))</f>
        <v/>
      </c>
    </row>
    <row r="82" ht="16" customHeight="1" s="151">
      <c r="A82" s="32" t="n">
        <v>46174</v>
      </c>
      <c r="B82" s="33" t="inlineStr">
        <is>
          <t>DESIDERIO MARIO</t>
        </is>
      </c>
      <c r="C82" s="33" t="inlineStr">
        <is>
          <t>SALAZAR</t>
        </is>
      </c>
      <c r="D82" s="33" t="inlineStr">
        <is>
          <t>81a 4m 29d</t>
        </is>
      </c>
      <c r="E82" s="33" t="inlineStr">
        <is>
          <t>- FACOERESIS EXTRACAPSULAR CON IMPLANTE DE LENTE INTRAOCULAR (NO INCLUYE EL VALOR DE LA PROTESIS)</t>
        </is>
      </c>
      <c r="F82" s="45" t="inlineStr">
        <is>
          <t>UNIDAD DE OFTALMOLOGIA</t>
        </is>
      </c>
      <c r="G82" s="19" t="n"/>
      <c r="H82" s="33" t="inlineStr">
        <is>
          <t>1202064-10</t>
        </is>
      </c>
      <c r="I82" s="19" t="n"/>
      <c r="J82" s="20">
        <f>IF(H82&lt;&gt;"",IFERROR(VLOOKUP(IFERROR(LEFT(H82,FIND("-",H82)-1),H82),'Catalogo MINSAL'!A:E,5,FALSE),""),IF(I82&lt;&gt;"",IFERROR(VLOOKUP(IFERROR(LEFT(I82,FIND("-",I82)-1),I82),'Catalogo MINSAL'!A:E,5,FALSE),""),""))</f>
        <v/>
      </c>
      <c r="K82" s="33" t="inlineStr">
        <is>
          <t>Luz Rojas Nef</t>
        </is>
      </c>
      <c r="L82" s="33" t="inlineStr">
        <is>
          <t>Sebastian Andres Ramirez Ramirez</t>
        </is>
      </c>
      <c r="M82" s="33" t="inlineStr">
        <is>
          <t>Quirofano 07</t>
        </is>
      </c>
      <c r="N82" s="48" t="inlineStr">
        <is>
          <t>Realizado</t>
        </is>
      </c>
      <c r="O82" s="49" t="n">
        <v>0.4958333333333333</v>
      </c>
      <c r="P82" s="27">
        <f>IFERROR(IF(OR(O82="",A82="",M82=""),"",IF(SUMPRODUCT(($A$4:$A$500=A82)*($M$4:$M$500=M82)*($O$4:$O$500&lt;&gt;"")*(MOD($O$4:$O$500,1)&lt;MOD(O82,1)))=0,IF(MOD(O82,1)&lt;=TIME(8,15,0),"Ingreso adecuado primera hora","Atraso primera hora"),"No aplica")),"")</f>
        <v/>
      </c>
      <c r="Q82" s="87" t="n"/>
      <c r="R82" s="49" t="n">
        <v>0.5</v>
      </c>
      <c r="S82" s="49" t="n">
        <v>0.5104166666666666</v>
      </c>
      <c r="T82" s="49" t="n">
        <v>0.5138888888888888</v>
      </c>
      <c r="U82" s="34">
        <f>IFERROR(VLOOKUP(M82,'Horario Pabellones'!$A$4:$D$17,2,FALSE),"")</f>
        <v/>
      </c>
      <c r="V82" s="34">
        <f>IFERROR(VLOOKUP(M82,'Horario Pabellones'!$A$4:$D$17,3,FALSE),"")</f>
        <v/>
      </c>
      <c r="W82" s="100">
        <f>IFERROR(VLOOKUP(M82,'Horario Pabellones'!$A$4:$D$17,4,FALSE),"")</f>
        <v/>
      </c>
      <c r="X82" s="90">
        <f>IFERROR(IF(OR(A82="",M82="",W82=""),"",(((_xludf.AGGREGATE(14,6,MOD($S$4:$S$500,1)/(($A$4:$A$500=A82)*($M$4:$M$500=M82)*($R$4:$R$500&lt;&gt;"")*($S$4:$S$500&lt;&gt;"")),1)-_xludf.AGGREGATE(15,6,MOD($R$4:$R$500,1)/(($A$4:$A$500=A82)*($M$4:$M$500=M82)*($R$4:$R$500&lt;&gt;"")*($S$4:$S$500&lt;&gt;"")),1))*1440)/60)/(W82/60)),"")</f>
        <v/>
      </c>
      <c r="Y82" s="35">
        <f>IFERROR(IF(OR(O82="",A82="",M82=""),"",(IF(ISNUMBER(O82),MOD(O82,1),TIMEVALUE(O82))-LOOKUP(2,1/(($A$4:$A$500=A82)*($M$4:$M$500=M82)*($T$4:$T$500&lt;&gt;"")*($T$4:$T$500&lt;IF(ISNUMBER(O82),MOD(O82,1),TIMEVALUE(O82)))),$T$4:$T$500))*1440),"")</f>
        <v/>
      </c>
      <c r="Z82" s="27">
        <f>IFERROR(IF(Y82="","",IF(ROUND(Y82,0)&lt;=15,"Cumple","No cumple")),"")</f>
        <v/>
      </c>
      <c r="AA82" s="15" t="n"/>
      <c r="AB82" s="26">
        <f>IFERROR(IF(OR(O82="",R82=""),"",IF(IF(ISNUMBER(R82),MOD(R82,1),TIMEVALUE(R82))&gt;=IF(ISNUMBER(O82),MOD(O82,1),TIMEVALUE(O82)),(IF(ISNUMBER(R82),MOD(R82,1),TIMEVALUE(R82))-IF(ISNUMBER(O82),MOD(O82,1),TIMEVALUE(O82)))*1440,(IF(ISNUMBER(R82),MOD(R82,1),TIMEVALUE(R82))+1-IF(ISNUMBER(O82),MOD(O82,1),TIMEVALUE(O82)))*1440)),"")</f>
        <v/>
      </c>
      <c r="AC82" s="28">
        <f>IFERROR(IF(OR(R82="",S82=""),"",IF(IF(ISNUMBER(S82),MOD(S82,1),TIMEVALUE(S82))&gt;=IF(ISNUMBER(R82),MOD(R82,1),TIMEVALUE(R82)),(IF(ISNUMBER(S82),MOD(S82,1),TIMEVALUE(S82))-IF(ISNUMBER(R82),MOD(R82,1),TIMEVALUE(R82)))*1440,(IF(ISNUMBER(S82),MOD(S82,1),TIMEVALUE(S82))+1-IF(ISNUMBER(R82),MOD(R82,1),TIMEVALUE(R82)))*1440)),"")</f>
        <v/>
      </c>
      <c r="AD82" s="100" t="n">
        <v>30</v>
      </c>
      <c r="AE82" s="26">
        <f>IFERROR(IF(OR(AC82="",AD82=""),"",AC82-AD82),"")</f>
        <v/>
      </c>
      <c r="AF82" s="27">
        <f>IFERROR(IF(AE82="","",IF(ROUND(AE82,0)&gt;15,"Subestimacion",IF(ROUND(AE82,0)&lt;-15,"Sobrestimacion","Asertivo"))),"")</f>
        <v/>
      </c>
      <c r="AG82" s="33" t="inlineStr">
        <is>
          <t>Sin Suspensión</t>
        </is>
      </c>
      <c r="AH82" s="15" t="n"/>
      <c r="AI82" s="15" t="n"/>
      <c r="AJ82" s="19" t="n"/>
      <c r="AK82" s="19" t="n"/>
      <c r="AL82" s="19" t="n"/>
      <c r="AM82" s="33" t="inlineStr">
        <is>
          <t>I0001189002</t>
        </is>
      </c>
      <c r="AN82" s="19" t="n"/>
      <c r="AO82" s="19" t="n"/>
      <c r="AP82" s="127">
        <f>IF(A82="","",A82-WEEKDAY(A82,2)+1)</f>
        <v/>
      </c>
      <c r="AQ82" s="127">
        <f>IF(AO82="","",AO82+6)</f>
        <v/>
      </c>
      <c r="AR82" s="19">
        <f>IF(AO82="","","Semana "&amp;TEXT(AO82,"dd-mm-yyyy")&amp;" al "&amp;TEXT(AP82,"dd-mm-yyyy"))</f>
        <v/>
      </c>
      <c r="AS82" s="19">
        <f>IF(A82="","",TEXT(A82,"mmmm yyyy"))</f>
        <v/>
      </c>
      <c r="AT82" s="19">
        <f>IF(A82="","",TEXT(A82,"dddd"))</f>
        <v/>
      </c>
      <c r="AU82" s="19">
        <f>IF(A82="","","CRR-"&amp;TEXT(A82,"yyyymmdd")&amp;"-"&amp;M82&amp;"-"&amp;TEXT(ROW()-3,"0000"))</f>
        <v/>
      </c>
      <c r="AV82" s="19">
        <f>IF(A82="","",IF(OR(B82="",C82="",E82="",F82="",M82="",N82=""),"Revisar campos obligatorios",IF(AND(P82="Atraso primera hora",Q82=""),"Falta justificación atraso primera hora",IF(AND(Z82="No cumple",AA82=""),"Falta justificación recambio &gt;15 min",IF(AND(ISNUMBER(SEARCH("suspend",N82)),OR(AG82="",AH82="")),"Falta causa/motivo suspensión","OK")))))</f>
        <v/>
      </c>
      <c r="AW82" s="19">
        <f>IF(N82="","",IF(ISNUMBER(SEARCH("suspend",N82)),IF(AND(AG82="",AH82=""),"Sin causa/motivo registrado",IF(AG82="",AH82,IF(AH82="",AG82,AG82&amp;": "&amp;AH82))),""))</f>
        <v/>
      </c>
    </row>
    <row r="83" ht="16" customHeight="1" s="151">
      <c r="A83" s="32" t="n">
        <v>46174</v>
      </c>
      <c r="B83" s="33" t="inlineStr">
        <is>
          <t>JORGE EDUARDO</t>
        </is>
      </c>
      <c r="C83" s="33" t="inlineStr">
        <is>
          <t>MORALES</t>
        </is>
      </c>
      <c r="D83" s="33" t="inlineStr">
        <is>
          <t>31a 2m 29d</t>
        </is>
      </c>
      <c r="E83" s="33" t="inlineStr">
        <is>
          <t>OSTEOSINTESIS METACARPIANAS O DE FALANGES, CUALQUIER TECNICA</t>
        </is>
      </c>
      <c r="F83" s="33" t="inlineStr">
        <is>
          <t>SERVICIO DE TRAUMATOLOGIA</t>
        </is>
      </c>
      <c r="G83" s="19" t="n"/>
      <c r="H83" s="33" t="inlineStr">
        <is>
          <t>2104099-4</t>
        </is>
      </c>
      <c r="I83" s="19" t="n"/>
      <c r="J83" s="20">
        <f>IF(H83&lt;&gt;"",IFERROR(VLOOKUP(IFERROR(LEFT(H83,FIND("-",H83)-1),H83),'Catalogo MINSAL'!A:E,5,FALSE),""),IF(I83&lt;&gt;"",IFERROR(VLOOKUP(IFERROR(LEFT(I83,FIND("-",I83)-1),I83),'Catalogo MINSAL'!A:E,5,FALSE),""),""))</f>
        <v/>
      </c>
      <c r="K83" s="33" t="inlineStr">
        <is>
          <t>Luz Rojas Nef</t>
        </is>
      </c>
      <c r="L83" s="33" t="inlineStr">
        <is>
          <t>Joaquin Matias Palomo Gaete</t>
        </is>
      </c>
      <c r="M83" s="33" t="inlineStr">
        <is>
          <t>Quirofano 07</t>
        </is>
      </c>
      <c r="N83" s="48" t="inlineStr">
        <is>
          <t>Realizado</t>
        </is>
      </c>
      <c r="O83" s="49" t="n">
        <v>0.5625</v>
      </c>
      <c r="P83" s="27">
        <f>IFERROR(IF(OR(O83="",A83="",M83=""),"",IF(SUMPRODUCT(($A$4:$A$500=A83)*($M$4:$M$500=M83)*($O$4:$O$500&lt;&gt;"")*(MOD($O$4:$O$500,1)&lt;MOD(O83,1)))=0,IF(MOD(O83,1)&lt;=TIME(8,15,0),"Ingreso adecuado primera hora","Atraso primera hora"),"No aplica")),"")</f>
        <v/>
      </c>
      <c r="Q83" s="86" t="n"/>
      <c r="R83" s="49" t="n">
        <v>0.5833333333333334</v>
      </c>
      <c r="S83" s="49" t="n">
        <v>0.6041666666666666</v>
      </c>
      <c r="T83" s="49" t="n">
        <v>0.6180555555555556</v>
      </c>
      <c r="U83" s="34">
        <f>IFERROR(VLOOKUP(M83,'Horario Pabellones'!$A$4:$D$17,2,FALSE),"")</f>
        <v/>
      </c>
      <c r="V83" s="34">
        <f>IFERROR(VLOOKUP(M83,'Horario Pabellones'!$A$4:$D$17,3,FALSE),"")</f>
        <v/>
      </c>
      <c r="W83" s="100">
        <f>IFERROR(VLOOKUP(M83,'Horario Pabellones'!$A$4:$D$17,4,FALSE),"")</f>
        <v/>
      </c>
      <c r="X83" s="90">
        <f>IFERROR(IF(OR(A83="",M83="",W83=""),"",(((_xludf.AGGREGATE(14,6,MOD($S$4:$S$500,1)/(($A$4:$A$500=A83)*($M$4:$M$500=M83)*($R$4:$R$500&lt;&gt;"")*($S$4:$S$500&lt;&gt;"")),1)-_xludf.AGGREGATE(15,6,MOD($R$4:$R$500,1)/(($A$4:$A$500=A83)*($M$4:$M$500=M83)*($R$4:$R$500&lt;&gt;"")*($S$4:$S$500&lt;&gt;"")),1))*1440)/60)/(W83/60)),"")</f>
        <v/>
      </c>
      <c r="Y83" s="35">
        <f>IFERROR(IF(OR(O83="",A83="",M83=""),"",(IF(ISNUMBER(O83),MOD(O83,1),TIMEVALUE(O83))-LOOKUP(2,1/(($A$4:$A$500=A83)*($M$4:$M$500=M83)*($T$4:$T$500&lt;&gt;"")*($T$4:$T$500&lt;IF(ISNUMBER(O83),MOD(O83,1),TIMEVALUE(O83)))),$T$4:$T$500))*1440),"")</f>
        <v/>
      </c>
      <c r="Z83" s="27">
        <f>IFERROR(IF(Y83="","",IF(ROUND(Y83,0)&lt;=15,"Cumple","No cumple")),"")</f>
        <v/>
      </c>
      <c r="AA83" s="85" t="inlineStr">
        <is>
          <t>revision de cajas</t>
        </is>
      </c>
      <c r="AB83" s="26">
        <f>IFERROR(IF(OR(O83="",R83=""),"",IF(IF(ISNUMBER(R83),MOD(R83,1),TIMEVALUE(R83))&gt;=IF(ISNUMBER(O83),MOD(O83,1),TIMEVALUE(O83)),(IF(ISNUMBER(R83),MOD(R83,1),TIMEVALUE(R83))-IF(ISNUMBER(O83),MOD(O83,1),TIMEVALUE(O83)))*1440,(IF(ISNUMBER(R83),MOD(R83,1),TIMEVALUE(R83))+1-IF(ISNUMBER(O83),MOD(O83,1),TIMEVALUE(O83)))*1440)),"")</f>
        <v/>
      </c>
      <c r="AC83" s="28">
        <f>IFERROR(IF(OR(R83="",S83=""),"",IF(IF(ISNUMBER(S83),MOD(S83,1),TIMEVALUE(S83))&gt;=IF(ISNUMBER(R83),MOD(R83,1),TIMEVALUE(R83)),(IF(ISNUMBER(S83),MOD(S83,1),TIMEVALUE(S83))-IF(ISNUMBER(R83),MOD(R83,1),TIMEVALUE(R83)))*1440,(IF(ISNUMBER(S83),MOD(S83,1),TIMEVALUE(S83))+1-IF(ISNUMBER(R83),MOD(R83,1),TIMEVALUE(R83)))*1440)),"")</f>
        <v/>
      </c>
      <c r="AD83" s="100" t="n">
        <v>60</v>
      </c>
      <c r="AE83" s="26">
        <f>IFERROR(IF(OR(AC83="",AD83=""),"",AC83-AD83),"")</f>
        <v/>
      </c>
      <c r="AF83" s="27">
        <f>IFERROR(IF(AE83="","",IF(ROUND(AE83,0)&gt;15,"Subestimacion",IF(ROUND(AE83,0)&lt;-15,"Sobrestimacion","Asertivo"))),"")</f>
        <v/>
      </c>
      <c r="AG83" s="33" t="inlineStr">
        <is>
          <t>Sin Suspensión</t>
        </is>
      </c>
      <c r="AH83" s="85" t="n"/>
      <c r="AI83" s="85" t="n"/>
      <c r="AJ83" s="19" t="n"/>
      <c r="AK83" s="19" t="n"/>
      <c r="AL83" s="19" t="n"/>
      <c r="AM83" s="33" t="inlineStr">
        <is>
          <t>I0001189048</t>
        </is>
      </c>
      <c r="AN83" s="19" t="n"/>
      <c r="AO83" s="19" t="n"/>
      <c r="AP83" s="127">
        <f>IF(A83="","",A83-WEEKDAY(A83,2)+1)</f>
        <v/>
      </c>
      <c r="AQ83" s="127">
        <f>IF(AO83="","",AO83+6)</f>
        <v/>
      </c>
      <c r="AR83" s="19">
        <f>IF(AO83="","","Semana "&amp;TEXT(AO83,"dd-mm-yyyy")&amp;" al "&amp;TEXT(AP83,"dd-mm-yyyy"))</f>
        <v/>
      </c>
      <c r="AS83" s="19">
        <f>IF(A83="","",TEXT(A83,"mmmm yyyy"))</f>
        <v/>
      </c>
      <c r="AT83" s="19">
        <f>IF(A83="","",TEXT(A83,"dddd"))</f>
        <v/>
      </c>
      <c r="AU83" s="19">
        <f>IF(A83="","","CRR-"&amp;TEXT(A83,"yyyymmdd")&amp;"-"&amp;M83&amp;"-"&amp;TEXT(ROW()-3,"0000"))</f>
        <v/>
      </c>
      <c r="AV83" s="19">
        <f>IF(A83="","",IF(OR(B83="",C83="",E83="",F83="",M83="",N83=""),"Revisar campos obligatorios",IF(AND(P83="Atraso primera hora",Q83=""),"Falta justificación atraso primera hora",IF(AND(Z83="No cumple",AA83=""),"Falta justificación recambio &gt;15 min",IF(AND(ISNUMBER(SEARCH("suspend",N83)),OR(AG83="",AH83="")),"Falta causa/motivo suspensión","OK")))))</f>
        <v/>
      </c>
      <c r="AW83" s="19">
        <f>IF(N83="","",IF(ISNUMBER(SEARCH("suspend",N83)),IF(AND(AG83="",AH83=""),"Sin causa/motivo registrado",IF(AG83="",AH83,IF(AH83="",AG83,AG83&amp;": "&amp;AH83))),""))</f>
        <v/>
      </c>
    </row>
    <row r="84" ht="16" customHeight="1" s="151">
      <c r="A84" s="32" t="n">
        <v>46174</v>
      </c>
      <c r="B84" s="33" t="inlineStr">
        <is>
          <t>ALEXIS</t>
        </is>
      </c>
      <c r="C84" s="33" t="inlineStr">
        <is>
          <t>BELTRE</t>
        </is>
      </c>
      <c r="D84" s="33" t="inlineStr">
        <is>
          <t>56a 1m 22d</t>
        </is>
      </c>
      <c r="E84" s="33" t="inlineStr">
        <is>
          <t>FRACTURAS CONDILEAS O DE PLATILLOS TIBIALES, REDUCCION, OSTEOSINTESIS (CUALQUIER TECNICA)</t>
        </is>
      </c>
      <c r="F84" s="33" t="inlineStr">
        <is>
          <t>SERVICIO DE TRAUMATOLOGIA</t>
        </is>
      </c>
      <c r="G84" s="19" t="n"/>
      <c r="H84" s="33" t="inlineStr">
        <is>
          <t>2104155-7</t>
        </is>
      </c>
      <c r="I84" s="19" t="n"/>
      <c r="J84" s="20">
        <f>IF(H84&lt;&gt;"",IFERROR(VLOOKUP(IFERROR(LEFT(H84,FIND("-",H84)-1),H84),'Catalogo MINSAL'!A:E,5,FALSE),""),IF(I84&lt;&gt;"",IFERROR(VLOOKUP(IFERROR(LEFT(I84,FIND("-",I84)-1),I84),'Catalogo MINSAL'!A:E,5,FALSE),""),""))</f>
        <v/>
      </c>
      <c r="K84" s="33" t="inlineStr">
        <is>
          <t>Luz Rojas Nef</t>
        </is>
      </c>
      <c r="L84" s="33" t="inlineStr">
        <is>
          <t>Joaquin Matias Palomo Gaete</t>
        </is>
      </c>
      <c r="M84" s="33" t="inlineStr">
        <is>
          <t>Quirofano 07</t>
        </is>
      </c>
      <c r="N84" s="48" t="inlineStr">
        <is>
          <t>Realizado</t>
        </is>
      </c>
      <c r="O84" s="49" t="n">
        <v>0.6527777777777778</v>
      </c>
      <c r="P84" s="27">
        <f>IFERROR(IF(OR(O84="",A84="",M84=""),"",IF(SUMPRODUCT(($A$4:$A$500=A84)*($M$4:$M$500=M84)*($O$4:$O$500&lt;&gt;"")*(MOD($O$4:$O$500,1)&lt;MOD(O84,1)))=0,IF(MOD(O84,1)&lt;=TIME(8,15,0),"Ingreso adecuado primera hora","Atraso primera hora"),"No aplica")),"")</f>
        <v/>
      </c>
      <c r="Q84" s="86" t="n"/>
      <c r="R84" s="49" t="n">
        <v>0.6666666666666666</v>
      </c>
      <c r="S84" s="49" t="n">
        <v>0.7291666666666666</v>
      </c>
      <c r="T84" s="49" t="n">
        <v>0.75</v>
      </c>
      <c r="U84" s="34">
        <f>IFERROR(VLOOKUP(M84,'Horario Pabellones'!$A$4:$D$17,2,FALSE),"")</f>
        <v/>
      </c>
      <c r="V84" s="34">
        <f>IFERROR(VLOOKUP(M84,'Horario Pabellones'!$A$4:$D$17,3,FALSE),"")</f>
        <v/>
      </c>
      <c r="W84" s="100">
        <f>IFERROR(VLOOKUP(M84,'Horario Pabellones'!$A$4:$D$17,4,FALSE),"")</f>
        <v/>
      </c>
      <c r="X84" s="90">
        <f>IFERROR(IF(OR(A84="",M84="",W84=""),"",(((_xludf.AGGREGATE(14,6,MOD($S$4:$S$500,1)/(($A$4:$A$500=A84)*($M$4:$M$500=M84)*($R$4:$R$500&lt;&gt;"")*($S$4:$S$500&lt;&gt;"")),1)-_xludf.AGGREGATE(15,6,MOD($R$4:$R$500,1)/(($A$4:$A$500=A84)*($M$4:$M$500=M84)*($R$4:$R$500&lt;&gt;"")*($S$4:$S$500&lt;&gt;"")),1))*1440)/60)/(W84/60)),"")</f>
        <v/>
      </c>
      <c r="Y84" s="35">
        <f>IFERROR(IF(OR(O84="",A84="",M84=""),"",(IF(ISNUMBER(O84),MOD(O84,1),TIMEVALUE(O84))-LOOKUP(2,1/(($A$4:$A$500=A84)*($M$4:$M$500=M84)*($T$4:$T$500&lt;&gt;"")*($T$4:$T$500&lt;IF(ISNUMBER(O84),MOD(O84,1),TIMEVALUE(O84)))),$T$4:$T$500))*1440),"")</f>
        <v/>
      </c>
      <c r="Z84" s="27">
        <f>IFERROR(IF(Y84="","",IF(ROUND(Y84,0)&lt;=15,"Cumple","No cumple")),"")</f>
        <v/>
      </c>
      <c r="AA84" s="85" t="inlineStr">
        <is>
          <t>revision de cajas</t>
        </is>
      </c>
      <c r="AB84" s="26">
        <f>IFERROR(IF(OR(O84="",R84=""),"",IF(IF(ISNUMBER(R84),MOD(R84,1),TIMEVALUE(R84))&gt;=IF(ISNUMBER(O84),MOD(O84,1),TIMEVALUE(O84)),(IF(ISNUMBER(R84),MOD(R84,1),TIMEVALUE(R84))-IF(ISNUMBER(O84),MOD(O84,1),TIMEVALUE(O84)))*1440,(IF(ISNUMBER(R84),MOD(R84,1),TIMEVALUE(R84))+1-IF(ISNUMBER(O84),MOD(O84,1),TIMEVALUE(O84)))*1440)),"")</f>
        <v/>
      </c>
      <c r="AC84" s="28">
        <f>IFERROR(IF(OR(R84="",S84=""),"",IF(IF(ISNUMBER(S84),MOD(S84,1),TIMEVALUE(S84))&gt;=IF(ISNUMBER(R84),MOD(R84,1),TIMEVALUE(R84)),(IF(ISNUMBER(S84),MOD(S84,1),TIMEVALUE(S84))-IF(ISNUMBER(R84),MOD(R84,1),TIMEVALUE(R84)))*1440,(IF(ISNUMBER(S84),MOD(S84,1),TIMEVALUE(S84))+1-IF(ISNUMBER(R84),MOD(R84,1),TIMEVALUE(R84)))*1440)),"")</f>
        <v/>
      </c>
      <c r="AD84" s="100" t="n">
        <v>90</v>
      </c>
      <c r="AE84" s="26">
        <f>IFERROR(IF(OR(AC84="",AD84=""),"",AC84-AD84),"")</f>
        <v/>
      </c>
      <c r="AF84" s="27">
        <f>IFERROR(IF(AE84="","",IF(ROUND(AE84,0)&gt;15,"Subestimacion",IF(ROUND(AE84,0)&lt;-15,"Sobrestimacion","Asertivo"))),"")</f>
        <v/>
      </c>
      <c r="AG84" s="33" t="inlineStr">
        <is>
          <t>Sin Suspensión</t>
        </is>
      </c>
      <c r="AH84" s="85" t="n"/>
      <c r="AI84" s="85" t="n"/>
      <c r="AJ84" s="19" t="n"/>
      <c r="AK84" s="19" t="n"/>
      <c r="AL84" s="19" t="n"/>
      <c r="AM84" s="33" t="inlineStr">
        <is>
          <t>I0001189457</t>
        </is>
      </c>
      <c r="AN84" s="19" t="n"/>
      <c r="AO84" s="19" t="n"/>
      <c r="AP84" s="127">
        <f>IF(A84="","",A84-WEEKDAY(A84,2)+1)</f>
        <v/>
      </c>
      <c r="AQ84" s="127">
        <f>IF(AO84="","",AO84+6)</f>
        <v/>
      </c>
      <c r="AR84" s="19">
        <f>IF(AO84="","","Semana "&amp;TEXT(AO84,"dd-mm-yyyy")&amp;" al "&amp;TEXT(AP84,"dd-mm-yyyy"))</f>
        <v/>
      </c>
      <c r="AS84" s="19">
        <f>IF(A84="","",TEXT(A84,"mmmm yyyy"))</f>
        <v/>
      </c>
      <c r="AT84" s="19">
        <f>IF(A84="","",TEXT(A84,"dddd"))</f>
        <v/>
      </c>
      <c r="AU84" s="19">
        <f>IF(A84="","","CRR-"&amp;TEXT(A84,"yyyymmdd")&amp;"-"&amp;M84&amp;"-"&amp;TEXT(ROW()-3,"0000"))</f>
        <v/>
      </c>
      <c r="AV84" s="19">
        <f>IF(A84="","",IF(OR(B84="",C84="",E84="",F84="",M84="",N84=""),"Revisar campos obligatorios",IF(AND(P84="Atraso primera hora",Q84=""),"Falta justificación atraso primera hora",IF(AND(Z84="No cumple",AA84=""),"Falta justificación recambio &gt;15 min",IF(AND(ISNUMBER(SEARCH("suspend",N84)),OR(AG84="",AH84="")),"Falta causa/motivo suspensión","OK")))))</f>
        <v/>
      </c>
      <c r="AW84" s="19">
        <f>IF(N84="","",IF(ISNUMBER(SEARCH("suspend",N84)),IF(AND(AG84="",AH84=""),"Sin causa/motivo registrado",IF(AG84="",AH84,IF(AH84="",AG84,AG84&amp;": "&amp;AH84))),""))</f>
        <v/>
      </c>
    </row>
    <row r="85" ht="16" customHeight="1" s="151">
      <c r="A85" s="32" t="n">
        <v>46174</v>
      </c>
      <c r="B85" s="33" t="inlineStr">
        <is>
          <t>LUCIANA PURÍSIMA</t>
        </is>
      </c>
      <c r="C85" s="33" t="inlineStr">
        <is>
          <t>MUÑIZ</t>
        </is>
      </c>
      <c r="D85" s="33" t="inlineStr">
        <is>
          <t>55a 11m 10d</t>
        </is>
      </c>
      <c r="E85" s="33" t="inlineStr">
        <is>
          <t>Retiro de material de osteosíntesis o distractores en cirugía de craneosinostosis</t>
        </is>
      </c>
      <c r="F85" s="33" t="inlineStr">
        <is>
          <t>SERVICIO DE TRAUMATOLOGIA</t>
        </is>
      </c>
      <c r="G85" s="19" t="n"/>
      <c r="H85" s="33" t="inlineStr">
        <is>
          <t>1103071-10</t>
        </is>
      </c>
      <c r="I85" s="19" t="n"/>
      <c r="J85" s="20">
        <f>IF(H85&lt;&gt;"",IFERROR(VLOOKUP(IFERROR(LEFT(H85,FIND("-",H85)-1),H85),'Catalogo MINSAL'!A:E,5,FALSE),""),IF(I85&lt;&gt;"",IFERROR(VLOOKUP(IFERROR(LEFT(I85,FIND("-",I85)-1),I85),'Catalogo MINSAL'!A:E,5,FALSE),""),""))</f>
        <v/>
      </c>
      <c r="K85" s="33" t="inlineStr">
        <is>
          <t>Luz Rojas Nef</t>
        </is>
      </c>
      <c r="L85" s="33" t="inlineStr">
        <is>
          <t>Osman Gabilan Gonzalez</t>
        </is>
      </c>
      <c r="M85" s="33" t="inlineStr">
        <is>
          <t>Quirofano 07</t>
        </is>
      </c>
      <c r="N85" s="50" t="inlineStr">
        <is>
          <t>Suspendido</t>
        </is>
      </c>
      <c r="O85" s="36" t="n"/>
      <c r="P85" s="27">
        <f>IFERROR(IF(OR(O85="",A85="",M85=""),"",IF(SUMPRODUCT(($A$4:$A$500=A85)*($M$4:$M$500=M85)*($O$4:$O$500&lt;&gt;"")*(MOD($O$4:$O$500,1)&lt;MOD(O85,1)))=0,IF(MOD(O85,1)&lt;=TIME(8,15,0),"Ingreso adecuado primera hora","Atraso primera hora"),"No aplica")),"")</f>
        <v/>
      </c>
      <c r="Q85" s="86" t="n"/>
      <c r="R85" s="36" t="n"/>
      <c r="S85" s="36" t="n"/>
      <c r="T85" s="36" t="n"/>
      <c r="U85" s="34">
        <f>IFERROR(VLOOKUP(M85,'Horario Pabellones'!$A$4:$D$17,2,FALSE),"")</f>
        <v/>
      </c>
      <c r="V85" s="34">
        <f>IFERROR(VLOOKUP(M85,'Horario Pabellones'!$A$4:$D$17,3,FALSE),"")</f>
        <v/>
      </c>
      <c r="W85" s="100">
        <f>IFERROR(VLOOKUP(M85,'Horario Pabellones'!$A$4:$D$17,4,FALSE),"")</f>
        <v/>
      </c>
      <c r="X85" s="90">
        <f>IFERROR(IF(OR(A85="",M85="",W85=""),"",(((_xludf.AGGREGATE(14,6,MOD($S$4:$S$500,1)/(($A$4:$A$500=A85)*($M$4:$M$500=M85)*($R$4:$R$500&lt;&gt;"")*($S$4:$S$500&lt;&gt;"")),1)-_xludf.AGGREGATE(15,6,MOD($R$4:$R$500,1)/(($A$4:$A$500=A85)*($M$4:$M$500=M85)*($R$4:$R$500&lt;&gt;"")*($S$4:$S$500&lt;&gt;"")),1))*1440)/60)/(W85/60)),"")</f>
        <v/>
      </c>
      <c r="Y85" s="41">
        <f>IFERROR(IF(OR(O85="",A85="",M85=""),"",(IF(ISNUMBER(O85),MOD(O85,1),TIMEVALUE(O85))-LOOKUP(2,1/(($A$4:$A$500=A85)*($M$4:$M$500=M85)*($T$4:$T$500&lt;&gt;"")*($T$4:$T$500&lt;IF(ISNUMBER(O85),MOD(O85,1),TIMEVALUE(O85)))),$T$4:$T$500))*1440),"")</f>
        <v/>
      </c>
      <c r="Z85" s="27">
        <f>IFERROR(IF(Y85="","",IF(ROUND(Y85,0)&lt;=15,"Cumple","No cumple")),"")</f>
        <v/>
      </c>
      <c r="AA85" s="85" t="n"/>
      <c r="AB85" s="26">
        <f>IFERROR(IF(OR(O85="",R85=""),"",IF(IF(ISNUMBER(R85),MOD(R85,1),TIMEVALUE(R85))&gt;=IF(ISNUMBER(O85),MOD(O85,1),TIMEVALUE(O85)),(IF(ISNUMBER(R85),MOD(R85,1),TIMEVALUE(R85))-IF(ISNUMBER(O85),MOD(O85,1),TIMEVALUE(O85)))*1440,(IF(ISNUMBER(R85),MOD(R85,1),TIMEVALUE(R85))+1-IF(ISNUMBER(O85),MOD(O85,1),TIMEVALUE(O85)))*1440)),"")</f>
        <v/>
      </c>
      <c r="AC85" s="28">
        <f>IFERROR(IF(OR(R85="",S85=""),"",IF(IF(ISNUMBER(S85),MOD(S85,1),TIMEVALUE(S85))&gt;=IF(ISNUMBER(R85),MOD(R85,1),TIMEVALUE(R85)),(IF(ISNUMBER(S85),MOD(S85,1),TIMEVALUE(S85))-IF(ISNUMBER(R85),MOD(R85,1),TIMEVALUE(R85)))*1440,(IF(ISNUMBER(S85),MOD(S85,1),TIMEVALUE(S85))+1-IF(ISNUMBER(R85),MOD(R85,1),TIMEVALUE(R85)))*1440)),"")</f>
        <v/>
      </c>
      <c r="AD85" s="100" t="n">
        <v>45</v>
      </c>
      <c r="AE85" s="26">
        <f>IFERROR(IF(OR(AC85="",AD85=""),"",AC85-AD85),"")</f>
        <v/>
      </c>
      <c r="AF85" s="27">
        <f>IFERROR(IF(AE85="","",IF(ROUND(AE85,0)&gt;15,"Subestimacion",IF(ROUND(AE85,0)&lt;-15,"Sobrestimacion","Asertivo"))),"")</f>
        <v/>
      </c>
      <c r="AG85" s="42" t="inlineStr">
        <is>
          <t>Error de programación</t>
        </is>
      </c>
      <c r="AH85" s="86" t="inlineStr">
        <is>
          <t>Penultima cirugia termina a las 18:05 hrs, bloque qx hasta las 19:00</t>
        </is>
      </c>
      <c r="AI85" s="86" t="inlineStr">
        <is>
          <t>Penultima cirugia termina a las 18:05 hrs, bloque qx hasta las 19:00</t>
        </is>
      </c>
      <c r="AJ85" s="19" t="n"/>
      <c r="AK85" s="19" t="n"/>
      <c r="AL85" s="19" t="n"/>
      <c r="AM85" s="33" t="inlineStr">
        <is>
          <t>I0001181722</t>
        </is>
      </c>
      <c r="AN85" s="19" t="n"/>
      <c r="AO85" s="19" t="n"/>
      <c r="AP85" s="127">
        <f>IF(A85="","",A85-WEEKDAY(A85,2)+1)</f>
        <v/>
      </c>
      <c r="AQ85" s="127">
        <f>IF(AO85="","",AO85+6)</f>
        <v/>
      </c>
      <c r="AR85" s="19">
        <f>IF(AO85="","","Semana "&amp;TEXT(AO85,"dd-mm-yyyy")&amp;" al "&amp;TEXT(AP85,"dd-mm-yyyy"))</f>
        <v/>
      </c>
      <c r="AS85" s="19">
        <f>IF(A85="","",TEXT(A85,"mmmm yyyy"))</f>
        <v/>
      </c>
      <c r="AT85" s="19">
        <f>IF(A85="","",TEXT(A85,"dddd"))</f>
        <v/>
      </c>
      <c r="AU85" s="19">
        <f>IF(A85="","","CRR-"&amp;TEXT(A85,"yyyymmdd")&amp;"-"&amp;M85&amp;"-"&amp;TEXT(ROW()-3,"0000"))</f>
        <v/>
      </c>
      <c r="AV85" s="19">
        <f>IF(A85="","",IF(OR(B85="",C85="",E85="",F85="",M85="",N85=""),"Revisar campos obligatorios",IF(AND(P85="Atraso primera hora",Q85=""),"Falta justificación atraso primera hora",IF(AND(Z85="No cumple",AA85=""),"Falta justificación recambio &gt;15 min",IF(AND(ISNUMBER(SEARCH("suspend",N85)),OR(AG85="",AH85="")),"Falta causa/motivo suspensión","OK")))))</f>
        <v/>
      </c>
      <c r="AW85" s="19">
        <f>IF(N85="","",IF(ISNUMBER(SEARCH("suspend",N85)),IF(AND(AG85="",AH85=""),"Sin causa/motivo registrado",IF(AG85="",AH85,IF(AH85="",AG85,AG85&amp;": "&amp;AH85))),""))</f>
        <v/>
      </c>
    </row>
    <row r="86" ht="16" customHeight="1" s="151">
      <c r="A86" s="32" t="n">
        <v>46174</v>
      </c>
      <c r="B86" s="33" t="inlineStr">
        <is>
          <t>KHAIR LEANDRO</t>
        </is>
      </c>
      <c r="C86" s="33" t="inlineStr">
        <is>
          <t>ALVARADO</t>
        </is>
      </c>
      <c r="D86" s="33" t="inlineStr">
        <is>
          <t>6a 0m 7d</t>
        </is>
      </c>
      <c r="E86" s="33" t="inlineStr">
        <is>
          <t>POLIDACTILIA, EXTIRPACION Y PLASTIA UN LADO</t>
        </is>
      </c>
      <c r="F86" s="33" t="inlineStr">
        <is>
          <t>SERVICIO DE TRAUMATOLOGIA</t>
        </is>
      </c>
      <c r="G86" s="19" t="n"/>
      <c r="H86" s="33" t="inlineStr">
        <is>
          <t>1502058-5</t>
        </is>
      </c>
      <c r="I86" s="19" t="n"/>
      <c r="J86" s="20">
        <f>IF(H86&lt;&gt;"",IFERROR(VLOOKUP(IFERROR(LEFT(H86,FIND("-",H86)-1),H86),'Catalogo MINSAL'!A:E,5,FALSE),""),IF(I86&lt;&gt;"",IFERROR(VLOOKUP(IFERROR(LEFT(I86,FIND("-",I86)-1),I86),'Catalogo MINSAL'!A:E,5,FALSE),""),""))</f>
        <v/>
      </c>
      <c r="K86" s="33" t="inlineStr">
        <is>
          <t>Maximo Sepulveda Pizarro</t>
        </is>
      </c>
      <c r="L86" s="33" t="inlineStr">
        <is>
          <t>Dr. Camilo Garcia</t>
        </is>
      </c>
      <c r="M86" s="33" t="inlineStr">
        <is>
          <t>Quirofano 13</t>
        </is>
      </c>
      <c r="N86" s="48" t="inlineStr">
        <is>
          <t>Realizado</t>
        </is>
      </c>
      <c r="O86" s="49" t="n">
        <v>0.3631944444444444</v>
      </c>
      <c r="P86" s="27">
        <f>IFERROR(IF(OR(O86="",A86="",M86=""),"",IF(SUMPRODUCT(($A$4:$A$500=A86)*($M$4:$M$500=M86)*($O$4:$O$500&lt;&gt;"")*(MOD($O$4:$O$500,1)&lt;MOD(O86,1)))=0,IF(MOD(O86,1)&lt;=TIME(8,15,0),"Ingreso adecuado primera hora","Atraso primera hora"),"No aplica")),"")</f>
        <v/>
      </c>
      <c r="Q86" s="86" t="inlineStr">
        <is>
          <t>Atraso de anestesista</t>
        </is>
      </c>
      <c r="R86" s="49" t="n">
        <v>0.3888888888888889</v>
      </c>
      <c r="S86" s="49" t="n">
        <v>0.4027777777777778</v>
      </c>
      <c r="T86" s="49" t="n">
        <v>0.4145833333333334</v>
      </c>
      <c r="U86" s="34">
        <f>IFERROR(VLOOKUP(M86,'Horario Pabellones'!$A$4:$D$17,2,FALSE),"")</f>
        <v/>
      </c>
      <c r="V86" s="34">
        <f>IFERROR(VLOOKUP(M86,'Horario Pabellones'!$A$4:$D$17,3,FALSE),"")</f>
        <v/>
      </c>
      <c r="W86" s="100">
        <f>IFERROR(VLOOKUP(M86,'Horario Pabellones'!$A$4:$D$17,4,FALSE),"")</f>
        <v/>
      </c>
      <c r="X86" s="90">
        <f>IFERROR(IF(OR(A86="",M86="",W86=""),"",(((_xludf.AGGREGATE(14,6,MOD($S$4:$S$500,1)/(($A$4:$A$500=A86)*($M$4:$M$500=M86)*($R$4:$R$500&lt;&gt;"")*($S$4:$S$500&lt;&gt;"")),1)-_xludf.AGGREGATE(15,6,MOD($R$4:$R$500,1)/(($A$4:$A$500=A86)*($M$4:$M$500=M86)*($R$4:$R$500&lt;&gt;"")*($S$4:$S$500&lt;&gt;"")),1))*1440)/60)/(W86/60)),"")</f>
        <v/>
      </c>
      <c r="Y86" s="35">
        <f>IFERROR(IF(OR(O86="",A86="",M86=""),"",(IF(ISNUMBER(O86),MOD(O86,1),TIMEVALUE(O86))-LOOKUP(2,1/(($A$4:$A$500=A86)*($M$4:$M$500=M86)*($T$4:$T$500&lt;&gt;"")*($T$4:$T$500&lt;IF(ISNUMBER(O86),MOD(O86,1),TIMEVALUE(O86)))),$T$4:$T$500))*1440),"")</f>
        <v/>
      </c>
      <c r="Z86" s="27">
        <f>IFERROR(IF(Y86="","",IF(ROUND(Y86,0)&lt;=15,"Cumple","No cumple")),"")</f>
        <v/>
      </c>
      <c r="AA86" s="85" t="n"/>
      <c r="AB86" s="26">
        <f>IFERROR(IF(OR(O86="",R86=""),"",IF(IF(ISNUMBER(R86),MOD(R86,1),TIMEVALUE(R86))&gt;=IF(ISNUMBER(O86),MOD(O86,1),TIMEVALUE(O86)),(IF(ISNUMBER(R86),MOD(R86,1),TIMEVALUE(R86))-IF(ISNUMBER(O86),MOD(O86,1),TIMEVALUE(O86)))*1440,(IF(ISNUMBER(R86),MOD(R86,1),TIMEVALUE(R86))+1-IF(ISNUMBER(O86),MOD(O86,1),TIMEVALUE(O86)))*1440)),"")</f>
        <v/>
      </c>
      <c r="AC86" s="28">
        <f>IFERROR(IF(OR(R86="",S86=""),"",IF(IF(ISNUMBER(S86),MOD(S86,1),TIMEVALUE(S86))&gt;=IF(ISNUMBER(R86),MOD(R86,1),TIMEVALUE(R86)),(IF(ISNUMBER(S86),MOD(S86,1),TIMEVALUE(S86))-IF(ISNUMBER(R86),MOD(R86,1),TIMEVALUE(R86)))*1440,(IF(ISNUMBER(S86),MOD(S86,1),TIMEVALUE(S86))+1-IF(ISNUMBER(R86),MOD(R86,1),TIMEVALUE(R86)))*1440)),"")</f>
        <v/>
      </c>
      <c r="AD86" s="100" t="n">
        <v>40</v>
      </c>
      <c r="AE86" s="26">
        <f>IFERROR(IF(OR(AC86="",AD86=""),"",AC86-AD86),"")</f>
        <v/>
      </c>
      <c r="AF86" s="27">
        <f>IFERROR(IF(AE86="","",IF(ROUND(AE86,0)&gt;15,"Subestimacion",IF(ROUND(AE86,0)&lt;-15,"Sobrestimacion","Asertivo"))),"")</f>
        <v/>
      </c>
      <c r="AG86" s="33" t="inlineStr">
        <is>
          <t>Sin Suspensión</t>
        </is>
      </c>
      <c r="AH86" s="85" t="n"/>
      <c r="AI86" s="85" t="n"/>
      <c r="AJ86" s="19" t="n"/>
      <c r="AK86" s="19" t="n"/>
      <c r="AL86" s="19" t="n"/>
      <c r="AM86" s="33" t="inlineStr">
        <is>
          <t>I0001189025</t>
        </is>
      </c>
      <c r="AN86" s="19" t="n"/>
      <c r="AO86" s="19" t="n"/>
      <c r="AP86" s="127">
        <f>IF(A86="","",A86-WEEKDAY(A86,2)+1)</f>
        <v/>
      </c>
      <c r="AQ86" s="127">
        <f>IF(AO86="","",AO86+6)</f>
        <v/>
      </c>
      <c r="AR86" s="19">
        <f>IF(AO86="","","Semana "&amp;TEXT(AO86,"dd-mm-yyyy")&amp;" al "&amp;TEXT(AP86,"dd-mm-yyyy"))</f>
        <v/>
      </c>
      <c r="AS86" s="19">
        <f>IF(A86="","",TEXT(A86,"mmmm yyyy"))</f>
        <v/>
      </c>
      <c r="AT86" s="19">
        <f>IF(A86="","",TEXT(A86,"dddd"))</f>
        <v/>
      </c>
      <c r="AU86" s="19">
        <f>IF(A86="","","CRR-"&amp;TEXT(A86,"yyyymmdd")&amp;"-"&amp;M86&amp;"-"&amp;TEXT(ROW()-3,"0000"))</f>
        <v/>
      </c>
      <c r="AV86" s="19">
        <f>IF(A86="","",IF(OR(B86="",C86="",E86="",F86="",M86="",N86=""),"Revisar campos obligatorios",IF(AND(P86="Atraso primera hora",Q86=""),"Falta justificación atraso primera hora",IF(AND(Z86="No cumple",AA86=""),"Falta justificación recambio &gt;15 min",IF(AND(ISNUMBER(SEARCH("suspend",N86)),OR(AG86="",AH86="")),"Falta causa/motivo suspensión","OK")))))</f>
        <v/>
      </c>
      <c r="AW86" s="19">
        <f>IF(N86="","",IF(ISNUMBER(SEARCH("suspend",N86)),IF(AND(AG86="",AH86=""),"Sin causa/motivo registrado",IF(AG86="",AH86,IF(AH86="",AG86,AG86&amp;": "&amp;AH86))),""))</f>
        <v/>
      </c>
    </row>
    <row r="87" ht="16" customHeight="1" s="151">
      <c r="A87" s="32" t="n">
        <v>46174</v>
      </c>
      <c r="B87" s="33" t="inlineStr">
        <is>
          <t>MARTIN EMANUEL</t>
        </is>
      </c>
      <c r="C87" s="33" t="inlineStr">
        <is>
          <t>CARREÑO</t>
        </is>
      </c>
      <c r="D87" s="33" t="inlineStr">
        <is>
          <t>11a 6m 22d</t>
        </is>
      </c>
      <c r="E87" s="33" t="inlineStr">
        <is>
          <t>HALLUX VALGUS O RIGIDUS, TRAT.QUIR. COMPLETO (CUALQUIER TEC.)</t>
        </is>
      </c>
      <c r="F87" s="33" t="inlineStr">
        <is>
          <t>SERVICIO DE TRAUMATOLOGIA</t>
        </is>
      </c>
      <c r="G87" s="19" t="n"/>
      <c r="H87" s="33" t="inlineStr">
        <is>
          <t>2104190-5</t>
        </is>
      </c>
      <c r="I87" s="19" t="n"/>
      <c r="J87" s="20">
        <f>IF(H87&lt;&gt;"",IFERROR(VLOOKUP(IFERROR(LEFT(H87,FIND("-",H87)-1),H87),'Catalogo MINSAL'!A:E,5,FALSE),""),IF(I87&lt;&gt;"",IFERROR(VLOOKUP(IFERROR(LEFT(I87,FIND("-",I87)-1),I87),'Catalogo MINSAL'!A:E,5,FALSE),""),""))</f>
        <v/>
      </c>
      <c r="K87" s="33" t="inlineStr">
        <is>
          <t>Maximo Sepulveda Pizarro</t>
        </is>
      </c>
      <c r="L87" s="33" t="inlineStr">
        <is>
          <t>Maria Jose Rosen Petersen</t>
        </is>
      </c>
      <c r="M87" s="33" t="inlineStr">
        <is>
          <t>Quirofano 13</t>
        </is>
      </c>
      <c r="N87" s="48" t="inlineStr">
        <is>
          <t>Realizado</t>
        </is>
      </c>
      <c r="O87" s="49" t="n">
        <v>0.4222222222222222</v>
      </c>
      <c r="P87" s="27">
        <f>IFERROR(IF(OR(O87="",A87="",M87=""),"",IF(SUMPRODUCT(($A$4:$A$500=A87)*($M$4:$M$500=M87)*($O$4:$O$500&lt;&gt;"")*(MOD($O$4:$O$500,1)&lt;MOD(O87,1)))=0,IF(MOD(O87,1)&lt;=TIME(8,15,0),"Ingreso adecuado primera hora","Atraso primera hora"),"No aplica")),"")</f>
        <v/>
      </c>
      <c r="Q87" s="87" t="n"/>
      <c r="R87" s="49" t="n">
        <v>0.4340277777777778</v>
      </c>
      <c r="S87" s="49" t="n">
        <v>0.4548611111111111</v>
      </c>
      <c r="T87" s="49" t="n">
        <v>0.4701388888888889</v>
      </c>
      <c r="U87" s="34">
        <f>IFERROR(VLOOKUP(M87,'Horario Pabellones'!$A$4:$D$17,2,FALSE),"")</f>
        <v/>
      </c>
      <c r="V87" s="34">
        <f>IFERROR(VLOOKUP(M87,'Horario Pabellones'!$A$4:$D$17,3,FALSE),"")</f>
        <v/>
      </c>
      <c r="W87" s="100">
        <f>IFERROR(VLOOKUP(M87,'Horario Pabellones'!$A$4:$D$17,4,FALSE),"")</f>
        <v/>
      </c>
      <c r="X87" s="90">
        <f>IFERROR(IF(OR(A87="",M87="",W87=""),"",(((_xludf.AGGREGATE(14,6,MOD($S$4:$S$500,1)/(($A$4:$A$500=A87)*($M$4:$M$500=M87)*($R$4:$R$500&lt;&gt;"")*($S$4:$S$500&lt;&gt;"")),1)-_xludf.AGGREGATE(15,6,MOD($R$4:$R$500,1)/(($A$4:$A$500=A87)*($M$4:$M$500=M87)*($R$4:$R$500&lt;&gt;"")*($S$4:$S$500&lt;&gt;"")),1))*1440)/60)/(W87/60)),"")</f>
        <v/>
      </c>
      <c r="Y87" s="35">
        <f>IFERROR(IF(OR(O87="",A87="",M87=""),"",(IF(ISNUMBER(O87),MOD(O87,1),TIMEVALUE(O87))-LOOKUP(2,1/(($A$4:$A$500=A87)*($M$4:$M$500=M87)*($T$4:$T$500&lt;&gt;"")*($T$4:$T$500&lt;IF(ISNUMBER(O87),MOD(O87,1),TIMEVALUE(O87)))),$T$4:$T$500))*1440),"")</f>
        <v/>
      </c>
      <c r="Z87" s="27">
        <f>IFERROR(IF(Y87="","",IF(ROUND(Y87,0)&lt;=15,"Cumple","No cumple")),"")</f>
        <v/>
      </c>
      <c r="AA87" s="15" t="n"/>
      <c r="AB87" s="26">
        <f>IFERROR(IF(OR(O87="",R87=""),"",IF(IF(ISNUMBER(R87),MOD(R87,1),TIMEVALUE(R87))&gt;=IF(ISNUMBER(O87),MOD(O87,1),TIMEVALUE(O87)),(IF(ISNUMBER(R87),MOD(R87,1),TIMEVALUE(R87))-IF(ISNUMBER(O87),MOD(O87,1),TIMEVALUE(O87)))*1440,(IF(ISNUMBER(R87),MOD(R87,1),TIMEVALUE(R87))+1-IF(ISNUMBER(O87),MOD(O87,1),TIMEVALUE(O87)))*1440)),"")</f>
        <v/>
      </c>
      <c r="AC87" s="28">
        <f>IFERROR(IF(OR(R87="",S87=""),"",IF(IF(ISNUMBER(S87),MOD(S87,1),TIMEVALUE(S87))&gt;=IF(ISNUMBER(R87),MOD(R87,1),TIMEVALUE(R87)),(IF(ISNUMBER(S87),MOD(S87,1),TIMEVALUE(S87))-IF(ISNUMBER(R87),MOD(R87,1),TIMEVALUE(R87)))*1440,(IF(ISNUMBER(S87),MOD(S87,1),TIMEVALUE(S87))+1-IF(ISNUMBER(R87),MOD(R87,1),TIMEVALUE(R87)))*1440)),"")</f>
        <v/>
      </c>
      <c r="AD87" s="100" t="n">
        <v>60</v>
      </c>
      <c r="AE87" s="26">
        <f>IFERROR(IF(OR(AC87="",AD87=""),"",AC87-AD87),"")</f>
        <v/>
      </c>
      <c r="AF87" s="27">
        <f>IFERROR(IF(AE87="","",IF(ROUND(AE87,0)&gt;15,"Subestimacion",IF(ROUND(AE87,0)&lt;-15,"Sobrestimacion","Asertivo"))),"")</f>
        <v/>
      </c>
      <c r="AG87" s="33" t="inlineStr">
        <is>
          <t>Sin Suspensión</t>
        </is>
      </c>
      <c r="AH87" s="15" t="n"/>
      <c r="AI87" s="15" t="n"/>
      <c r="AJ87" s="19" t="n"/>
      <c r="AK87" s="19" t="n"/>
      <c r="AL87" s="19" t="n"/>
      <c r="AM87" s="33" t="inlineStr">
        <is>
          <t>I0001189026</t>
        </is>
      </c>
      <c r="AN87" s="19" t="n"/>
      <c r="AO87" s="19" t="n"/>
      <c r="AP87" s="127">
        <f>IF(A87="","",A87-WEEKDAY(A87,2)+1)</f>
        <v/>
      </c>
      <c r="AQ87" s="127">
        <f>IF(AO87="","",AO87+6)</f>
        <v/>
      </c>
      <c r="AR87" s="19">
        <f>IF(AO87="","","Semana "&amp;TEXT(AO87,"dd-mm-yyyy")&amp;" al "&amp;TEXT(AP87,"dd-mm-yyyy"))</f>
        <v/>
      </c>
      <c r="AS87" s="19">
        <f>IF(A87="","",TEXT(A87,"mmmm yyyy"))</f>
        <v/>
      </c>
      <c r="AT87" s="19">
        <f>IF(A87="","",TEXT(A87,"dddd"))</f>
        <v/>
      </c>
      <c r="AU87" s="19">
        <f>IF(A87="","","CRR-"&amp;TEXT(A87,"yyyymmdd")&amp;"-"&amp;M87&amp;"-"&amp;TEXT(ROW()-3,"0000"))</f>
        <v/>
      </c>
      <c r="AV87" s="19">
        <f>IF(A87="","",IF(OR(B87="",C87="",E87="",F87="",M87="",N87=""),"Revisar campos obligatorios",IF(AND(P87="Atraso primera hora",Q87=""),"Falta justificación atraso primera hora",IF(AND(Z87="No cumple",AA87=""),"Falta justificación recambio &gt;15 min",IF(AND(ISNUMBER(SEARCH("suspend",N87)),OR(AG87="",AH87="")),"Falta causa/motivo suspensión","OK")))))</f>
        <v/>
      </c>
      <c r="AW87" s="19">
        <f>IF(N87="","",IF(ISNUMBER(SEARCH("suspend",N87)),IF(AND(AG87="",AH87=""),"Sin causa/motivo registrado",IF(AG87="",AH87,IF(AH87="",AG87,AG87&amp;": "&amp;AH87))),""))</f>
        <v/>
      </c>
    </row>
    <row r="88" ht="16" customHeight="1" s="151">
      <c r="A88" s="32" t="n">
        <v>46174</v>
      </c>
      <c r="B88" s="33" t="inlineStr">
        <is>
          <t>JOVENSKY</t>
        </is>
      </c>
      <c r="C88" s="33" t="inlineStr">
        <is>
          <t>CHARLES</t>
        </is>
      </c>
      <c r="D88" s="33" t="inlineStr">
        <is>
          <t>13a 6m 29d</t>
        </is>
      </c>
      <c r="E88" s="33" t="inlineStr">
        <is>
          <t>RETIRO DE TORNILLOS, CLAVOS, AGUJAS DE OSTEOSINTESIS O SIMILARES</t>
        </is>
      </c>
      <c r="F88" s="33" t="inlineStr">
        <is>
          <t>SERVICIO DE TRAUMATOLOGIA</t>
        </is>
      </c>
      <c r="G88" s="19" t="n"/>
      <c r="H88" s="33" t="inlineStr">
        <is>
          <t>2106003-5</t>
        </is>
      </c>
      <c r="I88" s="19" t="n"/>
      <c r="J88" s="20">
        <f>IF(H88&lt;&gt;"",IFERROR(VLOOKUP(IFERROR(LEFT(H88,FIND("-",H88)-1),H88),'Catalogo MINSAL'!A:E,5,FALSE),""),IF(I88&lt;&gt;"",IFERROR(VLOOKUP(IFERROR(LEFT(I88,FIND("-",I88)-1),I88),'Catalogo MINSAL'!A:E,5,FALSE),""),""))</f>
        <v/>
      </c>
      <c r="K88" s="33" t="inlineStr">
        <is>
          <t>Maximo Sepulveda Pizarro</t>
        </is>
      </c>
      <c r="L88" s="33" t="inlineStr">
        <is>
          <t>Juan Pablo Sandoval Amado</t>
        </is>
      </c>
      <c r="M88" s="33" t="inlineStr">
        <is>
          <t>Quirofano 13</t>
        </is>
      </c>
      <c r="N88" s="48" t="inlineStr">
        <is>
          <t>Realizado</t>
        </is>
      </c>
      <c r="O88" s="49" t="n">
        <v>0.4777777777777778</v>
      </c>
      <c r="P88" s="27">
        <f>IFERROR(IF(OR(O88="",A88="",M88=""),"",IF(SUMPRODUCT(($A$4:$A$500=A88)*($M$4:$M$500=M88)*($O$4:$O$500&lt;&gt;"")*(MOD($O$4:$O$500,1)&lt;MOD(O88,1)))=0,IF(MOD(O88,1)&lt;=TIME(8,15,0),"Ingreso adecuado primera hora","Atraso primera hora"),"No aplica")),"")</f>
        <v/>
      </c>
      <c r="Q88" s="87" t="n"/>
      <c r="R88" s="49" t="n">
        <v>0.4979166666666667</v>
      </c>
      <c r="S88" s="49" t="n">
        <v>0.5194444444444445</v>
      </c>
      <c r="T88" s="49" t="n">
        <v>0.5277777777777778</v>
      </c>
      <c r="U88" s="34">
        <f>IFERROR(VLOOKUP(M88,'Horario Pabellones'!$A$4:$D$17,2,FALSE),"")</f>
        <v/>
      </c>
      <c r="V88" s="34">
        <f>IFERROR(VLOOKUP(M88,'Horario Pabellones'!$A$4:$D$17,3,FALSE),"")</f>
        <v/>
      </c>
      <c r="W88" s="100">
        <f>IFERROR(VLOOKUP(M88,'Horario Pabellones'!$A$4:$D$17,4,FALSE),"")</f>
        <v/>
      </c>
      <c r="X88" s="90">
        <f>IFERROR(IF(OR(A88="",M88="",W88=""),"",(((_xludf.AGGREGATE(14,6,MOD($S$4:$S$500,1)/(($A$4:$A$500=A88)*($M$4:$M$500=M88)*($R$4:$R$500&lt;&gt;"")*($S$4:$S$500&lt;&gt;"")),1)-_xludf.AGGREGATE(15,6,MOD($R$4:$R$500,1)/(($A$4:$A$500=A88)*($M$4:$M$500=M88)*($R$4:$R$500&lt;&gt;"")*($S$4:$S$500&lt;&gt;"")),1))*1440)/60)/(W88/60)),"")</f>
        <v/>
      </c>
      <c r="Y88" s="35">
        <f>IFERROR(IF(OR(O88="",A88="",M88=""),"",(IF(ISNUMBER(O88),MOD(O88,1),TIMEVALUE(O88))-LOOKUP(2,1/(($A$4:$A$500=A88)*($M$4:$M$500=M88)*($T$4:$T$500&lt;&gt;"")*($T$4:$T$500&lt;IF(ISNUMBER(O88),MOD(O88,1),TIMEVALUE(O88)))),$T$4:$T$500))*1440),"")</f>
        <v/>
      </c>
      <c r="Z88" s="27">
        <f>IFERROR(IF(Y88="","",IF(ROUND(Y88,0)&lt;=15,"Cumple","No cumple")),"")</f>
        <v/>
      </c>
      <c r="AA88" s="15" t="n"/>
      <c r="AB88" s="26">
        <f>IFERROR(IF(OR(O88="",R88=""),"",IF(IF(ISNUMBER(R88),MOD(R88,1),TIMEVALUE(R88))&gt;=IF(ISNUMBER(O88),MOD(O88,1),TIMEVALUE(O88)),(IF(ISNUMBER(R88),MOD(R88,1),TIMEVALUE(R88))-IF(ISNUMBER(O88),MOD(O88,1),TIMEVALUE(O88)))*1440,(IF(ISNUMBER(R88),MOD(R88,1),TIMEVALUE(R88))+1-IF(ISNUMBER(O88),MOD(O88,1),TIMEVALUE(O88)))*1440)),"")</f>
        <v/>
      </c>
      <c r="AC88" s="28">
        <f>IFERROR(IF(OR(R88="",S88=""),"",IF(IF(ISNUMBER(S88),MOD(S88,1),TIMEVALUE(S88))&gt;=IF(ISNUMBER(R88),MOD(R88,1),TIMEVALUE(R88)),(IF(ISNUMBER(S88),MOD(S88,1),TIMEVALUE(S88))-IF(ISNUMBER(R88),MOD(R88,1),TIMEVALUE(R88)))*1440,(IF(ISNUMBER(S88),MOD(S88,1),TIMEVALUE(S88))+1-IF(ISNUMBER(R88),MOD(R88,1),TIMEVALUE(R88)))*1440)),"")</f>
        <v/>
      </c>
      <c r="AD88" s="100" t="n">
        <v>60</v>
      </c>
      <c r="AE88" s="26">
        <f>IFERROR(IF(OR(AC88="",AD88=""),"",AC88-AD88),"")</f>
        <v/>
      </c>
      <c r="AF88" s="27">
        <f>IFERROR(IF(AE88="","",IF(ROUND(AE88,0)&gt;15,"Subestimacion",IF(ROUND(AE88,0)&lt;-15,"Sobrestimacion","Asertivo"))),"")</f>
        <v/>
      </c>
      <c r="AG88" s="33" t="inlineStr">
        <is>
          <t>Sin Suspensión</t>
        </is>
      </c>
      <c r="AH88" s="15" t="n"/>
      <c r="AI88" s="15" t="n"/>
      <c r="AJ88" s="19" t="n"/>
      <c r="AK88" s="19" t="n"/>
      <c r="AL88" s="19" t="n"/>
      <c r="AM88" s="33" t="inlineStr">
        <is>
          <t>I0001189472</t>
        </is>
      </c>
      <c r="AN88" s="19" t="n"/>
      <c r="AO88" s="19" t="n"/>
      <c r="AP88" s="127">
        <f>IF(A88="","",A88-WEEKDAY(A88,2)+1)</f>
        <v/>
      </c>
      <c r="AQ88" s="127">
        <f>IF(AO88="","",AO88+6)</f>
        <v/>
      </c>
      <c r="AR88" s="19">
        <f>IF(AO88="","","Semana "&amp;TEXT(AO88,"dd-mm-yyyy")&amp;" al "&amp;TEXT(AP88,"dd-mm-yyyy"))</f>
        <v/>
      </c>
      <c r="AS88" s="19">
        <f>IF(A88="","",TEXT(A88,"mmmm yyyy"))</f>
        <v/>
      </c>
      <c r="AT88" s="19">
        <f>IF(A88="","",TEXT(A88,"dddd"))</f>
        <v/>
      </c>
      <c r="AU88" s="19">
        <f>IF(A88="","","CRR-"&amp;TEXT(A88,"yyyymmdd")&amp;"-"&amp;M88&amp;"-"&amp;TEXT(ROW()-3,"0000"))</f>
        <v/>
      </c>
      <c r="AV88" s="19">
        <f>IF(A88="","",IF(OR(B88="",C88="",E88="",F88="",M88="",N88=""),"Revisar campos obligatorios",IF(AND(P88="Atraso primera hora",Q88=""),"Falta justificación atraso primera hora",IF(AND(Z88="No cumple",AA88=""),"Falta justificación recambio &gt;15 min",IF(AND(ISNUMBER(SEARCH("suspend",N88)),OR(AG88="",AH88="")),"Falta causa/motivo suspensión","OK")))))</f>
        <v/>
      </c>
      <c r="AW88" s="19">
        <f>IF(N88="","",IF(ISNUMBER(SEARCH("suspend",N88)),IF(AND(AG88="",AH88=""),"Sin causa/motivo registrado",IF(AG88="",AH88,IF(AH88="",AG88,AG88&amp;": "&amp;AH88))),""))</f>
        <v/>
      </c>
    </row>
    <row r="89" ht="16" customHeight="1" s="151">
      <c r="A89" s="32" t="n">
        <v>46174</v>
      </c>
      <c r="B89" s="33" t="inlineStr">
        <is>
          <t>TOMÁS ORLANDO</t>
        </is>
      </c>
      <c r="C89" s="33" t="inlineStr">
        <is>
          <t>PERÉZ</t>
        </is>
      </c>
      <c r="D89" s="33" t="inlineStr">
        <is>
          <t>14a 3m 27d</t>
        </is>
      </c>
      <c r="E89" s="33" t="inlineStr">
        <is>
          <t>OSTEOTOMIA (CUALQUIER TECNICA) HUMERO</t>
        </is>
      </c>
      <c r="F89" s="33" t="inlineStr">
        <is>
          <t>SERVICIO DE TRAUMATOLOGIA</t>
        </is>
      </c>
      <c r="G89" s="19" t="n"/>
      <c r="H89" s="33" t="inlineStr">
        <is>
          <t>2104057-6</t>
        </is>
      </c>
      <c r="I89" s="19" t="n"/>
      <c r="J89" s="20">
        <f>IF(H89&lt;&gt;"",IFERROR(VLOOKUP(IFERROR(LEFT(H89,FIND("-",H89)-1),H89),'Catalogo MINSAL'!A:E,5,FALSE),""),IF(I89&lt;&gt;"",IFERROR(VLOOKUP(IFERROR(LEFT(I89,FIND("-",I89)-1),I89),'Catalogo MINSAL'!A:E,5,FALSE),""),""))</f>
        <v/>
      </c>
      <c r="K89" s="33" t="inlineStr">
        <is>
          <t>Maximo Sepulveda Pizarro</t>
        </is>
      </c>
      <c r="L89" s="33" t="inlineStr">
        <is>
          <t>Dr. Camilo Garcia</t>
        </is>
      </c>
      <c r="M89" s="33" t="inlineStr">
        <is>
          <t>Quirofano 13</t>
        </is>
      </c>
      <c r="N89" s="48" t="inlineStr">
        <is>
          <t>Realizado</t>
        </is>
      </c>
      <c r="O89" s="49" t="n">
        <v>0.5381944444444444</v>
      </c>
      <c r="P89" s="27">
        <f>IFERROR(IF(OR(O89="",A89="",M89=""),"",IF(SUMPRODUCT(($A$4:$A$500=A89)*($M$4:$M$500=M89)*($O$4:$O$500&lt;&gt;"")*(MOD($O$4:$O$500,1)&lt;MOD(O89,1)))=0,IF(MOD(O89,1)&lt;=TIME(8,15,0),"Ingreso adecuado primera hora","Atraso primera hora"),"No aplica")),"")</f>
        <v/>
      </c>
      <c r="Q89" s="87" t="n"/>
      <c r="R89" s="49" t="n">
        <v>0.5548611111111111</v>
      </c>
      <c r="S89" s="49" t="n">
        <v>0.6013888888888889</v>
      </c>
      <c r="T89" s="49" t="n">
        <v>0.6277777777777778</v>
      </c>
      <c r="U89" s="34">
        <f>IFERROR(VLOOKUP(M89,'Horario Pabellones'!$A$4:$D$17,2,FALSE),"")</f>
        <v/>
      </c>
      <c r="V89" s="34">
        <f>IFERROR(VLOOKUP(M89,'Horario Pabellones'!$A$4:$D$17,3,FALSE),"")</f>
        <v/>
      </c>
      <c r="W89" s="100">
        <f>IFERROR(VLOOKUP(M89,'Horario Pabellones'!$A$4:$D$17,4,FALSE),"")</f>
        <v/>
      </c>
      <c r="X89" s="90">
        <f>IFERROR(IF(OR(A89="",M89="",W89=""),"",(((_xludf.AGGREGATE(14,6,MOD($S$4:$S$500,1)/(($A$4:$A$500=A89)*($M$4:$M$500=M89)*($R$4:$R$500&lt;&gt;"")*($S$4:$S$500&lt;&gt;"")),1)-_xludf.AGGREGATE(15,6,MOD($R$4:$R$500,1)/(($A$4:$A$500=A89)*($M$4:$M$500=M89)*($R$4:$R$500&lt;&gt;"")*($S$4:$S$500&lt;&gt;"")),1))*1440)/60)/(W89/60)),"")</f>
        <v/>
      </c>
      <c r="Y89" s="35">
        <f>IFERROR(IF(OR(O89="",A89="",M89=""),"",(IF(ISNUMBER(O89),MOD(O89,1),TIMEVALUE(O89))-LOOKUP(2,1/(($A$4:$A$500=A89)*($M$4:$M$500=M89)*($T$4:$T$500&lt;&gt;"")*($T$4:$T$500&lt;IF(ISNUMBER(O89),MOD(O89,1),TIMEVALUE(O89)))),$T$4:$T$500))*1440),"")</f>
        <v/>
      </c>
      <c r="Z89" s="27">
        <f>IFERROR(IF(Y89="","",IF(ROUND(Y89,0)&lt;=15,"Cumple","No cumple")),"")</f>
        <v/>
      </c>
      <c r="AA89" s="15" t="n"/>
      <c r="AB89" s="26">
        <f>IFERROR(IF(OR(O89="",R89=""),"",IF(IF(ISNUMBER(R89),MOD(R89,1),TIMEVALUE(R89))&gt;=IF(ISNUMBER(O89),MOD(O89,1),TIMEVALUE(O89)),(IF(ISNUMBER(R89),MOD(R89,1),TIMEVALUE(R89))-IF(ISNUMBER(O89),MOD(O89,1),TIMEVALUE(O89)))*1440,(IF(ISNUMBER(R89),MOD(R89,1),TIMEVALUE(R89))+1-IF(ISNUMBER(O89),MOD(O89,1),TIMEVALUE(O89)))*1440)),"")</f>
        <v/>
      </c>
      <c r="AC89" s="28">
        <f>IFERROR(IF(OR(R89="",S89=""),"",IF(IF(ISNUMBER(S89),MOD(S89,1),TIMEVALUE(S89))&gt;=IF(ISNUMBER(R89),MOD(R89,1),TIMEVALUE(R89)),(IF(ISNUMBER(S89),MOD(S89,1),TIMEVALUE(S89))-IF(ISNUMBER(R89),MOD(R89,1),TIMEVALUE(R89)))*1440,(IF(ISNUMBER(S89),MOD(S89,1),TIMEVALUE(S89))+1-IF(ISNUMBER(R89),MOD(R89,1),TIMEVALUE(R89)))*1440)),"")</f>
        <v/>
      </c>
      <c r="AD89" s="100" t="n">
        <v>90</v>
      </c>
      <c r="AE89" s="26">
        <f>IFERROR(IF(OR(AC89="",AD89=""),"",AC89-AD89),"")</f>
        <v/>
      </c>
      <c r="AF89" s="27">
        <f>IFERROR(IF(AE89="","",IF(ROUND(AE89,0)&gt;15,"Subestimacion",IF(ROUND(AE89,0)&lt;-15,"Sobrestimacion","Asertivo"))),"")</f>
        <v/>
      </c>
      <c r="AG89" s="33" t="inlineStr">
        <is>
          <t>Sin Suspensión</t>
        </is>
      </c>
      <c r="AH89" s="15" t="n"/>
      <c r="AI89" s="15" t="n"/>
      <c r="AJ89" s="19" t="n"/>
      <c r="AK89" s="19" t="n"/>
      <c r="AL89" s="19" t="n"/>
      <c r="AM89" s="33" t="inlineStr">
        <is>
          <t>I0001189029</t>
        </is>
      </c>
      <c r="AN89" s="19" t="n"/>
      <c r="AO89" s="19" t="n"/>
      <c r="AP89" s="127">
        <f>IF(A89="","",A89-WEEKDAY(A89,2)+1)</f>
        <v/>
      </c>
      <c r="AQ89" s="127">
        <f>IF(AO89="","",AO89+6)</f>
        <v/>
      </c>
      <c r="AR89" s="19">
        <f>IF(AO89="","","Semana "&amp;TEXT(AO89,"dd-mm-yyyy")&amp;" al "&amp;TEXT(AP89,"dd-mm-yyyy"))</f>
        <v/>
      </c>
      <c r="AS89" s="19">
        <f>IF(A89="","",TEXT(A89,"mmmm yyyy"))</f>
        <v/>
      </c>
      <c r="AT89" s="19">
        <f>IF(A89="","",TEXT(A89,"dddd"))</f>
        <v/>
      </c>
      <c r="AU89" s="19">
        <f>IF(A89="","","CRR-"&amp;TEXT(A89,"yyyymmdd")&amp;"-"&amp;M89&amp;"-"&amp;TEXT(ROW()-3,"0000"))</f>
        <v/>
      </c>
      <c r="AV89" s="19">
        <f>IF(A89="","",IF(OR(B89="",C89="",E89="",F89="",M89="",N89=""),"Revisar campos obligatorios",IF(AND(P89="Atraso primera hora",Q89=""),"Falta justificación atraso primera hora",IF(AND(Z89="No cumple",AA89=""),"Falta justificación recambio &gt;15 min",IF(AND(ISNUMBER(SEARCH("suspend",N89)),OR(AG89="",AH89="")),"Falta causa/motivo suspensión","OK")))))</f>
        <v/>
      </c>
      <c r="AW89" s="19">
        <f>IF(N89="","",IF(ISNUMBER(SEARCH("suspend",N89)),IF(AND(AG89="",AH89=""),"Sin causa/motivo registrado",IF(AG89="",AH89,IF(AH89="",AG89,AG89&amp;": "&amp;AH89))),""))</f>
        <v/>
      </c>
    </row>
    <row r="90" ht="16" customHeight="1" s="151">
      <c r="A90" s="32" t="n">
        <v>46174</v>
      </c>
      <c r="B90" s="33" t="inlineStr">
        <is>
          <t>FRANCO MAXIMILIANO</t>
        </is>
      </c>
      <c r="C90" s="33" t="inlineStr">
        <is>
          <t>PORTILLO</t>
        </is>
      </c>
      <c r="D90" s="33" t="inlineStr">
        <is>
          <t>14a 11m 21d</t>
        </is>
      </c>
      <c r="E90" s="33" t="inlineStr">
        <is>
          <t>EPIFISIODESIS (FEMUR Y/O TIBIA)</t>
        </is>
      </c>
      <c r="F90" s="33" t="inlineStr">
        <is>
          <t>SERVICIO DE TRAUMATOLOGIA</t>
        </is>
      </c>
      <c r="G90" s="19" t="n"/>
      <c r="H90" s="33" t="inlineStr">
        <is>
          <t>2104143-8</t>
        </is>
      </c>
      <c r="I90" s="19" t="n"/>
      <c r="J90" s="20">
        <f>IF(H90&lt;&gt;"",IFERROR(VLOOKUP(IFERROR(LEFT(H90,FIND("-",H90)-1),H90),'Catalogo MINSAL'!A:E,5,FALSE),""),IF(I90&lt;&gt;"",IFERROR(VLOOKUP(IFERROR(LEFT(I90,FIND("-",I90)-1),I90),'Catalogo MINSAL'!A:E,5,FALSE),""),""))</f>
        <v/>
      </c>
      <c r="K90" s="33" t="inlineStr">
        <is>
          <t>Maximo Sepulveda Pizarro</t>
        </is>
      </c>
      <c r="L90" s="33" t="inlineStr">
        <is>
          <t>Maria Jose Rosen Petersen</t>
        </is>
      </c>
      <c r="M90" s="33" t="inlineStr">
        <is>
          <t>Quirofano 13</t>
        </is>
      </c>
      <c r="N90" s="48" t="inlineStr">
        <is>
          <t>Realizado</t>
        </is>
      </c>
      <c r="O90" s="49" t="n">
        <v>0.6458333333333334</v>
      </c>
      <c r="P90" s="27">
        <f>IFERROR(IF(OR(O90="",A90="",M90=""),"",IF(SUMPRODUCT(($A$4:$A$500=A90)*($M$4:$M$500=M90)*($O$4:$O$500&lt;&gt;"")*(MOD($O$4:$O$500,1)&lt;MOD(O90,1)))=0,IF(MOD(O90,1)&lt;=TIME(8,15,0),"Ingreso adecuado primera hora","Atraso primera hora"),"No aplica")),"")</f>
        <v/>
      </c>
      <c r="Q90" s="86" t="n"/>
      <c r="R90" s="49" t="n">
        <v>0.6763888888888889</v>
      </c>
      <c r="S90" s="49" t="n">
        <v>0.7326388888888888</v>
      </c>
      <c r="T90" s="49" t="n">
        <v>0.7534722222222222</v>
      </c>
      <c r="U90" s="34">
        <f>IFERROR(VLOOKUP(M90,'Horario Pabellones'!$A$4:$D$17,2,FALSE),"")</f>
        <v/>
      </c>
      <c r="V90" s="34">
        <f>IFERROR(VLOOKUP(M90,'Horario Pabellones'!$A$4:$D$17,3,FALSE),"")</f>
        <v/>
      </c>
      <c r="W90" s="100">
        <f>IFERROR(VLOOKUP(M90,'Horario Pabellones'!$A$4:$D$17,4,FALSE),"")</f>
        <v/>
      </c>
      <c r="X90" s="90">
        <f>IFERROR(IF(OR(A90="",M90="",W90=""),"",(((_xludf.AGGREGATE(14,6,MOD($S$4:$S$500,1)/(($A$4:$A$500=A90)*($M$4:$M$500=M90)*($R$4:$R$500&lt;&gt;"")*($S$4:$S$500&lt;&gt;"")),1)-_xludf.AGGREGATE(15,6,MOD($R$4:$R$500,1)/(($A$4:$A$500=A90)*($M$4:$M$500=M90)*($R$4:$R$500&lt;&gt;"")*($S$4:$S$500&lt;&gt;"")),1))*1440)/60)/(W90/60)),"")</f>
        <v/>
      </c>
      <c r="Y90" s="35">
        <f>IFERROR(IF(OR(O90="",A90="",M90=""),"",(IF(ISNUMBER(O90),MOD(O90,1),TIMEVALUE(O90))-LOOKUP(2,1/(($A$4:$A$500=A90)*($M$4:$M$500=M90)*($T$4:$T$500&lt;&gt;"")*($T$4:$T$500&lt;IF(ISNUMBER(O90),MOD(O90,1),TIMEVALUE(O90)))),$T$4:$T$500))*1440),"")</f>
        <v/>
      </c>
      <c r="Z90" s="27">
        <f>IFERROR(IF(Y90="","",IF(ROUND(Y90,0)&lt;=15,"Cumple","No cumple")),"")</f>
        <v/>
      </c>
      <c r="AA90" s="85" t="inlineStr">
        <is>
          <t>Revision de cajas</t>
        </is>
      </c>
      <c r="AB90" s="26">
        <f>IFERROR(IF(OR(O90="",R90=""),"",IF(IF(ISNUMBER(R90),MOD(R90,1),TIMEVALUE(R90))&gt;=IF(ISNUMBER(O90),MOD(O90,1),TIMEVALUE(O90)),(IF(ISNUMBER(R90),MOD(R90,1),TIMEVALUE(R90))-IF(ISNUMBER(O90),MOD(O90,1),TIMEVALUE(O90)))*1440,(IF(ISNUMBER(R90),MOD(R90,1),TIMEVALUE(R90))+1-IF(ISNUMBER(O90),MOD(O90,1),TIMEVALUE(O90)))*1440)),"")</f>
        <v/>
      </c>
      <c r="AC90" s="28">
        <f>IFERROR(IF(OR(R90="",S90=""),"",IF(IF(ISNUMBER(S90),MOD(S90,1),TIMEVALUE(S90))&gt;=IF(ISNUMBER(R90),MOD(R90,1),TIMEVALUE(R90)),(IF(ISNUMBER(S90),MOD(S90,1),TIMEVALUE(S90))-IF(ISNUMBER(R90),MOD(R90,1),TIMEVALUE(R90)))*1440,(IF(ISNUMBER(S90),MOD(S90,1),TIMEVALUE(S90))+1-IF(ISNUMBER(R90),MOD(R90,1),TIMEVALUE(R90)))*1440)),"")</f>
        <v/>
      </c>
      <c r="AD90" s="100" t="n">
        <v>120</v>
      </c>
      <c r="AE90" s="26">
        <f>IFERROR(IF(OR(AC90="",AD90=""),"",AC90-AD90),"")</f>
        <v/>
      </c>
      <c r="AF90" s="27">
        <f>IFERROR(IF(AE90="","",IF(ROUND(AE90,0)&gt;15,"Subestimacion",IF(ROUND(AE90,0)&lt;-15,"Sobrestimacion","Asertivo"))),"")</f>
        <v/>
      </c>
      <c r="AG90" s="33" t="inlineStr">
        <is>
          <t>Sin Suspensión</t>
        </is>
      </c>
      <c r="AH90" s="85" t="n"/>
      <c r="AI90" s="85" t="n"/>
      <c r="AJ90" s="19" t="n"/>
      <c r="AK90" s="19" t="n"/>
      <c r="AL90" s="19" t="n"/>
      <c r="AM90" s="33" t="inlineStr">
        <is>
          <t>I0001189032</t>
        </is>
      </c>
      <c r="AN90" s="19" t="n"/>
      <c r="AO90" s="19" t="n"/>
      <c r="AP90" s="127">
        <f>IF(A90="","",A90-WEEKDAY(A90,2)+1)</f>
        <v/>
      </c>
      <c r="AQ90" s="127">
        <f>IF(AO90="","",AO90+6)</f>
        <v/>
      </c>
      <c r="AR90" s="19">
        <f>IF(AO90="","","Semana "&amp;TEXT(AO90,"dd-mm-yyyy")&amp;" al "&amp;TEXT(AP90,"dd-mm-yyyy"))</f>
        <v/>
      </c>
      <c r="AS90" s="19">
        <f>IF(A90="","",TEXT(A90,"mmmm yyyy"))</f>
        <v/>
      </c>
      <c r="AT90" s="19">
        <f>IF(A90="","",TEXT(A90,"dddd"))</f>
        <v/>
      </c>
      <c r="AU90" s="19">
        <f>IF(A90="","","CRR-"&amp;TEXT(A90,"yyyymmdd")&amp;"-"&amp;M90&amp;"-"&amp;TEXT(ROW()-3,"0000"))</f>
        <v/>
      </c>
      <c r="AV90" s="19">
        <f>IF(A90="","",IF(OR(B90="",C90="",E90="",F90="",M90="",N90=""),"Revisar campos obligatorios",IF(AND(P90="Atraso primera hora",Q90=""),"Falta justificación atraso primera hora",IF(AND(Z90="No cumple",AA90=""),"Falta justificación recambio &gt;15 min",IF(AND(ISNUMBER(SEARCH("suspend",N90)),OR(AG90="",AH90="")),"Falta causa/motivo suspensión","OK")))))</f>
        <v/>
      </c>
      <c r="AW90" s="19">
        <f>IF(N90="","",IF(ISNUMBER(SEARCH("suspend",N90)),IF(AND(AG90="",AH90=""),"Sin causa/motivo registrado",IF(AG90="",AH90,IF(AH90="",AG90,AG90&amp;": "&amp;AH90))),""))</f>
        <v/>
      </c>
    </row>
    <row r="91" ht="16" customHeight="1" s="151">
      <c r="A91" s="32" t="n">
        <v>46174</v>
      </c>
      <c r="B91" s="33" t="inlineStr">
        <is>
          <t>DOMINIQUE ISIDORA</t>
        </is>
      </c>
      <c r="C91" s="33" t="inlineStr">
        <is>
          <t>ALLENDE</t>
        </is>
      </c>
      <c r="D91" s="33" t="inlineStr">
        <is>
          <t>15a 1m 14d</t>
        </is>
      </c>
      <c r="E91" s="33" t="inlineStr">
        <is>
          <t>RETIRO DE TORNILLOS, CLAVOS, AGUJAS DE OSTEOSINTESIS O SIMILARES</t>
        </is>
      </c>
      <c r="F91" s="33" t="inlineStr">
        <is>
          <t>SERVICIO DE TRAUMATOLOGIA</t>
        </is>
      </c>
      <c r="G91" s="19" t="n"/>
      <c r="H91" s="33" t="inlineStr">
        <is>
          <t>2106003-5</t>
        </is>
      </c>
      <c r="I91" s="19" t="n"/>
      <c r="J91" s="20">
        <f>IF(H91&lt;&gt;"",IFERROR(VLOOKUP(IFERROR(LEFT(H91,FIND("-",H91)-1),H91),'Catalogo MINSAL'!A:E,5,FALSE),""),IF(I91&lt;&gt;"",IFERROR(VLOOKUP(IFERROR(LEFT(I91,FIND("-",I91)-1),I91),'Catalogo MINSAL'!A:E,5,FALSE),""),""))</f>
        <v/>
      </c>
      <c r="K91" s="33" t="inlineStr">
        <is>
          <t>Maximo Sepulveda Pizarro</t>
        </is>
      </c>
      <c r="L91" s="33" t="inlineStr">
        <is>
          <t>Dr. Camilo Garcia</t>
        </is>
      </c>
      <c r="M91" s="33" t="inlineStr">
        <is>
          <t>Quirofano 13</t>
        </is>
      </c>
      <c r="N91" s="48" t="inlineStr">
        <is>
          <t>Realizado</t>
        </is>
      </c>
      <c r="O91" s="49" t="n">
        <v>0.7625</v>
      </c>
      <c r="P91" s="27">
        <f>IFERROR(IF(OR(O91="",A91="",M91=""),"",IF(SUMPRODUCT(($A$4:$A$500=A91)*($M$4:$M$500=M91)*($O$4:$O$500&lt;&gt;"")*(MOD($O$4:$O$500,1)&lt;MOD(O91,1)))=0,IF(MOD(O91,1)&lt;=TIME(8,15,0),"Ingreso adecuado primera hora","Atraso primera hora"),"No aplica")),"")</f>
        <v/>
      </c>
      <c r="Q91" s="87" t="n"/>
      <c r="R91" s="49" t="n">
        <v>0.7770833333333333</v>
      </c>
      <c r="S91" s="49" t="n">
        <v>0.7930555555555555</v>
      </c>
      <c r="T91" s="49" t="n">
        <v>0.8041666666666667</v>
      </c>
      <c r="U91" s="34">
        <f>IFERROR(VLOOKUP(M91,'Horario Pabellones'!$A$4:$D$17,2,FALSE),"")</f>
        <v/>
      </c>
      <c r="V91" s="34">
        <f>IFERROR(VLOOKUP(M91,'Horario Pabellones'!$A$4:$D$17,3,FALSE),"")</f>
        <v/>
      </c>
      <c r="W91" s="100">
        <f>IFERROR(VLOOKUP(M91,'Horario Pabellones'!$A$4:$D$17,4,FALSE),"")</f>
        <v/>
      </c>
      <c r="X91" s="90">
        <f>IFERROR(IF(OR(A91="",M91="",W91=""),"",(((_xludf.AGGREGATE(14,6,MOD($S$4:$S$500,1)/(($A$4:$A$500=A91)*($M$4:$M$500=M91)*($R$4:$R$500&lt;&gt;"")*($S$4:$S$500&lt;&gt;"")),1)-_xludf.AGGREGATE(15,6,MOD($R$4:$R$500,1)/(($A$4:$A$500=A91)*($M$4:$M$500=M91)*($R$4:$R$500&lt;&gt;"")*($S$4:$S$500&lt;&gt;"")),1))*1440)/60)/(W91/60)),"")</f>
        <v/>
      </c>
      <c r="Y91" s="35">
        <f>IFERROR(IF(OR(O91="",A91="",M91=""),"",(IF(ISNUMBER(O91),MOD(O91,1),TIMEVALUE(O91))-LOOKUP(2,1/(($A$4:$A$500=A91)*($M$4:$M$500=M91)*($T$4:$T$500&lt;&gt;"")*($T$4:$T$500&lt;IF(ISNUMBER(O91),MOD(O91,1),TIMEVALUE(O91)))),$T$4:$T$500))*1440),"")</f>
        <v/>
      </c>
      <c r="Z91" s="27">
        <f>IFERROR(IF(Y91="","",IF(ROUND(Y91,0)&lt;=15,"Cumple","No cumple")),"")</f>
        <v/>
      </c>
      <c r="AA91" s="15" t="n"/>
      <c r="AB91" s="26">
        <f>IFERROR(IF(OR(O91="",R91=""),"",IF(IF(ISNUMBER(R91),MOD(R91,1),TIMEVALUE(R91))&gt;=IF(ISNUMBER(O91),MOD(O91,1),TIMEVALUE(O91)),(IF(ISNUMBER(R91),MOD(R91,1),TIMEVALUE(R91))-IF(ISNUMBER(O91),MOD(O91,1),TIMEVALUE(O91)))*1440,(IF(ISNUMBER(R91),MOD(R91,1),TIMEVALUE(R91))+1-IF(ISNUMBER(O91),MOD(O91,1),TIMEVALUE(O91)))*1440)),"")</f>
        <v/>
      </c>
      <c r="AC91" s="28">
        <f>IFERROR(IF(OR(R91="",S91=""),"",IF(IF(ISNUMBER(S91),MOD(S91,1),TIMEVALUE(S91))&gt;=IF(ISNUMBER(R91),MOD(R91,1),TIMEVALUE(R91)),(IF(ISNUMBER(S91),MOD(S91,1),TIMEVALUE(S91))-IF(ISNUMBER(R91),MOD(R91,1),TIMEVALUE(R91)))*1440,(IF(ISNUMBER(S91),MOD(S91,1),TIMEVALUE(S91))+1-IF(ISNUMBER(R91),MOD(R91,1),TIMEVALUE(R91)))*1440)),"")</f>
        <v/>
      </c>
      <c r="AD91" s="100" t="n">
        <v>30</v>
      </c>
      <c r="AE91" s="26">
        <f>IFERROR(IF(OR(AC91="",AD91=""),"",AC91-AD91),"")</f>
        <v/>
      </c>
      <c r="AF91" s="27">
        <f>IFERROR(IF(AE91="","",IF(ROUND(AE91,0)&gt;15,"Subestimacion",IF(ROUND(AE91,0)&lt;-15,"Sobrestimacion","Asertivo"))),"")</f>
        <v/>
      </c>
      <c r="AG91" s="33" t="inlineStr">
        <is>
          <t>Sin Suspensión</t>
        </is>
      </c>
      <c r="AH91" s="15" t="n"/>
      <c r="AI91" s="15" t="n"/>
      <c r="AJ91" s="19" t="n"/>
      <c r="AK91" s="19" t="n"/>
      <c r="AL91" s="19" t="n"/>
      <c r="AM91" s="33" t="inlineStr">
        <is>
          <t>I0001189035</t>
        </is>
      </c>
      <c r="AN91" s="19" t="n"/>
      <c r="AO91" s="19" t="n"/>
      <c r="AP91" s="127">
        <f>IF(A91="","",A91-WEEKDAY(A91,2)+1)</f>
        <v/>
      </c>
      <c r="AQ91" s="127">
        <f>IF(AO91="","",AO91+6)</f>
        <v/>
      </c>
      <c r="AR91" s="19">
        <f>IF(AO91="","","Semana "&amp;TEXT(AO91,"dd-mm-yyyy")&amp;" al "&amp;TEXT(AP91,"dd-mm-yyyy"))</f>
        <v/>
      </c>
      <c r="AS91" s="19">
        <f>IF(A91="","",TEXT(A91,"mmmm yyyy"))</f>
        <v/>
      </c>
      <c r="AT91" s="19">
        <f>IF(A91="","",TEXT(A91,"dddd"))</f>
        <v/>
      </c>
      <c r="AU91" s="19">
        <f>IF(A91="","","CRR-"&amp;TEXT(A91,"yyyymmdd")&amp;"-"&amp;M91&amp;"-"&amp;TEXT(ROW()-3,"0000"))</f>
        <v/>
      </c>
      <c r="AV91" s="19">
        <f>IF(A91="","",IF(OR(B91="",C91="",E91="",F91="",M91="",N91=""),"Revisar campos obligatorios",IF(AND(P91="Atraso primera hora",Q91=""),"Falta justificación atraso primera hora",IF(AND(Z91="No cumple",AA91=""),"Falta justificación recambio &gt;15 min",IF(AND(ISNUMBER(SEARCH("suspend",N91)),OR(AG91="",AH91="")),"Falta causa/motivo suspensión","OK")))))</f>
        <v/>
      </c>
      <c r="AW91" s="19">
        <f>IF(N91="","",IF(ISNUMBER(SEARCH("suspend",N91)),IF(AND(AG91="",AH91=""),"Sin causa/motivo registrado",IF(AG91="",AH91,IF(AH91="",AG91,AG91&amp;": "&amp;AH91))),""))</f>
        <v/>
      </c>
    </row>
    <row r="92" ht="16" customHeight="1" s="151">
      <c r="A92" s="32" t="n">
        <v>46174</v>
      </c>
      <c r="B92" s="33" t="inlineStr">
        <is>
          <t>FACUNDO IGNACIO</t>
        </is>
      </c>
      <c r="C92" s="33" t="inlineStr">
        <is>
          <t>VENEGAS</t>
        </is>
      </c>
      <c r="D92" s="33" t="inlineStr">
        <is>
          <t>17a 4m 28d</t>
        </is>
      </c>
      <c r="E92" s="33" t="inlineStr">
        <is>
          <t>ARTROSCOPIA DIAGNOSTICA C/S BIOPSIA, C/S SECCION DE BRIDAS, EXTRACCION DE CUERPO EXTRAÑO</t>
        </is>
      </c>
      <c r="F92" s="33" t="inlineStr">
        <is>
          <t>SERVICIO DE TRAUMATOLOGIA</t>
        </is>
      </c>
      <c r="G92" s="19" t="n"/>
      <c r="H92" s="33" t="inlineStr">
        <is>
          <t>2104001-3</t>
        </is>
      </c>
      <c r="I92" s="19" t="n"/>
      <c r="J92" s="20">
        <f>IF(H92&lt;&gt;"",IFERROR(VLOOKUP(IFERROR(LEFT(H92,FIND("-",H92)-1),H92),'Catalogo MINSAL'!A:E,5,FALSE),""),IF(I92&lt;&gt;"",IFERROR(VLOOKUP(IFERROR(LEFT(I92,FIND("-",I92)-1),I92),'Catalogo MINSAL'!A:E,5,FALSE),""),""))</f>
        <v/>
      </c>
      <c r="K92" s="33" t="inlineStr">
        <is>
          <t>Maximo Sepulveda Pizarro</t>
        </is>
      </c>
      <c r="L92" s="33" t="inlineStr">
        <is>
          <t>Maria Jose Rosen Petersen</t>
        </is>
      </c>
      <c r="M92" s="33" t="inlineStr">
        <is>
          <t>Quirofano 13</t>
        </is>
      </c>
      <c r="N92" s="50" t="inlineStr">
        <is>
          <t>Suspendido</t>
        </is>
      </c>
      <c r="O92" s="36" t="n"/>
      <c r="P92" s="27">
        <f>IFERROR(IF(OR(O92="",A92="",M92=""),"",IF(SUMPRODUCT(($A$4:$A$500=A92)*($M$4:$M$500=M92)*($O$4:$O$500&lt;&gt;"")*(MOD($O$4:$O$500,1)&lt;MOD(O92,1)))=0,IF(MOD(O92,1)&lt;=TIME(8,15,0),"Ingreso adecuado primera hora","Atraso primera hora"),"No aplica")),"")</f>
        <v/>
      </c>
      <c r="Q92" s="86" t="n"/>
      <c r="R92" s="36" t="n"/>
      <c r="S92" s="36" t="n"/>
      <c r="T92" s="36" t="n"/>
      <c r="U92" s="34">
        <f>IFERROR(VLOOKUP(M92,'Horario Pabellones'!$A$4:$D$17,2,FALSE),"")</f>
        <v/>
      </c>
      <c r="V92" s="34">
        <f>IFERROR(VLOOKUP(M92,'Horario Pabellones'!$A$4:$D$17,3,FALSE),"")</f>
        <v/>
      </c>
      <c r="W92" s="100">
        <f>IFERROR(VLOOKUP(M92,'Horario Pabellones'!$A$4:$D$17,4,FALSE),"")</f>
        <v/>
      </c>
      <c r="X92" s="90">
        <f>IFERROR(IF(OR(A92="",M92="",W92=""),"",(((_xludf.AGGREGATE(14,6,MOD($S$4:$S$500,1)/(($A$4:$A$500=A92)*($M$4:$M$500=M92)*($R$4:$R$500&lt;&gt;"")*($S$4:$S$500&lt;&gt;"")),1)-_xludf.AGGREGATE(15,6,MOD($R$4:$R$500,1)/(($A$4:$A$500=A92)*($M$4:$M$500=M92)*($R$4:$R$500&lt;&gt;"")*($S$4:$S$500&lt;&gt;"")),1))*1440)/60)/(W92/60)),"")</f>
        <v/>
      </c>
      <c r="Y92" s="41">
        <f>IFERROR(IF(OR(O92="",A92="",M92=""),"",(IF(ISNUMBER(O92),MOD(O92,1),TIMEVALUE(O92))-LOOKUP(2,1/(($A$4:$A$500=A92)*($M$4:$M$500=M92)*($T$4:$T$500&lt;&gt;"")*($T$4:$T$500&lt;IF(ISNUMBER(O92),MOD(O92,1),TIMEVALUE(O92)))),$T$4:$T$500))*1440),"")</f>
        <v/>
      </c>
      <c r="Z92" s="27">
        <f>IFERROR(IF(Y92="","",IF(ROUND(Y92,0)&lt;=15,"Cumple","No cumple")),"")</f>
        <v/>
      </c>
      <c r="AA92" s="85" t="n"/>
      <c r="AB92" s="26">
        <f>IFERROR(IF(OR(O92="",R92=""),"",IF(IF(ISNUMBER(R92),MOD(R92,1),TIMEVALUE(R92))&gt;=IF(ISNUMBER(O92),MOD(O92,1),TIMEVALUE(O92)),(IF(ISNUMBER(R92),MOD(R92,1),TIMEVALUE(R92))-IF(ISNUMBER(O92),MOD(O92,1),TIMEVALUE(O92)))*1440,(IF(ISNUMBER(R92),MOD(R92,1),TIMEVALUE(R92))+1-IF(ISNUMBER(O92),MOD(O92,1),TIMEVALUE(O92)))*1440)),"")</f>
        <v/>
      </c>
      <c r="AC92" s="28">
        <f>IFERROR(IF(OR(R92="",S92=""),"",IF(IF(ISNUMBER(S92),MOD(S92,1),TIMEVALUE(S92))&gt;=IF(ISNUMBER(R92),MOD(R92,1),TIMEVALUE(R92)),(IF(ISNUMBER(S92),MOD(S92,1),TIMEVALUE(S92))-IF(ISNUMBER(R92),MOD(R92,1),TIMEVALUE(R92)))*1440,(IF(ISNUMBER(S92),MOD(S92,1),TIMEVALUE(S92))+1-IF(ISNUMBER(R92),MOD(R92,1),TIMEVALUE(R92)))*1440)),"")</f>
        <v/>
      </c>
      <c r="AD92" s="100" t="n">
        <v>120</v>
      </c>
      <c r="AE92" s="26">
        <f>IFERROR(IF(OR(AC92="",AD92=""),"",AC92-AD92),"")</f>
        <v/>
      </c>
      <c r="AF92" s="27">
        <f>IFERROR(IF(AE92="","",IF(ROUND(AE92,0)&gt;15,"Subestimacion",IF(ROUND(AE92,0)&lt;-15,"Sobrestimacion","Asertivo"))),"")</f>
        <v/>
      </c>
      <c r="AG92" s="42" t="inlineStr">
        <is>
          <t>Error de programación</t>
        </is>
      </c>
      <c r="AH92" s="86" t="inlineStr">
        <is>
          <t>Prolongacion de tabla, penultima cirugia termina a las 19:18 hrs</t>
        </is>
      </c>
      <c r="AI92" s="86" t="inlineStr">
        <is>
          <t>Prolongacion de tabla, penultima cirugia termina a las 19:18 hrs</t>
        </is>
      </c>
      <c r="AJ92" s="19" t="n"/>
      <c r="AK92" s="19" t="n"/>
      <c r="AL92" s="19" t="n"/>
      <c r="AM92" s="33" t="inlineStr">
        <is>
          <t>I0001189034</t>
        </is>
      </c>
      <c r="AN92" s="19" t="n"/>
      <c r="AO92" s="19" t="n"/>
      <c r="AP92" s="127">
        <f>IF(A92="","",A92-WEEKDAY(A92,2)+1)</f>
        <v/>
      </c>
      <c r="AQ92" s="127">
        <f>IF(AO92="","",AO92+6)</f>
        <v/>
      </c>
      <c r="AR92" s="19">
        <f>IF(AO92="","","Semana "&amp;TEXT(AO92,"dd-mm-yyyy")&amp;" al "&amp;TEXT(AP92,"dd-mm-yyyy"))</f>
        <v/>
      </c>
      <c r="AS92" s="19">
        <f>IF(A92="","",TEXT(A92,"mmmm yyyy"))</f>
        <v/>
      </c>
      <c r="AT92" s="19">
        <f>IF(A92="","",TEXT(A92,"dddd"))</f>
        <v/>
      </c>
      <c r="AU92" s="19">
        <f>IF(A92="","","CRR-"&amp;TEXT(A92,"yyyymmdd")&amp;"-"&amp;M92&amp;"-"&amp;TEXT(ROW()-3,"0000"))</f>
        <v/>
      </c>
      <c r="AV92" s="19">
        <f>IF(A92="","",IF(OR(B92="",C92="",E92="",F92="",M92="",N92=""),"Revisar campos obligatorios",IF(AND(P92="Atraso primera hora",Q92=""),"Falta justificación atraso primera hora",IF(AND(Z92="No cumple",AA92=""),"Falta justificación recambio &gt;15 min",IF(AND(ISNUMBER(SEARCH("suspend",N92)),OR(AG92="",AH92="")),"Falta causa/motivo suspensión","OK")))))</f>
        <v/>
      </c>
      <c r="AW92" s="19">
        <f>IF(N92="","",IF(ISNUMBER(SEARCH("suspend",N92)),IF(AND(AG92="",AH92=""),"Sin causa/motivo registrado",IF(AG92="",AH92,IF(AH92="",AG92,AG92&amp;": "&amp;AH92))),""))</f>
        <v/>
      </c>
    </row>
    <row r="93" ht="16" customHeight="1" s="151">
      <c r="A93" s="32" t="n">
        <v>46175</v>
      </c>
      <c r="B93" s="51" t="inlineStr">
        <is>
          <t>ANTONELLA ISIDORA</t>
        </is>
      </c>
      <c r="C93" s="51" t="inlineStr">
        <is>
          <t>CERDA</t>
        </is>
      </c>
      <c r="D93" s="51" t="inlineStr">
        <is>
          <t>18a 2m 4d</t>
        </is>
      </c>
      <c r="E93" s="51" t="inlineStr">
        <is>
          <t>AMIGDALECTOMIA C/S ADENOIDECTOMIA, UNI O BILATERAL</t>
        </is>
      </c>
      <c r="F93" s="40" t="inlineStr">
        <is>
          <t>SERVICIO DE CIRUGIA ADULTO</t>
        </is>
      </c>
      <c r="G93" s="19" t="n"/>
      <c r="H93" s="51" t="inlineStr">
        <is>
          <t>1302029-5</t>
        </is>
      </c>
      <c r="I93" s="19" t="n"/>
      <c r="J93" s="20">
        <f>IF(H93&lt;&gt;"",IFERROR(VLOOKUP(IFERROR(LEFT(H93,FIND("-",H93)-1),H93),'Catalogo MINSAL'!A:E,5,FALSE),""),IF(I93&lt;&gt;"",IFERROR(VLOOKUP(IFERROR(LEFT(I93,FIND("-",I93)-1),I93),'Catalogo MINSAL'!A:E,5,FALSE),""),""))</f>
        <v/>
      </c>
      <c r="K93" s="33" t="inlineStr">
        <is>
          <t>Sebastian Meneses Diaz</t>
        </is>
      </c>
      <c r="L93" s="51" t="inlineStr">
        <is>
          <t>Dr. Cristian Aedo Bendel</t>
        </is>
      </c>
      <c r="M93" s="51" t="inlineStr">
        <is>
          <t>Quirofano 06</t>
        </is>
      </c>
      <c r="N93" s="48" t="inlineStr">
        <is>
          <t>Realizado</t>
        </is>
      </c>
      <c r="O93" s="52" t="n">
        <v>0.3472222222222222</v>
      </c>
      <c r="P93" s="27">
        <f>IFERROR(IF(OR(O93="",A93="",M93=""),"",IF(SUMPRODUCT(($A$4:$A$500=A93)*($M$4:$M$500=M93)*($O$4:$O$500&lt;&gt;"")*(MOD($O$4:$O$500,1)&lt;MOD(O93,1)))=0,IF(MOD(O93,1)&lt;=TIME(8,15,0),"Ingreso adecuado primera hora","Atraso primera hora"),"No aplica")),"")</f>
        <v/>
      </c>
      <c r="Q93" s="86" t="inlineStr">
        <is>
          <t>Atraso de cirujano (Dr. Aedo)</t>
        </is>
      </c>
      <c r="R93" s="52" t="n">
        <v>0.3625</v>
      </c>
      <c r="S93" s="52" t="n">
        <v>0.3888888888888889</v>
      </c>
      <c r="T93" s="52" t="n">
        <v>0.3993055555555556</v>
      </c>
      <c r="U93" s="34">
        <f>IFERROR(VLOOKUP(M93,'Horario Pabellones'!$A$4:$D$17,2,FALSE),"")</f>
        <v/>
      </c>
      <c r="V93" s="34">
        <f>IFERROR(VLOOKUP(M93,'Horario Pabellones'!$A$4:$D$17,3,FALSE),"")</f>
        <v/>
      </c>
      <c r="W93" s="102">
        <f>IFERROR(VLOOKUP(M93,'Horario Pabellones'!$A$4:$D$17,4,FALSE),"")</f>
        <v/>
      </c>
      <c r="X93" s="92">
        <f>IFERROR(IF(OR(A93="",M93="",W93=""),"",(((_xludf.AGGREGATE(14,6,MOD($S$4:$S$500,1)/(($A$4:$A$500=A93)*($M$4:$M$500=M93)*($R$4:$R$500&lt;&gt;"")*($S$4:$S$500&lt;&gt;"")),1)-_xludf.AGGREGATE(15,6,MOD($R$4:$R$500,1)/(($A$4:$A$500=A93)*($M$4:$M$500=M93)*($R$4:$R$500&lt;&gt;"")*($S$4:$S$500&lt;&gt;"")),1))*1440)/60)/(W93/60)),"")</f>
        <v/>
      </c>
      <c r="Y93" s="26">
        <f>IFERROR(IF(OR(O93="",A93="",M93=""),"",(IF(ISNUMBER(O93),MOD(O93,1),TIMEVALUE(O93))-LOOKUP(2,1/(($A$4:$A$500=A93)*($M$4:$M$500=M93)*($T$4:$T$500&lt;&gt;"")*($T$4:$T$500&lt;IF(ISNUMBER(O93),MOD(O93,1),TIMEVALUE(O93)))),$T$4:$T$500))*1440),"")</f>
        <v/>
      </c>
      <c r="Z93" s="27">
        <f>IFERROR(IF(Y93="","",IF(ROUND(Y93,0)&lt;=15,"Cumple","No cumple")),"")</f>
        <v/>
      </c>
      <c r="AA93" s="85" t="n"/>
      <c r="AB93" s="26">
        <f>IFERROR(IF(OR(O93="",R93=""),"",IF(IF(ISNUMBER(R93),MOD(R93,1),TIMEVALUE(R93))&gt;=IF(ISNUMBER(O93),MOD(O93,1),TIMEVALUE(O93)),(IF(ISNUMBER(R93),MOD(R93,1),TIMEVALUE(R93))-IF(ISNUMBER(O93),MOD(O93,1),TIMEVALUE(O93)))*1440,(IF(ISNUMBER(R93),MOD(R93,1),TIMEVALUE(R93))+1-IF(ISNUMBER(O93),MOD(O93,1),TIMEVALUE(O93)))*1440)),"")</f>
        <v/>
      </c>
      <c r="AC93" s="28">
        <f>IFERROR(IF(OR(R93="",S93=""),"",IF(IF(ISNUMBER(S93),MOD(S93,1),TIMEVALUE(S93))&gt;=IF(ISNUMBER(R93),MOD(R93,1),TIMEVALUE(R93)),(IF(ISNUMBER(S93),MOD(S93,1),TIMEVALUE(S93))-IF(ISNUMBER(R93),MOD(R93,1),TIMEVALUE(R93)))*1440,(IF(ISNUMBER(S93),MOD(S93,1),TIMEVALUE(S93))+1-IF(ISNUMBER(R93),MOD(R93,1),TIMEVALUE(R93)))*1440)),"")</f>
        <v/>
      </c>
      <c r="AD93" s="100" t="n">
        <v>60</v>
      </c>
      <c r="AE93" s="26">
        <f>IFERROR(IF(OR(AC93="",AD93=""),"",AC93-AD93),"")</f>
        <v/>
      </c>
      <c r="AF93" s="27">
        <f>IFERROR(IF(AE93="","",IF(ROUND(AE93,0)&gt;15,"Subestimacion",IF(ROUND(AE93,0)&lt;-15,"Sobrestimacion","Asertivo"))),"")</f>
        <v/>
      </c>
      <c r="AG93" s="33" t="inlineStr">
        <is>
          <t>Sin Suspensión</t>
        </is>
      </c>
      <c r="AH93" s="85" t="n"/>
      <c r="AI93" s="85" t="n"/>
      <c r="AJ93" s="19" t="n"/>
      <c r="AK93" s="19" t="inlineStr">
        <is>
          <t>Sí</t>
        </is>
      </c>
      <c r="AL93" s="19" t="inlineStr">
        <is>
          <t>No</t>
        </is>
      </c>
      <c r="AM93" s="51" t="inlineStr">
        <is>
          <t>I0001189620</t>
        </is>
      </c>
      <c r="AN93" s="19" t="n"/>
      <c r="AO93" s="19" t="n"/>
      <c r="AP93" s="127">
        <f>IF(A93="","",A93-WEEKDAY(A93,2)+1)</f>
        <v/>
      </c>
      <c r="AQ93" s="127">
        <f>IF(AO93="","",AO93+6)</f>
        <v/>
      </c>
      <c r="AR93" s="19">
        <f>IF(AO93="","","Semana "&amp;TEXT(AO93,"dd-mm-yyyy")&amp;" al "&amp;TEXT(AP93,"dd-mm-yyyy"))</f>
        <v/>
      </c>
      <c r="AS93" s="19">
        <f>IF(A93="","",TEXT(A93,"mmmm yyyy"))</f>
        <v/>
      </c>
      <c r="AT93" s="19">
        <f>IF(A93="","",TEXT(A93,"dddd"))</f>
        <v/>
      </c>
      <c r="AU93" s="19">
        <f>IF(A93="","","CRR-"&amp;TEXT(A93,"yyyymmdd")&amp;"-"&amp;M93&amp;"-"&amp;TEXT(ROW()-3,"0000"))</f>
        <v/>
      </c>
      <c r="AV93" s="19">
        <f>IF(A93="","",IF(OR(B93="",C93="",E93="",F93="",M93="",N93=""),"Revisar campos obligatorios",IF(AND(P93="Atraso primera hora",Q93=""),"Falta justificación atraso primera hora",IF(AND(Z93="No cumple",AA93=""),"Falta justificación recambio &gt;15 min",IF(AND(ISNUMBER(SEARCH("suspend",N93)),OR(AG93="",AH93="")),"Falta causa/motivo suspensión","OK")))))</f>
        <v/>
      </c>
      <c r="AW93" s="19">
        <f>IF(N93="","",IF(ISNUMBER(SEARCH("suspend",N93)),IF(AND(AG93="",AH93=""),"Sin causa/motivo registrado",IF(AG93="",AH93,IF(AH93="",AG93,AG93&amp;": "&amp;AH93))),""))</f>
        <v/>
      </c>
    </row>
    <row r="94" ht="16" customHeight="1" s="151">
      <c r="A94" s="32" t="n">
        <v>46175</v>
      </c>
      <c r="B94" s="51" t="inlineStr">
        <is>
          <t>GRACE AMARAL</t>
        </is>
      </c>
      <c r="C94" s="51" t="inlineStr">
        <is>
          <t>ROMÁN</t>
        </is>
      </c>
      <c r="D94" s="51" t="inlineStr">
        <is>
          <t>13a 4m 1d</t>
        </is>
      </c>
      <c r="E94" s="51" t="inlineStr">
        <is>
          <t>AMIGDALECTOMIA C/S ADENOIDECTOMIA, UNI O BILATERAL</t>
        </is>
      </c>
      <c r="F94" s="40" t="inlineStr">
        <is>
          <t>SERVICIO DE CIRUGIA ADULTO</t>
        </is>
      </c>
      <c r="G94" s="19" t="n"/>
      <c r="H94" s="51" t="inlineStr">
        <is>
          <t>1302029-5</t>
        </is>
      </c>
      <c r="I94" s="19" t="n"/>
      <c r="J94" s="20">
        <f>IF(H94&lt;&gt;"",IFERROR(VLOOKUP(IFERROR(LEFT(H94,FIND("-",H94)-1),H94),'Catalogo MINSAL'!A:E,5,FALSE),""),IF(I94&lt;&gt;"",IFERROR(VLOOKUP(IFERROR(LEFT(I94,FIND("-",I94)-1),I94),'Catalogo MINSAL'!A:E,5,FALSE),""),""))</f>
        <v/>
      </c>
      <c r="K94" s="33" t="inlineStr">
        <is>
          <t>Sebastian Meneses Diaz</t>
        </is>
      </c>
      <c r="L94" s="51" t="inlineStr">
        <is>
          <t>Dr. Cristian Aedo Bendel</t>
        </is>
      </c>
      <c r="M94" s="51" t="inlineStr">
        <is>
          <t>Quirofano 06</t>
        </is>
      </c>
      <c r="N94" s="48" t="inlineStr">
        <is>
          <t>Realizado</t>
        </is>
      </c>
      <c r="O94" s="52" t="n">
        <v>0.4166666666666667</v>
      </c>
      <c r="P94" s="27">
        <f>IFERROR(IF(OR(O94="",A94="",M94=""),"",IF(SUMPRODUCT(($A$4:$A$500=A94)*($M$4:$M$500=M94)*($O$4:$O$500&lt;&gt;"")*(MOD($O$4:$O$500,1)&lt;MOD(O94,1)))=0,IF(MOD(O94,1)&lt;=TIME(8,15,0),"Ingreso adecuado primera hora","Atraso primera hora"),"No aplica")),"")</f>
        <v/>
      </c>
      <c r="Q94" s="86" t="n"/>
      <c r="R94" s="52" t="n">
        <v>0.4354166666666667</v>
      </c>
      <c r="S94" s="52" t="n">
        <v>0.4583333333333333</v>
      </c>
      <c r="T94" s="52" t="n">
        <v>0.4743055555555555</v>
      </c>
      <c r="U94" s="34">
        <f>IFERROR(VLOOKUP(M94,'Horario Pabellones'!$A$4:$D$17,2,FALSE),"")</f>
        <v/>
      </c>
      <c r="V94" s="34">
        <f>IFERROR(VLOOKUP(M94,'Horario Pabellones'!$A$4:$D$17,3,FALSE),"")</f>
        <v/>
      </c>
      <c r="W94" s="102">
        <f>IFERROR(VLOOKUP(M94,'Horario Pabellones'!$A$4:$D$17,4,FALSE),"")</f>
        <v/>
      </c>
      <c r="X94" s="92">
        <f>IFERROR(IF(OR(A94="",M94="",W94=""),"",(((_xludf.AGGREGATE(14,6,MOD($S$4:$S$500,1)/(($A$4:$A$500=A94)*($M$4:$M$500=M94)*($R$4:$R$500&lt;&gt;"")*($S$4:$S$500&lt;&gt;"")),1)-_xludf.AGGREGATE(15,6,MOD($R$4:$R$500,1)/(($A$4:$A$500=A94)*($M$4:$M$500=M94)*($R$4:$R$500&lt;&gt;"")*($S$4:$S$500&lt;&gt;"")),1))*1440)/60)/(W94/60)),"")</f>
        <v/>
      </c>
      <c r="Y94" s="26">
        <f>IFERROR(IF(OR(O94="",A94="",M94=""),"",(IF(ISNUMBER(O94),MOD(O94,1),TIMEVALUE(O94))-LOOKUP(2,1/(($A$4:$A$500=A94)*($M$4:$M$500=M94)*($T$4:$T$500&lt;&gt;"")*($T$4:$T$500&lt;IF(ISNUMBER(O94),MOD(O94,1),TIMEVALUE(O94)))),$T$4:$T$500))*1440),"")</f>
        <v/>
      </c>
      <c r="Z94" s="27">
        <f>IFERROR(IF(Y94="","",IF(ROUND(Y94,0)&lt;=15,"Cumple","No cumple")),"")</f>
        <v/>
      </c>
      <c r="AA94" s="85" t="inlineStr">
        <is>
          <t>Personal de aseo ocupado en otro pabellon</t>
        </is>
      </c>
      <c r="AB94" s="26">
        <f>IFERROR(IF(OR(O94="",R94=""),"",IF(IF(ISNUMBER(R94),MOD(R94,1),TIMEVALUE(R94))&gt;=IF(ISNUMBER(O94),MOD(O94,1),TIMEVALUE(O94)),(IF(ISNUMBER(R94),MOD(R94,1),TIMEVALUE(R94))-IF(ISNUMBER(O94),MOD(O94,1),TIMEVALUE(O94)))*1440,(IF(ISNUMBER(R94),MOD(R94,1),TIMEVALUE(R94))+1-IF(ISNUMBER(O94),MOD(O94,1),TIMEVALUE(O94)))*1440)),"")</f>
        <v/>
      </c>
      <c r="AC94" s="28">
        <f>IFERROR(IF(OR(R94="",S94=""),"",IF(IF(ISNUMBER(S94),MOD(S94,1),TIMEVALUE(S94))&gt;=IF(ISNUMBER(R94),MOD(R94,1),TIMEVALUE(R94)),(IF(ISNUMBER(S94),MOD(S94,1),TIMEVALUE(S94))-IF(ISNUMBER(R94),MOD(R94,1),TIMEVALUE(R94)))*1440,(IF(ISNUMBER(S94),MOD(S94,1),TIMEVALUE(S94))+1-IF(ISNUMBER(R94),MOD(R94,1),TIMEVALUE(R94)))*1440)),"")</f>
        <v/>
      </c>
      <c r="AD94" s="100" t="n">
        <v>60</v>
      </c>
      <c r="AE94" s="26">
        <f>IFERROR(IF(OR(AC94="",AD94=""),"",AC94-AD94),"")</f>
        <v/>
      </c>
      <c r="AF94" s="27">
        <f>IFERROR(IF(AE94="","",IF(ROUND(AE94,0)&gt;15,"Subestimacion",IF(ROUND(AE94,0)&lt;-15,"Sobrestimacion","Asertivo"))),"")</f>
        <v/>
      </c>
      <c r="AG94" s="33" t="inlineStr">
        <is>
          <t>Sin Suspensión</t>
        </is>
      </c>
      <c r="AH94" s="85" t="n"/>
      <c r="AI94" s="85" t="n"/>
      <c r="AJ94" s="19" t="n"/>
      <c r="AK94" s="19" t="inlineStr">
        <is>
          <t>Sí</t>
        </is>
      </c>
      <c r="AL94" s="19" t="inlineStr">
        <is>
          <t>No</t>
        </is>
      </c>
      <c r="AM94" s="51" t="inlineStr">
        <is>
          <t>I0001189621</t>
        </is>
      </c>
      <c r="AN94" s="19" t="n"/>
      <c r="AO94" s="19" t="n"/>
      <c r="AP94" s="127">
        <f>IF(A94="","",A94-WEEKDAY(A94,2)+1)</f>
        <v/>
      </c>
      <c r="AQ94" s="127">
        <f>IF(AO94="","",AO94+6)</f>
        <v/>
      </c>
      <c r="AR94" s="19">
        <f>IF(AO94="","","Semana "&amp;TEXT(AO94,"dd-mm-yyyy")&amp;" al "&amp;TEXT(AP94,"dd-mm-yyyy"))</f>
        <v/>
      </c>
      <c r="AS94" s="19">
        <f>IF(A94="","",TEXT(A94,"mmmm yyyy"))</f>
        <v/>
      </c>
      <c r="AT94" s="19">
        <f>IF(A94="","",TEXT(A94,"dddd"))</f>
        <v/>
      </c>
      <c r="AU94" s="19">
        <f>IF(A94="","","CRR-"&amp;TEXT(A94,"yyyymmdd")&amp;"-"&amp;M94&amp;"-"&amp;TEXT(ROW()-3,"0000"))</f>
        <v/>
      </c>
      <c r="AV94" s="19">
        <f>IF(A94="","",IF(OR(B94="",C94="",E94="",F94="",M94="",N94=""),"Revisar campos obligatorios",IF(AND(P94="Atraso primera hora",Q94=""),"Falta justificación atraso primera hora",IF(AND(Z94="No cumple",AA94=""),"Falta justificación recambio &gt;15 min",IF(AND(ISNUMBER(SEARCH("suspend",N94)),OR(AG94="",AH94="")),"Falta causa/motivo suspensión","OK")))))</f>
        <v/>
      </c>
      <c r="AW94" s="19">
        <f>IF(N94="","",IF(ISNUMBER(SEARCH("suspend",N94)),IF(AND(AG94="",AH94=""),"Sin causa/motivo registrado",IF(AG94="",AH94,IF(AH94="",AG94,AG94&amp;": "&amp;AH94))),""))</f>
        <v/>
      </c>
    </row>
    <row r="95" ht="16" customHeight="1" s="151">
      <c r="A95" s="32" t="n">
        <v>46175</v>
      </c>
      <c r="B95" s="51" t="inlineStr">
        <is>
          <t>NATALIA LISBETH</t>
        </is>
      </c>
      <c r="C95" s="51" t="inlineStr">
        <is>
          <t>VENEGAS</t>
        </is>
      </c>
      <c r="D95" s="51" t="inlineStr">
        <is>
          <t>41a 5m 14d</t>
        </is>
      </c>
      <c r="E95" s="51" t="inlineStr">
        <is>
          <t>TIMPANOPLASTIA FUNCIONAL (CUALQUIER TIPO) C/S MASTOIDECTOMIA</t>
        </is>
      </c>
      <c r="F95" s="40" t="inlineStr">
        <is>
          <t>SERVICIO DE CIRUGIA ADULTO</t>
        </is>
      </c>
      <c r="G95" s="19" t="n"/>
      <c r="H95" s="51" t="inlineStr">
        <is>
          <t>1302012-7</t>
        </is>
      </c>
      <c r="I95" s="19" t="n"/>
      <c r="J95" s="20">
        <f>IF(H95&lt;&gt;"",IFERROR(VLOOKUP(IFERROR(LEFT(H95,FIND("-",H95)-1),H95),'Catalogo MINSAL'!A:E,5,FALSE),""),IF(I95&lt;&gt;"",IFERROR(VLOOKUP(IFERROR(LEFT(I95,FIND("-",I95)-1),I95),'Catalogo MINSAL'!A:E,5,FALSE),""),""))</f>
        <v/>
      </c>
      <c r="K95" s="33" t="inlineStr">
        <is>
          <t>Sebastian Meneses Diaz</t>
        </is>
      </c>
      <c r="L95" s="51" t="inlineStr">
        <is>
          <t>Dr. Cristian Aedo Bendel</t>
        </is>
      </c>
      <c r="M95" s="51" t="inlineStr">
        <is>
          <t>Quirofano 06</t>
        </is>
      </c>
      <c r="N95" s="48" t="inlineStr">
        <is>
          <t>Realizado</t>
        </is>
      </c>
      <c r="O95" s="52" t="n">
        <v>0.4930555555555556</v>
      </c>
      <c r="P95" s="27">
        <f>IFERROR(IF(OR(O95="",A95="",M95=""),"",IF(SUMPRODUCT(($A$4:$A$500=A95)*($M$4:$M$500=M95)*($O$4:$O$500&lt;&gt;"")*(MOD($O$4:$O$500,1)&lt;MOD(O95,1)))=0,IF(MOD(O95,1)&lt;=TIME(8,15,0),"Ingreso adecuado primera hora","Atraso primera hora"),"No aplica")),"")</f>
        <v/>
      </c>
      <c r="Q95" s="86" t="n"/>
      <c r="R95" s="52" t="n">
        <v>0.5118055555555555</v>
      </c>
      <c r="S95" s="52" t="n">
        <v>0.5798611111111112</v>
      </c>
      <c r="T95" s="52" t="n">
        <v>0.5972222222222222</v>
      </c>
      <c r="U95" s="34">
        <f>IFERROR(VLOOKUP(M95,'Horario Pabellones'!$A$4:$D$17,2,FALSE),"")</f>
        <v/>
      </c>
      <c r="V95" s="34">
        <f>IFERROR(VLOOKUP(M95,'Horario Pabellones'!$A$4:$D$17,3,FALSE),"")</f>
        <v/>
      </c>
      <c r="W95" s="102">
        <f>IFERROR(VLOOKUP(M95,'Horario Pabellones'!$A$4:$D$17,4,FALSE),"")</f>
        <v/>
      </c>
      <c r="X95" s="92">
        <f>IFERROR(IF(OR(A95="",M95="",W95=""),"",(((_xludf.AGGREGATE(14,6,MOD($S$4:$S$500,1)/(($A$4:$A$500=A95)*($M$4:$M$500=M95)*($R$4:$R$500&lt;&gt;"")*($S$4:$S$500&lt;&gt;"")),1)-_xludf.AGGREGATE(15,6,MOD($R$4:$R$500,1)/(($A$4:$A$500=A95)*($M$4:$M$500=M95)*($R$4:$R$500&lt;&gt;"")*($S$4:$S$500&lt;&gt;"")),1))*1440)/60)/(W95/60)),"")</f>
        <v/>
      </c>
      <c r="Y95" s="26">
        <f>IFERROR(IF(OR(O95="",A95="",M95=""),"",(IF(ISNUMBER(O95),MOD(O95,1),TIMEVALUE(O95))-LOOKUP(2,1/(($A$4:$A$500=A95)*($M$4:$M$500=M95)*($T$4:$T$500&lt;&gt;"")*($T$4:$T$500&lt;IF(ISNUMBER(O95),MOD(O95,1),TIMEVALUE(O95)))),$T$4:$T$500))*1440),"")</f>
        <v/>
      </c>
      <c r="Z95" s="27">
        <f>IFERROR(IF(Y95="","",IF(ROUND(Y95,0)&lt;=15,"Cumple","No cumple")),"")</f>
        <v/>
      </c>
      <c r="AA95" s="85" t="inlineStr">
        <is>
          <t>Personal de aseo ocupado en otro pabellon</t>
        </is>
      </c>
      <c r="AB95" s="26">
        <f>IFERROR(IF(OR(O95="",R95=""),"",IF(IF(ISNUMBER(R95),MOD(R95,1),TIMEVALUE(R95))&gt;=IF(ISNUMBER(O95),MOD(O95,1),TIMEVALUE(O95)),(IF(ISNUMBER(R95),MOD(R95,1),TIMEVALUE(R95))-IF(ISNUMBER(O95),MOD(O95,1),TIMEVALUE(O95)))*1440,(IF(ISNUMBER(R95),MOD(R95,1),TIMEVALUE(R95))+1-IF(ISNUMBER(O95),MOD(O95,1),TIMEVALUE(O95)))*1440)),"")</f>
        <v/>
      </c>
      <c r="AC95" s="28">
        <f>IFERROR(IF(OR(R95="",S95=""),"",IF(IF(ISNUMBER(S95),MOD(S95,1),TIMEVALUE(S95))&gt;=IF(ISNUMBER(R95),MOD(R95,1),TIMEVALUE(R95)),(IF(ISNUMBER(S95),MOD(S95,1),TIMEVALUE(S95))-IF(ISNUMBER(R95),MOD(R95,1),TIMEVALUE(R95)))*1440,(IF(ISNUMBER(S95),MOD(S95,1),TIMEVALUE(S95))+1-IF(ISNUMBER(R95),MOD(R95,1),TIMEVALUE(R95)))*1440)),"")</f>
        <v/>
      </c>
      <c r="AD95" s="100" t="n">
        <v>90</v>
      </c>
      <c r="AE95" s="26">
        <f>IFERROR(IF(OR(AC95="",AD95=""),"",AC95-AD95),"")</f>
        <v/>
      </c>
      <c r="AF95" s="27">
        <f>IFERROR(IF(AE95="","",IF(ROUND(AE95,0)&gt;15,"Subestimacion",IF(ROUND(AE95,0)&lt;-15,"Sobrestimacion","Asertivo"))),"")</f>
        <v/>
      </c>
      <c r="AG95" s="33" t="inlineStr">
        <is>
          <t>Sin Suspensión</t>
        </is>
      </c>
      <c r="AH95" s="85" t="n"/>
      <c r="AI95" s="85" t="n"/>
      <c r="AJ95" s="19" t="n"/>
      <c r="AK95" s="19" t="inlineStr">
        <is>
          <t>Sí</t>
        </is>
      </c>
      <c r="AL95" s="19" t="inlineStr">
        <is>
          <t>No</t>
        </is>
      </c>
      <c r="AM95" s="51" t="inlineStr">
        <is>
          <t>I0001189624</t>
        </is>
      </c>
      <c r="AN95" s="19" t="n"/>
      <c r="AO95" s="19" t="n"/>
      <c r="AP95" s="127">
        <f>IF(A95="","",A95-WEEKDAY(A95,2)+1)</f>
        <v/>
      </c>
      <c r="AQ95" s="127">
        <f>IF(AO95="","",AO95+6)</f>
        <v/>
      </c>
      <c r="AR95" s="19">
        <f>IF(AO95="","","Semana "&amp;TEXT(AO95,"dd-mm-yyyy")&amp;" al "&amp;TEXT(AP95,"dd-mm-yyyy"))</f>
        <v/>
      </c>
      <c r="AS95" s="19">
        <f>IF(A95="","",TEXT(A95,"mmmm yyyy"))</f>
        <v/>
      </c>
      <c r="AT95" s="19">
        <f>IF(A95="","",TEXT(A95,"dddd"))</f>
        <v/>
      </c>
      <c r="AU95" s="19">
        <f>IF(A95="","","CRR-"&amp;TEXT(A95,"yyyymmdd")&amp;"-"&amp;M95&amp;"-"&amp;TEXT(ROW()-3,"0000"))</f>
        <v/>
      </c>
      <c r="AV95" s="19">
        <f>IF(A95="","",IF(OR(B95="",C95="",E95="",F95="",M95="",N95=""),"Revisar campos obligatorios",IF(AND(P95="Atraso primera hora",Q95=""),"Falta justificación atraso primera hora",IF(AND(Z95="No cumple",AA95=""),"Falta justificación recambio &gt;15 min",IF(AND(ISNUMBER(SEARCH("suspend",N95)),OR(AG95="",AH95="")),"Falta causa/motivo suspensión","OK")))))</f>
        <v/>
      </c>
      <c r="AW95" s="19">
        <f>IF(N95="","",IF(ISNUMBER(SEARCH("suspend",N95)),IF(AND(AG95="",AH95=""),"Sin causa/motivo registrado",IF(AG95="",AH95,IF(AH95="",AG95,AG95&amp;": "&amp;AH95))),""))</f>
        <v/>
      </c>
    </row>
    <row r="96" ht="16" customHeight="1" s="151">
      <c r="A96" s="32" t="n">
        <v>46175</v>
      </c>
      <c r="B96" s="51" t="inlineStr">
        <is>
          <t>DIANA CAROLINA</t>
        </is>
      </c>
      <c r="C96" s="51" t="inlineStr">
        <is>
          <t>MARIN</t>
        </is>
      </c>
      <c r="D96" s="51" t="inlineStr">
        <is>
          <t>32a 9m 18d</t>
        </is>
      </c>
      <c r="E96" s="51" t="inlineStr">
        <is>
          <t>LARINGOTRAQUEOBRONCOSCOPIA CON FIBROSCOPIO</t>
        </is>
      </c>
      <c r="F96" s="40" t="inlineStr">
        <is>
          <t>SERVICIO DE CIRUGIA ADULTO</t>
        </is>
      </c>
      <c r="G96" s="19" t="n"/>
      <c r="H96" s="51" t="inlineStr">
        <is>
          <t>1707021-3</t>
        </is>
      </c>
      <c r="I96" s="19" t="n"/>
      <c r="J96" s="20">
        <f>IF(H96&lt;&gt;"",IFERROR(VLOOKUP(IFERROR(LEFT(H96,FIND("-",H96)-1),H96),'Catalogo MINSAL'!A:E,5,FALSE),""),IF(I96&lt;&gt;"",IFERROR(VLOOKUP(IFERROR(LEFT(I96,FIND("-",I96)-1),I96),'Catalogo MINSAL'!A:E,5,FALSE),""),""))</f>
        <v/>
      </c>
      <c r="K96" s="33" t="inlineStr">
        <is>
          <t>Sebastian Meneses Diaz</t>
        </is>
      </c>
      <c r="L96" s="51" t="inlineStr">
        <is>
          <t>Dr. Fernando Rivas Castillo</t>
        </is>
      </c>
      <c r="M96" s="51" t="inlineStr">
        <is>
          <t>Quirofano 06</t>
        </is>
      </c>
      <c r="N96" s="48" t="inlineStr">
        <is>
          <t>Realizado</t>
        </is>
      </c>
      <c r="O96" s="52" t="n">
        <v>0.6284722222222222</v>
      </c>
      <c r="P96" s="27">
        <f>IFERROR(IF(OR(O96="",A96="",M96=""),"",IF(SUMPRODUCT(($A$4:$A$500=A96)*($M$4:$M$500=M96)*($O$4:$O$500&lt;&gt;"")*(MOD($O$4:$O$500,1)&lt;MOD(O96,1)))=0,IF(MOD(O96,1)&lt;=TIME(8,15,0),"Ingreso adecuado primera hora","Atraso primera hora"),"No aplica")),"")</f>
        <v/>
      </c>
      <c r="Q96" s="86" t="n"/>
      <c r="R96" s="52" t="n">
        <v>0.6458333333333334</v>
      </c>
      <c r="S96" s="52" t="n">
        <v>0.6909722222222222</v>
      </c>
      <c r="T96" s="52" t="n">
        <v>0.7069444444444445</v>
      </c>
      <c r="U96" s="34">
        <f>IFERROR(VLOOKUP(M96,'Horario Pabellones'!$A$4:$D$17,2,FALSE),"")</f>
        <v/>
      </c>
      <c r="V96" s="34">
        <f>IFERROR(VLOOKUP(M96,'Horario Pabellones'!$A$4:$D$17,3,FALSE),"")</f>
        <v/>
      </c>
      <c r="W96" s="102">
        <f>IFERROR(VLOOKUP(M96,'Horario Pabellones'!$A$4:$D$17,4,FALSE),"")</f>
        <v/>
      </c>
      <c r="X96" s="92">
        <f>IFERROR(IF(OR(A96="",M96="",W96=""),"",(((_xludf.AGGREGATE(14,6,MOD($S$4:$S$500,1)/(($A$4:$A$500=A96)*($M$4:$M$500=M96)*($R$4:$R$500&lt;&gt;"")*($S$4:$S$500&lt;&gt;"")),1)-_xludf.AGGREGATE(15,6,MOD($R$4:$R$500,1)/(($A$4:$A$500=A96)*($M$4:$M$500=M96)*($R$4:$R$500&lt;&gt;"")*($S$4:$S$500&lt;&gt;"")),1))*1440)/60)/(W96/60)),"")</f>
        <v/>
      </c>
      <c r="Y96" s="26">
        <f>IFERROR(IF(OR(O96="",A96="",M96=""),"",(IF(ISNUMBER(O96),MOD(O96,1),TIMEVALUE(O96))-LOOKUP(2,1/(($A$4:$A$500=A96)*($M$4:$M$500=M96)*($T$4:$T$500&lt;&gt;"")*($T$4:$T$500&lt;IF(ISNUMBER(O96),MOD(O96,1),TIMEVALUE(O96)))),$T$4:$T$500))*1440),"")</f>
        <v/>
      </c>
      <c r="Z96" s="27">
        <f>IFERROR(IF(Y96="","",IF(ROUND(Y96,0)&lt;=15,"Cumple","No cumple")),"")</f>
        <v/>
      </c>
      <c r="AA96" s="85" t="inlineStr">
        <is>
          <t>Colacion de anestesista (Dr. Meneses)</t>
        </is>
      </c>
      <c r="AB96" s="26">
        <f>IFERROR(IF(OR(O96="",R96=""),"",IF(IF(ISNUMBER(R96),MOD(R96,1),TIMEVALUE(R96))&gt;=IF(ISNUMBER(O96),MOD(O96,1),TIMEVALUE(O96)),(IF(ISNUMBER(R96),MOD(R96,1),TIMEVALUE(R96))-IF(ISNUMBER(O96),MOD(O96,1),TIMEVALUE(O96)))*1440,(IF(ISNUMBER(R96),MOD(R96,1),TIMEVALUE(R96))+1-IF(ISNUMBER(O96),MOD(O96,1),TIMEVALUE(O96)))*1440)),"")</f>
        <v/>
      </c>
      <c r="AC96" s="28">
        <f>IFERROR(IF(OR(R96="",S96=""),"",IF(IF(ISNUMBER(S96),MOD(S96,1),TIMEVALUE(S96))&gt;=IF(ISNUMBER(R96),MOD(R96,1),TIMEVALUE(R96)),(IF(ISNUMBER(S96),MOD(S96,1),TIMEVALUE(S96))-IF(ISNUMBER(R96),MOD(R96,1),TIMEVALUE(R96)))*1440,(IF(ISNUMBER(S96),MOD(S96,1),TIMEVALUE(S96))+1-IF(ISNUMBER(R96),MOD(R96,1),TIMEVALUE(R96)))*1440)),"")</f>
        <v/>
      </c>
      <c r="AD96" s="100" t="n">
        <v>60</v>
      </c>
      <c r="AE96" s="26">
        <f>IFERROR(IF(OR(AC96="",AD96=""),"",AC96-AD96),"")</f>
        <v/>
      </c>
      <c r="AF96" s="27">
        <f>IFERROR(IF(AE96="","",IF(ROUND(AE96,0)&gt;15,"Subestimacion",IF(ROUND(AE96,0)&lt;-15,"Sobrestimacion","Asertivo"))),"")</f>
        <v/>
      </c>
      <c r="AG96" s="33" t="inlineStr">
        <is>
          <t>Sin Suspensión</t>
        </is>
      </c>
      <c r="AH96" s="85" t="n"/>
      <c r="AI96" s="85" t="n"/>
      <c r="AJ96" s="19" t="n"/>
      <c r="AK96" s="19" t="inlineStr">
        <is>
          <t>Sí</t>
        </is>
      </c>
      <c r="AL96" s="19" t="inlineStr">
        <is>
          <t>No</t>
        </is>
      </c>
      <c r="AM96" s="51" t="inlineStr">
        <is>
          <t>I0001189627</t>
        </is>
      </c>
      <c r="AN96" s="19" t="n"/>
      <c r="AO96" s="19" t="n"/>
      <c r="AP96" s="127">
        <f>IF(A96="","",A96-WEEKDAY(A96,2)+1)</f>
        <v/>
      </c>
      <c r="AQ96" s="127">
        <f>IF(AO96="","",AO96+6)</f>
        <v/>
      </c>
      <c r="AR96" s="19">
        <f>IF(AO96="","","Semana "&amp;TEXT(AO96,"dd-mm-yyyy")&amp;" al "&amp;TEXT(AP96,"dd-mm-yyyy"))</f>
        <v/>
      </c>
      <c r="AS96" s="19">
        <f>IF(A96="","",TEXT(A96,"mmmm yyyy"))</f>
        <v/>
      </c>
      <c r="AT96" s="19">
        <f>IF(A96="","",TEXT(A96,"dddd"))</f>
        <v/>
      </c>
      <c r="AU96" s="19">
        <f>IF(A96="","","CRR-"&amp;TEXT(A96,"yyyymmdd")&amp;"-"&amp;M96&amp;"-"&amp;TEXT(ROW()-3,"0000"))</f>
        <v/>
      </c>
      <c r="AV96" s="19">
        <f>IF(A96="","",IF(OR(B96="",C96="",E96="",F96="",M96="",N96=""),"Revisar campos obligatorios",IF(AND(P96="Atraso primera hora",Q96=""),"Falta justificación atraso primera hora",IF(AND(Z96="No cumple",AA96=""),"Falta justificación recambio &gt;15 min",IF(AND(ISNUMBER(SEARCH("suspend",N96)),OR(AG96="",AH96="")),"Falta causa/motivo suspensión","OK")))))</f>
        <v/>
      </c>
      <c r="AW96" s="19">
        <f>IF(N96="","",IF(ISNUMBER(SEARCH("suspend",N96)),IF(AND(AG96="",AH96=""),"Sin causa/motivo registrado",IF(AG96="",AH96,IF(AH96="",AG96,AG96&amp;": "&amp;AH96))),""))</f>
        <v/>
      </c>
    </row>
    <row r="97" ht="16" customHeight="1" s="151">
      <c r="A97" s="32" t="n">
        <v>46175</v>
      </c>
      <c r="B97" s="51" t="inlineStr">
        <is>
          <t>SARA MABEL</t>
        </is>
      </c>
      <c r="C97" s="51" t="inlineStr">
        <is>
          <t>RODRIGUEZ</t>
        </is>
      </c>
      <c r="D97" s="51" t="inlineStr">
        <is>
          <t>13a 7m 14d</t>
        </is>
      </c>
      <c r="E97" s="51" t="inlineStr">
        <is>
          <t>Fract. nasal reciente, cerrada o expuesta, reducción c/s inmovilización</t>
        </is>
      </c>
      <c r="F97" s="40" t="inlineStr">
        <is>
          <t>SERVICIO DE CIRUGIA ADULTO</t>
        </is>
      </c>
      <c r="G97" s="19" t="n"/>
      <c r="H97" s="51" t="inlineStr">
        <is>
          <t>1302046-2</t>
        </is>
      </c>
      <c r="I97" s="19" t="n"/>
      <c r="J97" s="20">
        <f>IF(H97&lt;&gt;"",IFERROR(VLOOKUP(IFERROR(LEFT(H97,FIND("-",H97)-1),H97),'Catalogo MINSAL'!A:E,5,FALSE),""),IF(I97&lt;&gt;"",IFERROR(VLOOKUP(IFERROR(LEFT(I97,FIND("-",I97)-1),I97),'Catalogo MINSAL'!A:E,5,FALSE),""),""))</f>
        <v/>
      </c>
      <c r="K97" s="33" t="inlineStr">
        <is>
          <t>Sebastian Meneses Diaz</t>
        </is>
      </c>
      <c r="L97" s="51" t="inlineStr">
        <is>
          <t>Dr. Cristian Aedo Bendel</t>
        </is>
      </c>
      <c r="M97" s="51" t="inlineStr">
        <is>
          <t>Quirofano 06</t>
        </is>
      </c>
      <c r="N97" s="50" t="inlineStr">
        <is>
          <t>Suspendido</t>
        </is>
      </c>
      <c r="O97" s="36" t="n"/>
      <c r="P97" s="27">
        <f>IFERROR(IF(OR(O97="",A97="",M97=""),"",IF(SUMPRODUCT(($A$4:$A$500=A97)*($M$4:$M$500=M97)*($O$4:$O$500&lt;&gt;"")*(MOD($O$4:$O$500,1)&lt;MOD(O97,1)))=0,IF(MOD(O97,1)&lt;=TIME(8,15,0),"Ingreso adecuado primera hora","Atraso primera hora"),"No aplica")),"")</f>
        <v/>
      </c>
      <c r="Q97" s="86" t="n"/>
      <c r="R97" s="36" t="n"/>
      <c r="S97" s="36" t="n"/>
      <c r="T97" s="36" t="n"/>
      <c r="U97" s="34">
        <f>IFERROR(VLOOKUP(M97,'Horario Pabellones'!$A$4:$D$17,2,FALSE),"")</f>
        <v/>
      </c>
      <c r="V97" s="34">
        <f>IFERROR(VLOOKUP(M97,'Horario Pabellones'!$A$4:$D$17,3,FALSE),"")</f>
        <v/>
      </c>
      <c r="W97" s="102">
        <f>IFERROR(VLOOKUP(M97,'Horario Pabellones'!$A$4:$D$17,4,FALSE),"")</f>
        <v/>
      </c>
      <c r="X97" s="92">
        <f>IFERROR(IF(OR(A97="",M97="",W97=""),"",(((_xludf.AGGREGATE(14,6,MOD($S$4:$S$500,1)/(($A$4:$A$500=A97)*($M$4:$M$500=M97)*($R$4:$R$500&lt;&gt;"")*($S$4:$S$500&lt;&gt;"")),1)-_xludf.AGGREGATE(15,6,MOD($R$4:$R$500,1)/(($A$4:$A$500=A97)*($M$4:$M$500=M97)*($R$4:$R$500&lt;&gt;"")*($S$4:$S$500&lt;&gt;"")),1))*1440)/60)/(W97/60)),"")</f>
        <v/>
      </c>
      <c r="Y97" s="26">
        <f>IFERROR(IF(OR(O97="",A97="",M97=""),"",(IF(ISNUMBER(O97),MOD(O97,1),TIMEVALUE(O97))-LOOKUP(2,1/(($A$4:$A$500=A97)*($M$4:$M$500=M97)*($T$4:$T$500&lt;&gt;"")*($T$4:$T$500&lt;IF(ISNUMBER(O97),MOD(O97,1),TIMEVALUE(O97)))),$T$4:$T$500))*1440),"")</f>
        <v/>
      </c>
      <c r="Z97" s="27">
        <f>IFERROR(IF(Y97="","",IF(ROUND(Y97,0)&lt;=15,"Cumple","No cumple")),"")</f>
        <v/>
      </c>
      <c r="AA97" s="85" t="n"/>
      <c r="AB97" s="26">
        <f>IFERROR(IF(OR(O97="",R97=""),"",IF(IF(ISNUMBER(R97),MOD(R97,1),TIMEVALUE(R97))&gt;=IF(ISNUMBER(O97),MOD(O97,1),TIMEVALUE(O97)),(IF(ISNUMBER(R97),MOD(R97,1),TIMEVALUE(R97))-IF(ISNUMBER(O97),MOD(O97,1),TIMEVALUE(O97)))*1440,(IF(ISNUMBER(R97),MOD(R97,1),TIMEVALUE(R97))+1-IF(ISNUMBER(O97),MOD(O97,1),TIMEVALUE(O97)))*1440)),"")</f>
        <v/>
      </c>
      <c r="AC97" s="28">
        <f>IFERROR(IF(OR(R97="",S97=""),"",IF(IF(ISNUMBER(S97),MOD(S97,1),TIMEVALUE(S97))&gt;=IF(ISNUMBER(R97),MOD(R97,1),TIMEVALUE(R97)),(IF(ISNUMBER(S97),MOD(S97,1),TIMEVALUE(S97))-IF(ISNUMBER(R97),MOD(R97,1),TIMEVALUE(R97)))*1440,(IF(ISNUMBER(S97),MOD(S97,1),TIMEVALUE(S97))+1-IF(ISNUMBER(R97),MOD(R97,1),TIMEVALUE(R97)))*1440)),"")</f>
        <v/>
      </c>
      <c r="AD97" s="100" t="n">
        <v>30</v>
      </c>
      <c r="AE97" s="26">
        <f>IFERROR(IF(OR(AC97="",AD97=""),"",AC97-AD97),"")</f>
        <v/>
      </c>
      <c r="AF97" s="27">
        <f>IFERROR(IF(AE97="","",IF(ROUND(AE97,0)&gt;15,"Subestimacion",IF(ROUND(AE97,0)&lt;-15,"Sobrestimacion","Asertivo"))),"")</f>
        <v/>
      </c>
      <c r="AG97" s="53" t="inlineStr">
        <is>
          <t>Patología Aguda</t>
        </is>
      </c>
      <c r="AH97" s="85" t="inlineStr">
        <is>
          <t>patologia aguda</t>
        </is>
      </c>
      <c r="AI97" s="85" t="inlineStr">
        <is>
          <t>patologia aguda</t>
        </is>
      </c>
      <c r="AJ97" s="19" t="n"/>
      <c r="AK97" s="19" t="inlineStr">
        <is>
          <t>Sí</t>
        </is>
      </c>
      <c r="AL97" s="19" t="inlineStr">
        <is>
          <t>No</t>
        </is>
      </c>
      <c r="AM97" s="51" t="inlineStr">
        <is>
          <t>I0001189622</t>
        </is>
      </c>
      <c r="AN97" s="19" t="n"/>
      <c r="AO97" s="19" t="n"/>
      <c r="AP97" s="127">
        <f>IF(A97="","",A97-WEEKDAY(A97,2)+1)</f>
        <v/>
      </c>
      <c r="AQ97" s="127">
        <f>IF(AO97="","",AO97+6)</f>
        <v/>
      </c>
      <c r="AR97" s="19">
        <f>IF(AO97="","","Semana "&amp;TEXT(AO97,"dd-mm-yyyy")&amp;" al "&amp;TEXT(AP97,"dd-mm-yyyy"))</f>
        <v/>
      </c>
      <c r="AS97" s="19">
        <f>IF(A97="","",TEXT(A97,"mmmm yyyy"))</f>
        <v/>
      </c>
      <c r="AT97" s="19">
        <f>IF(A97="","",TEXT(A97,"dddd"))</f>
        <v/>
      </c>
      <c r="AU97" s="19">
        <f>IF(A97="","","CRR-"&amp;TEXT(A97,"yyyymmdd")&amp;"-"&amp;M97&amp;"-"&amp;TEXT(ROW()-3,"0000"))</f>
        <v/>
      </c>
      <c r="AV97" s="19">
        <f>IF(A97="","",IF(OR(B97="",C97="",E97="",F97="",M97="",N97=""),"Revisar campos obligatorios",IF(AND(P97="Atraso primera hora",Q97=""),"Falta justificación atraso primera hora",IF(AND(Z97="No cumple",AA97=""),"Falta justificación recambio &gt;15 min",IF(AND(ISNUMBER(SEARCH("suspend",N97)),OR(AG97="",AH97="")),"Falta causa/motivo suspensión","OK")))))</f>
        <v/>
      </c>
      <c r="AW97" s="19">
        <f>IF(N97="","",IF(ISNUMBER(SEARCH("suspend",N97)),IF(AND(AG97="",AH97=""),"Sin causa/motivo registrado",IF(AG97="",AH97,IF(AH97="",AG97,AG97&amp;": "&amp;AH97))),""))</f>
        <v/>
      </c>
    </row>
    <row r="98" ht="16" customHeight="1" s="151">
      <c r="A98" s="32" t="n">
        <v>46175</v>
      </c>
      <c r="B98" s="51" t="inlineStr">
        <is>
          <t>VÍCTOR MANUEL</t>
        </is>
      </c>
      <c r="C98" s="51" t="inlineStr">
        <is>
          <t>RAMÍREZ</t>
        </is>
      </c>
      <c r="D98" s="51" t="inlineStr">
        <is>
          <t>55a 3m 26d</t>
        </is>
      </c>
      <c r="E98" s="51" t="inlineStr">
        <is>
          <t>Adenoma o cáncer prostático, resección endoscópica desobstructiva, cualquier técnica (uni, bipolar, láser u otros)</t>
        </is>
      </c>
      <c r="F98" s="46" t="inlineStr">
        <is>
          <t>SERVICIO DE UROLOGIA</t>
        </is>
      </c>
      <c r="G98" s="19" t="n"/>
      <c r="H98" s="51" t="inlineStr">
        <is>
          <t>1902055-8</t>
        </is>
      </c>
      <c r="I98" s="19" t="n"/>
      <c r="J98" s="20">
        <f>IF(H98&lt;&gt;"",IFERROR(VLOOKUP(IFERROR(LEFT(H98,FIND("-",H98)-1),H98),'Catalogo MINSAL'!A:E,5,FALSE),""),IF(I98&lt;&gt;"",IFERROR(VLOOKUP(IFERROR(LEFT(I98,FIND("-",I98)-1),I98),'Catalogo MINSAL'!A:E,5,FALSE),""),""))</f>
        <v/>
      </c>
      <c r="K98" s="33" t="inlineStr">
        <is>
          <t>Aliana Morales Ruiz</t>
        </is>
      </c>
      <c r="L98" s="51" t="inlineStr">
        <is>
          <t>José Ignacio Acuña Madrid</t>
        </is>
      </c>
      <c r="M98" s="51" t="inlineStr">
        <is>
          <t>Quirofano 09</t>
        </is>
      </c>
      <c r="N98" s="48" t="inlineStr">
        <is>
          <t>Realizado</t>
        </is>
      </c>
      <c r="O98" s="52" t="n">
        <v>0.3680555555555556</v>
      </c>
      <c r="P98" s="27">
        <f>IFERROR(IF(OR(O98="",A98="",M98=""),"",IF(SUMPRODUCT(($A$4:$A$500=A98)*($M$4:$M$500=M98)*($O$4:$O$500&lt;&gt;"")*(MOD($O$4:$O$500,1)&lt;MOD(O98,1)))=0,IF(MOD(O98,1)&lt;=TIME(8,15,0),"Ingreso adecuado primera hora","Atraso primera hora"),"No aplica")),"")</f>
        <v/>
      </c>
      <c r="Q98" s="86" t="inlineStr">
        <is>
          <t>Anestesista llega atrasado (Dra. Aliana Morales)</t>
        </is>
      </c>
      <c r="R98" s="52" t="n">
        <v>0.3958333333333333</v>
      </c>
      <c r="S98" s="52" t="n">
        <v>0.4270833333333333</v>
      </c>
      <c r="T98" s="52" t="n">
        <v>0.4375</v>
      </c>
      <c r="U98" s="34">
        <f>IFERROR(VLOOKUP(M98,'Horario Pabellones'!$A$4:$D$17,2,FALSE),"")</f>
        <v/>
      </c>
      <c r="V98" s="34">
        <f>IFERROR(VLOOKUP(M98,'Horario Pabellones'!$A$4:$D$17,3,FALSE),"")</f>
        <v/>
      </c>
      <c r="W98" s="102">
        <f>IFERROR(VLOOKUP(M98,'Horario Pabellones'!$A$4:$D$17,4,FALSE),"")</f>
        <v/>
      </c>
      <c r="X98" s="92">
        <f>IFERROR(IF(OR(A98="",M98="",W98=""),"",(((_xludf.AGGREGATE(14,6,MOD($S$4:$S$500,1)/(($A$4:$A$500=A98)*($M$4:$M$500=M98)*($R$4:$R$500&lt;&gt;"")*($S$4:$S$500&lt;&gt;"")),1)-_xludf.AGGREGATE(15,6,MOD($R$4:$R$500,1)/(($A$4:$A$500=A98)*($M$4:$M$500=M98)*($R$4:$R$500&lt;&gt;"")*($S$4:$S$500&lt;&gt;"")),1))*1440)/60)/(W98/60)),"")</f>
        <v/>
      </c>
      <c r="Y98" s="26">
        <f>IFERROR(IF(OR(O98="",A98="",M98=""),"",(IF(ISNUMBER(O98),MOD(O98,1),TIMEVALUE(O98))-LOOKUP(2,1/(($A$4:$A$500=A98)*($M$4:$M$500=M98)*($T$4:$T$500&lt;&gt;"")*($T$4:$T$500&lt;IF(ISNUMBER(O98),MOD(O98,1),TIMEVALUE(O98)))),$T$4:$T$500))*1440),"")</f>
        <v/>
      </c>
      <c r="Z98" s="27">
        <f>IFERROR(IF(Y98="","",IF(ROUND(Y98,0)&lt;=15,"Cumple","No cumple")),"")</f>
        <v/>
      </c>
      <c r="AA98" s="85" t="n"/>
      <c r="AB98" s="26">
        <f>IFERROR(IF(OR(O98="",R98=""),"",IF(IF(ISNUMBER(R98),MOD(R98,1),TIMEVALUE(R98))&gt;=IF(ISNUMBER(O98),MOD(O98,1),TIMEVALUE(O98)),(IF(ISNUMBER(R98),MOD(R98,1),TIMEVALUE(R98))-IF(ISNUMBER(O98),MOD(O98,1),TIMEVALUE(O98)))*1440,(IF(ISNUMBER(R98),MOD(R98,1),TIMEVALUE(R98))+1-IF(ISNUMBER(O98),MOD(O98,1),TIMEVALUE(O98)))*1440)),"")</f>
        <v/>
      </c>
      <c r="AC98" s="28">
        <f>IFERROR(IF(OR(R98="",S98=""),"",IF(IF(ISNUMBER(S98),MOD(S98,1),TIMEVALUE(S98))&gt;=IF(ISNUMBER(R98),MOD(R98,1),TIMEVALUE(R98)),(IF(ISNUMBER(S98),MOD(S98,1),TIMEVALUE(S98))-IF(ISNUMBER(R98),MOD(R98,1),TIMEVALUE(R98)))*1440,(IF(ISNUMBER(S98),MOD(S98,1),TIMEVALUE(S98))+1-IF(ISNUMBER(R98),MOD(R98,1),TIMEVALUE(R98)))*1440)),"")</f>
        <v/>
      </c>
      <c r="AD98" s="100" t="n">
        <v>90</v>
      </c>
      <c r="AE98" s="26">
        <f>IFERROR(IF(OR(AC98="",AD98=""),"",AC98-AD98),"")</f>
        <v/>
      </c>
      <c r="AF98" s="27">
        <f>IFERROR(IF(AE98="","",IF(ROUND(AE98,0)&gt;15,"Subestimacion",IF(ROUND(AE98,0)&lt;-15,"Sobrestimacion","Asertivo"))),"")</f>
        <v/>
      </c>
      <c r="AG98" s="33" t="inlineStr">
        <is>
          <t>Sin Suspensión</t>
        </is>
      </c>
      <c r="AH98" s="85" t="n"/>
      <c r="AI98" s="85" t="n"/>
      <c r="AJ98" s="19" t="n"/>
      <c r="AK98" s="19" t="inlineStr">
        <is>
          <t>Sí</t>
        </is>
      </c>
      <c r="AL98" s="19" t="inlineStr">
        <is>
          <t>No</t>
        </is>
      </c>
      <c r="AM98" s="51" t="inlineStr">
        <is>
          <t>I0001188749</t>
        </is>
      </c>
      <c r="AN98" s="19" t="n"/>
      <c r="AO98" s="19" t="n"/>
      <c r="AP98" s="127">
        <f>IF(A98="","",A98-WEEKDAY(A98,2)+1)</f>
        <v/>
      </c>
      <c r="AQ98" s="127">
        <f>IF(AO98="","",AO98+6)</f>
        <v/>
      </c>
      <c r="AR98" s="19">
        <f>IF(AO98="","","Semana "&amp;TEXT(AO98,"dd-mm-yyyy")&amp;" al "&amp;TEXT(AP98,"dd-mm-yyyy"))</f>
        <v/>
      </c>
      <c r="AS98" s="19">
        <f>IF(A98="","",TEXT(A98,"mmmm yyyy"))</f>
        <v/>
      </c>
      <c r="AT98" s="19">
        <f>IF(A98="","",TEXT(A98,"dddd"))</f>
        <v/>
      </c>
      <c r="AU98" s="19">
        <f>IF(A98="","","CRR-"&amp;TEXT(A98,"yyyymmdd")&amp;"-"&amp;M98&amp;"-"&amp;TEXT(ROW()-3,"0000"))</f>
        <v/>
      </c>
      <c r="AV98" s="19">
        <f>IF(A98="","",IF(OR(B98="",C98="",E98="",F98="",M98="",N98=""),"Revisar campos obligatorios",IF(AND(P98="Atraso primera hora",Q98=""),"Falta justificación atraso primera hora",IF(AND(Z98="No cumple",AA98=""),"Falta justificación recambio &gt;15 min",IF(AND(ISNUMBER(SEARCH("suspend",N98)),OR(AG98="",AH98="")),"Falta causa/motivo suspensión","OK")))))</f>
        <v/>
      </c>
      <c r="AW98" s="19">
        <f>IF(N98="","",IF(ISNUMBER(SEARCH("suspend",N98)),IF(AND(AG98="",AH98=""),"Sin causa/motivo registrado",IF(AG98="",AH98,IF(AH98="",AG98,AG98&amp;": "&amp;AH98))),""))</f>
        <v/>
      </c>
    </row>
    <row r="99" ht="16" customHeight="1" s="151">
      <c r="A99" s="32" t="n">
        <v>46175</v>
      </c>
      <c r="B99" s="51" t="inlineStr">
        <is>
          <t>LUIS ROBERTO</t>
        </is>
      </c>
      <c r="C99" s="51" t="inlineStr">
        <is>
          <t>ZAMORANO</t>
        </is>
      </c>
      <c r="D99" s="51" t="inlineStr">
        <is>
          <t>83a 11m 5d</t>
        </is>
      </c>
      <c r="E99" s="51" t="inlineStr">
        <is>
          <t>Adenoma o cáncer prostático, resección endoscópica desobstructiva, cualquier técnica (uni, bipolar, láser u otros)</t>
        </is>
      </c>
      <c r="F99" s="46" t="inlineStr">
        <is>
          <t>SERVICIO DE UROLOGIA</t>
        </is>
      </c>
      <c r="G99" s="19" t="n"/>
      <c r="H99" s="51" t="inlineStr">
        <is>
          <t>1902055-8</t>
        </is>
      </c>
      <c r="I99" s="19" t="n"/>
      <c r="J99" s="20">
        <f>IF(H99&lt;&gt;"",IFERROR(VLOOKUP(IFERROR(LEFT(H99,FIND("-",H99)-1),H99),'Catalogo MINSAL'!A:E,5,FALSE),""),IF(I99&lt;&gt;"",IFERROR(VLOOKUP(IFERROR(LEFT(I99,FIND("-",I99)-1),I99),'Catalogo MINSAL'!A:E,5,FALSE),""),""))</f>
        <v/>
      </c>
      <c r="K99" s="33" t="inlineStr">
        <is>
          <t>Aliana Morales Ruiz</t>
        </is>
      </c>
      <c r="L99" s="51" t="inlineStr">
        <is>
          <t>José Ignacio Acuña Madrid</t>
        </is>
      </c>
      <c r="M99" s="51" t="inlineStr">
        <is>
          <t>Quirofano 09</t>
        </is>
      </c>
      <c r="N99" s="48" t="inlineStr">
        <is>
          <t>Realizado</t>
        </is>
      </c>
      <c r="O99" s="52" t="n">
        <v>0.4479166666666667</v>
      </c>
      <c r="P99" s="27">
        <f>IFERROR(IF(OR(O99="",A99="",M99=""),"",IF(SUMPRODUCT(($A$4:$A$500=A99)*($M$4:$M$500=M99)*($O$4:$O$500&lt;&gt;"")*(MOD($O$4:$O$500,1)&lt;MOD(O99,1)))=0,IF(MOD(O99,1)&lt;=TIME(8,15,0),"Ingreso adecuado primera hora","Atraso primera hora"),"No aplica")),"")</f>
        <v/>
      </c>
      <c r="Q99" s="87" t="n"/>
      <c r="R99" s="52" t="n">
        <v>0.4756944444444444</v>
      </c>
      <c r="S99" s="52" t="n">
        <v>0.5347222222222222</v>
      </c>
      <c r="T99" s="52" t="n">
        <v>0.5451388888888888</v>
      </c>
      <c r="U99" s="34">
        <f>IFERROR(VLOOKUP(M99,'Horario Pabellones'!$A$4:$D$17,2,FALSE),"")</f>
        <v/>
      </c>
      <c r="V99" s="34">
        <f>IFERROR(VLOOKUP(M99,'Horario Pabellones'!$A$4:$D$17,3,FALSE),"")</f>
        <v/>
      </c>
      <c r="W99" s="102">
        <f>IFERROR(VLOOKUP(M99,'Horario Pabellones'!$A$4:$D$17,4,FALSE),"")</f>
        <v/>
      </c>
      <c r="X99" s="92">
        <f>IFERROR(IF(OR(A99="",M99="",W99=""),"",(((_xludf.AGGREGATE(14,6,MOD($S$4:$S$500,1)/(($A$4:$A$500=A99)*($M$4:$M$500=M99)*($R$4:$R$500&lt;&gt;"")*($S$4:$S$500&lt;&gt;"")),1)-_xludf.AGGREGATE(15,6,MOD($R$4:$R$500,1)/(($A$4:$A$500=A99)*($M$4:$M$500=M99)*($R$4:$R$500&lt;&gt;"")*($S$4:$S$500&lt;&gt;"")),1))*1440)/60)/(W99/60)),"")</f>
        <v/>
      </c>
      <c r="Y99" s="26">
        <f>IFERROR(IF(OR(O99="",A99="",M99=""),"",(IF(ISNUMBER(O99),MOD(O99,1),TIMEVALUE(O99))-LOOKUP(2,1/(($A$4:$A$500=A99)*($M$4:$M$500=M99)*($T$4:$T$500&lt;&gt;"")*($T$4:$T$500&lt;IF(ISNUMBER(O99),MOD(O99,1),TIMEVALUE(O99)))),$T$4:$T$500))*1440),"")</f>
        <v/>
      </c>
      <c r="Z99" s="27">
        <f>IFERROR(IF(Y99="","",IF(ROUND(Y99,0)&lt;=15,"Cumple","No cumple")),"")</f>
        <v/>
      </c>
      <c r="AA99" s="15" t="n"/>
      <c r="AB99" s="26">
        <f>IFERROR(IF(OR(O99="",R99=""),"",IF(IF(ISNUMBER(R99),MOD(R99,1),TIMEVALUE(R99))&gt;=IF(ISNUMBER(O99),MOD(O99,1),TIMEVALUE(O99)),(IF(ISNUMBER(R99),MOD(R99,1),TIMEVALUE(R99))-IF(ISNUMBER(O99),MOD(O99,1),TIMEVALUE(O99)))*1440,(IF(ISNUMBER(R99),MOD(R99,1),TIMEVALUE(R99))+1-IF(ISNUMBER(O99),MOD(O99,1),TIMEVALUE(O99)))*1440)),"")</f>
        <v/>
      </c>
      <c r="AC99" s="28">
        <f>IFERROR(IF(OR(R99="",S99=""),"",IF(IF(ISNUMBER(S99),MOD(S99,1),TIMEVALUE(S99))&gt;=IF(ISNUMBER(R99),MOD(R99,1),TIMEVALUE(R99)),(IF(ISNUMBER(S99),MOD(S99,1),TIMEVALUE(S99))-IF(ISNUMBER(R99),MOD(R99,1),TIMEVALUE(R99)))*1440,(IF(ISNUMBER(S99),MOD(S99,1),TIMEVALUE(S99))+1-IF(ISNUMBER(R99),MOD(R99,1),TIMEVALUE(R99)))*1440)),"")</f>
        <v/>
      </c>
      <c r="AD99" s="100" t="n">
        <v>90</v>
      </c>
      <c r="AE99" s="26">
        <f>IFERROR(IF(OR(AC99="",AD99=""),"",AC99-AD99),"")</f>
        <v/>
      </c>
      <c r="AF99" s="27">
        <f>IFERROR(IF(AE99="","",IF(ROUND(AE99,0)&gt;15,"Subestimacion",IF(ROUND(AE99,0)&lt;-15,"Sobrestimacion","Asertivo"))),"")</f>
        <v/>
      </c>
      <c r="AG99" s="33" t="inlineStr">
        <is>
          <t>Sin Suspensión</t>
        </is>
      </c>
      <c r="AH99" s="15" t="n"/>
      <c r="AI99" s="15" t="n"/>
      <c r="AJ99" s="19" t="n"/>
      <c r="AK99" s="19" t="inlineStr">
        <is>
          <t>Sí</t>
        </is>
      </c>
      <c r="AL99" s="19" t="inlineStr">
        <is>
          <t>No</t>
        </is>
      </c>
      <c r="AM99" s="51" t="inlineStr">
        <is>
          <t>I0001189600</t>
        </is>
      </c>
      <c r="AN99" s="19" t="n"/>
      <c r="AO99" s="19" t="n"/>
      <c r="AP99" s="127">
        <f>IF(A99="","",A99-WEEKDAY(A99,2)+1)</f>
        <v/>
      </c>
      <c r="AQ99" s="127">
        <f>IF(AO99="","",AO99+6)</f>
        <v/>
      </c>
      <c r="AR99" s="19">
        <f>IF(AO99="","","Semana "&amp;TEXT(AO99,"dd-mm-yyyy")&amp;" al "&amp;TEXT(AP99,"dd-mm-yyyy"))</f>
        <v/>
      </c>
      <c r="AS99" s="19">
        <f>IF(A99="","",TEXT(A99,"mmmm yyyy"))</f>
        <v/>
      </c>
      <c r="AT99" s="19">
        <f>IF(A99="","",TEXT(A99,"dddd"))</f>
        <v/>
      </c>
      <c r="AU99" s="19">
        <f>IF(A99="","","CRR-"&amp;TEXT(A99,"yyyymmdd")&amp;"-"&amp;M99&amp;"-"&amp;TEXT(ROW()-3,"0000"))</f>
        <v/>
      </c>
      <c r="AV99" s="19">
        <f>IF(A99="","",IF(OR(B99="",C99="",E99="",F99="",M99="",N99=""),"Revisar campos obligatorios",IF(AND(P99="Atraso primera hora",Q99=""),"Falta justificación atraso primera hora",IF(AND(Z99="No cumple",AA99=""),"Falta justificación recambio &gt;15 min",IF(AND(ISNUMBER(SEARCH("suspend",N99)),OR(AG99="",AH99="")),"Falta causa/motivo suspensión","OK")))))</f>
        <v/>
      </c>
      <c r="AW99" s="19">
        <f>IF(N99="","",IF(ISNUMBER(SEARCH("suspend",N99)),IF(AND(AG99="",AH99=""),"Sin causa/motivo registrado",IF(AG99="",AH99,IF(AH99="",AG99,AG99&amp;": "&amp;AH99))),""))</f>
        <v/>
      </c>
    </row>
    <row r="100" ht="16" customHeight="1" s="151">
      <c r="A100" s="32" t="n">
        <v>46175</v>
      </c>
      <c r="B100" s="51" t="inlineStr">
        <is>
          <t>ANTONIO FLORENTINO</t>
        </is>
      </c>
      <c r="C100" s="51" t="inlineStr">
        <is>
          <t>REYES</t>
        </is>
      </c>
      <c r="D100" s="51" t="inlineStr">
        <is>
          <t>77a 9m 17d</t>
        </is>
      </c>
      <c r="E100" s="51" t="inlineStr">
        <is>
          <t>Adenoma o cáncer prostático, resección endoscópica desobstructiva, cualquier técnica (uni, bipolar, láser u otros)</t>
        </is>
      </c>
      <c r="F100" s="46" t="inlineStr">
        <is>
          <t>SERVICIO DE UROLOGIA</t>
        </is>
      </c>
      <c r="G100" s="19" t="n"/>
      <c r="H100" s="51" t="inlineStr">
        <is>
          <t>1902055-8</t>
        </is>
      </c>
      <c r="I100" s="19" t="n"/>
      <c r="J100" s="20">
        <f>IF(H100&lt;&gt;"",IFERROR(VLOOKUP(IFERROR(LEFT(H100,FIND("-",H100)-1),H100),'Catalogo MINSAL'!A:E,5,FALSE),""),IF(I100&lt;&gt;"",IFERROR(VLOOKUP(IFERROR(LEFT(I100,FIND("-",I100)-1),I100),'Catalogo MINSAL'!A:E,5,FALSE),""),""))</f>
        <v/>
      </c>
      <c r="K100" s="33" t="inlineStr">
        <is>
          <t>Aliana Morales Ruiz</t>
        </is>
      </c>
      <c r="L100" s="51" t="inlineStr">
        <is>
          <t>José Ignacio Acuña Madrid</t>
        </is>
      </c>
      <c r="M100" s="51" t="inlineStr">
        <is>
          <t>Quirofano 09</t>
        </is>
      </c>
      <c r="N100" s="48" t="inlineStr">
        <is>
          <t>Realizado</t>
        </is>
      </c>
      <c r="O100" s="52" t="n">
        <v>0.5590277777777778</v>
      </c>
      <c r="P100" s="27">
        <f>IFERROR(IF(OR(O100="",A100="",M100=""),"",IF(SUMPRODUCT(($A$4:$A$500=A100)*($M$4:$M$500=M100)*($O$4:$O$500&lt;&gt;"")*(MOD($O$4:$O$500,1)&lt;MOD(O100,1)))=0,IF(MOD(O100,1)&lt;=TIME(8,15,0),"Ingreso adecuado primera hora","Atraso primera hora"),"No aplica")),"")</f>
        <v/>
      </c>
      <c r="Q100" s="86" t="n"/>
      <c r="R100" s="52" t="n">
        <v>0.5868055555555556</v>
      </c>
      <c r="S100" s="52" t="n">
        <v>0.6006944444444444</v>
      </c>
      <c r="T100" s="52" t="n">
        <v>0.6111111111111112</v>
      </c>
      <c r="U100" s="34">
        <f>IFERROR(VLOOKUP(M100,'Horario Pabellones'!$A$4:$D$17,2,FALSE),"")</f>
        <v/>
      </c>
      <c r="V100" s="34">
        <f>IFERROR(VLOOKUP(M100,'Horario Pabellones'!$A$4:$D$17,3,FALSE),"")</f>
        <v/>
      </c>
      <c r="W100" s="102">
        <f>IFERROR(VLOOKUP(M100,'Horario Pabellones'!$A$4:$D$17,4,FALSE),"")</f>
        <v/>
      </c>
      <c r="X100" s="92">
        <f>IFERROR(IF(OR(A100="",M100="",W100=""),"",(((_xludf.AGGREGATE(14,6,MOD($S$4:$S$500,1)/(($A$4:$A$500=A100)*($M$4:$M$500=M100)*($R$4:$R$500&lt;&gt;"")*($S$4:$S$500&lt;&gt;"")),1)-_xludf.AGGREGATE(15,6,MOD($R$4:$R$500,1)/(($A$4:$A$500=A100)*($M$4:$M$500=M100)*($R$4:$R$500&lt;&gt;"")*($S$4:$S$500&lt;&gt;"")),1))*1440)/60)/(W100/60)),"")</f>
        <v/>
      </c>
      <c r="Y100" s="26">
        <f>IFERROR(IF(OR(O100="",A100="",M100=""),"",(IF(ISNUMBER(O100),MOD(O100,1),TIMEVALUE(O100))-LOOKUP(2,1/(($A$4:$A$500=A100)*($M$4:$M$500=M100)*($T$4:$T$500&lt;&gt;"")*($T$4:$T$500&lt;IF(ISNUMBER(O100),MOD(O100,1),TIMEVALUE(O100)))),$T$4:$T$500))*1440),"")</f>
        <v/>
      </c>
      <c r="Z100" s="27">
        <f>IFERROR(IF(Y100="","",IF(ROUND(Y100,0)&lt;=15,"Cumple","No cumple")),"")</f>
        <v/>
      </c>
      <c r="AA100" s="85" t="inlineStr">
        <is>
          <t>Paciente pasa al bañño antes de ingresar a pabellon</t>
        </is>
      </c>
      <c r="AB100" s="26">
        <f>IFERROR(IF(OR(O100="",R100=""),"",IF(IF(ISNUMBER(R100),MOD(R100,1),TIMEVALUE(R100))&gt;=IF(ISNUMBER(O100),MOD(O100,1),TIMEVALUE(O100)),(IF(ISNUMBER(R100),MOD(R100,1),TIMEVALUE(R100))-IF(ISNUMBER(O100),MOD(O100,1),TIMEVALUE(O100)))*1440,(IF(ISNUMBER(R100),MOD(R100,1),TIMEVALUE(R100))+1-IF(ISNUMBER(O100),MOD(O100,1),TIMEVALUE(O100)))*1440)),"")</f>
        <v/>
      </c>
      <c r="AC100" s="28">
        <f>IFERROR(IF(OR(R100="",S100=""),"",IF(IF(ISNUMBER(S100),MOD(S100,1),TIMEVALUE(S100))&gt;=IF(ISNUMBER(R100),MOD(R100,1),TIMEVALUE(R100)),(IF(ISNUMBER(S100),MOD(S100,1),TIMEVALUE(S100))-IF(ISNUMBER(R100),MOD(R100,1),TIMEVALUE(R100)))*1440,(IF(ISNUMBER(S100),MOD(S100,1),TIMEVALUE(S100))+1-IF(ISNUMBER(R100),MOD(R100,1),TIMEVALUE(R100)))*1440)),"")</f>
        <v/>
      </c>
      <c r="AD100" s="100" t="n">
        <v>90</v>
      </c>
      <c r="AE100" s="26">
        <f>IFERROR(IF(OR(AC100="",AD100=""),"",AC100-AD100),"")</f>
        <v/>
      </c>
      <c r="AF100" s="27">
        <f>IFERROR(IF(AE100="","",IF(ROUND(AE100,0)&gt;15,"Subestimacion",IF(ROUND(AE100,0)&lt;-15,"Sobrestimacion","Asertivo"))),"")</f>
        <v/>
      </c>
      <c r="AG100" s="33" t="inlineStr">
        <is>
          <t>Sin Suspensión</t>
        </is>
      </c>
      <c r="AH100" s="85" t="n"/>
      <c r="AI100" s="85" t="n"/>
      <c r="AJ100" s="19" t="n"/>
      <c r="AK100" s="19" t="inlineStr">
        <is>
          <t>Sí</t>
        </is>
      </c>
      <c r="AL100" s="19" t="inlineStr">
        <is>
          <t>No</t>
        </is>
      </c>
      <c r="AM100" s="51" t="inlineStr">
        <is>
          <t>I0001189618</t>
        </is>
      </c>
      <c r="AN100" s="19" t="n"/>
      <c r="AO100" s="19" t="n"/>
      <c r="AP100" s="127">
        <f>IF(A100="","",A100-WEEKDAY(A100,2)+1)</f>
        <v/>
      </c>
      <c r="AQ100" s="127">
        <f>IF(AO100="","",AO100+6)</f>
        <v/>
      </c>
      <c r="AR100" s="19">
        <f>IF(AO100="","","Semana "&amp;TEXT(AO100,"dd-mm-yyyy")&amp;" al "&amp;TEXT(AP100,"dd-mm-yyyy"))</f>
        <v/>
      </c>
      <c r="AS100" s="19">
        <f>IF(A100="","",TEXT(A100,"mmmm yyyy"))</f>
        <v/>
      </c>
      <c r="AT100" s="19">
        <f>IF(A100="","",TEXT(A100,"dddd"))</f>
        <v/>
      </c>
      <c r="AU100" s="19">
        <f>IF(A100="","","CRR-"&amp;TEXT(A100,"yyyymmdd")&amp;"-"&amp;M100&amp;"-"&amp;TEXT(ROW()-3,"0000"))</f>
        <v/>
      </c>
      <c r="AV100" s="19">
        <f>IF(A100="","",IF(OR(B100="",C100="",E100="",F100="",M100="",N100=""),"Revisar campos obligatorios",IF(AND(P100="Atraso primera hora",Q100=""),"Falta justificación atraso primera hora",IF(AND(Z100="No cumple",AA100=""),"Falta justificación recambio &gt;15 min",IF(AND(ISNUMBER(SEARCH("suspend",N100)),OR(AG100="",AH100="")),"Falta causa/motivo suspensión","OK")))))</f>
        <v/>
      </c>
      <c r="AW100" s="19">
        <f>IF(N100="","",IF(ISNUMBER(SEARCH("suspend",N100)),IF(AND(AG100="",AH100=""),"Sin causa/motivo registrado",IF(AG100="",AH100,IF(AH100="",AG100,AG100&amp;": "&amp;AH100))),""))</f>
        <v/>
      </c>
    </row>
    <row r="101" ht="16" customHeight="1" s="151">
      <c r="A101" s="32" t="n">
        <v>46175</v>
      </c>
      <c r="B101" s="51" t="inlineStr">
        <is>
          <t>JOSÉ MARIO</t>
        </is>
      </c>
      <c r="C101" s="51" t="inlineStr">
        <is>
          <t>COÑOPAN</t>
        </is>
      </c>
      <c r="D101" s="51" t="inlineStr">
        <is>
          <t>80a 6m 0d</t>
        </is>
      </c>
      <c r="E101" s="51" t="inlineStr">
        <is>
          <t>Adenoma o cáncer prostático, resección endoscópica desobstructiva, cualquier técnica (uni, bipolar, láser u otros)</t>
        </is>
      </c>
      <c r="F101" s="46" t="inlineStr">
        <is>
          <t>SERVICIO DE UROLOGIA</t>
        </is>
      </c>
      <c r="G101" s="19" t="n"/>
      <c r="H101" s="51" t="inlineStr">
        <is>
          <t>1902055-8</t>
        </is>
      </c>
      <c r="I101" s="19" t="n"/>
      <c r="J101" s="20">
        <f>IF(H101&lt;&gt;"",IFERROR(VLOOKUP(IFERROR(LEFT(H101,FIND("-",H101)-1),H101),'Catalogo MINSAL'!A:E,5,FALSE),""),IF(I101&lt;&gt;"",IFERROR(VLOOKUP(IFERROR(LEFT(I101,FIND("-",I101)-1),I101),'Catalogo MINSAL'!A:E,5,FALSE),""),""))</f>
        <v/>
      </c>
      <c r="K101" s="33" t="inlineStr">
        <is>
          <t>Aliana Morales Ruiz</t>
        </is>
      </c>
      <c r="L101" s="51" t="inlineStr">
        <is>
          <t>Francisco Telayna Manrique</t>
        </is>
      </c>
      <c r="M101" s="51" t="inlineStr">
        <is>
          <t>Quirofano 09</t>
        </is>
      </c>
      <c r="N101" s="48" t="inlineStr">
        <is>
          <t>Realizado</t>
        </is>
      </c>
      <c r="O101" s="52" t="n">
        <v>0.6215277777777778</v>
      </c>
      <c r="P101" s="27">
        <f>IFERROR(IF(OR(O101="",A101="",M101=""),"",IF(SUMPRODUCT(($A$4:$A$500=A101)*($M$4:$M$500=M101)*($O$4:$O$500&lt;&gt;"")*(MOD($O$4:$O$500,1)&lt;MOD(O101,1)))=0,IF(MOD(O101,1)&lt;=TIME(8,15,0),"Ingreso adecuado primera hora","Atraso primera hora"),"No aplica")),"")</f>
        <v/>
      </c>
      <c r="Q101" s="87" t="n"/>
      <c r="R101" s="52" t="n">
        <v>0.6493055555555556</v>
      </c>
      <c r="S101" s="52" t="n">
        <v>0.7013888888888888</v>
      </c>
      <c r="T101" s="52" t="n">
        <v>0.7083333333333334</v>
      </c>
      <c r="U101" s="34">
        <f>IFERROR(VLOOKUP(M101,'Horario Pabellones'!$A$4:$D$17,2,FALSE),"")</f>
        <v/>
      </c>
      <c r="V101" s="34">
        <f>IFERROR(VLOOKUP(M101,'Horario Pabellones'!$A$4:$D$17,3,FALSE),"")</f>
        <v/>
      </c>
      <c r="W101" s="102">
        <f>IFERROR(VLOOKUP(M101,'Horario Pabellones'!$A$4:$D$17,4,FALSE),"")</f>
        <v/>
      </c>
      <c r="X101" s="92">
        <f>IFERROR(IF(OR(A101="",M101="",W101=""),"",(((_xludf.AGGREGATE(14,6,MOD($S$4:$S$500,1)/(($A$4:$A$500=A101)*($M$4:$M$500=M101)*($R$4:$R$500&lt;&gt;"")*($S$4:$S$500&lt;&gt;"")),1)-_xludf.AGGREGATE(15,6,MOD($R$4:$R$500,1)/(($A$4:$A$500=A101)*($M$4:$M$500=M101)*($R$4:$R$500&lt;&gt;"")*($S$4:$S$500&lt;&gt;"")),1))*1440)/60)/(W101/60)),"")</f>
        <v/>
      </c>
      <c r="Y101" s="26">
        <f>IFERROR(IF(OR(O101="",A101="",M101=""),"",(IF(ISNUMBER(O101),MOD(O101,1),TIMEVALUE(O101))-LOOKUP(2,1/(($A$4:$A$500=A101)*($M$4:$M$500=M101)*($T$4:$T$500&lt;&gt;"")*($T$4:$T$500&lt;IF(ISNUMBER(O101),MOD(O101,1),TIMEVALUE(O101)))),$T$4:$T$500))*1440),"")</f>
        <v/>
      </c>
      <c r="Z101" s="27">
        <f>IFERROR(IF(Y101="","",IF(ROUND(Y101,0)&lt;=15,"Cumple","No cumple")),"")</f>
        <v/>
      </c>
      <c r="AA101" s="15" t="n"/>
      <c r="AB101" s="26">
        <f>IFERROR(IF(OR(O101="",R101=""),"",IF(IF(ISNUMBER(R101),MOD(R101,1),TIMEVALUE(R101))&gt;=IF(ISNUMBER(O101),MOD(O101,1),TIMEVALUE(O101)),(IF(ISNUMBER(R101),MOD(R101,1),TIMEVALUE(R101))-IF(ISNUMBER(O101),MOD(O101,1),TIMEVALUE(O101)))*1440,(IF(ISNUMBER(R101),MOD(R101,1),TIMEVALUE(R101))+1-IF(ISNUMBER(O101),MOD(O101,1),TIMEVALUE(O101)))*1440)),"")</f>
        <v/>
      </c>
      <c r="AC101" s="28">
        <f>IFERROR(IF(OR(R101="",S101=""),"",IF(IF(ISNUMBER(S101),MOD(S101,1),TIMEVALUE(S101))&gt;=IF(ISNUMBER(R101),MOD(R101,1),TIMEVALUE(R101)),(IF(ISNUMBER(S101),MOD(S101,1),TIMEVALUE(S101))-IF(ISNUMBER(R101),MOD(R101,1),TIMEVALUE(R101)))*1440,(IF(ISNUMBER(S101),MOD(S101,1),TIMEVALUE(S101))+1-IF(ISNUMBER(R101),MOD(R101,1),TIMEVALUE(R101)))*1440)),"")</f>
        <v/>
      </c>
      <c r="AD101" s="100" t="n">
        <v>90</v>
      </c>
      <c r="AE101" s="26">
        <f>IFERROR(IF(OR(AC101="",AD101=""),"",AC101-AD101),"")</f>
        <v/>
      </c>
      <c r="AF101" s="27">
        <f>IFERROR(IF(AE101="","",IF(ROUND(AE101,0)&gt;15,"Subestimacion",IF(ROUND(AE101,0)&lt;-15,"Sobrestimacion","Asertivo"))),"")</f>
        <v/>
      </c>
      <c r="AG101" s="33" t="inlineStr">
        <is>
          <t>Sin Suspensión</t>
        </is>
      </c>
      <c r="AH101" s="15" t="n"/>
      <c r="AI101" s="15" t="n"/>
      <c r="AJ101" s="19" t="n"/>
      <c r="AK101" s="19" t="inlineStr">
        <is>
          <t>Sí</t>
        </is>
      </c>
      <c r="AL101" s="19" t="inlineStr">
        <is>
          <t>No</t>
        </is>
      </c>
      <c r="AM101" s="51" t="inlineStr">
        <is>
          <t>I0001189611</t>
        </is>
      </c>
      <c r="AN101" s="19" t="n"/>
      <c r="AO101" s="19" t="n"/>
      <c r="AP101" s="127">
        <f>IF(A101="","",A101-WEEKDAY(A101,2)+1)</f>
        <v/>
      </c>
      <c r="AQ101" s="127">
        <f>IF(AO101="","",AO101+6)</f>
        <v/>
      </c>
      <c r="AR101" s="19">
        <f>IF(AO101="","","Semana "&amp;TEXT(AO101,"dd-mm-yyyy")&amp;" al "&amp;TEXT(AP101,"dd-mm-yyyy"))</f>
        <v/>
      </c>
      <c r="AS101" s="19">
        <f>IF(A101="","",TEXT(A101,"mmmm yyyy"))</f>
        <v/>
      </c>
      <c r="AT101" s="19">
        <f>IF(A101="","",TEXT(A101,"dddd"))</f>
        <v/>
      </c>
      <c r="AU101" s="19">
        <f>IF(A101="","","CRR-"&amp;TEXT(A101,"yyyymmdd")&amp;"-"&amp;M101&amp;"-"&amp;TEXT(ROW()-3,"0000"))</f>
        <v/>
      </c>
      <c r="AV101" s="19">
        <f>IF(A101="","",IF(OR(B101="",C101="",E101="",F101="",M101="",N101=""),"Revisar campos obligatorios",IF(AND(P101="Atraso primera hora",Q101=""),"Falta justificación atraso primera hora",IF(AND(Z101="No cumple",AA101=""),"Falta justificación recambio &gt;15 min",IF(AND(ISNUMBER(SEARCH("suspend",N101)),OR(AG101="",AH101="")),"Falta causa/motivo suspensión","OK")))))</f>
        <v/>
      </c>
      <c r="AW101" s="19">
        <f>IF(N101="","",IF(ISNUMBER(SEARCH("suspend",N101)),IF(AND(AG101="",AH101=""),"Sin causa/motivo registrado",IF(AG101="",AH101,IF(AH101="",AG101,AG101&amp;": "&amp;AH101))),""))</f>
        <v/>
      </c>
    </row>
    <row r="102" ht="16" customHeight="1" s="151">
      <c r="A102" s="32" t="n">
        <v>46175</v>
      </c>
      <c r="B102" s="51" t="inlineStr">
        <is>
          <t>MIGUEL LUIS</t>
        </is>
      </c>
      <c r="C102" s="51" t="inlineStr">
        <is>
          <t>TRUJILLO</t>
        </is>
      </c>
      <c r="D102" s="51" t="inlineStr">
        <is>
          <t>70a 8m 4d</t>
        </is>
      </c>
      <c r="E102" s="51" t="inlineStr">
        <is>
          <t>Adenoma o cáncer prostático, resección endoscópica desobstructiva, cualquier técnica (uni, bipolar, láser u otros)</t>
        </is>
      </c>
      <c r="F102" s="46" t="inlineStr">
        <is>
          <t>SERVICIO DE UROLOGIA</t>
        </is>
      </c>
      <c r="G102" s="19" t="n"/>
      <c r="H102" s="51" t="inlineStr">
        <is>
          <t>1902055-8</t>
        </is>
      </c>
      <c r="I102" s="19" t="n"/>
      <c r="J102" s="20">
        <f>IF(H102&lt;&gt;"",IFERROR(VLOOKUP(IFERROR(LEFT(H102,FIND("-",H102)-1),H102),'Catalogo MINSAL'!A:E,5,FALSE),""),IF(I102&lt;&gt;"",IFERROR(VLOOKUP(IFERROR(LEFT(I102,FIND("-",I102)-1),I102),'Catalogo MINSAL'!A:E,5,FALSE),""),""))</f>
        <v/>
      </c>
      <c r="K102" s="33" t="inlineStr">
        <is>
          <t>Aliana Morales Ruiz</t>
        </is>
      </c>
      <c r="L102" s="51" t="inlineStr">
        <is>
          <t>Francisco Telayna Manrique</t>
        </is>
      </c>
      <c r="M102" s="51" t="inlineStr">
        <is>
          <t>Quirofano 09</t>
        </is>
      </c>
      <c r="N102" s="48" t="inlineStr">
        <is>
          <t>Realizado</t>
        </is>
      </c>
      <c r="O102" s="52" t="n">
        <v>0.7291666666666666</v>
      </c>
      <c r="P102" s="27">
        <f>IFERROR(IF(OR(O102="",A102="",M102=""),"",IF(SUMPRODUCT(($A$4:$A$500=A102)*($M$4:$M$500=M102)*($O$4:$O$500&lt;&gt;"")*(MOD($O$4:$O$500,1)&lt;MOD(O102,1)))=0,IF(MOD(O102,1)&lt;=TIME(8,15,0),"Ingreso adecuado primera hora","Atraso primera hora"),"No aplica")),"")</f>
        <v/>
      </c>
      <c r="Q102" s="86" t="n"/>
      <c r="R102" s="52" t="n">
        <v>0.7430555555555556</v>
      </c>
      <c r="S102" s="52" t="n">
        <v>0.7847222222222222</v>
      </c>
      <c r="T102" s="52" t="n">
        <v>0.7909722222222222</v>
      </c>
      <c r="U102" s="34">
        <f>IFERROR(VLOOKUP(M102,'Horario Pabellones'!$A$4:$D$17,2,FALSE),"")</f>
        <v/>
      </c>
      <c r="V102" s="34">
        <f>IFERROR(VLOOKUP(M102,'Horario Pabellones'!$A$4:$D$17,3,FALSE),"")</f>
        <v/>
      </c>
      <c r="W102" s="102">
        <f>IFERROR(VLOOKUP(M102,'Horario Pabellones'!$A$4:$D$17,4,FALSE),"")</f>
        <v/>
      </c>
      <c r="X102" s="92">
        <f>IFERROR(IF(OR(A102="",M102="",W102=""),"",(((_xludf.AGGREGATE(14,6,MOD($S$4:$S$500,1)/(($A$4:$A$500=A102)*($M$4:$M$500=M102)*($R$4:$R$500&lt;&gt;"")*($S$4:$S$500&lt;&gt;"")),1)-_xludf.AGGREGATE(15,6,MOD($R$4:$R$500,1)/(($A$4:$A$500=A102)*($M$4:$M$500=M102)*($R$4:$R$500&lt;&gt;"")*($S$4:$S$500&lt;&gt;"")),1))*1440)/60)/(W102/60)),"")</f>
        <v/>
      </c>
      <c r="Y102" s="26">
        <f>IFERROR(IF(OR(O102="",A102="",M102=""),"",(IF(ISNUMBER(O102),MOD(O102,1),TIMEVALUE(O102))-LOOKUP(2,1/(($A$4:$A$500=A102)*($M$4:$M$500=M102)*($T$4:$T$500&lt;&gt;"")*($T$4:$T$500&lt;IF(ISNUMBER(O102),MOD(O102,1),TIMEVALUE(O102)))),$T$4:$T$500))*1440),"")</f>
        <v/>
      </c>
      <c r="Z102" s="27">
        <f>IFERROR(IF(Y102="","",IF(ROUND(Y102,0)&lt;=15,"Cumple","No cumple")),"")</f>
        <v/>
      </c>
      <c r="AA102" s="85" t="inlineStr">
        <is>
          <t>Revision de cajas</t>
        </is>
      </c>
      <c r="AB102" s="26">
        <f>IFERROR(IF(OR(O102="",R102=""),"",IF(IF(ISNUMBER(R102),MOD(R102,1),TIMEVALUE(R102))&gt;=IF(ISNUMBER(O102),MOD(O102,1),TIMEVALUE(O102)),(IF(ISNUMBER(R102),MOD(R102,1),TIMEVALUE(R102))-IF(ISNUMBER(O102),MOD(O102,1),TIMEVALUE(O102)))*1440,(IF(ISNUMBER(R102),MOD(R102,1),TIMEVALUE(R102))+1-IF(ISNUMBER(O102),MOD(O102,1),TIMEVALUE(O102)))*1440)),"")</f>
        <v/>
      </c>
      <c r="AC102" s="28">
        <f>IFERROR(IF(OR(R102="",S102=""),"",IF(IF(ISNUMBER(S102),MOD(S102,1),TIMEVALUE(S102))&gt;=IF(ISNUMBER(R102),MOD(R102,1),TIMEVALUE(R102)),(IF(ISNUMBER(S102),MOD(S102,1),TIMEVALUE(S102))-IF(ISNUMBER(R102),MOD(R102,1),TIMEVALUE(R102)))*1440,(IF(ISNUMBER(S102),MOD(S102,1),TIMEVALUE(S102))+1-IF(ISNUMBER(R102),MOD(R102,1),TIMEVALUE(R102)))*1440)),"")</f>
        <v/>
      </c>
      <c r="AD102" s="100" t="n">
        <v>90</v>
      </c>
      <c r="AE102" s="26">
        <f>IFERROR(IF(OR(AC102="",AD102=""),"",AC102-AD102),"")</f>
        <v/>
      </c>
      <c r="AF102" s="27">
        <f>IFERROR(IF(AE102="","",IF(ROUND(AE102,0)&gt;15,"Subestimacion",IF(ROUND(AE102,0)&lt;-15,"Sobrestimacion","Asertivo"))),"")</f>
        <v/>
      </c>
      <c r="AG102" s="33" t="inlineStr">
        <is>
          <t>Sin Suspensión</t>
        </is>
      </c>
      <c r="AH102" s="85" t="n"/>
      <c r="AI102" s="85" t="n"/>
      <c r="AJ102" s="19" t="n"/>
      <c r="AK102" s="19" t="inlineStr">
        <is>
          <t>Sí</t>
        </is>
      </c>
      <c r="AL102" s="19" t="inlineStr">
        <is>
          <t>No</t>
        </is>
      </c>
      <c r="AM102" s="51" t="inlineStr">
        <is>
          <t>I0001189619</t>
        </is>
      </c>
      <c r="AN102" s="19" t="n"/>
      <c r="AO102" s="19" t="n"/>
      <c r="AP102" s="127">
        <f>IF(A102="","",A102-WEEKDAY(A102,2)+1)</f>
        <v/>
      </c>
      <c r="AQ102" s="127">
        <f>IF(AO102="","",AO102+6)</f>
        <v/>
      </c>
      <c r="AR102" s="19">
        <f>IF(AO102="","","Semana "&amp;TEXT(AO102,"dd-mm-yyyy")&amp;" al "&amp;TEXT(AP102,"dd-mm-yyyy"))</f>
        <v/>
      </c>
      <c r="AS102" s="19">
        <f>IF(A102="","",TEXT(A102,"mmmm yyyy"))</f>
        <v/>
      </c>
      <c r="AT102" s="19">
        <f>IF(A102="","",TEXT(A102,"dddd"))</f>
        <v/>
      </c>
      <c r="AU102" s="19">
        <f>IF(A102="","","CRR-"&amp;TEXT(A102,"yyyymmdd")&amp;"-"&amp;M102&amp;"-"&amp;TEXT(ROW()-3,"0000"))</f>
        <v/>
      </c>
      <c r="AV102" s="19">
        <f>IF(A102="","",IF(OR(B102="",C102="",E102="",F102="",M102="",N102=""),"Revisar campos obligatorios",IF(AND(P102="Atraso primera hora",Q102=""),"Falta justificación atraso primera hora",IF(AND(Z102="No cumple",AA102=""),"Falta justificación recambio &gt;15 min",IF(AND(ISNUMBER(SEARCH("suspend",N102)),OR(AG102="",AH102="")),"Falta causa/motivo suspensión","OK")))))</f>
        <v/>
      </c>
      <c r="AW102" s="19">
        <f>IF(N102="","",IF(ISNUMBER(SEARCH("suspend",N102)),IF(AND(AG102="",AH102=""),"Sin causa/motivo registrado",IF(AG102="",AH102,IF(AH102="",AG102,AG102&amp;": "&amp;AH102))),""))</f>
        <v/>
      </c>
    </row>
    <row r="103" ht="16" customHeight="1" s="151">
      <c r="A103" s="32" t="n">
        <v>46175</v>
      </c>
      <c r="B103" s="51" t="inlineStr">
        <is>
          <t>RUTH XIMENA</t>
        </is>
      </c>
      <c r="C103" s="51" t="inlineStr">
        <is>
          <t>DOMINGUAL</t>
        </is>
      </c>
      <c r="D103" s="51" t="inlineStr">
        <is>
          <t>41a 4m 3d</t>
        </is>
      </c>
      <c r="E103" s="51" t="inlineStr">
        <is>
          <t>COLECISTECTOMIA POR VIDEOLAPAROSCOPIA, PROC. COMPLETO</t>
        </is>
      </c>
      <c r="F103" s="40" t="inlineStr">
        <is>
          <t>SERVICIO DE CIRUGIA ADULTO</t>
        </is>
      </c>
      <c r="G103" s="19" t="n"/>
      <c r="H103" s="51" t="inlineStr">
        <is>
          <t>1802081-10</t>
        </is>
      </c>
      <c r="I103" s="19" t="n"/>
      <c r="J103" s="20">
        <f>IF(H103&lt;&gt;"",IFERROR(VLOOKUP(IFERROR(LEFT(H103,FIND("-",H103)-1),H103),'Catalogo MINSAL'!A:E,5,FALSE),""),IF(I103&lt;&gt;"",IFERROR(VLOOKUP(IFERROR(LEFT(I103,FIND("-",I103)-1),I103),'Catalogo MINSAL'!A:E,5,FALSE),""),""))</f>
        <v/>
      </c>
      <c r="K103" s="33" t="inlineStr">
        <is>
          <t>Nelson Gonzalez Doria</t>
        </is>
      </c>
      <c r="L103" s="51" t="inlineStr">
        <is>
          <t>Emilly Osse Mejias</t>
        </is>
      </c>
      <c r="M103" s="51" t="inlineStr">
        <is>
          <t>Quirofano 11</t>
        </is>
      </c>
      <c r="N103" s="48" t="inlineStr">
        <is>
          <t>Realizado</t>
        </is>
      </c>
      <c r="O103" s="52" t="n">
        <v>0.3416666666666667</v>
      </c>
      <c r="P103" s="27">
        <f>IFERROR(IF(OR(O103="",A103="",M103=""),"",IF(SUMPRODUCT(($A$4:$A$500=A103)*($M$4:$M$500=M103)*($O$4:$O$500&lt;&gt;"")*(MOD($O$4:$O$500,1)&lt;MOD(O103,1)))=0,IF(MOD(O103,1)&lt;=TIME(8,15,0),"Ingreso adecuado primera hora","Atraso primera hora"),"No aplica")),"")</f>
        <v/>
      </c>
      <c r="Q103" s="87" t="n"/>
      <c r="R103" s="52" t="n">
        <v>0.3680555555555556</v>
      </c>
      <c r="S103" s="52" t="n">
        <v>0.3958333333333333</v>
      </c>
      <c r="T103" s="52" t="n">
        <v>0.4013888888888889</v>
      </c>
      <c r="U103" s="34">
        <f>IFERROR(VLOOKUP(M103,'Horario Pabellones'!$A$4:$D$17,2,FALSE),"")</f>
        <v/>
      </c>
      <c r="V103" s="34">
        <f>IFERROR(VLOOKUP(M103,'Horario Pabellones'!$A$4:$D$17,3,FALSE),"")</f>
        <v/>
      </c>
      <c r="W103" s="102">
        <f>IFERROR(VLOOKUP(M103,'Horario Pabellones'!$A$4:$D$17,4,FALSE),"")</f>
        <v/>
      </c>
      <c r="X103" s="92">
        <f>IFERROR(IF(OR(A103="",M103="",W103=""),"",(((_xludf.AGGREGATE(14,6,MOD($S$4:$S$500,1)/(($A$4:$A$500=A103)*($M$4:$M$500=M103)*($R$4:$R$500&lt;&gt;"")*($S$4:$S$500&lt;&gt;"")),1)-_xludf.AGGREGATE(15,6,MOD($R$4:$R$500,1)/(($A$4:$A$500=A103)*($M$4:$M$500=M103)*($R$4:$R$500&lt;&gt;"")*($S$4:$S$500&lt;&gt;"")),1))*1440)/60)/(W103/60)),"")</f>
        <v/>
      </c>
      <c r="Y103" s="26">
        <f>IFERROR(IF(OR(O103="",A103="",M103=""),"",(IF(ISNUMBER(O103),MOD(O103,1),TIMEVALUE(O103))-LOOKUP(2,1/(($A$4:$A$500=A103)*($M$4:$M$500=M103)*($T$4:$T$500&lt;&gt;"")*($T$4:$T$500&lt;IF(ISNUMBER(O103),MOD(O103,1),TIMEVALUE(O103)))),$T$4:$T$500))*1440),"")</f>
        <v/>
      </c>
      <c r="Z103" s="27">
        <f>IFERROR(IF(Y103="","",IF(ROUND(Y103,0)&lt;=15,"Cumple","No cumple")),"")</f>
        <v/>
      </c>
      <c r="AA103" s="15" t="n"/>
      <c r="AB103" s="26">
        <f>IFERROR(IF(OR(O103="",R103=""),"",IF(IF(ISNUMBER(R103),MOD(R103,1),TIMEVALUE(R103))&gt;=IF(ISNUMBER(O103),MOD(O103,1),TIMEVALUE(O103)),(IF(ISNUMBER(R103),MOD(R103,1),TIMEVALUE(R103))-IF(ISNUMBER(O103),MOD(O103,1),TIMEVALUE(O103)))*1440,(IF(ISNUMBER(R103),MOD(R103,1),TIMEVALUE(R103))+1-IF(ISNUMBER(O103),MOD(O103,1),TIMEVALUE(O103)))*1440)),"")</f>
        <v/>
      </c>
      <c r="AC103" s="28">
        <f>IFERROR(IF(OR(R103="",S103=""),"",IF(IF(ISNUMBER(S103),MOD(S103,1),TIMEVALUE(S103))&gt;=IF(ISNUMBER(R103),MOD(R103,1),TIMEVALUE(R103)),(IF(ISNUMBER(S103),MOD(S103,1),TIMEVALUE(S103))-IF(ISNUMBER(R103),MOD(R103,1),TIMEVALUE(R103)))*1440,(IF(ISNUMBER(S103),MOD(S103,1),TIMEVALUE(S103))+1-IF(ISNUMBER(R103),MOD(R103,1),TIMEVALUE(R103)))*1440)),"")</f>
        <v/>
      </c>
      <c r="AD103" s="100" t="n">
        <v>60</v>
      </c>
      <c r="AE103" s="26">
        <f>IFERROR(IF(OR(AC103="",AD103=""),"",AC103-AD103),"")</f>
        <v/>
      </c>
      <c r="AF103" s="27">
        <f>IFERROR(IF(AE103="","",IF(ROUND(AE103,0)&gt;15,"Subestimacion",IF(ROUND(AE103,0)&lt;-15,"Sobrestimacion","Asertivo"))),"")</f>
        <v/>
      </c>
      <c r="AG103" s="33" t="inlineStr">
        <is>
          <t>Sin Suspensión</t>
        </is>
      </c>
      <c r="AH103" s="15" t="n"/>
      <c r="AI103" s="15" t="n"/>
      <c r="AJ103" s="19" t="n"/>
      <c r="AK103" s="19" t="inlineStr">
        <is>
          <t>Sí</t>
        </is>
      </c>
      <c r="AL103" s="19" t="inlineStr">
        <is>
          <t>No</t>
        </is>
      </c>
      <c r="AM103" s="51" t="inlineStr">
        <is>
          <t>I0001189588</t>
        </is>
      </c>
      <c r="AN103" s="19" t="n"/>
      <c r="AO103" s="19" t="n"/>
      <c r="AP103" s="127">
        <f>IF(A103="","",A103-WEEKDAY(A103,2)+1)</f>
        <v/>
      </c>
      <c r="AQ103" s="127">
        <f>IF(AO103="","",AO103+6)</f>
        <v/>
      </c>
      <c r="AR103" s="19">
        <f>IF(AO103="","","Semana "&amp;TEXT(AO103,"dd-mm-yyyy")&amp;" al "&amp;TEXT(AP103,"dd-mm-yyyy"))</f>
        <v/>
      </c>
      <c r="AS103" s="19">
        <f>IF(A103="","",TEXT(A103,"mmmm yyyy"))</f>
        <v/>
      </c>
      <c r="AT103" s="19">
        <f>IF(A103="","",TEXT(A103,"dddd"))</f>
        <v/>
      </c>
      <c r="AU103" s="19">
        <f>IF(A103="","","CRR-"&amp;TEXT(A103,"yyyymmdd")&amp;"-"&amp;M103&amp;"-"&amp;TEXT(ROW()-3,"0000"))</f>
        <v/>
      </c>
      <c r="AV103" s="19">
        <f>IF(A103="","",IF(OR(B103="",C103="",E103="",F103="",M103="",N103=""),"Revisar campos obligatorios",IF(AND(P103="Atraso primera hora",Q103=""),"Falta justificación atraso primera hora",IF(AND(Z103="No cumple",AA103=""),"Falta justificación recambio &gt;15 min",IF(AND(ISNUMBER(SEARCH("suspend",N103)),OR(AG103="",AH103="")),"Falta causa/motivo suspensión","OK")))))</f>
        <v/>
      </c>
      <c r="AW103" s="19">
        <f>IF(N103="","",IF(ISNUMBER(SEARCH("suspend",N103)),IF(AND(AG103="",AH103=""),"Sin causa/motivo registrado",IF(AG103="",AH103,IF(AH103="",AG103,AG103&amp;": "&amp;AH103))),""))</f>
        <v/>
      </c>
    </row>
    <row r="104" ht="16" customHeight="1" s="151">
      <c r="A104" s="32" t="n">
        <v>46175</v>
      </c>
      <c r="B104" s="51" t="inlineStr">
        <is>
          <t>ELIZABETH ANDREA</t>
        </is>
      </c>
      <c r="C104" s="51" t="inlineStr">
        <is>
          <t>ALARCÓN</t>
        </is>
      </c>
      <c r="D104" s="51" t="inlineStr">
        <is>
          <t>40a 2m 16d</t>
        </is>
      </c>
      <c r="E104" s="51" t="inlineStr">
        <is>
          <t>COLECISTECTOMIA POR VIDEOLAPAROSCOPIA, PROC. COMPLETO</t>
        </is>
      </c>
      <c r="F104" s="40" t="inlineStr">
        <is>
          <t>SERVICIO DE CIRUGIA ADULTO</t>
        </is>
      </c>
      <c r="G104" s="19" t="n"/>
      <c r="H104" s="51" t="inlineStr">
        <is>
          <t>1802081-10</t>
        </is>
      </c>
      <c r="I104" s="19" t="n"/>
      <c r="J104" s="20">
        <f>IF(H104&lt;&gt;"",IFERROR(VLOOKUP(IFERROR(LEFT(H104,FIND("-",H104)-1),H104),'Catalogo MINSAL'!A:E,5,FALSE),""),IF(I104&lt;&gt;"",IFERROR(VLOOKUP(IFERROR(LEFT(I104,FIND("-",I104)-1),I104),'Catalogo MINSAL'!A:E,5,FALSE),""),""))</f>
        <v/>
      </c>
      <c r="K104" s="33" t="inlineStr">
        <is>
          <t>Nelson Gonzalez Doria</t>
        </is>
      </c>
      <c r="L104" s="51" t="inlineStr">
        <is>
          <t>Dr. Roberto Figueroa Valenzuela</t>
        </is>
      </c>
      <c r="M104" s="51" t="inlineStr">
        <is>
          <t>Quirofano 11</t>
        </is>
      </c>
      <c r="N104" s="48" t="inlineStr">
        <is>
          <t>Realizado</t>
        </is>
      </c>
      <c r="O104" s="52" t="n">
        <v>0.4097222222222222</v>
      </c>
      <c r="P104" s="27">
        <f>IFERROR(IF(OR(O104="",A104="",M104=""),"",IF(SUMPRODUCT(($A$4:$A$500=A104)*($M$4:$M$500=M104)*($O$4:$O$500&lt;&gt;"")*(MOD($O$4:$O$500,1)&lt;MOD(O104,1)))=0,IF(MOD(O104,1)&lt;=TIME(8,15,0),"Ingreso adecuado primera hora","Atraso primera hora"),"No aplica")),"")</f>
        <v/>
      </c>
      <c r="Q104" s="87" t="n"/>
      <c r="R104" s="52" t="n">
        <v>0.4298611111111111</v>
      </c>
      <c r="S104" s="52" t="n">
        <v>0.4548611111111111</v>
      </c>
      <c r="T104" s="52" t="n">
        <v>0.4673611111111111</v>
      </c>
      <c r="U104" s="34">
        <f>IFERROR(VLOOKUP(M104,'Horario Pabellones'!$A$4:$D$17,2,FALSE),"")</f>
        <v/>
      </c>
      <c r="V104" s="34">
        <f>IFERROR(VLOOKUP(M104,'Horario Pabellones'!$A$4:$D$17,3,FALSE),"")</f>
        <v/>
      </c>
      <c r="W104" s="102">
        <f>IFERROR(VLOOKUP(M104,'Horario Pabellones'!$A$4:$D$17,4,FALSE),"")</f>
        <v/>
      </c>
      <c r="X104" s="92">
        <f>IFERROR(IF(OR(A104="",M104="",W104=""),"",(((_xludf.AGGREGATE(14,6,MOD($S$4:$S$500,1)/(($A$4:$A$500=A104)*($M$4:$M$500=M104)*($R$4:$R$500&lt;&gt;"")*($S$4:$S$500&lt;&gt;"")),1)-_xludf.AGGREGATE(15,6,MOD($R$4:$R$500,1)/(($A$4:$A$500=A104)*($M$4:$M$500=M104)*($R$4:$R$500&lt;&gt;"")*($S$4:$S$500&lt;&gt;"")),1))*1440)/60)/(W104/60)),"")</f>
        <v/>
      </c>
      <c r="Y104" s="26">
        <f>IFERROR(IF(OR(O104="",A104="",M104=""),"",(IF(ISNUMBER(O104),MOD(O104,1),TIMEVALUE(O104))-LOOKUP(2,1/(($A$4:$A$500=A104)*($M$4:$M$500=M104)*($T$4:$T$500&lt;&gt;"")*($T$4:$T$500&lt;IF(ISNUMBER(O104),MOD(O104,1),TIMEVALUE(O104)))),$T$4:$T$500))*1440),"")</f>
        <v/>
      </c>
      <c r="Z104" s="27">
        <f>IFERROR(IF(Y104="","",IF(ROUND(Y104,0)&lt;=15,"Cumple","No cumple")),"")</f>
        <v/>
      </c>
      <c r="AA104" s="15" t="n"/>
      <c r="AB104" s="26">
        <f>IFERROR(IF(OR(O104="",R104=""),"",IF(IF(ISNUMBER(R104),MOD(R104,1),TIMEVALUE(R104))&gt;=IF(ISNUMBER(O104),MOD(O104,1),TIMEVALUE(O104)),(IF(ISNUMBER(R104),MOD(R104,1),TIMEVALUE(R104))-IF(ISNUMBER(O104),MOD(O104,1),TIMEVALUE(O104)))*1440,(IF(ISNUMBER(R104),MOD(R104,1),TIMEVALUE(R104))+1-IF(ISNUMBER(O104),MOD(O104,1),TIMEVALUE(O104)))*1440)),"")</f>
        <v/>
      </c>
      <c r="AC104" s="28">
        <f>IFERROR(IF(OR(R104="",S104=""),"",IF(IF(ISNUMBER(S104),MOD(S104,1),TIMEVALUE(S104))&gt;=IF(ISNUMBER(R104),MOD(R104,1),TIMEVALUE(R104)),(IF(ISNUMBER(S104),MOD(S104,1),TIMEVALUE(S104))-IF(ISNUMBER(R104),MOD(R104,1),TIMEVALUE(R104)))*1440,(IF(ISNUMBER(S104),MOD(S104,1),TIMEVALUE(S104))+1-IF(ISNUMBER(R104),MOD(R104,1),TIMEVALUE(R104)))*1440)),"")</f>
        <v/>
      </c>
      <c r="AD104" s="100" t="n">
        <v>60</v>
      </c>
      <c r="AE104" s="26">
        <f>IFERROR(IF(OR(AC104="",AD104=""),"",AC104-AD104),"")</f>
        <v/>
      </c>
      <c r="AF104" s="27">
        <f>IFERROR(IF(AE104="","",IF(ROUND(AE104,0)&gt;15,"Subestimacion",IF(ROUND(AE104,0)&lt;-15,"Sobrestimacion","Asertivo"))),"")</f>
        <v/>
      </c>
      <c r="AG104" s="33" t="inlineStr">
        <is>
          <t>Sin Suspensión</t>
        </is>
      </c>
      <c r="AH104" s="15" t="n"/>
      <c r="AI104" s="15" t="n"/>
      <c r="AJ104" s="19" t="n"/>
      <c r="AK104" s="19" t="inlineStr">
        <is>
          <t>Sí</t>
        </is>
      </c>
      <c r="AL104" s="19" t="inlineStr">
        <is>
          <t>No</t>
        </is>
      </c>
      <c r="AM104" s="51" t="inlineStr">
        <is>
          <t>I0001189591</t>
        </is>
      </c>
      <c r="AN104" s="19" t="n"/>
      <c r="AO104" s="19" t="n"/>
      <c r="AP104" s="127">
        <f>IF(A104="","",A104-WEEKDAY(A104,2)+1)</f>
        <v/>
      </c>
      <c r="AQ104" s="127">
        <f>IF(AO104="","",AO104+6)</f>
        <v/>
      </c>
      <c r="AR104" s="19">
        <f>IF(AO104="","","Semana "&amp;TEXT(AO104,"dd-mm-yyyy")&amp;" al "&amp;TEXT(AP104,"dd-mm-yyyy"))</f>
        <v/>
      </c>
      <c r="AS104" s="19">
        <f>IF(A104="","",TEXT(A104,"mmmm yyyy"))</f>
        <v/>
      </c>
      <c r="AT104" s="19">
        <f>IF(A104="","",TEXT(A104,"dddd"))</f>
        <v/>
      </c>
      <c r="AU104" s="19">
        <f>IF(A104="","","CRR-"&amp;TEXT(A104,"yyyymmdd")&amp;"-"&amp;M104&amp;"-"&amp;TEXT(ROW()-3,"0000"))</f>
        <v/>
      </c>
      <c r="AV104" s="19">
        <f>IF(A104="","",IF(OR(B104="",C104="",E104="",F104="",M104="",N104=""),"Revisar campos obligatorios",IF(AND(P104="Atraso primera hora",Q104=""),"Falta justificación atraso primera hora",IF(AND(Z104="No cumple",AA104=""),"Falta justificación recambio &gt;15 min",IF(AND(ISNUMBER(SEARCH("suspend",N104)),OR(AG104="",AH104="")),"Falta causa/motivo suspensión","OK")))))</f>
        <v/>
      </c>
      <c r="AW104" s="19">
        <f>IF(N104="","",IF(ISNUMBER(SEARCH("suspend",N104)),IF(AND(AG104="",AH104=""),"Sin causa/motivo registrado",IF(AG104="",AH104,IF(AH104="",AG104,AG104&amp;": "&amp;AH104))),""))</f>
        <v/>
      </c>
    </row>
    <row r="105" ht="16" customHeight="1" s="151">
      <c r="A105" s="32" t="n">
        <v>46175</v>
      </c>
      <c r="B105" s="51" t="inlineStr">
        <is>
          <t>KATHERINE OLIVIA</t>
        </is>
      </c>
      <c r="C105" s="51" t="inlineStr">
        <is>
          <t>ROMERO</t>
        </is>
      </c>
      <c r="D105" s="51" t="inlineStr">
        <is>
          <t>46a 1m 4d</t>
        </is>
      </c>
      <c r="E105" s="51" t="inlineStr">
        <is>
          <t>COLECISTECTOMIA POR VIDEOLAPAROSCOPIA, PROC. COMPLETO</t>
        </is>
      </c>
      <c r="F105" s="40" t="inlineStr">
        <is>
          <t>SERVICIO DE CIRUGIA ADULTO</t>
        </is>
      </c>
      <c r="G105" s="19" t="n"/>
      <c r="H105" s="51" t="inlineStr">
        <is>
          <t>1802081-10</t>
        </is>
      </c>
      <c r="I105" s="19" t="n"/>
      <c r="J105" s="20">
        <f>IF(H105&lt;&gt;"",IFERROR(VLOOKUP(IFERROR(LEFT(H105,FIND("-",H105)-1),H105),'Catalogo MINSAL'!A:E,5,FALSE),""),IF(I105&lt;&gt;"",IFERROR(VLOOKUP(IFERROR(LEFT(I105,FIND("-",I105)-1),I105),'Catalogo MINSAL'!A:E,5,FALSE),""),""))</f>
        <v/>
      </c>
      <c r="K105" s="33" t="inlineStr">
        <is>
          <t>Nelson Gonzalez Doria</t>
        </is>
      </c>
      <c r="L105" s="51" t="inlineStr">
        <is>
          <t>Emilly Osse Mejias</t>
        </is>
      </c>
      <c r="M105" s="51" t="inlineStr">
        <is>
          <t>Quirofano 11</t>
        </is>
      </c>
      <c r="N105" s="48" t="inlineStr">
        <is>
          <t>Realizado</t>
        </is>
      </c>
      <c r="O105" s="52" t="n">
        <v>0.4736111111111111</v>
      </c>
      <c r="P105" s="27">
        <f>IFERROR(IF(OR(O105="",A105="",M105=""),"",IF(SUMPRODUCT(($A$4:$A$500=A105)*($M$4:$M$500=M105)*($O$4:$O$500&lt;&gt;"")*(MOD($O$4:$O$500,1)&lt;MOD(O105,1)))=0,IF(MOD(O105,1)&lt;=TIME(8,15,0),"Ingreso adecuado primera hora","Atraso primera hora"),"No aplica")),"")</f>
        <v/>
      </c>
      <c r="Q105" s="87" t="n"/>
      <c r="R105" s="52" t="n">
        <v>0.4965277777777778</v>
      </c>
      <c r="S105" s="52" t="n">
        <v>0.5375</v>
      </c>
      <c r="T105" s="52" t="n">
        <v>0.5472222222222223</v>
      </c>
      <c r="U105" s="34">
        <f>IFERROR(VLOOKUP(M105,'Horario Pabellones'!$A$4:$D$17,2,FALSE),"")</f>
        <v/>
      </c>
      <c r="V105" s="34">
        <f>IFERROR(VLOOKUP(M105,'Horario Pabellones'!$A$4:$D$17,3,FALSE),"")</f>
        <v/>
      </c>
      <c r="W105" s="102">
        <f>IFERROR(VLOOKUP(M105,'Horario Pabellones'!$A$4:$D$17,4,FALSE),"")</f>
        <v/>
      </c>
      <c r="X105" s="92">
        <f>IFERROR(IF(OR(A105="",M105="",W105=""),"",(((_xludf.AGGREGATE(14,6,MOD($S$4:$S$500,1)/(($A$4:$A$500=A105)*($M$4:$M$500=M105)*($R$4:$R$500&lt;&gt;"")*($S$4:$S$500&lt;&gt;"")),1)-_xludf.AGGREGATE(15,6,MOD($R$4:$R$500,1)/(($A$4:$A$500=A105)*($M$4:$M$500=M105)*($R$4:$R$500&lt;&gt;"")*($S$4:$S$500&lt;&gt;"")),1))*1440)/60)/(W105/60)),"")</f>
        <v/>
      </c>
      <c r="Y105" s="26">
        <f>IFERROR(IF(OR(O105="",A105="",M105=""),"",(IF(ISNUMBER(O105),MOD(O105,1),TIMEVALUE(O105))-LOOKUP(2,1/(($A$4:$A$500=A105)*($M$4:$M$500=M105)*($T$4:$T$500&lt;&gt;"")*($T$4:$T$500&lt;IF(ISNUMBER(O105),MOD(O105,1),TIMEVALUE(O105)))),$T$4:$T$500))*1440),"")</f>
        <v/>
      </c>
      <c r="Z105" s="27">
        <f>IFERROR(IF(Y105="","",IF(ROUND(Y105,0)&lt;=15,"Cumple","No cumple")),"")</f>
        <v/>
      </c>
      <c r="AA105" s="15" t="n"/>
      <c r="AB105" s="26">
        <f>IFERROR(IF(OR(O105="",R105=""),"",IF(IF(ISNUMBER(R105),MOD(R105,1),TIMEVALUE(R105))&gt;=IF(ISNUMBER(O105),MOD(O105,1),TIMEVALUE(O105)),(IF(ISNUMBER(R105),MOD(R105,1),TIMEVALUE(R105))-IF(ISNUMBER(O105),MOD(O105,1),TIMEVALUE(O105)))*1440,(IF(ISNUMBER(R105),MOD(R105,1),TIMEVALUE(R105))+1-IF(ISNUMBER(O105),MOD(O105,1),TIMEVALUE(O105)))*1440)),"")</f>
        <v/>
      </c>
      <c r="AC105" s="28">
        <f>IFERROR(IF(OR(R105="",S105=""),"",IF(IF(ISNUMBER(S105),MOD(S105,1),TIMEVALUE(S105))&gt;=IF(ISNUMBER(R105),MOD(R105,1),TIMEVALUE(R105)),(IF(ISNUMBER(S105),MOD(S105,1),TIMEVALUE(S105))-IF(ISNUMBER(R105),MOD(R105,1),TIMEVALUE(R105)))*1440,(IF(ISNUMBER(S105),MOD(S105,1),TIMEVALUE(S105))+1-IF(ISNUMBER(R105),MOD(R105,1),TIMEVALUE(R105)))*1440)),"")</f>
        <v/>
      </c>
      <c r="AD105" s="100" t="n">
        <v>60</v>
      </c>
      <c r="AE105" s="26">
        <f>IFERROR(IF(OR(AC105="",AD105=""),"",AC105-AD105),"")</f>
        <v/>
      </c>
      <c r="AF105" s="27">
        <f>IFERROR(IF(AE105="","",IF(ROUND(AE105,0)&gt;15,"Subestimacion",IF(ROUND(AE105,0)&lt;-15,"Sobrestimacion","Asertivo"))),"")</f>
        <v/>
      </c>
      <c r="AG105" s="33" t="inlineStr">
        <is>
          <t>Sin Suspensión</t>
        </is>
      </c>
      <c r="AH105" s="15" t="n"/>
      <c r="AI105" s="15" t="n"/>
      <c r="AJ105" s="19" t="n"/>
      <c r="AK105" s="19" t="inlineStr">
        <is>
          <t>Sí</t>
        </is>
      </c>
      <c r="AL105" s="19" t="inlineStr">
        <is>
          <t>No</t>
        </is>
      </c>
      <c r="AM105" s="51" t="inlineStr">
        <is>
          <t>I0001189593</t>
        </is>
      </c>
      <c r="AN105" s="19" t="n"/>
      <c r="AO105" s="19" t="n"/>
      <c r="AP105" s="127">
        <f>IF(A105="","",A105-WEEKDAY(A105,2)+1)</f>
        <v/>
      </c>
      <c r="AQ105" s="127">
        <f>IF(AO105="","",AO105+6)</f>
        <v/>
      </c>
      <c r="AR105" s="19">
        <f>IF(AO105="","","Semana "&amp;TEXT(AO105,"dd-mm-yyyy")&amp;" al "&amp;TEXT(AP105,"dd-mm-yyyy"))</f>
        <v/>
      </c>
      <c r="AS105" s="19">
        <f>IF(A105="","",TEXT(A105,"mmmm yyyy"))</f>
        <v/>
      </c>
      <c r="AT105" s="19">
        <f>IF(A105="","",TEXT(A105,"dddd"))</f>
        <v/>
      </c>
      <c r="AU105" s="19">
        <f>IF(A105="","","CRR-"&amp;TEXT(A105,"yyyymmdd")&amp;"-"&amp;M105&amp;"-"&amp;TEXT(ROW()-3,"0000"))</f>
        <v/>
      </c>
      <c r="AV105" s="19">
        <f>IF(A105="","",IF(OR(B105="",C105="",E105="",F105="",M105="",N105=""),"Revisar campos obligatorios",IF(AND(P105="Atraso primera hora",Q105=""),"Falta justificación atraso primera hora",IF(AND(Z105="No cumple",AA105=""),"Falta justificación recambio &gt;15 min",IF(AND(ISNUMBER(SEARCH("suspend",N105)),OR(AG105="",AH105="")),"Falta causa/motivo suspensión","OK")))))</f>
        <v/>
      </c>
      <c r="AW105" s="19">
        <f>IF(N105="","",IF(ISNUMBER(SEARCH("suspend",N105)),IF(AND(AG105="",AH105=""),"Sin causa/motivo registrado",IF(AG105="",AH105,IF(AH105="",AG105,AG105&amp;": "&amp;AH105))),""))</f>
        <v/>
      </c>
    </row>
    <row r="106" ht="16" customHeight="1" s="151">
      <c r="A106" s="32" t="n">
        <v>46175</v>
      </c>
      <c r="B106" s="51" t="inlineStr">
        <is>
          <t>BEATRIZ TATIANA</t>
        </is>
      </c>
      <c r="C106" s="51" t="inlineStr">
        <is>
          <t>SÁEZ</t>
        </is>
      </c>
      <c r="D106" s="51" t="inlineStr">
        <is>
          <t>42a 3m 18d</t>
        </is>
      </c>
      <c r="E106" s="51" t="inlineStr">
        <is>
          <t>COLECISTECTOMIA POR VIDEOLAPAROSCOPIA, PROC. COMPLETO</t>
        </is>
      </c>
      <c r="F106" s="40" t="inlineStr">
        <is>
          <t>SERVICIO DE CIRUGIA ADULTO</t>
        </is>
      </c>
      <c r="G106" s="19" t="n"/>
      <c r="H106" s="51" t="inlineStr">
        <is>
          <t>1802081-10</t>
        </is>
      </c>
      <c r="I106" s="19" t="n"/>
      <c r="J106" s="20">
        <f>IF(H106&lt;&gt;"",IFERROR(VLOOKUP(IFERROR(LEFT(H106,FIND("-",H106)-1),H106),'Catalogo MINSAL'!A:E,5,FALSE),""),IF(I106&lt;&gt;"",IFERROR(VLOOKUP(IFERROR(LEFT(I106,FIND("-",I106)-1),I106),'Catalogo MINSAL'!A:E,5,FALSE),""),""))</f>
        <v/>
      </c>
      <c r="K106" s="33" t="inlineStr">
        <is>
          <t>Nelson Gonzalez Doria</t>
        </is>
      </c>
      <c r="L106" s="51" t="inlineStr">
        <is>
          <t>Gonzalo Godoy Moya</t>
        </is>
      </c>
      <c r="M106" s="51" t="inlineStr">
        <is>
          <t>Quirofano 11</t>
        </is>
      </c>
      <c r="N106" s="48" t="inlineStr">
        <is>
          <t>Realizado</t>
        </is>
      </c>
      <c r="O106" s="52" t="n">
        <v>0.5611111111111111</v>
      </c>
      <c r="P106" s="27">
        <f>IFERROR(IF(OR(O106="",A106="",M106=""),"",IF(SUMPRODUCT(($A$4:$A$500=A106)*($M$4:$M$500=M106)*($O$4:$O$500&lt;&gt;"")*(MOD($O$4:$O$500,1)&lt;MOD(O106,1)))=0,IF(MOD(O106,1)&lt;=TIME(8,15,0),"Ingreso adecuado primera hora","Atraso primera hora"),"No aplica")),"")</f>
        <v/>
      </c>
      <c r="Q106" s="86" t="n"/>
      <c r="R106" s="52" t="n">
        <v>0.5805555555555556</v>
      </c>
      <c r="S106" s="52" t="n">
        <v>0.6041666666666666</v>
      </c>
      <c r="T106" s="52" t="n">
        <v>0.6222222222222222</v>
      </c>
      <c r="U106" s="34">
        <f>IFERROR(VLOOKUP(M106,'Horario Pabellones'!$A$4:$D$17,2,FALSE),"")</f>
        <v/>
      </c>
      <c r="V106" s="34">
        <f>IFERROR(VLOOKUP(M106,'Horario Pabellones'!$A$4:$D$17,3,FALSE),"")</f>
        <v/>
      </c>
      <c r="W106" s="102">
        <f>IFERROR(VLOOKUP(M106,'Horario Pabellones'!$A$4:$D$17,4,FALSE),"")</f>
        <v/>
      </c>
      <c r="X106" s="92">
        <f>IFERROR(IF(OR(A106="",M106="",W106=""),"",(((_xludf.AGGREGATE(14,6,MOD($S$4:$S$500,1)/(($A$4:$A$500=A106)*($M$4:$M$500=M106)*($R$4:$R$500&lt;&gt;"")*($S$4:$S$500&lt;&gt;"")),1)-_xludf.AGGREGATE(15,6,MOD($R$4:$R$500,1)/(($A$4:$A$500=A106)*($M$4:$M$500=M106)*($R$4:$R$500&lt;&gt;"")*($S$4:$S$500&lt;&gt;"")),1))*1440)/60)/(W106/60)),"")</f>
        <v/>
      </c>
      <c r="Y106" s="26">
        <f>IFERROR(IF(OR(O106="",A106="",M106=""),"",(IF(ISNUMBER(O106),MOD(O106,1),TIMEVALUE(O106))-LOOKUP(2,1/(($A$4:$A$500=A106)*($M$4:$M$500=M106)*($T$4:$T$500&lt;&gt;"")*($T$4:$T$500&lt;IF(ISNUMBER(O106),MOD(O106,1),TIMEVALUE(O106)))),$T$4:$T$500))*1440),"")</f>
        <v/>
      </c>
      <c r="Z106" s="27">
        <f>IFERROR(IF(Y106="","",IF(ROUND(Y106,0)&lt;=15,"Cumple","No cumple")),"")</f>
        <v/>
      </c>
      <c r="AA106" s="85" t="inlineStr">
        <is>
          <t>Personal de aseo ocupado en otro pabellon</t>
        </is>
      </c>
      <c r="AB106" s="26">
        <f>IFERROR(IF(OR(O106="",R106=""),"",IF(IF(ISNUMBER(R106),MOD(R106,1),TIMEVALUE(R106))&gt;=IF(ISNUMBER(O106),MOD(O106,1),TIMEVALUE(O106)),(IF(ISNUMBER(R106),MOD(R106,1),TIMEVALUE(R106))-IF(ISNUMBER(O106),MOD(O106,1),TIMEVALUE(O106)))*1440,(IF(ISNUMBER(R106),MOD(R106,1),TIMEVALUE(R106))+1-IF(ISNUMBER(O106),MOD(O106,1),TIMEVALUE(O106)))*1440)),"")</f>
        <v/>
      </c>
      <c r="AC106" s="28">
        <f>IFERROR(IF(OR(R106="",S106=""),"",IF(IF(ISNUMBER(S106),MOD(S106,1),TIMEVALUE(S106))&gt;=IF(ISNUMBER(R106),MOD(R106,1),TIMEVALUE(R106)),(IF(ISNUMBER(S106),MOD(S106,1),TIMEVALUE(S106))-IF(ISNUMBER(R106),MOD(R106,1),TIMEVALUE(R106)))*1440,(IF(ISNUMBER(S106),MOD(S106,1),TIMEVALUE(S106))+1-IF(ISNUMBER(R106),MOD(R106,1),TIMEVALUE(R106)))*1440)),"")</f>
        <v/>
      </c>
      <c r="AD106" s="100" t="n">
        <v>60</v>
      </c>
      <c r="AE106" s="26">
        <f>IFERROR(IF(OR(AC106="",AD106=""),"",AC106-AD106),"")</f>
        <v/>
      </c>
      <c r="AF106" s="27">
        <f>IFERROR(IF(AE106="","",IF(ROUND(AE106,0)&gt;15,"Subestimacion",IF(ROUND(AE106,0)&lt;-15,"Sobrestimacion","Asertivo"))),"")</f>
        <v/>
      </c>
      <c r="AG106" s="33" t="inlineStr">
        <is>
          <t>Sin Suspensión</t>
        </is>
      </c>
      <c r="AH106" s="85" t="n"/>
      <c r="AI106" s="85" t="n"/>
      <c r="AJ106" s="19" t="n"/>
      <c r="AK106" s="19" t="inlineStr">
        <is>
          <t>Sí</t>
        </is>
      </c>
      <c r="AL106" s="19" t="inlineStr">
        <is>
          <t>No</t>
        </is>
      </c>
      <c r="AM106" s="51" t="inlineStr">
        <is>
          <t>I0001189595</t>
        </is>
      </c>
      <c r="AN106" s="19" t="n"/>
      <c r="AO106" s="19" t="n"/>
      <c r="AP106" s="127">
        <f>IF(A106="","",A106-WEEKDAY(A106,2)+1)</f>
        <v/>
      </c>
      <c r="AQ106" s="127">
        <f>IF(AO106="","",AO106+6)</f>
        <v/>
      </c>
      <c r="AR106" s="19">
        <f>IF(AO106="","","Semana "&amp;TEXT(AO106,"dd-mm-yyyy")&amp;" al "&amp;TEXT(AP106,"dd-mm-yyyy"))</f>
        <v/>
      </c>
      <c r="AS106" s="19">
        <f>IF(A106="","",TEXT(A106,"mmmm yyyy"))</f>
        <v/>
      </c>
      <c r="AT106" s="19">
        <f>IF(A106="","",TEXT(A106,"dddd"))</f>
        <v/>
      </c>
      <c r="AU106" s="19">
        <f>IF(A106="","","CRR-"&amp;TEXT(A106,"yyyymmdd")&amp;"-"&amp;M106&amp;"-"&amp;TEXT(ROW()-3,"0000"))</f>
        <v/>
      </c>
      <c r="AV106" s="19">
        <f>IF(A106="","",IF(OR(B106="",C106="",E106="",F106="",M106="",N106=""),"Revisar campos obligatorios",IF(AND(P106="Atraso primera hora",Q106=""),"Falta justificación atraso primera hora",IF(AND(Z106="No cumple",AA106=""),"Falta justificación recambio &gt;15 min",IF(AND(ISNUMBER(SEARCH("suspend",N106)),OR(AG106="",AH106="")),"Falta causa/motivo suspensión","OK")))))</f>
        <v/>
      </c>
      <c r="AW106" s="19">
        <f>IF(N106="","",IF(ISNUMBER(SEARCH("suspend",N106)),IF(AND(AG106="",AH106=""),"Sin causa/motivo registrado",IF(AG106="",AH106,IF(AH106="",AG106,AG106&amp;": "&amp;AH106))),""))</f>
        <v/>
      </c>
    </row>
    <row r="107" ht="16" customHeight="1" s="151">
      <c r="A107" s="32" t="n">
        <v>46175</v>
      </c>
      <c r="B107" s="51" t="inlineStr">
        <is>
          <t>RODRIGO EUGENIO</t>
        </is>
      </c>
      <c r="C107" s="51" t="inlineStr">
        <is>
          <t>FLORES</t>
        </is>
      </c>
      <c r="D107" s="51" t="inlineStr">
        <is>
          <t>44a 8m 21d</t>
        </is>
      </c>
      <c r="E107" s="51" t="inlineStr">
        <is>
          <t>COLECISTECTOMIA POR VIDEOLAPAROSCOPIA, PROC. COMPLETO</t>
        </is>
      </c>
      <c r="F107" s="40" t="inlineStr">
        <is>
          <t>SERVICIO DE CIRUGIA ADULTO</t>
        </is>
      </c>
      <c r="G107" s="19" t="n"/>
      <c r="H107" s="51" t="inlineStr">
        <is>
          <t>1802081-10</t>
        </is>
      </c>
      <c r="I107" s="19" t="n"/>
      <c r="J107" s="20">
        <f>IF(H107&lt;&gt;"",IFERROR(VLOOKUP(IFERROR(LEFT(H107,FIND("-",H107)-1),H107),'Catalogo MINSAL'!A:E,5,FALSE),""),IF(I107&lt;&gt;"",IFERROR(VLOOKUP(IFERROR(LEFT(I107,FIND("-",I107)-1),I107),'Catalogo MINSAL'!A:E,5,FALSE),""),""))</f>
        <v/>
      </c>
      <c r="K107" s="33" t="inlineStr">
        <is>
          <t>Nelson Gonzalez Doria</t>
        </is>
      </c>
      <c r="L107" s="51" t="inlineStr">
        <is>
          <t>Jose Antonio Terán Fuenmayor</t>
        </is>
      </c>
      <c r="M107" s="51" t="inlineStr">
        <is>
          <t>Quirofano 11</t>
        </is>
      </c>
      <c r="N107" s="48" t="inlineStr">
        <is>
          <t>Realizado</t>
        </is>
      </c>
      <c r="O107" s="52" t="n">
        <v>0.6270833333333333</v>
      </c>
      <c r="P107" s="27">
        <f>IFERROR(IF(OR(O107="",A107="",M107=""),"",IF(SUMPRODUCT(($A$4:$A$500=A107)*($M$4:$M$500=M107)*($O$4:$O$500&lt;&gt;"")*(MOD($O$4:$O$500,1)&lt;MOD(O107,1)))=0,IF(MOD(O107,1)&lt;=TIME(8,15,0),"Ingreso adecuado primera hora","Atraso primera hora"),"No aplica")),"")</f>
        <v/>
      </c>
      <c r="Q107" s="87" t="n"/>
      <c r="R107" s="52" t="n">
        <v>0.6506944444444445</v>
      </c>
      <c r="S107" s="52" t="n">
        <v>0.6840277777777778</v>
      </c>
      <c r="T107" s="52" t="n">
        <v>0.7</v>
      </c>
      <c r="U107" s="34">
        <f>IFERROR(VLOOKUP(M107,'Horario Pabellones'!$A$4:$D$17,2,FALSE),"")</f>
        <v/>
      </c>
      <c r="V107" s="34">
        <f>IFERROR(VLOOKUP(M107,'Horario Pabellones'!$A$4:$D$17,3,FALSE),"")</f>
        <v/>
      </c>
      <c r="W107" s="102">
        <f>IFERROR(VLOOKUP(M107,'Horario Pabellones'!$A$4:$D$17,4,FALSE),"")</f>
        <v/>
      </c>
      <c r="X107" s="92">
        <f>IFERROR(IF(OR(A107="",M107="",W107=""),"",(((_xludf.AGGREGATE(14,6,MOD($S$4:$S$500,1)/(($A$4:$A$500=A107)*($M$4:$M$500=M107)*($R$4:$R$500&lt;&gt;"")*($S$4:$S$500&lt;&gt;"")),1)-_xludf.AGGREGATE(15,6,MOD($R$4:$R$500,1)/(($A$4:$A$500=A107)*($M$4:$M$500=M107)*($R$4:$R$500&lt;&gt;"")*($S$4:$S$500&lt;&gt;"")),1))*1440)/60)/(W107/60)),"")</f>
        <v/>
      </c>
      <c r="Y107" s="26">
        <f>IFERROR(IF(OR(O107="",A107="",M107=""),"",(IF(ISNUMBER(O107),MOD(O107,1),TIMEVALUE(O107))-LOOKUP(2,1/(($A$4:$A$500=A107)*($M$4:$M$500=M107)*($T$4:$T$500&lt;&gt;"")*($T$4:$T$500&lt;IF(ISNUMBER(O107),MOD(O107,1),TIMEVALUE(O107)))),$T$4:$T$500))*1440),"")</f>
        <v/>
      </c>
      <c r="Z107" s="27">
        <f>IFERROR(IF(Y107="","",IF(ROUND(Y107,0)&lt;=15,"Cumple","No cumple")),"")</f>
        <v/>
      </c>
      <c r="AA107" s="15" t="n"/>
      <c r="AB107" s="26">
        <f>IFERROR(IF(OR(O107="",R107=""),"",IF(IF(ISNUMBER(R107),MOD(R107,1),TIMEVALUE(R107))&gt;=IF(ISNUMBER(O107),MOD(O107,1),TIMEVALUE(O107)),(IF(ISNUMBER(R107),MOD(R107,1),TIMEVALUE(R107))-IF(ISNUMBER(O107),MOD(O107,1),TIMEVALUE(O107)))*1440,(IF(ISNUMBER(R107),MOD(R107,1),TIMEVALUE(R107))+1-IF(ISNUMBER(O107),MOD(O107,1),TIMEVALUE(O107)))*1440)),"")</f>
        <v/>
      </c>
      <c r="AC107" s="28">
        <f>IFERROR(IF(OR(R107="",S107=""),"",IF(IF(ISNUMBER(S107),MOD(S107,1),TIMEVALUE(S107))&gt;=IF(ISNUMBER(R107),MOD(R107,1),TIMEVALUE(R107)),(IF(ISNUMBER(S107),MOD(S107,1),TIMEVALUE(S107))-IF(ISNUMBER(R107),MOD(R107,1),TIMEVALUE(R107)))*1440,(IF(ISNUMBER(S107),MOD(S107,1),TIMEVALUE(S107))+1-IF(ISNUMBER(R107),MOD(R107,1),TIMEVALUE(R107)))*1440)),"")</f>
        <v/>
      </c>
      <c r="AD107" s="100" t="n">
        <v>60</v>
      </c>
      <c r="AE107" s="26">
        <f>IFERROR(IF(OR(AC107="",AD107=""),"",AC107-AD107),"")</f>
        <v/>
      </c>
      <c r="AF107" s="27">
        <f>IFERROR(IF(AE107="","",IF(ROUND(AE107,0)&gt;15,"Subestimacion",IF(ROUND(AE107,0)&lt;-15,"Sobrestimacion","Asertivo"))),"")</f>
        <v/>
      </c>
      <c r="AG107" s="33" t="inlineStr">
        <is>
          <t>Sin Suspensión</t>
        </is>
      </c>
      <c r="AH107" s="15" t="n"/>
      <c r="AI107" s="15" t="n"/>
      <c r="AJ107" s="19" t="n"/>
      <c r="AK107" s="19" t="inlineStr">
        <is>
          <t>Sí</t>
        </is>
      </c>
      <c r="AL107" s="19" t="inlineStr">
        <is>
          <t>No</t>
        </is>
      </c>
      <c r="AM107" s="51" t="inlineStr">
        <is>
          <t>I0001189597</t>
        </is>
      </c>
      <c r="AN107" s="19" t="n"/>
      <c r="AO107" s="19" t="n"/>
      <c r="AP107" s="127">
        <f>IF(A107="","",A107-WEEKDAY(A107,2)+1)</f>
        <v/>
      </c>
      <c r="AQ107" s="127">
        <f>IF(AO107="","",AO107+6)</f>
        <v/>
      </c>
      <c r="AR107" s="19">
        <f>IF(AO107="","","Semana "&amp;TEXT(AO107,"dd-mm-yyyy")&amp;" al "&amp;TEXT(AP107,"dd-mm-yyyy"))</f>
        <v/>
      </c>
      <c r="AS107" s="19">
        <f>IF(A107="","",TEXT(A107,"mmmm yyyy"))</f>
        <v/>
      </c>
      <c r="AT107" s="19">
        <f>IF(A107="","",TEXT(A107,"dddd"))</f>
        <v/>
      </c>
      <c r="AU107" s="19">
        <f>IF(A107="","","CRR-"&amp;TEXT(A107,"yyyymmdd")&amp;"-"&amp;M107&amp;"-"&amp;TEXT(ROW()-3,"0000"))</f>
        <v/>
      </c>
      <c r="AV107" s="19">
        <f>IF(A107="","",IF(OR(B107="",C107="",E107="",F107="",M107="",N107=""),"Revisar campos obligatorios",IF(AND(P107="Atraso primera hora",Q107=""),"Falta justificación atraso primera hora",IF(AND(Z107="No cumple",AA107=""),"Falta justificación recambio &gt;15 min",IF(AND(ISNUMBER(SEARCH("suspend",N107)),OR(AG107="",AH107="")),"Falta causa/motivo suspensión","OK")))))</f>
        <v/>
      </c>
      <c r="AW107" s="19">
        <f>IF(N107="","",IF(ISNUMBER(SEARCH("suspend",N107)),IF(AND(AG107="",AH107=""),"Sin causa/motivo registrado",IF(AG107="",AH107,IF(AH107="",AG107,AG107&amp;": "&amp;AH107))),""))</f>
        <v/>
      </c>
    </row>
    <row r="108" ht="16" customHeight="1" s="151">
      <c r="A108" s="32" t="n">
        <v>46175</v>
      </c>
      <c r="B108" s="51" t="inlineStr">
        <is>
          <t>PATRICIA DEL CARMEN</t>
        </is>
      </c>
      <c r="C108" s="51" t="inlineStr">
        <is>
          <t>JIMÉNEZ</t>
        </is>
      </c>
      <c r="D108" s="51" t="inlineStr">
        <is>
          <t>49a 7m 9d</t>
        </is>
      </c>
      <c r="E108" s="51" t="inlineStr">
        <is>
          <t>COLECISTECTOMIA POR VIDEOLAPAROSCOPIA, PROC. COMPLETO</t>
        </is>
      </c>
      <c r="F108" s="40" t="inlineStr">
        <is>
          <t>SERVICIO DE CIRUGIA ADULTO</t>
        </is>
      </c>
      <c r="G108" s="19" t="n"/>
      <c r="H108" s="51" t="inlineStr">
        <is>
          <t>1802081-10</t>
        </is>
      </c>
      <c r="I108" s="19" t="n"/>
      <c r="J108" s="20">
        <f>IF(H108&lt;&gt;"",IFERROR(VLOOKUP(IFERROR(LEFT(H108,FIND("-",H108)-1),H108),'Catalogo MINSAL'!A:E,5,FALSE),""),IF(I108&lt;&gt;"",IFERROR(VLOOKUP(IFERROR(LEFT(I108,FIND("-",I108)-1),I108),'Catalogo MINSAL'!A:E,5,FALSE),""),""))</f>
        <v/>
      </c>
      <c r="K108" s="33" t="inlineStr">
        <is>
          <t>Nelson Gonzalez Doria</t>
        </is>
      </c>
      <c r="L108" s="51" t="inlineStr">
        <is>
          <t>Gonzalo Godoy Moya</t>
        </is>
      </c>
      <c r="M108" s="51" t="inlineStr">
        <is>
          <t>Quirofano 11</t>
        </is>
      </c>
      <c r="N108" s="48" t="inlineStr">
        <is>
          <t>Realizado</t>
        </is>
      </c>
      <c r="O108" s="52" t="n">
        <v>0.7131944444444445</v>
      </c>
      <c r="P108" s="27">
        <f>IFERROR(IF(OR(O108="",A108="",M108=""),"",IF(SUMPRODUCT(($A$4:$A$500=A108)*($M$4:$M$500=M108)*($O$4:$O$500&lt;&gt;"")*(MOD($O$4:$O$500,1)&lt;MOD(O108,1)))=0,IF(MOD(O108,1)&lt;=TIME(8,15,0),"Ingreso adecuado primera hora","Atraso primera hora"),"No aplica")),"")</f>
        <v/>
      </c>
      <c r="Q108" s="86" t="n"/>
      <c r="R108" s="52" t="n">
        <v>0.7291666666666666</v>
      </c>
      <c r="S108" s="52" t="n">
        <v>0.7743055555555556</v>
      </c>
      <c r="T108" s="52" t="n">
        <v>0.78125</v>
      </c>
      <c r="U108" s="34">
        <f>IFERROR(VLOOKUP(M108,'Horario Pabellones'!$A$4:$D$17,2,FALSE),"")</f>
        <v/>
      </c>
      <c r="V108" s="34">
        <f>IFERROR(VLOOKUP(M108,'Horario Pabellones'!$A$4:$D$17,3,FALSE),"")</f>
        <v/>
      </c>
      <c r="W108" s="102">
        <f>IFERROR(VLOOKUP(M108,'Horario Pabellones'!$A$4:$D$17,4,FALSE),"")</f>
        <v/>
      </c>
      <c r="X108" s="92">
        <f>IFERROR(IF(OR(A108="",M108="",W108=""),"",(((_xludf.AGGREGATE(14,6,MOD($S$4:$S$500,1)/(($A$4:$A$500=A108)*($M$4:$M$500=M108)*($R$4:$R$500&lt;&gt;"")*($S$4:$S$500&lt;&gt;"")),1)-_xludf.AGGREGATE(15,6,MOD($R$4:$R$500,1)/(($A$4:$A$500=A108)*($M$4:$M$500=M108)*($R$4:$R$500&lt;&gt;"")*($S$4:$S$500&lt;&gt;"")),1))*1440)/60)/(W108/60)),"")</f>
        <v/>
      </c>
      <c r="Y108" s="26">
        <f>IFERROR(IF(OR(O108="",A108="",M108=""),"",(IF(ISNUMBER(O108),MOD(O108,1),TIMEVALUE(O108))-LOOKUP(2,1/(($A$4:$A$500=A108)*($M$4:$M$500=M108)*($T$4:$T$500&lt;&gt;"")*($T$4:$T$500&lt;IF(ISNUMBER(O108),MOD(O108,1),TIMEVALUE(O108)))),$T$4:$T$500))*1440),"")</f>
        <v/>
      </c>
      <c r="Z108" s="27">
        <f>IFERROR(IF(Y108="","",IF(ROUND(Y108,0)&lt;=15,"Cumple","No cumple")),"")</f>
        <v/>
      </c>
      <c r="AA108" s="85" t="inlineStr">
        <is>
          <t>Pendiente consentimiento de cirugia Dr. Gonzalo Godoy</t>
        </is>
      </c>
      <c r="AB108" s="26">
        <f>IFERROR(IF(OR(O108="",R108=""),"",IF(IF(ISNUMBER(R108),MOD(R108,1),TIMEVALUE(R108))&gt;=IF(ISNUMBER(O108),MOD(O108,1),TIMEVALUE(O108)),(IF(ISNUMBER(R108),MOD(R108,1),TIMEVALUE(R108))-IF(ISNUMBER(O108),MOD(O108,1),TIMEVALUE(O108)))*1440,(IF(ISNUMBER(R108),MOD(R108,1),TIMEVALUE(R108))+1-IF(ISNUMBER(O108),MOD(O108,1),TIMEVALUE(O108)))*1440)),"")</f>
        <v/>
      </c>
      <c r="AC108" s="28">
        <f>IFERROR(IF(OR(R108="",S108=""),"",IF(IF(ISNUMBER(S108),MOD(S108,1),TIMEVALUE(S108))&gt;=IF(ISNUMBER(R108),MOD(R108,1),TIMEVALUE(R108)),(IF(ISNUMBER(S108),MOD(S108,1),TIMEVALUE(S108))-IF(ISNUMBER(R108),MOD(R108,1),TIMEVALUE(R108)))*1440,(IF(ISNUMBER(S108),MOD(S108,1),TIMEVALUE(S108))+1-IF(ISNUMBER(R108),MOD(R108,1),TIMEVALUE(R108)))*1440)),"")</f>
        <v/>
      </c>
      <c r="AD108" s="100" t="n">
        <v>60</v>
      </c>
      <c r="AE108" s="26">
        <f>IFERROR(IF(OR(AC108="",AD108=""),"",AC108-AD108),"")</f>
        <v/>
      </c>
      <c r="AF108" s="27">
        <f>IFERROR(IF(AE108="","",IF(ROUND(AE108,0)&gt;15,"Subestimacion",IF(ROUND(AE108,0)&lt;-15,"Sobrestimacion","Asertivo"))),"")</f>
        <v/>
      </c>
      <c r="AG108" s="33" t="inlineStr">
        <is>
          <t>Sin Suspensión</t>
        </is>
      </c>
      <c r="AH108" s="85" t="n"/>
      <c r="AI108" s="85" t="n"/>
      <c r="AJ108" s="19" t="n"/>
      <c r="AK108" s="19" t="inlineStr">
        <is>
          <t>Sí</t>
        </is>
      </c>
      <c r="AL108" s="19" t="inlineStr">
        <is>
          <t>No</t>
        </is>
      </c>
      <c r="AM108" s="51" t="inlineStr">
        <is>
          <t>I0001189598</t>
        </is>
      </c>
      <c r="AN108" s="19" t="n"/>
      <c r="AO108" s="19" t="n"/>
      <c r="AP108" s="127">
        <f>IF(A108="","",A108-WEEKDAY(A108,2)+1)</f>
        <v/>
      </c>
      <c r="AQ108" s="127">
        <f>IF(AO108="","",AO108+6)</f>
        <v/>
      </c>
      <c r="AR108" s="19">
        <f>IF(AO108="","","Semana "&amp;TEXT(AO108,"dd-mm-yyyy")&amp;" al "&amp;TEXT(AP108,"dd-mm-yyyy"))</f>
        <v/>
      </c>
      <c r="AS108" s="19">
        <f>IF(A108="","",TEXT(A108,"mmmm yyyy"))</f>
        <v/>
      </c>
      <c r="AT108" s="19">
        <f>IF(A108="","",TEXT(A108,"dddd"))</f>
        <v/>
      </c>
      <c r="AU108" s="19">
        <f>IF(A108="","","CRR-"&amp;TEXT(A108,"yyyymmdd")&amp;"-"&amp;M108&amp;"-"&amp;TEXT(ROW()-3,"0000"))</f>
        <v/>
      </c>
      <c r="AV108" s="19">
        <f>IF(A108="","",IF(OR(B108="",C108="",E108="",F108="",M108="",N108=""),"Revisar campos obligatorios",IF(AND(P108="Atraso primera hora",Q108=""),"Falta justificación atraso primera hora",IF(AND(Z108="No cumple",AA108=""),"Falta justificación recambio &gt;15 min",IF(AND(ISNUMBER(SEARCH("suspend",N108)),OR(AG108="",AH108="")),"Falta causa/motivo suspensión","OK")))))</f>
        <v/>
      </c>
      <c r="AW108" s="19">
        <f>IF(N108="","",IF(ISNUMBER(SEARCH("suspend",N108)),IF(AND(AG108="",AH108=""),"Sin causa/motivo registrado",IF(AG108="",AH108,IF(AH108="",AG108,AG108&amp;": "&amp;AH108))),""))</f>
        <v/>
      </c>
    </row>
    <row r="109" ht="16" customHeight="1" s="151">
      <c r="A109" s="54" t="n">
        <v>46176</v>
      </c>
      <c r="B109" s="55" t="inlineStr">
        <is>
          <t>LUCAS SANTIAGO</t>
        </is>
      </c>
      <c r="C109" s="55" t="inlineStr">
        <is>
          <t>ALOCILLA</t>
        </is>
      </c>
      <c r="D109" s="55" t="inlineStr">
        <is>
          <t>14a 2m 27d</t>
        </is>
      </c>
      <c r="E109" s="55" t="inlineStr">
        <is>
          <t>Fract. nasal reciente, cerrada o expuesta, reducción c/s inmovilización</t>
        </is>
      </c>
      <c r="F109" s="56" t="inlineStr">
        <is>
          <t>SERVICIO DE CIRUGIA ADULTO</t>
        </is>
      </c>
      <c r="G109" s="58" t="inlineStr">
        <is>
          <t>OTORRINO</t>
        </is>
      </c>
      <c r="H109" s="55" t="inlineStr">
        <is>
          <t>1302046-2</t>
        </is>
      </c>
      <c r="I109" s="36" t="n"/>
      <c r="J109" s="20">
        <f>IF(H109&lt;&gt;"",IFERROR(VLOOKUP(IFERROR(LEFT(H109,FIND("-",H109)-1),H109),'Catalogo MINSAL'!A:E,5,FALSE),""),IF(I109&lt;&gt;"",IFERROR(VLOOKUP(IFERROR(LEFT(I109,FIND("-",I109)-1),I109),'Catalogo MINSAL'!A:E,5,FALSE),""),""))</f>
        <v/>
      </c>
      <c r="K109" s="55" t="inlineStr">
        <is>
          <t>ROSMELLY BETANCOURT PIÑERO</t>
        </is>
      </c>
      <c r="L109" s="55" t="inlineStr">
        <is>
          <t>Dr. Pablo Acuña Espinoza</t>
        </is>
      </c>
      <c r="M109" s="55" t="inlineStr">
        <is>
          <t>Quirofano 06</t>
        </is>
      </c>
      <c r="N109" s="48" t="inlineStr">
        <is>
          <t>Realizado</t>
        </is>
      </c>
      <c r="O109" s="57" t="n">
        <v>0.3472222222222222</v>
      </c>
      <c r="P109" s="27">
        <f>IFERROR(IF(OR(O109="",A109="",M109=""),"",IF(SUMPRODUCT(($A$4:$A$500=A109)*($M$4:$M$500=M109)*($O$4:$O$500&lt;&gt;"")*(MOD($O$4:$O$500,1)&lt;MOD(O109,1)))=0,IF(MOD(O109,1)&lt;=TIME(8,15,0),"Ingreso adecuado primera hora","Atraso primera hora"),"No aplica")),"")</f>
        <v/>
      </c>
      <c r="Q109" s="86" t="inlineStr">
        <is>
          <t>Pendiente evaluacion de anestesia</t>
        </is>
      </c>
      <c r="R109" s="57" t="n">
        <v>0.3583333333333333</v>
      </c>
      <c r="S109" s="57" t="n">
        <v>0.375</v>
      </c>
      <c r="T109" s="57" t="n">
        <v>0.3847222222222222</v>
      </c>
      <c r="U109" s="103">
        <f>IFERROR(VLOOKUP(M109,'Horario Pabellones'!$A$4:$D$17,2,FALSE),"")</f>
        <v/>
      </c>
      <c r="V109" s="103">
        <f>IFERROR(VLOOKUP(M109,'Horario Pabellones'!$A$4:$D$17,3,FALSE),"")</f>
        <v/>
      </c>
      <c r="W109" s="104">
        <f>IFERROR(VLOOKUP(M109,'Horario Pabellones'!$A$4:$D$17,4,FALSE),"")</f>
        <v/>
      </c>
      <c r="X109" s="93">
        <f>IFERROR(IF(OR(A109="",M109="",W109=""),"",(((_xludf.AGGREGATE(14,6,MOD($S$4:$S$500,1)/(($A$4:$A$500=A109)*($M$4:$M$500=M109)*($R$4:$R$500&lt;&gt;"")*($S$4:$S$500&lt;&gt;"")),1)-_xludf.AGGREGATE(15,6,MOD($R$4:$R$500,1)/(($A$4:$A$500=A109)*($M$4:$M$500=M109)*($R$4:$R$500&lt;&gt;"")*($S$4:$S$500&lt;&gt;"")),1))*1440)/60)/(W109/60)),"")</f>
        <v/>
      </c>
      <c r="Y109" s="26">
        <f>IFERROR(IF(OR(O109="",A109="",M109=""),"",(IF(ISNUMBER(O109),MOD(O109,1),TIMEVALUE(O109))-LOOKUP(2,1/(($A$4:$A$500=A109)*($M$4:$M$500=M109)*($T$4:$T$500&lt;&gt;"")*($T$4:$T$500&lt;IF(ISNUMBER(O109),MOD(O109,1),TIMEVALUE(O109)))),$T$4:$T$500))*1440),"")</f>
        <v/>
      </c>
      <c r="Z109" s="27">
        <f>IFERROR(IF(Y109="","",IF(ROUND(Y109,0)&lt;=15,"Cumple","No cumple")),"")</f>
        <v/>
      </c>
      <c r="AA109" s="85" t="n"/>
      <c r="AB109" s="26">
        <f>IFERROR(IF(OR(O109="",R109=""),"",IF(IF(ISNUMBER(R109),MOD(R109,1),TIMEVALUE(R109))&gt;=IF(ISNUMBER(O109),MOD(O109,1),TIMEVALUE(O109)),(IF(ISNUMBER(R109),MOD(R109,1),TIMEVALUE(R109))-IF(ISNUMBER(O109),MOD(O109,1),TIMEVALUE(O109)))*1440,(IF(ISNUMBER(R109),MOD(R109,1),TIMEVALUE(R109))+1-IF(ISNUMBER(O109),MOD(O109,1),TIMEVALUE(O109)))*1440)),"")</f>
        <v/>
      </c>
      <c r="AC109" s="28">
        <f>IFERROR(IF(OR(R109="",S109=""),"",IF(IF(ISNUMBER(S109),MOD(S109,1),TIMEVALUE(S109))&gt;=IF(ISNUMBER(R109),MOD(R109,1),TIMEVALUE(R109)),(IF(ISNUMBER(S109),MOD(S109,1),TIMEVALUE(S109))-IF(ISNUMBER(R109),MOD(R109,1),TIMEVALUE(R109)))*1440,(IF(ISNUMBER(S109),MOD(S109,1),TIMEVALUE(S109))+1-IF(ISNUMBER(R109),MOD(R109,1),TIMEVALUE(R109)))*1440)),"")</f>
        <v/>
      </c>
      <c r="AD109" s="105" t="n">
        <v>60</v>
      </c>
      <c r="AE109" s="26">
        <f>IFERROR(IF(OR(AC109="",AD109=""),"",AC109-AD109),"")</f>
        <v/>
      </c>
      <c r="AF109" s="27">
        <f>IFERROR(IF(AE109="","",IF(ROUND(AE109,0)&gt;15,"Subestimacion",IF(ROUND(AE109,0)&lt;-15,"Sobrestimacion","Asertivo"))),"")</f>
        <v/>
      </c>
      <c r="AG109" s="55" t="inlineStr">
        <is>
          <t>Sin Suspensión</t>
        </is>
      </c>
      <c r="AH109" s="85" t="n"/>
      <c r="AI109" s="85" t="n"/>
      <c r="AJ109" s="19" t="n"/>
      <c r="AK109" s="19" t="inlineStr">
        <is>
          <t>Sí</t>
        </is>
      </c>
      <c r="AL109" s="19" t="inlineStr">
        <is>
          <t>No</t>
        </is>
      </c>
      <c r="AM109" s="55" t="inlineStr">
        <is>
          <t>I0001189933</t>
        </is>
      </c>
      <c r="AN109" s="19" t="n"/>
      <c r="AO109" s="19" t="n"/>
      <c r="AP109" s="127">
        <f>IF(A109="","",A109-WEEKDAY(A109,2)+1)</f>
        <v/>
      </c>
      <c r="AQ109" s="127">
        <f>IF(AO109="","",AO109+6)</f>
        <v/>
      </c>
      <c r="AR109" s="19">
        <f>IF(AO109="","","Semana "&amp;TEXT(AO109,"dd-mm-yyyy")&amp;" al "&amp;TEXT(AP109,"dd-mm-yyyy"))</f>
        <v/>
      </c>
      <c r="AS109" s="19">
        <f>IF(A109="","",TEXT(A109,"mmmm yyyy"))</f>
        <v/>
      </c>
      <c r="AT109" s="19">
        <f>IF(A109="","",TEXT(A109,"dddd"))</f>
        <v/>
      </c>
      <c r="AU109" s="19">
        <f>IF(A109="","","CRR-"&amp;TEXT(A109,"yyyymmdd")&amp;"-"&amp;M109&amp;"-"&amp;TEXT(ROW()-3,"0000"))</f>
        <v/>
      </c>
      <c r="AV109" s="19">
        <f>IF(A109="","",IF(OR(B109="",C109="",E109="",F109="",M109="",N109=""),"Revisar campos obligatorios",IF(AND(P109="Atraso primera hora",Q109=""),"Falta justificación atraso primera hora",IF(AND(Z109="No cumple",AA109=""),"Falta justificación recambio &gt;15 min",IF(AND(ISNUMBER(SEARCH("suspend",N109)),OR(AG109="",AH109="")),"Falta causa/motivo suspensión","OK")))))</f>
        <v/>
      </c>
      <c r="AW109" s="19">
        <f>IF(N109="","",IF(ISNUMBER(SEARCH("suspend",N109)),IF(AND(AG109="",AH109=""),"Sin causa/motivo registrado",IF(AG109="",AH109,IF(AH109="",AG109,AG109&amp;": "&amp;AH109))),""))</f>
        <v/>
      </c>
    </row>
    <row r="110" ht="16" customHeight="1" s="151">
      <c r="A110" s="54" t="n">
        <v>46176</v>
      </c>
      <c r="B110" s="55" t="inlineStr">
        <is>
          <t>WILLIAMS ALEXANDER</t>
        </is>
      </c>
      <c r="C110" s="55" t="inlineStr">
        <is>
          <t>BARRÍA</t>
        </is>
      </c>
      <c r="D110" s="55" t="inlineStr">
        <is>
          <t>8a 5m 13d</t>
        </is>
      </c>
      <c r="E110" s="55" t="inlineStr">
        <is>
          <t>AMIGDALECTOMIA C/S ADENOIDECTOMIA, UNI O BILATERAL</t>
        </is>
      </c>
      <c r="F110" s="56" t="inlineStr">
        <is>
          <t>SERVICIO DE CIRUGIA ADULTO</t>
        </is>
      </c>
      <c r="G110" s="58" t="inlineStr">
        <is>
          <t>OTORRINO</t>
        </is>
      </c>
      <c r="H110" s="55" t="inlineStr">
        <is>
          <t>1302029-5</t>
        </is>
      </c>
      <c r="I110" s="55" t="inlineStr">
        <is>
          <t>1302023-2</t>
        </is>
      </c>
      <c r="J110" s="20">
        <f>IF(H110&lt;&gt;"",IFERROR(VLOOKUP(IFERROR(LEFT(H110,FIND("-",H110)-1),H110),'Catalogo MINSAL'!A:E,5,FALSE),""),IF(I110&lt;&gt;"",IFERROR(VLOOKUP(IFERROR(LEFT(I110,FIND("-",I110)-1),I110),'Catalogo MINSAL'!A:E,5,FALSE),""),""))</f>
        <v/>
      </c>
      <c r="K110" s="55" t="inlineStr">
        <is>
          <t>ROSMELLY BETANCOURT PIÑERO</t>
        </is>
      </c>
      <c r="L110" s="55" t="inlineStr">
        <is>
          <t>Dr. Pablo Acuña Espinoza</t>
        </is>
      </c>
      <c r="M110" s="55" t="inlineStr">
        <is>
          <t>Quirofano 06</t>
        </is>
      </c>
      <c r="N110" s="48" t="inlineStr">
        <is>
          <t>Realizado</t>
        </is>
      </c>
      <c r="O110" s="57" t="n">
        <v>0.3923611111111111</v>
      </c>
      <c r="P110" s="27">
        <f>IFERROR(IF(OR(O110="",A110="",M110=""),"",IF(SUMPRODUCT(($A$4:$A$500=A110)*($M$4:$M$500=M110)*($O$4:$O$500&lt;&gt;"")*(MOD($O$4:$O$500,1)&lt;MOD(O110,1)))=0,IF(MOD(O110,1)&lt;=TIME(8,15,0),"Ingreso adecuado primera hora","Atraso primera hora"),"No aplica")),"")</f>
        <v/>
      </c>
      <c r="Q110" s="87" t="n"/>
      <c r="R110" s="57" t="n">
        <v>0.4013888888888889</v>
      </c>
      <c r="S110" s="57" t="n">
        <v>0.4409722222222222</v>
      </c>
      <c r="T110" s="57" t="n">
        <v>0.45</v>
      </c>
      <c r="U110" s="103">
        <f>IFERROR(VLOOKUP(M110,'Horario Pabellones'!$A$4:$D$17,2,FALSE),"")</f>
        <v/>
      </c>
      <c r="V110" s="103">
        <f>IFERROR(VLOOKUP(M110,'Horario Pabellones'!$A$4:$D$17,3,FALSE),"")</f>
        <v/>
      </c>
      <c r="W110" s="104">
        <f>IFERROR(VLOOKUP(M110,'Horario Pabellones'!$A$4:$D$17,4,FALSE),"")</f>
        <v/>
      </c>
      <c r="X110" s="93">
        <f>IFERROR(IF(OR(A110="",M110="",W110=""),"",(((_xludf.AGGREGATE(14,6,MOD($S$4:$S$500,1)/(($A$4:$A$500=A110)*($M$4:$M$500=M110)*($R$4:$R$500&lt;&gt;"")*($S$4:$S$500&lt;&gt;"")),1)-_xludf.AGGREGATE(15,6,MOD($R$4:$R$500,1)/(($A$4:$A$500=A110)*($M$4:$M$500=M110)*($R$4:$R$500&lt;&gt;"")*($S$4:$S$500&lt;&gt;"")),1))*1440)/60)/(W110/60)),"")</f>
        <v/>
      </c>
      <c r="Y110" s="26">
        <f>IFERROR(IF(OR(O110="",A110="",M110=""),"",(IF(ISNUMBER(O110),MOD(O110,1),TIMEVALUE(O110))-LOOKUP(2,1/(($A$4:$A$500=A110)*($M$4:$M$500=M110)*($T$4:$T$500&lt;&gt;"")*($T$4:$T$500&lt;IF(ISNUMBER(O110),MOD(O110,1),TIMEVALUE(O110)))),$T$4:$T$500))*1440),"")</f>
        <v/>
      </c>
      <c r="Z110" s="27">
        <f>IFERROR(IF(Y110="","",IF(ROUND(Y110,0)&lt;=15,"Cumple","No cumple")),"")</f>
        <v/>
      </c>
      <c r="AA110" s="15" t="n"/>
      <c r="AB110" s="26">
        <f>IFERROR(IF(OR(O110="",R110=""),"",IF(IF(ISNUMBER(R110),MOD(R110,1),TIMEVALUE(R110))&gt;=IF(ISNUMBER(O110),MOD(O110,1),TIMEVALUE(O110)),(IF(ISNUMBER(R110),MOD(R110,1),TIMEVALUE(R110))-IF(ISNUMBER(O110),MOD(O110,1),TIMEVALUE(O110)))*1440,(IF(ISNUMBER(R110),MOD(R110,1),TIMEVALUE(R110))+1-IF(ISNUMBER(O110),MOD(O110,1),TIMEVALUE(O110)))*1440)),"")</f>
        <v/>
      </c>
      <c r="AC110" s="28">
        <f>IFERROR(IF(OR(R110="",S110=""),"",IF(IF(ISNUMBER(S110),MOD(S110,1),TIMEVALUE(S110))&gt;=IF(ISNUMBER(R110),MOD(R110,1),TIMEVALUE(R110)),(IF(ISNUMBER(S110),MOD(S110,1),TIMEVALUE(S110))-IF(ISNUMBER(R110),MOD(R110,1),TIMEVALUE(R110)))*1440,(IF(ISNUMBER(S110),MOD(S110,1),TIMEVALUE(S110))+1-IF(ISNUMBER(R110),MOD(R110,1),TIMEVALUE(R110)))*1440)),"")</f>
        <v/>
      </c>
      <c r="AD110" s="105" t="n">
        <v>60</v>
      </c>
      <c r="AE110" s="26">
        <f>IFERROR(IF(OR(AC110="",AD110=""),"",AC110-AD110),"")</f>
        <v/>
      </c>
      <c r="AF110" s="27">
        <f>IFERROR(IF(AE110="","",IF(ROUND(AE110,0)&gt;15,"Subestimacion",IF(ROUND(AE110,0)&lt;-15,"Sobrestimacion","Asertivo"))),"")</f>
        <v/>
      </c>
      <c r="AG110" s="55" t="inlineStr">
        <is>
          <t>Sin Suspensión</t>
        </is>
      </c>
      <c r="AH110" s="15" t="n"/>
      <c r="AI110" s="15" t="n"/>
      <c r="AJ110" s="19" t="n"/>
      <c r="AK110" s="19" t="inlineStr">
        <is>
          <t>Sí</t>
        </is>
      </c>
      <c r="AL110" s="19" t="inlineStr">
        <is>
          <t>No</t>
        </is>
      </c>
      <c r="AM110" s="55" t="inlineStr">
        <is>
          <t>I0001189934</t>
        </is>
      </c>
      <c r="AN110" s="19" t="n"/>
      <c r="AO110" s="19" t="n"/>
      <c r="AP110" s="127">
        <f>IF(A110="","",A110-WEEKDAY(A110,2)+1)</f>
        <v/>
      </c>
      <c r="AQ110" s="127">
        <f>IF(AO110="","",AO110+6)</f>
        <v/>
      </c>
      <c r="AR110" s="19">
        <f>IF(AO110="","","Semana "&amp;TEXT(AO110,"dd-mm-yyyy")&amp;" al "&amp;TEXT(AP110,"dd-mm-yyyy"))</f>
        <v/>
      </c>
      <c r="AS110" s="19">
        <f>IF(A110="","",TEXT(A110,"mmmm yyyy"))</f>
        <v/>
      </c>
      <c r="AT110" s="19">
        <f>IF(A110="","",TEXT(A110,"dddd"))</f>
        <v/>
      </c>
      <c r="AU110" s="19">
        <f>IF(A110="","","CRR-"&amp;TEXT(A110,"yyyymmdd")&amp;"-"&amp;M110&amp;"-"&amp;TEXT(ROW()-3,"0000"))</f>
        <v/>
      </c>
      <c r="AV110" s="19">
        <f>IF(A110="","",IF(OR(B110="",C110="",E110="",F110="",M110="",N110=""),"Revisar campos obligatorios",IF(AND(P110="Atraso primera hora",Q110=""),"Falta justificación atraso primera hora",IF(AND(Z110="No cumple",AA110=""),"Falta justificación recambio &gt;15 min",IF(AND(ISNUMBER(SEARCH("suspend",N110)),OR(AG110="",AH110="")),"Falta causa/motivo suspensión","OK")))))</f>
        <v/>
      </c>
      <c r="AW110" s="19">
        <f>IF(N110="","",IF(ISNUMBER(SEARCH("suspend",N110)),IF(AND(AG110="",AH110=""),"Sin causa/motivo registrado",IF(AG110="",AH110,IF(AH110="",AG110,AG110&amp;": "&amp;AH110))),""))</f>
        <v/>
      </c>
    </row>
    <row r="111" ht="16" customHeight="1" s="151">
      <c r="A111" s="54" t="n">
        <v>46176</v>
      </c>
      <c r="B111" s="55" t="inlineStr">
        <is>
          <t>THIAGO MÄEL</t>
        </is>
      </c>
      <c r="C111" s="55" t="inlineStr">
        <is>
          <t>CERQUEIRA</t>
        </is>
      </c>
      <c r="D111" s="55" t="inlineStr">
        <is>
          <t>2a 4m 14d</t>
        </is>
      </c>
      <c r="E111" s="55" t="inlineStr">
        <is>
          <t>ADENOIDECTOMIA (PROC. AUT.)</t>
        </is>
      </c>
      <c r="F111" s="56" t="inlineStr">
        <is>
          <t>SERVICIO DE CIRUGIA ADULTO</t>
        </is>
      </c>
      <c r="G111" s="58" t="inlineStr">
        <is>
          <t>OTORRINO</t>
        </is>
      </c>
      <c r="H111" s="55" t="inlineStr">
        <is>
          <t>1302028-5</t>
        </is>
      </c>
      <c r="I111" s="36" t="n"/>
      <c r="J111" s="20">
        <f>IF(H111&lt;&gt;"",IFERROR(VLOOKUP(IFERROR(LEFT(H111,FIND("-",H111)-1),H111),'Catalogo MINSAL'!A:E,5,FALSE),""),IF(I111&lt;&gt;"",IFERROR(VLOOKUP(IFERROR(LEFT(I111,FIND("-",I111)-1),I111),'Catalogo MINSAL'!A:E,5,FALSE),""),""))</f>
        <v/>
      </c>
      <c r="K111" s="55" t="inlineStr">
        <is>
          <t>ROSMELLY BETANCOURT PIÑERO</t>
        </is>
      </c>
      <c r="L111" s="55" t="inlineStr">
        <is>
          <t>Dr. Pablo Acuña Espinoza</t>
        </is>
      </c>
      <c r="M111" s="55" t="inlineStr">
        <is>
          <t>Quirofano 06</t>
        </is>
      </c>
      <c r="N111" s="48" t="inlineStr">
        <is>
          <t>Realizado</t>
        </is>
      </c>
      <c r="O111" s="57" t="n">
        <v>0.4659722222222222</v>
      </c>
      <c r="P111" s="27">
        <f>IFERROR(IF(OR(O111="",A111="",M111=""),"",IF(SUMPRODUCT(($A$4:$A$500=A111)*($M$4:$M$500=M111)*($O$4:$O$500&lt;&gt;"")*(MOD($O$4:$O$500,1)&lt;MOD(O111,1)))=0,IF(MOD(O111,1)&lt;=TIME(8,15,0),"Ingreso adecuado primera hora","Atraso primera hora"),"No aplica")),"")</f>
        <v/>
      </c>
      <c r="Q111" s="86" t="n"/>
      <c r="R111" s="57" t="n">
        <v>0.4791666666666667</v>
      </c>
      <c r="S111" s="57" t="n">
        <v>0.4895833333333333</v>
      </c>
      <c r="T111" s="57" t="n">
        <v>0.5</v>
      </c>
      <c r="U111" s="103">
        <f>IFERROR(VLOOKUP(M111,'Horario Pabellones'!$A$4:$D$17,2,FALSE),"")</f>
        <v/>
      </c>
      <c r="V111" s="103">
        <f>IFERROR(VLOOKUP(M111,'Horario Pabellones'!$A$4:$D$17,3,FALSE),"")</f>
        <v/>
      </c>
      <c r="W111" s="104">
        <f>IFERROR(VLOOKUP(M111,'Horario Pabellones'!$A$4:$D$17,4,FALSE),"")</f>
        <v/>
      </c>
      <c r="X111" s="93">
        <f>IFERROR(IF(OR(A111="",M111="",W111=""),"",(((_xludf.AGGREGATE(14,6,MOD($S$4:$S$500,1)/(($A$4:$A$500=A111)*($M$4:$M$500=M111)*($R$4:$R$500&lt;&gt;"")*($S$4:$S$500&lt;&gt;"")),1)-_xludf.AGGREGATE(15,6,MOD($R$4:$R$500,1)/(($A$4:$A$500=A111)*($M$4:$M$500=M111)*($R$4:$R$500&lt;&gt;"")*($S$4:$S$500&lt;&gt;"")),1))*1440)/60)/(W111/60)),"")</f>
        <v/>
      </c>
      <c r="Y111" s="26">
        <f>IFERROR(IF(OR(O111="",A111="",M111=""),"",(IF(ISNUMBER(O111),MOD(O111,1),TIMEVALUE(O111))-LOOKUP(2,1/(($A$4:$A$500=A111)*($M$4:$M$500=M111)*($T$4:$T$500&lt;&gt;"")*($T$4:$T$500&lt;IF(ISNUMBER(O111),MOD(O111,1),TIMEVALUE(O111)))),$T$4:$T$500))*1440),"")</f>
        <v/>
      </c>
      <c r="Z111" s="27">
        <f>IFERROR(IF(Y111="","",IF(ROUND(Y111,0)&lt;=15,"Cumple","No cumple")),"")</f>
        <v/>
      </c>
      <c r="AA111" s="85" t="inlineStr">
        <is>
          <t>Pendiente consentimiento de cirugia y piso humedo</t>
        </is>
      </c>
      <c r="AB111" s="26">
        <f>IFERROR(IF(OR(O111="",R111=""),"",IF(IF(ISNUMBER(R111),MOD(R111,1),TIMEVALUE(R111))&gt;=IF(ISNUMBER(O111),MOD(O111,1),TIMEVALUE(O111)),(IF(ISNUMBER(R111),MOD(R111,1),TIMEVALUE(R111))-IF(ISNUMBER(O111),MOD(O111,1),TIMEVALUE(O111)))*1440,(IF(ISNUMBER(R111),MOD(R111,1),TIMEVALUE(R111))+1-IF(ISNUMBER(O111),MOD(O111,1),TIMEVALUE(O111)))*1440)),"")</f>
        <v/>
      </c>
      <c r="AC111" s="28">
        <f>IFERROR(IF(OR(R111="",S111=""),"",IF(IF(ISNUMBER(S111),MOD(S111,1),TIMEVALUE(S111))&gt;=IF(ISNUMBER(R111),MOD(R111,1),TIMEVALUE(R111)),(IF(ISNUMBER(S111),MOD(S111,1),TIMEVALUE(S111))-IF(ISNUMBER(R111),MOD(R111,1),TIMEVALUE(R111)))*1440,(IF(ISNUMBER(S111),MOD(S111,1),TIMEVALUE(S111))+1-IF(ISNUMBER(R111),MOD(R111,1),TIMEVALUE(R111)))*1440)),"")</f>
        <v/>
      </c>
      <c r="AD111" s="105" t="n">
        <v>60</v>
      </c>
      <c r="AE111" s="26">
        <f>IFERROR(IF(OR(AC111="",AD111=""),"",AC111-AD111),"")</f>
        <v/>
      </c>
      <c r="AF111" s="27">
        <f>IFERROR(IF(AE111="","",IF(ROUND(AE111,0)&gt;15,"Subestimacion",IF(ROUND(AE111,0)&lt;-15,"Sobrestimacion","Asertivo"))),"")</f>
        <v/>
      </c>
      <c r="AG111" s="55" t="inlineStr">
        <is>
          <t>Sin Suspensión</t>
        </is>
      </c>
      <c r="AH111" s="85" t="n"/>
      <c r="AI111" s="85" t="n"/>
      <c r="AJ111" s="19" t="n"/>
      <c r="AK111" s="19" t="inlineStr">
        <is>
          <t>Sí</t>
        </is>
      </c>
      <c r="AL111" s="19" t="inlineStr">
        <is>
          <t>No</t>
        </is>
      </c>
      <c r="AM111" s="55" t="inlineStr">
        <is>
          <t>I0001189936</t>
        </is>
      </c>
      <c r="AN111" s="19" t="n"/>
      <c r="AO111" s="19" t="n"/>
      <c r="AP111" s="127">
        <f>IF(A111="","",A111-WEEKDAY(A111,2)+1)</f>
        <v/>
      </c>
      <c r="AQ111" s="127">
        <f>IF(AO111="","",AO111+6)</f>
        <v/>
      </c>
      <c r="AR111" s="19">
        <f>IF(AO111="","","Semana "&amp;TEXT(AO111,"dd-mm-yyyy")&amp;" al "&amp;TEXT(AP111,"dd-mm-yyyy"))</f>
        <v/>
      </c>
      <c r="AS111" s="19">
        <f>IF(A111="","",TEXT(A111,"mmmm yyyy"))</f>
        <v/>
      </c>
      <c r="AT111" s="19">
        <f>IF(A111="","",TEXT(A111,"dddd"))</f>
        <v/>
      </c>
      <c r="AU111" s="19">
        <f>IF(A111="","","CRR-"&amp;TEXT(A111,"yyyymmdd")&amp;"-"&amp;M111&amp;"-"&amp;TEXT(ROW()-3,"0000"))</f>
        <v/>
      </c>
      <c r="AV111" s="19">
        <f>IF(A111="","",IF(OR(B111="",C111="",E111="",F111="",M111="",N111=""),"Revisar campos obligatorios",IF(AND(P111="Atraso primera hora",Q111=""),"Falta justificación atraso primera hora",IF(AND(Z111="No cumple",AA111=""),"Falta justificación recambio &gt;15 min",IF(AND(ISNUMBER(SEARCH("suspend",N111)),OR(AG111="",AH111="")),"Falta causa/motivo suspensión","OK")))))</f>
        <v/>
      </c>
      <c r="AW111" s="19">
        <f>IF(N111="","",IF(ISNUMBER(SEARCH("suspend",N111)),IF(AND(AG111="",AH111=""),"Sin causa/motivo registrado",IF(AG111="",AH111,IF(AH111="",AG111,AG111&amp;": "&amp;AH111))),""))</f>
        <v/>
      </c>
    </row>
    <row r="112" ht="16" customHeight="1" s="151">
      <c r="A112" s="54" t="n">
        <v>46176</v>
      </c>
      <c r="B112" s="55" t="inlineStr">
        <is>
          <t>LUCYAN VALENTÍN GAMALIEL</t>
        </is>
      </c>
      <c r="C112" s="55" t="inlineStr">
        <is>
          <t>VALENZUELA</t>
        </is>
      </c>
      <c r="D112" s="55" t="inlineStr">
        <is>
          <t>11a 3m 6d</t>
        </is>
      </c>
      <c r="E112" s="55" t="inlineStr">
        <is>
          <t>AMIGDALECTOMIA C/S ADENOIDECTOMIA, UNI O BILATERAL</t>
        </is>
      </c>
      <c r="F112" s="56" t="inlineStr">
        <is>
          <t>SERVICIO DE CIRUGIA ADULTO</t>
        </is>
      </c>
      <c r="G112" s="58" t="inlineStr">
        <is>
          <t>OTORRINO</t>
        </is>
      </c>
      <c r="H112" s="55" t="inlineStr">
        <is>
          <t>1302029-5</t>
        </is>
      </c>
      <c r="I112" s="36" t="n"/>
      <c r="J112" s="20">
        <f>IF(H112&lt;&gt;"",IFERROR(VLOOKUP(IFERROR(LEFT(H112,FIND("-",H112)-1),H112),'Catalogo MINSAL'!A:E,5,FALSE),""),IF(I112&lt;&gt;"",IFERROR(VLOOKUP(IFERROR(LEFT(I112,FIND("-",I112)-1),I112),'Catalogo MINSAL'!A:E,5,FALSE),""),""))</f>
        <v/>
      </c>
      <c r="K112" s="55" t="inlineStr">
        <is>
          <t>ROSMELLY BETANCOURT PIÑERO</t>
        </is>
      </c>
      <c r="L112" s="55" t="inlineStr">
        <is>
          <t>Dr. Pablo Acuña Espinoza</t>
        </is>
      </c>
      <c r="M112" s="55" t="inlineStr">
        <is>
          <t>Quirofano 06</t>
        </is>
      </c>
      <c r="N112" s="48" t="inlineStr">
        <is>
          <t>Realizado</t>
        </is>
      </c>
      <c r="O112" s="57" t="n">
        <v>0.5104166666666666</v>
      </c>
      <c r="P112" s="27">
        <f>IFERROR(IF(OR(O112="",A112="",M112=""),"",IF(SUMPRODUCT(($A$4:$A$500=A112)*($M$4:$M$500=M112)*($O$4:$O$500&lt;&gt;"")*(MOD($O$4:$O$500,1)&lt;MOD(O112,1)))=0,IF(MOD(O112,1)&lt;=TIME(8,15,0),"Ingreso adecuado primera hora","Atraso primera hora"),"No aplica")),"")</f>
        <v/>
      </c>
      <c r="Q112" s="87" t="n"/>
      <c r="R112" s="57" t="n">
        <v>0.5263888888888889</v>
      </c>
      <c r="S112" s="57" t="n">
        <v>0.5465277777777777</v>
      </c>
      <c r="T112" s="57" t="n">
        <v>0.5625</v>
      </c>
      <c r="U112" s="103">
        <f>IFERROR(VLOOKUP(M112,'Horario Pabellones'!$A$4:$D$17,2,FALSE),"")</f>
        <v/>
      </c>
      <c r="V112" s="103">
        <f>IFERROR(VLOOKUP(M112,'Horario Pabellones'!$A$4:$D$17,3,FALSE),"")</f>
        <v/>
      </c>
      <c r="W112" s="104">
        <f>IFERROR(VLOOKUP(M112,'Horario Pabellones'!$A$4:$D$17,4,FALSE),"")</f>
        <v/>
      </c>
      <c r="X112" s="93">
        <f>IFERROR(IF(OR(A112="",M112="",W112=""),"",(((_xludf.AGGREGATE(14,6,MOD($S$4:$S$500,1)/(($A$4:$A$500=A112)*($M$4:$M$500=M112)*($R$4:$R$500&lt;&gt;"")*($S$4:$S$500&lt;&gt;"")),1)-_xludf.AGGREGATE(15,6,MOD($R$4:$R$500,1)/(($A$4:$A$500=A112)*($M$4:$M$500=M112)*($R$4:$R$500&lt;&gt;"")*($S$4:$S$500&lt;&gt;"")),1))*1440)/60)/(W112/60)),"")</f>
        <v/>
      </c>
      <c r="Y112" s="26">
        <f>IFERROR(IF(OR(O112="",A112="",M112=""),"",(IF(ISNUMBER(O112),MOD(O112,1),TIMEVALUE(O112))-LOOKUP(2,1/(($A$4:$A$500=A112)*($M$4:$M$500=M112)*($T$4:$T$500&lt;&gt;"")*($T$4:$T$500&lt;IF(ISNUMBER(O112),MOD(O112,1),TIMEVALUE(O112)))),$T$4:$T$500))*1440),"")</f>
        <v/>
      </c>
      <c r="Z112" s="27">
        <f>IFERROR(IF(Y112="","",IF(ROUND(Y112,0)&lt;=15,"Cumple","No cumple")),"")</f>
        <v/>
      </c>
      <c r="AA112" s="15" t="n"/>
      <c r="AB112" s="26">
        <f>IFERROR(IF(OR(O112="",R112=""),"",IF(IF(ISNUMBER(R112),MOD(R112,1),TIMEVALUE(R112))&gt;=IF(ISNUMBER(O112),MOD(O112,1),TIMEVALUE(O112)),(IF(ISNUMBER(R112),MOD(R112,1),TIMEVALUE(R112))-IF(ISNUMBER(O112),MOD(O112,1),TIMEVALUE(O112)))*1440,(IF(ISNUMBER(R112),MOD(R112,1),TIMEVALUE(R112))+1-IF(ISNUMBER(O112),MOD(O112,1),TIMEVALUE(O112)))*1440)),"")</f>
        <v/>
      </c>
      <c r="AC112" s="28">
        <f>IFERROR(IF(OR(R112="",S112=""),"",IF(IF(ISNUMBER(S112),MOD(S112,1),TIMEVALUE(S112))&gt;=IF(ISNUMBER(R112),MOD(R112,1),TIMEVALUE(R112)),(IF(ISNUMBER(S112),MOD(S112,1),TIMEVALUE(S112))-IF(ISNUMBER(R112),MOD(R112,1),TIMEVALUE(R112)))*1440,(IF(ISNUMBER(S112),MOD(S112,1),TIMEVALUE(S112))+1-IF(ISNUMBER(R112),MOD(R112,1),TIMEVALUE(R112)))*1440)),"")</f>
        <v/>
      </c>
      <c r="AD112" s="105" t="n">
        <v>60</v>
      </c>
      <c r="AE112" s="26">
        <f>IFERROR(IF(OR(AC112="",AD112=""),"",AC112-AD112),"")</f>
        <v/>
      </c>
      <c r="AF112" s="27">
        <f>IFERROR(IF(AE112="","",IF(ROUND(AE112,0)&gt;15,"Subestimacion",IF(ROUND(AE112,0)&lt;-15,"Sobrestimacion","Asertivo"))),"")</f>
        <v/>
      </c>
      <c r="AG112" s="55" t="inlineStr">
        <is>
          <t>Sin Suspensión</t>
        </is>
      </c>
      <c r="AH112" s="15" t="n"/>
      <c r="AI112" s="15" t="n"/>
      <c r="AJ112" s="19" t="n"/>
      <c r="AK112" s="19" t="inlineStr">
        <is>
          <t>Sí</t>
        </is>
      </c>
      <c r="AL112" s="19" t="inlineStr">
        <is>
          <t>No</t>
        </is>
      </c>
      <c r="AM112" s="55" t="inlineStr">
        <is>
          <t>I0001189937</t>
        </is>
      </c>
      <c r="AN112" s="19" t="n"/>
      <c r="AO112" s="19" t="n"/>
      <c r="AP112" s="127">
        <f>IF(A112="","",A112-WEEKDAY(A112,2)+1)</f>
        <v/>
      </c>
      <c r="AQ112" s="127">
        <f>IF(AO112="","",AO112+6)</f>
        <v/>
      </c>
      <c r="AR112" s="19">
        <f>IF(AO112="","","Semana "&amp;TEXT(AO112,"dd-mm-yyyy")&amp;" al "&amp;TEXT(AP112,"dd-mm-yyyy"))</f>
        <v/>
      </c>
      <c r="AS112" s="19">
        <f>IF(A112="","",TEXT(A112,"mmmm yyyy"))</f>
        <v/>
      </c>
      <c r="AT112" s="19">
        <f>IF(A112="","",TEXT(A112,"dddd"))</f>
        <v/>
      </c>
      <c r="AU112" s="19">
        <f>IF(A112="","","CRR-"&amp;TEXT(A112,"yyyymmdd")&amp;"-"&amp;M112&amp;"-"&amp;TEXT(ROW()-3,"0000"))</f>
        <v/>
      </c>
      <c r="AV112" s="19">
        <f>IF(A112="","",IF(OR(B112="",C112="",E112="",F112="",M112="",N112=""),"Revisar campos obligatorios",IF(AND(P112="Atraso primera hora",Q112=""),"Falta justificación atraso primera hora",IF(AND(Z112="No cumple",AA112=""),"Falta justificación recambio &gt;15 min",IF(AND(ISNUMBER(SEARCH("suspend",N112)),OR(AG112="",AH112="")),"Falta causa/motivo suspensión","OK")))))</f>
        <v/>
      </c>
      <c r="AW112" s="19">
        <f>IF(N112="","",IF(ISNUMBER(SEARCH("suspend",N112)),IF(AND(AG112="",AH112=""),"Sin causa/motivo registrado",IF(AG112="",AH112,IF(AH112="",AG112,AG112&amp;": "&amp;AH112))),""))</f>
        <v/>
      </c>
    </row>
    <row r="113" ht="16" customHeight="1" s="151">
      <c r="A113" s="54" t="n">
        <v>46176</v>
      </c>
      <c r="B113" s="55" t="inlineStr">
        <is>
          <t>SARAI NOEMÍ</t>
        </is>
      </c>
      <c r="C113" s="55" t="inlineStr">
        <is>
          <t>CORDERO</t>
        </is>
      </c>
      <c r="D113" s="55" t="inlineStr">
        <is>
          <t>12a 4m 23d</t>
        </is>
      </c>
      <c r="E113" s="55" t="inlineStr">
        <is>
          <t>AMIGDALECTOMIA C/S ADENOIDECTOMIA, UNI O BILATERAL</t>
        </is>
      </c>
      <c r="F113" s="56" t="inlineStr">
        <is>
          <t>SERVICIO DE CIRUGIA ADULTO</t>
        </is>
      </c>
      <c r="G113" s="58" t="inlineStr">
        <is>
          <t>OTORRINO</t>
        </is>
      </c>
      <c r="H113" s="55" t="inlineStr">
        <is>
          <t>1302029-5</t>
        </is>
      </c>
      <c r="I113" s="36" t="n"/>
      <c r="J113" s="20">
        <f>IF(H113&lt;&gt;"",IFERROR(VLOOKUP(IFERROR(LEFT(H113,FIND("-",H113)-1),H113),'Catalogo MINSAL'!A:E,5,FALSE),""),IF(I113&lt;&gt;"",IFERROR(VLOOKUP(IFERROR(LEFT(I113,FIND("-",I113)-1),I113),'Catalogo MINSAL'!A:E,5,FALSE),""),""))</f>
        <v/>
      </c>
      <c r="K113" s="55" t="inlineStr">
        <is>
          <t>ROSMELLY BETANCOURT PIÑERO</t>
        </is>
      </c>
      <c r="L113" s="55" t="inlineStr">
        <is>
          <t>Hector Contreras Pinto</t>
        </is>
      </c>
      <c r="M113" s="55" t="inlineStr">
        <is>
          <t>Quirofano 06</t>
        </is>
      </c>
      <c r="N113" s="48" t="inlineStr">
        <is>
          <t>Realizado</t>
        </is>
      </c>
      <c r="O113" s="57" t="n">
        <v>0.6180555555555556</v>
      </c>
      <c r="P113" s="27">
        <f>IFERROR(IF(OR(O113="",A113="",M113=""),"",IF(SUMPRODUCT(($A$4:$A$500=A113)*($M$4:$M$500=M113)*($O$4:$O$500&lt;&gt;"")*(MOD($O$4:$O$500,1)&lt;MOD(O113,1)))=0,IF(MOD(O113,1)&lt;=TIME(8,15,0),"Ingreso adecuado primera hora","Atraso primera hora"),"No aplica")),"")</f>
        <v/>
      </c>
      <c r="Q113" s="86" t="n"/>
      <c r="R113" s="57" t="n">
        <v>0.6284722222222222</v>
      </c>
      <c r="S113" s="57" t="n">
        <v>0.6652777777777777</v>
      </c>
      <c r="T113" s="57" t="n">
        <v>0.6756944444444445</v>
      </c>
      <c r="U113" s="103">
        <f>IFERROR(VLOOKUP(M113,'Horario Pabellones'!$A$4:$D$17,2,FALSE),"")</f>
        <v/>
      </c>
      <c r="V113" s="103">
        <f>IFERROR(VLOOKUP(M113,'Horario Pabellones'!$A$4:$D$17,3,FALSE),"")</f>
        <v/>
      </c>
      <c r="W113" s="104">
        <f>IFERROR(VLOOKUP(M113,'Horario Pabellones'!$A$4:$D$17,4,FALSE),"")</f>
        <v/>
      </c>
      <c r="X113" s="93">
        <f>IFERROR(IF(OR(A113="",M113="",W113=""),"",(((_xludf.AGGREGATE(14,6,MOD($S$4:$S$500,1)/(($A$4:$A$500=A113)*($M$4:$M$500=M113)*($R$4:$R$500&lt;&gt;"")*($S$4:$S$500&lt;&gt;"")),1)-_xludf.AGGREGATE(15,6,MOD($R$4:$R$500,1)/(($A$4:$A$500=A113)*($M$4:$M$500=M113)*($R$4:$R$500&lt;&gt;"")*($S$4:$S$500&lt;&gt;"")),1))*1440)/60)/(W113/60)),"")</f>
        <v/>
      </c>
      <c r="Y113" s="26">
        <f>IFERROR(IF(OR(O113="",A113="",M113=""),"",(IF(ISNUMBER(O113),MOD(O113,1),TIMEVALUE(O113))-LOOKUP(2,1/(($A$4:$A$500=A113)*($M$4:$M$500=M113)*($T$4:$T$500&lt;&gt;"")*($T$4:$T$500&lt;IF(ISNUMBER(O113),MOD(O113,1),TIMEVALUE(O113)))),$T$4:$T$500))*1440),"")</f>
        <v/>
      </c>
      <c r="Z113" s="27">
        <f>IFERROR(IF(Y113="","",IF(ROUND(Y113,0)&lt;=15,"Cumple","No cumple")),"")</f>
        <v/>
      </c>
      <c r="AA113" s="85" t="inlineStr">
        <is>
          <t>Colacion institucional (equipo completo)</t>
        </is>
      </c>
      <c r="AB113" s="26">
        <f>IFERROR(IF(OR(O113="",R113=""),"",IF(IF(ISNUMBER(R113),MOD(R113,1),TIMEVALUE(R113))&gt;=IF(ISNUMBER(O113),MOD(O113,1),TIMEVALUE(O113)),(IF(ISNUMBER(R113),MOD(R113,1),TIMEVALUE(R113))-IF(ISNUMBER(O113),MOD(O113,1),TIMEVALUE(O113)))*1440,(IF(ISNUMBER(R113),MOD(R113,1),TIMEVALUE(R113))+1-IF(ISNUMBER(O113),MOD(O113,1),TIMEVALUE(O113)))*1440)),"")</f>
        <v/>
      </c>
      <c r="AC113" s="28">
        <f>IFERROR(IF(OR(R113="",S113=""),"",IF(IF(ISNUMBER(S113),MOD(S113,1),TIMEVALUE(S113))&gt;=IF(ISNUMBER(R113),MOD(R113,1),TIMEVALUE(R113)),(IF(ISNUMBER(S113),MOD(S113,1),TIMEVALUE(S113))-IF(ISNUMBER(R113),MOD(R113,1),TIMEVALUE(R113)))*1440,(IF(ISNUMBER(S113),MOD(S113,1),TIMEVALUE(S113))+1-IF(ISNUMBER(R113),MOD(R113,1),TIMEVALUE(R113)))*1440)),"")</f>
        <v/>
      </c>
      <c r="AD113" s="105" t="n">
        <v>60</v>
      </c>
      <c r="AE113" s="26">
        <f>IFERROR(IF(OR(AC113="",AD113=""),"",AC113-AD113),"")</f>
        <v/>
      </c>
      <c r="AF113" s="27">
        <f>IFERROR(IF(AE113="","",IF(ROUND(AE113,0)&gt;15,"Subestimacion",IF(ROUND(AE113,0)&lt;-15,"Sobrestimacion","Asertivo"))),"")</f>
        <v/>
      </c>
      <c r="AG113" s="55" t="inlineStr">
        <is>
          <t>Sin Suspensión</t>
        </is>
      </c>
      <c r="AH113" s="85" t="n"/>
      <c r="AI113" s="85" t="n"/>
      <c r="AJ113" s="19" t="n"/>
      <c r="AK113" s="19" t="inlineStr">
        <is>
          <t>Sí</t>
        </is>
      </c>
      <c r="AL113" s="19" t="inlineStr">
        <is>
          <t>Si</t>
        </is>
      </c>
      <c r="AM113" s="55" t="inlineStr">
        <is>
          <t>I0001189938</t>
        </is>
      </c>
      <c r="AN113" s="19" t="n"/>
      <c r="AO113" s="19" t="n"/>
      <c r="AP113" s="127">
        <f>IF(A113="","",A113-WEEKDAY(A113,2)+1)</f>
        <v/>
      </c>
      <c r="AQ113" s="127">
        <f>IF(AO113="","",AO113+6)</f>
        <v/>
      </c>
      <c r="AR113" s="19">
        <f>IF(AO113="","","Semana "&amp;TEXT(AO113,"dd-mm-yyyy")&amp;" al "&amp;TEXT(AP113,"dd-mm-yyyy"))</f>
        <v/>
      </c>
      <c r="AS113" s="19">
        <f>IF(A113="","",TEXT(A113,"mmmm yyyy"))</f>
        <v/>
      </c>
      <c r="AT113" s="19">
        <f>IF(A113="","",TEXT(A113,"dddd"))</f>
        <v/>
      </c>
      <c r="AU113" s="19">
        <f>IF(A113="","","CRR-"&amp;TEXT(A113,"yyyymmdd")&amp;"-"&amp;M113&amp;"-"&amp;TEXT(ROW()-3,"0000"))</f>
        <v/>
      </c>
      <c r="AV113" s="19">
        <f>IF(A113="","",IF(OR(B113="",C113="",E113="",F113="",M113="",N113=""),"Revisar campos obligatorios",IF(AND(P113="Atraso primera hora",Q113=""),"Falta justificación atraso primera hora",IF(AND(Z113="No cumple",AA113=""),"Falta justificación recambio &gt;15 min",IF(AND(ISNUMBER(SEARCH("suspend",N113)),OR(AG113="",AH113="")),"Falta causa/motivo suspensión","OK")))))</f>
        <v/>
      </c>
      <c r="AW113" s="19">
        <f>IF(N113="","",IF(ISNUMBER(SEARCH("suspend",N113)),IF(AND(AG113="",AH113=""),"Sin causa/motivo registrado",IF(AG113="",AH113,IF(AH113="",AG113,AG113&amp;": "&amp;AH113))),""))</f>
        <v/>
      </c>
    </row>
    <row r="114" ht="16" customHeight="1" s="151">
      <c r="A114" s="54" t="n">
        <v>46176</v>
      </c>
      <c r="B114" s="55" t="inlineStr">
        <is>
          <t>BLANCA AURELIA</t>
        </is>
      </c>
      <c r="C114" s="55" t="inlineStr">
        <is>
          <t>GONZÁLEZ</t>
        </is>
      </c>
      <c r="D114" s="55" t="inlineStr">
        <is>
          <t>92a 4m 24d</t>
        </is>
      </c>
      <c r="E114" s="55" t="inlineStr">
        <is>
          <t>- FACOERESIS EXTRACAPSULAR CON IMPLANTE DE LENTE INTRAOCULAR (NO INCLUYE EL VALOR DE LA PROTESIS)</t>
        </is>
      </c>
      <c r="F114" s="59" t="inlineStr">
        <is>
          <t>UNIDAD DE OFTALMOLOGIA</t>
        </is>
      </c>
      <c r="G114" s="60" t="inlineStr">
        <is>
          <t>OFTALMOLOGIA</t>
        </is>
      </c>
      <c r="H114" s="55" t="inlineStr">
        <is>
          <t>1202064-10</t>
        </is>
      </c>
      <c r="I114" s="36" t="n"/>
      <c r="J114" s="20">
        <f>IF(H114&lt;&gt;"",IFERROR(VLOOKUP(IFERROR(LEFT(H114,FIND("-",H114)-1),H114),'Catalogo MINSAL'!A:E,5,FALSE),""),IF(I114&lt;&gt;"",IFERROR(VLOOKUP(IFERROR(LEFT(I114,FIND("-",I114)-1),I114),'Catalogo MINSAL'!A:E,5,FALSE),""),""))</f>
        <v/>
      </c>
      <c r="K114" s="55" t="inlineStr">
        <is>
          <t>Mario Ricardo Gonzalez Andrade</t>
        </is>
      </c>
      <c r="L114" s="55" t="inlineStr">
        <is>
          <t>Dr. Arturo Hillerns Eltit</t>
        </is>
      </c>
      <c r="M114" s="55" t="inlineStr">
        <is>
          <t>Quirofano 08</t>
        </is>
      </c>
      <c r="N114" s="48" t="inlineStr">
        <is>
          <t>Realizado</t>
        </is>
      </c>
      <c r="O114" s="57" t="n">
        <v>0.3645833333333333</v>
      </c>
      <c r="P114" s="27">
        <f>IFERROR(IF(OR(O114="",A114="",M114=""),"",IF(SUMPRODUCT(($A$4:$A$500=A114)*($M$4:$M$500=M114)*($O$4:$O$500&lt;&gt;"")*(MOD($O$4:$O$500,1)&lt;MOD(O114,1)))=0,IF(MOD(O114,1)&lt;=TIME(8,15,0),"Ingreso adecuado primera hora","Atraso primera hora"),"No aplica")),"")</f>
        <v/>
      </c>
      <c r="Q114" s="86" t="inlineStr">
        <is>
          <t>Atraso de anestesista (Dr. Mario Ricardo)</t>
        </is>
      </c>
      <c r="R114" s="57" t="n">
        <v>0.3708333333333333</v>
      </c>
      <c r="S114" s="57" t="n">
        <v>0.3805555555555555</v>
      </c>
      <c r="T114" s="57" t="n">
        <v>0.3826388888888889</v>
      </c>
      <c r="U114" s="103">
        <f>IFERROR(VLOOKUP(M114,'Horario Pabellones'!$A$4:$D$17,2,FALSE),"")</f>
        <v/>
      </c>
      <c r="V114" s="103">
        <f>IFERROR(VLOOKUP(M114,'Horario Pabellones'!$A$4:$D$17,3,FALSE),"")</f>
        <v/>
      </c>
      <c r="W114" s="104">
        <f>IFERROR(VLOOKUP(M114,'Horario Pabellones'!$A$4:$D$17,4,FALSE),"")</f>
        <v/>
      </c>
      <c r="X114" s="93">
        <f>IFERROR(IF(OR(A114="",M114="",W114=""),"",(((_xludf.AGGREGATE(14,6,MOD($S$4:$S$500,1)/(($A$4:$A$500=A114)*($M$4:$M$500=M114)*($R$4:$R$500&lt;&gt;"")*($S$4:$S$500&lt;&gt;"")),1)-_xludf.AGGREGATE(15,6,MOD($R$4:$R$500,1)/(($A$4:$A$500=A114)*($M$4:$M$500=M114)*($R$4:$R$500&lt;&gt;"")*($S$4:$S$500&lt;&gt;"")),1))*1440)/60)/(W114/60)),"")</f>
        <v/>
      </c>
      <c r="Y114" s="26">
        <f>IFERROR(IF(OR(O114="",A114="",M114=""),"",(IF(ISNUMBER(O114),MOD(O114,1),TIMEVALUE(O114))-LOOKUP(2,1/(($A$4:$A$500=A114)*($M$4:$M$500=M114)*($T$4:$T$500&lt;&gt;"")*($T$4:$T$500&lt;IF(ISNUMBER(O114),MOD(O114,1),TIMEVALUE(O114)))),$T$4:$T$500))*1440),"")</f>
        <v/>
      </c>
      <c r="Z114" s="27">
        <f>IFERROR(IF(Y114="","",IF(ROUND(Y114,0)&lt;=15,"Cumple","No cumple")),"")</f>
        <v/>
      </c>
      <c r="AA114" s="85" t="n"/>
      <c r="AB114" s="26">
        <f>IFERROR(IF(OR(O114="",R114=""),"",IF(IF(ISNUMBER(R114),MOD(R114,1),TIMEVALUE(R114))&gt;=IF(ISNUMBER(O114),MOD(O114,1),TIMEVALUE(O114)),(IF(ISNUMBER(R114),MOD(R114,1),TIMEVALUE(R114))-IF(ISNUMBER(O114),MOD(O114,1),TIMEVALUE(O114)))*1440,(IF(ISNUMBER(R114),MOD(R114,1),TIMEVALUE(R114))+1-IF(ISNUMBER(O114),MOD(O114,1),TIMEVALUE(O114)))*1440)),"")</f>
        <v/>
      </c>
      <c r="AC114" s="28">
        <f>IFERROR(IF(OR(R114="",S114=""),"",IF(IF(ISNUMBER(S114),MOD(S114,1),TIMEVALUE(S114))&gt;=IF(ISNUMBER(R114),MOD(R114,1),TIMEVALUE(R114)),(IF(ISNUMBER(S114),MOD(S114,1),TIMEVALUE(S114))-IF(ISNUMBER(R114),MOD(R114,1),TIMEVALUE(R114)))*1440,(IF(ISNUMBER(S114),MOD(S114,1),TIMEVALUE(S114))+1-IF(ISNUMBER(R114),MOD(R114,1),TIMEVALUE(R114)))*1440)),"")</f>
        <v/>
      </c>
      <c r="AD114" s="105" t="n">
        <v>30</v>
      </c>
      <c r="AE114" s="26">
        <f>IFERROR(IF(OR(AC114="",AD114=""),"",AC114-AD114),"")</f>
        <v/>
      </c>
      <c r="AF114" s="27">
        <f>IFERROR(IF(AE114="","",IF(ROUND(AE114,0)&gt;15,"Subestimacion",IF(ROUND(AE114,0)&lt;-15,"Sobrestimacion","Asertivo"))),"")</f>
        <v/>
      </c>
      <c r="AG114" s="55" t="inlineStr">
        <is>
          <t>Sin Suspensión</t>
        </is>
      </c>
      <c r="AH114" s="85" t="n"/>
      <c r="AI114" s="85" t="n"/>
      <c r="AJ114" s="19" t="n"/>
      <c r="AK114" s="19" t="inlineStr">
        <is>
          <t>Sí</t>
        </is>
      </c>
      <c r="AL114" s="19" t="inlineStr">
        <is>
          <t>No</t>
        </is>
      </c>
      <c r="AM114" s="55" t="inlineStr">
        <is>
          <t>I0001189878</t>
        </is>
      </c>
      <c r="AN114" s="19" t="n"/>
      <c r="AO114" s="19" t="n"/>
      <c r="AP114" s="127">
        <f>IF(A114="","",A114-WEEKDAY(A114,2)+1)</f>
        <v/>
      </c>
      <c r="AQ114" s="127">
        <f>IF(AO114="","",AO114+6)</f>
        <v/>
      </c>
      <c r="AR114" s="19">
        <f>IF(AO114="","","Semana "&amp;TEXT(AO114,"dd-mm-yyyy")&amp;" al "&amp;TEXT(AP114,"dd-mm-yyyy"))</f>
        <v/>
      </c>
      <c r="AS114" s="19">
        <f>IF(A114="","",TEXT(A114,"mmmm yyyy"))</f>
        <v/>
      </c>
      <c r="AT114" s="19">
        <f>IF(A114="","",TEXT(A114,"dddd"))</f>
        <v/>
      </c>
      <c r="AU114" s="19">
        <f>IF(A114="","","CRR-"&amp;TEXT(A114,"yyyymmdd")&amp;"-"&amp;M114&amp;"-"&amp;TEXT(ROW()-3,"0000"))</f>
        <v/>
      </c>
      <c r="AV114" s="19">
        <f>IF(A114="","",IF(OR(B114="",C114="",E114="",F114="",M114="",N114=""),"Revisar campos obligatorios",IF(AND(P114="Atraso primera hora",Q114=""),"Falta justificación atraso primera hora",IF(AND(Z114="No cumple",AA114=""),"Falta justificación recambio &gt;15 min",IF(AND(ISNUMBER(SEARCH("suspend",N114)),OR(AG114="",AH114="")),"Falta causa/motivo suspensión","OK")))))</f>
        <v/>
      </c>
      <c r="AW114" s="19">
        <f>IF(N114="","",IF(ISNUMBER(SEARCH("suspend",N114)),IF(AND(AG114="",AH114=""),"Sin causa/motivo registrado",IF(AG114="",AH114,IF(AH114="",AG114,AG114&amp;": "&amp;AH114))),""))</f>
        <v/>
      </c>
    </row>
    <row r="115" ht="16" customHeight="1" s="151">
      <c r="A115" s="54" t="n">
        <v>46176</v>
      </c>
      <c r="B115" s="55" t="inlineStr">
        <is>
          <t>ELBA ROSA</t>
        </is>
      </c>
      <c r="C115" s="55" t="inlineStr">
        <is>
          <t>DÍAZ</t>
        </is>
      </c>
      <c r="D115" s="55" t="inlineStr">
        <is>
          <t>90a 2m 25d</t>
        </is>
      </c>
      <c r="E115" s="55" t="inlineStr">
        <is>
          <t>- FACOERESIS EXTRACAPSULAR CON IMPLANTE DE LENTE INTRAOCULAR (NO INCLUYE EL VALOR DE LA PROTESIS)</t>
        </is>
      </c>
      <c r="F115" s="59" t="inlineStr">
        <is>
          <t>UNIDAD DE OFTALMOLOGIA</t>
        </is>
      </c>
      <c r="G115" s="60" t="inlineStr">
        <is>
          <t>OFTALMOLOGIA</t>
        </is>
      </c>
      <c r="H115" s="55" t="inlineStr">
        <is>
          <t>1202064-10</t>
        </is>
      </c>
      <c r="I115" s="36" t="n"/>
      <c r="J115" s="20">
        <f>IF(H115&lt;&gt;"",IFERROR(VLOOKUP(IFERROR(LEFT(H115,FIND("-",H115)-1),H115),'Catalogo MINSAL'!A:E,5,FALSE),""),IF(I115&lt;&gt;"",IFERROR(VLOOKUP(IFERROR(LEFT(I115,FIND("-",I115)-1),I115),'Catalogo MINSAL'!A:E,5,FALSE),""),""))</f>
        <v/>
      </c>
      <c r="K115" s="55" t="inlineStr">
        <is>
          <t>Mario Ricardo Gonzalez Andrade</t>
        </is>
      </c>
      <c r="L115" s="55" t="inlineStr">
        <is>
          <t>Dr. Arturo Hillerns Eltit</t>
        </is>
      </c>
      <c r="M115" s="55" t="inlineStr">
        <is>
          <t>Quirofano 08</t>
        </is>
      </c>
      <c r="N115" s="48" t="inlineStr">
        <is>
          <t>Realizado</t>
        </is>
      </c>
      <c r="O115" s="57" t="n">
        <v>0.39375</v>
      </c>
      <c r="P115" s="27">
        <f>IFERROR(IF(OR(O115="",A115="",M115=""),"",IF(SUMPRODUCT(($A$4:$A$500=A115)*($M$4:$M$500=M115)*($O$4:$O$500&lt;&gt;"")*(MOD($O$4:$O$500,1)&lt;MOD(O115,1)))=0,IF(MOD(O115,1)&lt;=TIME(8,15,0),"Ingreso adecuado primera hora","Atraso primera hora"),"No aplica")),"")</f>
        <v/>
      </c>
      <c r="Q115" s="87" t="n"/>
      <c r="R115" s="57" t="n">
        <v>0.3993055555555556</v>
      </c>
      <c r="S115" s="57" t="n">
        <v>0.4111111111111111</v>
      </c>
      <c r="T115" s="57" t="n">
        <v>0.4131944444444444</v>
      </c>
      <c r="U115" s="103">
        <f>IFERROR(VLOOKUP(M115,'Horario Pabellones'!$A$4:$D$17,2,FALSE),"")</f>
        <v/>
      </c>
      <c r="V115" s="103">
        <f>IFERROR(VLOOKUP(M115,'Horario Pabellones'!$A$4:$D$17,3,FALSE),"")</f>
        <v/>
      </c>
      <c r="W115" s="104">
        <f>IFERROR(VLOOKUP(M115,'Horario Pabellones'!$A$4:$D$17,4,FALSE),"")</f>
        <v/>
      </c>
      <c r="X115" s="93">
        <f>IFERROR(IF(OR(A115="",M115="",W115=""),"",(((_xludf.AGGREGATE(14,6,MOD($S$4:$S$500,1)/(($A$4:$A$500=A115)*($M$4:$M$500=M115)*($R$4:$R$500&lt;&gt;"")*($S$4:$S$500&lt;&gt;"")),1)-_xludf.AGGREGATE(15,6,MOD($R$4:$R$500,1)/(($A$4:$A$500=A115)*($M$4:$M$500=M115)*($R$4:$R$500&lt;&gt;"")*($S$4:$S$500&lt;&gt;"")),1))*1440)/60)/(W115/60)),"")</f>
        <v/>
      </c>
      <c r="Y115" s="26">
        <f>IFERROR(IF(OR(O115="",A115="",M115=""),"",(IF(ISNUMBER(O115),MOD(O115,1),TIMEVALUE(O115))-LOOKUP(2,1/(($A$4:$A$500=A115)*($M$4:$M$500=M115)*($T$4:$T$500&lt;&gt;"")*($T$4:$T$500&lt;IF(ISNUMBER(O115),MOD(O115,1),TIMEVALUE(O115)))),$T$4:$T$500))*1440),"")</f>
        <v/>
      </c>
      <c r="Z115" s="27">
        <f>IFERROR(IF(Y115="","",IF(ROUND(Y115,0)&lt;=15,"Cumple","No cumple")),"")</f>
        <v/>
      </c>
      <c r="AA115" s="15" t="n"/>
      <c r="AB115" s="26">
        <f>IFERROR(IF(OR(O115="",R115=""),"",IF(IF(ISNUMBER(R115),MOD(R115,1),TIMEVALUE(R115))&gt;=IF(ISNUMBER(O115),MOD(O115,1),TIMEVALUE(O115)),(IF(ISNUMBER(R115),MOD(R115,1),TIMEVALUE(R115))-IF(ISNUMBER(O115),MOD(O115,1),TIMEVALUE(O115)))*1440,(IF(ISNUMBER(R115),MOD(R115,1),TIMEVALUE(R115))+1-IF(ISNUMBER(O115),MOD(O115,1),TIMEVALUE(O115)))*1440)),"")</f>
        <v/>
      </c>
      <c r="AC115" s="28">
        <f>IFERROR(IF(OR(R115="",S115=""),"",IF(IF(ISNUMBER(S115),MOD(S115,1),TIMEVALUE(S115))&gt;=IF(ISNUMBER(R115),MOD(R115,1),TIMEVALUE(R115)),(IF(ISNUMBER(S115),MOD(S115,1),TIMEVALUE(S115))-IF(ISNUMBER(R115),MOD(R115,1),TIMEVALUE(R115)))*1440,(IF(ISNUMBER(S115),MOD(S115,1),TIMEVALUE(S115))+1-IF(ISNUMBER(R115),MOD(R115,1),TIMEVALUE(R115)))*1440)),"")</f>
        <v/>
      </c>
      <c r="AD115" s="105" t="n">
        <v>30</v>
      </c>
      <c r="AE115" s="26">
        <f>IFERROR(IF(OR(AC115="",AD115=""),"",AC115-AD115),"")</f>
        <v/>
      </c>
      <c r="AF115" s="27">
        <f>IFERROR(IF(AE115="","",IF(ROUND(AE115,0)&gt;15,"Subestimacion",IF(ROUND(AE115,0)&lt;-15,"Sobrestimacion","Asertivo"))),"")</f>
        <v/>
      </c>
      <c r="AG115" s="55" t="inlineStr">
        <is>
          <t>Sin Suspensión</t>
        </is>
      </c>
      <c r="AH115" s="15" t="n"/>
      <c r="AI115" s="15" t="n"/>
      <c r="AJ115" s="19" t="n"/>
      <c r="AK115" s="19" t="inlineStr">
        <is>
          <t>Sí</t>
        </is>
      </c>
      <c r="AL115" s="19" t="inlineStr">
        <is>
          <t>No</t>
        </is>
      </c>
      <c r="AM115" s="55" t="inlineStr">
        <is>
          <t>I0001189877</t>
        </is>
      </c>
      <c r="AN115" s="19" t="n"/>
      <c r="AO115" s="19" t="n"/>
      <c r="AP115" s="127">
        <f>IF(A115="","",A115-WEEKDAY(A115,2)+1)</f>
        <v/>
      </c>
      <c r="AQ115" s="127">
        <f>IF(AO115="","",AO115+6)</f>
        <v/>
      </c>
      <c r="AR115" s="19">
        <f>IF(AO115="","","Semana "&amp;TEXT(AO115,"dd-mm-yyyy")&amp;" al "&amp;TEXT(AP115,"dd-mm-yyyy"))</f>
        <v/>
      </c>
      <c r="AS115" s="19">
        <f>IF(A115="","",TEXT(A115,"mmmm yyyy"))</f>
        <v/>
      </c>
      <c r="AT115" s="19">
        <f>IF(A115="","",TEXT(A115,"dddd"))</f>
        <v/>
      </c>
      <c r="AU115" s="19">
        <f>IF(A115="","","CRR-"&amp;TEXT(A115,"yyyymmdd")&amp;"-"&amp;M115&amp;"-"&amp;TEXT(ROW()-3,"0000"))</f>
        <v/>
      </c>
      <c r="AV115" s="19">
        <f>IF(A115="","",IF(OR(B115="",C115="",E115="",F115="",M115="",N115=""),"Revisar campos obligatorios",IF(AND(P115="Atraso primera hora",Q115=""),"Falta justificación atraso primera hora",IF(AND(Z115="No cumple",AA115=""),"Falta justificación recambio &gt;15 min",IF(AND(ISNUMBER(SEARCH("suspend",N115)),OR(AG115="",AH115="")),"Falta causa/motivo suspensión","OK")))))</f>
        <v/>
      </c>
      <c r="AW115" s="19">
        <f>IF(N115="","",IF(ISNUMBER(SEARCH("suspend",N115)),IF(AND(AG115="",AH115=""),"Sin causa/motivo registrado",IF(AG115="",AH115,IF(AH115="",AG115,AG115&amp;": "&amp;AH115))),""))</f>
        <v/>
      </c>
    </row>
    <row r="116" ht="16" customHeight="1" s="151">
      <c r="A116" s="54" t="n">
        <v>46176</v>
      </c>
      <c r="B116" s="55" t="inlineStr">
        <is>
          <t>CLARISA</t>
        </is>
      </c>
      <c r="C116" s="55" t="inlineStr">
        <is>
          <t>FUENZALIDA</t>
        </is>
      </c>
      <c r="D116" s="55" t="inlineStr">
        <is>
          <t>94a 7m 6d</t>
        </is>
      </c>
      <c r="E116" s="55" t="inlineStr">
        <is>
          <t>- FACOERESIS EXTRACAPSULAR CON IMPLANTE DE LENTE INTRAOCULAR (NO INCLUYE EL VALOR DE LA PROTESIS)</t>
        </is>
      </c>
      <c r="F116" s="59" t="inlineStr">
        <is>
          <t>UNIDAD DE OFTALMOLOGIA</t>
        </is>
      </c>
      <c r="G116" s="60" t="inlineStr">
        <is>
          <t>OFTALMOLOGIA</t>
        </is>
      </c>
      <c r="H116" s="55" t="inlineStr">
        <is>
          <t>1202064-10</t>
        </is>
      </c>
      <c r="I116" s="36" t="n"/>
      <c r="J116" s="20">
        <f>IF(H116&lt;&gt;"",IFERROR(VLOOKUP(IFERROR(LEFT(H116,FIND("-",H116)-1),H116),'Catalogo MINSAL'!A:E,5,FALSE),""),IF(I116&lt;&gt;"",IFERROR(VLOOKUP(IFERROR(LEFT(I116,FIND("-",I116)-1),I116),'Catalogo MINSAL'!A:E,5,FALSE),""),""))</f>
        <v/>
      </c>
      <c r="K116" s="55" t="inlineStr">
        <is>
          <t>Mario Ricardo Gonzalez Andrade</t>
        </is>
      </c>
      <c r="L116" s="55" t="inlineStr">
        <is>
          <t>Dr. Arturo Hillerns Eltit</t>
        </is>
      </c>
      <c r="M116" s="55" t="inlineStr">
        <is>
          <t>Quirofano 08</t>
        </is>
      </c>
      <c r="N116" s="48" t="inlineStr">
        <is>
          <t>Realizado</t>
        </is>
      </c>
      <c r="O116" s="57" t="n">
        <v>0.41875</v>
      </c>
      <c r="P116" s="27">
        <f>IFERROR(IF(OR(O116="",A116="",M116=""),"",IF(SUMPRODUCT(($A$4:$A$500=A116)*($M$4:$M$500=M116)*($O$4:$O$500&lt;&gt;"")*(MOD($O$4:$O$500,1)&lt;MOD(O116,1)))=0,IF(MOD(O116,1)&lt;=TIME(8,15,0),"Ingreso adecuado primera hora","Atraso primera hora"),"No aplica")),"")</f>
        <v/>
      </c>
      <c r="Q116" s="87" t="n"/>
      <c r="R116" s="57" t="n">
        <v>0.4340277777777778</v>
      </c>
      <c r="S116" s="57" t="n">
        <v>0.4444444444444444</v>
      </c>
      <c r="T116" s="57" t="n">
        <v>0.4479166666666667</v>
      </c>
      <c r="U116" s="103">
        <f>IFERROR(VLOOKUP(M116,'Horario Pabellones'!$A$4:$D$17,2,FALSE),"")</f>
        <v/>
      </c>
      <c r="V116" s="103">
        <f>IFERROR(VLOOKUP(M116,'Horario Pabellones'!$A$4:$D$17,3,FALSE),"")</f>
        <v/>
      </c>
      <c r="W116" s="104">
        <f>IFERROR(VLOOKUP(M116,'Horario Pabellones'!$A$4:$D$17,4,FALSE),"")</f>
        <v/>
      </c>
      <c r="X116" s="93">
        <f>IFERROR(IF(OR(A116="",M116="",W116=""),"",(((_xludf.AGGREGATE(14,6,MOD($S$4:$S$500,1)/(($A$4:$A$500=A116)*($M$4:$M$500=M116)*($R$4:$R$500&lt;&gt;"")*($S$4:$S$500&lt;&gt;"")),1)-_xludf.AGGREGATE(15,6,MOD($R$4:$R$500,1)/(($A$4:$A$500=A116)*($M$4:$M$500=M116)*($R$4:$R$500&lt;&gt;"")*($S$4:$S$500&lt;&gt;"")),1))*1440)/60)/(W116/60)),"")</f>
        <v/>
      </c>
      <c r="Y116" s="26">
        <f>IFERROR(IF(OR(O116="",A116="",M116=""),"",(IF(ISNUMBER(O116),MOD(O116,1),TIMEVALUE(O116))-LOOKUP(2,1/(($A$4:$A$500=A116)*($M$4:$M$500=M116)*($T$4:$T$500&lt;&gt;"")*($T$4:$T$500&lt;IF(ISNUMBER(O116),MOD(O116,1),TIMEVALUE(O116)))),$T$4:$T$500))*1440),"")</f>
        <v/>
      </c>
      <c r="Z116" s="27">
        <f>IFERROR(IF(Y116="","",IF(ROUND(Y116,0)&lt;=15,"Cumple","No cumple")),"")</f>
        <v/>
      </c>
      <c r="AA116" s="15" t="n"/>
      <c r="AB116" s="26">
        <f>IFERROR(IF(OR(O116="",R116=""),"",IF(IF(ISNUMBER(R116),MOD(R116,1),TIMEVALUE(R116))&gt;=IF(ISNUMBER(O116),MOD(O116,1),TIMEVALUE(O116)),(IF(ISNUMBER(R116),MOD(R116,1),TIMEVALUE(R116))-IF(ISNUMBER(O116),MOD(O116,1),TIMEVALUE(O116)))*1440,(IF(ISNUMBER(R116),MOD(R116,1),TIMEVALUE(R116))+1-IF(ISNUMBER(O116),MOD(O116,1),TIMEVALUE(O116)))*1440)),"")</f>
        <v/>
      </c>
      <c r="AC116" s="28">
        <f>IFERROR(IF(OR(R116="",S116=""),"",IF(IF(ISNUMBER(S116),MOD(S116,1),TIMEVALUE(S116))&gt;=IF(ISNUMBER(R116),MOD(R116,1),TIMEVALUE(R116)),(IF(ISNUMBER(S116),MOD(S116,1),TIMEVALUE(S116))-IF(ISNUMBER(R116),MOD(R116,1),TIMEVALUE(R116)))*1440,(IF(ISNUMBER(S116),MOD(S116,1),TIMEVALUE(S116))+1-IF(ISNUMBER(R116),MOD(R116,1),TIMEVALUE(R116)))*1440)),"")</f>
        <v/>
      </c>
      <c r="AD116" s="105" t="n">
        <v>30</v>
      </c>
      <c r="AE116" s="26">
        <f>IFERROR(IF(OR(AC116="",AD116=""),"",AC116-AD116),"")</f>
        <v/>
      </c>
      <c r="AF116" s="27">
        <f>IFERROR(IF(AE116="","",IF(ROUND(AE116,0)&gt;15,"Subestimacion",IF(ROUND(AE116,0)&lt;-15,"Sobrestimacion","Asertivo"))),"")</f>
        <v/>
      </c>
      <c r="AG116" s="55" t="inlineStr">
        <is>
          <t>Sin Suspensión</t>
        </is>
      </c>
      <c r="AH116" s="15" t="n"/>
      <c r="AI116" s="15" t="n"/>
      <c r="AJ116" s="19" t="n"/>
      <c r="AK116" s="19" t="inlineStr">
        <is>
          <t>Sí</t>
        </is>
      </c>
      <c r="AL116" s="19" t="inlineStr">
        <is>
          <t>No</t>
        </is>
      </c>
      <c r="AM116" s="55" t="inlineStr">
        <is>
          <t>I0001189880</t>
        </is>
      </c>
      <c r="AN116" s="19" t="n"/>
      <c r="AO116" s="19" t="n"/>
      <c r="AP116" s="127">
        <f>IF(A116="","",A116-WEEKDAY(A116,2)+1)</f>
        <v/>
      </c>
      <c r="AQ116" s="127">
        <f>IF(AO116="","",AO116+6)</f>
        <v/>
      </c>
      <c r="AR116" s="19">
        <f>IF(AO116="","","Semana "&amp;TEXT(AO116,"dd-mm-yyyy")&amp;" al "&amp;TEXT(AP116,"dd-mm-yyyy"))</f>
        <v/>
      </c>
      <c r="AS116" s="19">
        <f>IF(A116="","",TEXT(A116,"mmmm yyyy"))</f>
        <v/>
      </c>
      <c r="AT116" s="19">
        <f>IF(A116="","",TEXT(A116,"dddd"))</f>
        <v/>
      </c>
      <c r="AU116" s="19">
        <f>IF(A116="","","CRR-"&amp;TEXT(A116,"yyyymmdd")&amp;"-"&amp;M116&amp;"-"&amp;TEXT(ROW()-3,"0000"))</f>
        <v/>
      </c>
      <c r="AV116" s="19">
        <f>IF(A116="","",IF(OR(B116="",C116="",E116="",F116="",M116="",N116=""),"Revisar campos obligatorios",IF(AND(P116="Atraso primera hora",Q116=""),"Falta justificación atraso primera hora",IF(AND(Z116="No cumple",AA116=""),"Falta justificación recambio &gt;15 min",IF(AND(ISNUMBER(SEARCH("suspend",N116)),OR(AG116="",AH116="")),"Falta causa/motivo suspensión","OK")))))</f>
        <v/>
      </c>
      <c r="AW116" s="19">
        <f>IF(N116="","",IF(ISNUMBER(SEARCH("suspend",N116)),IF(AND(AG116="",AH116=""),"Sin causa/motivo registrado",IF(AG116="",AH116,IF(AH116="",AG116,AG116&amp;": "&amp;AH116))),""))</f>
        <v/>
      </c>
    </row>
    <row r="117" ht="16" customHeight="1" s="151">
      <c r="A117" s="54" t="n">
        <v>46176</v>
      </c>
      <c r="B117" s="55" t="inlineStr">
        <is>
          <t>BERNARDO DEL CARMEN</t>
        </is>
      </c>
      <c r="C117" s="55" t="inlineStr">
        <is>
          <t>ROJAS</t>
        </is>
      </c>
      <c r="D117" s="55" t="inlineStr">
        <is>
          <t>81a 3m 15d</t>
        </is>
      </c>
      <c r="E117" s="55" t="inlineStr">
        <is>
          <t>- FACOERESIS EXTRACAPSULAR CON IMPLANTE DE LENTE INTRAOCULAR (NO INCLUYE EL VALOR DE LA PROTESIS)</t>
        </is>
      </c>
      <c r="F117" s="59" t="inlineStr">
        <is>
          <t>UNIDAD DE OFTALMOLOGIA</t>
        </is>
      </c>
      <c r="G117" s="60" t="inlineStr">
        <is>
          <t>OFTALMOLOGIA</t>
        </is>
      </c>
      <c r="H117" s="55" t="inlineStr">
        <is>
          <t>1202064-10</t>
        </is>
      </c>
      <c r="I117" s="36" t="n"/>
      <c r="J117" s="20">
        <f>IF(H117&lt;&gt;"",IFERROR(VLOOKUP(IFERROR(LEFT(H117,FIND("-",H117)-1),H117),'Catalogo MINSAL'!A:E,5,FALSE),""),IF(I117&lt;&gt;"",IFERROR(VLOOKUP(IFERROR(LEFT(I117,FIND("-",I117)-1),I117),'Catalogo MINSAL'!A:E,5,FALSE),""),""))</f>
        <v/>
      </c>
      <c r="K117" s="55" t="inlineStr">
        <is>
          <t>Mario Ricardo Gonzalez Andrade</t>
        </is>
      </c>
      <c r="L117" s="55" t="inlineStr">
        <is>
          <t>Dr. Arturo Hillerns Eltit</t>
        </is>
      </c>
      <c r="M117" s="55" t="inlineStr">
        <is>
          <t>Quirofano 08</t>
        </is>
      </c>
      <c r="N117" s="48" t="inlineStr">
        <is>
          <t>Realizado</t>
        </is>
      </c>
      <c r="O117" s="57" t="n">
        <v>0.4805555555555556</v>
      </c>
      <c r="P117" s="27">
        <f>IFERROR(IF(OR(O117="",A117="",M117=""),"",IF(SUMPRODUCT(($A$4:$A$500=A117)*($M$4:$M$500=M117)*($O$4:$O$500&lt;&gt;"")*(MOD($O$4:$O$500,1)&lt;MOD(O117,1)))=0,IF(MOD(O117,1)&lt;=TIME(8,15,0),"Ingreso adecuado primera hora","Atraso primera hora"),"No aplica")),"")</f>
        <v/>
      </c>
      <c r="Q117" s="86" t="n"/>
      <c r="R117" s="57" t="n">
        <v>0.4902777777777778</v>
      </c>
      <c r="S117" s="57" t="n">
        <v>0.4993055555555556</v>
      </c>
      <c r="T117" s="57" t="n">
        <v>0.5013888888888889</v>
      </c>
      <c r="U117" s="103">
        <f>IFERROR(VLOOKUP(M117,'Horario Pabellones'!$A$4:$D$17,2,FALSE),"")</f>
        <v/>
      </c>
      <c r="V117" s="103">
        <f>IFERROR(VLOOKUP(M117,'Horario Pabellones'!$A$4:$D$17,3,FALSE),"")</f>
        <v/>
      </c>
      <c r="W117" s="104">
        <f>IFERROR(VLOOKUP(M117,'Horario Pabellones'!$A$4:$D$17,4,FALSE),"")</f>
        <v/>
      </c>
      <c r="X117" s="93">
        <f>IFERROR(IF(OR(A117="",M117="",W117=""),"",(((_xludf.AGGREGATE(14,6,MOD($S$4:$S$500,1)/(($A$4:$A$500=A117)*($M$4:$M$500=M117)*($R$4:$R$500&lt;&gt;"")*($S$4:$S$500&lt;&gt;"")),1)-_xludf.AGGREGATE(15,6,MOD($R$4:$R$500,1)/(($A$4:$A$500=A117)*($M$4:$M$500=M117)*($R$4:$R$500&lt;&gt;"")*($S$4:$S$500&lt;&gt;"")),1))*1440)/60)/(W117/60)),"")</f>
        <v/>
      </c>
      <c r="Y117" s="26">
        <f>IFERROR(IF(OR(O117="",A117="",M117=""),"",(IF(ISNUMBER(O117),MOD(O117,1),TIMEVALUE(O117))-LOOKUP(2,1/(($A$4:$A$500=A117)*($M$4:$M$500=M117)*($T$4:$T$500&lt;&gt;"")*($T$4:$T$500&lt;IF(ISNUMBER(O117),MOD(O117,1),TIMEVALUE(O117)))),$T$4:$T$500))*1440),"")</f>
        <v/>
      </c>
      <c r="Z117" s="27">
        <f>IFERROR(IF(Y117="","",IF(ROUND(Y117,0)&lt;=15,"Cumple","No cumple")),"")</f>
        <v/>
      </c>
      <c r="AA117" s="85" t="inlineStr">
        <is>
          <t>Cirujano en policlinico (Dr. Hillers)</t>
        </is>
      </c>
      <c r="AB117" s="26">
        <f>IFERROR(IF(OR(O117="",R117=""),"",IF(IF(ISNUMBER(R117),MOD(R117,1),TIMEVALUE(R117))&gt;=IF(ISNUMBER(O117),MOD(O117,1),TIMEVALUE(O117)),(IF(ISNUMBER(R117),MOD(R117,1),TIMEVALUE(R117))-IF(ISNUMBER(O117),MOD(O117,1),TIMEVALUE(O117)))*1440,(IF(ISNUMBER(R117),MOD(R117,1),TIMEVALUE(R117))+1-IF(ISNUMBER(O117),MOD(O117,1),TIMEVALUE(O117)))*1440)),"")</f>
        <v/>
      </c>
      <c r="AC117" s="28">
        <f>IFERROR(IF(OR(R117="",S117=""),"",IF(IF(ISNUMBER(S117),MOD(S117,1),TIMEVALUE(S117))&gt;=IF(ISNUMBER(R117),MOD(R117,1),TIMEVALUE(R117)),(IF(ISNUMBER(S117),MOD(S117,1),TIMEVALUE(S117))-IF(ISNUMBER(R117),MOD(R117,1),TIMEVALUE(R117)))*1440,(IF(ISNUMBER(S117),MOD(S117,1),TIMEVALUE(S117))+1-IF(ISNUMBER(R117),MOD(R117,1),TIMEVALUE(R117)))*1440)),"")</f>
        <v/>
      </c>
      <c r="AD117" s="105" t="n">
        <v>30</v>
      </c>
      <c r="AE117" s="26">
        <f>IFERROR(IF(OR(AC117="",AD117=""),"",AC117-AD117),"")</f>
        <v/>
      </c>
      <c r="AF117" s="27">
        <f>IFERROR(IF(AE117="","",IF(ROUND(AE117,0)&gt;15,"Subestimacion",IF(ROUND(AE117,0)&lt;-15,"Sobrestimacion","Asertivo"))),"")</f>
        <v/>
      </c>
      <c r="AG117" s="55" t="inlineStr">
        <is>
          <t>Sin Suspensión</t>
        </is>
      </c>
      <c r="AH117" s="85" t="n"/>
      <c r="AI117" s="85" t="n"/>
      <c r="AJ117" s="19" t="n"/>
      <c r="AK117" s="19" t="inlineStr">
        <is>
          <t>Sí</t>
        </is>
      </c>
      <c r="AL117" s="19" t="inlineStr">
        <is>
          <t>No</t>
        </is>
      </c>
      <c r="AM117" s="55" t="inlineStr">
        <is>
          <t>I0001189883</t>
        </is>
      </c>
      <c r="AN117" s="19" t="n"/>
      <c r="AO117" s="19" t="n"/>
      <c r="AP117" s="127">
        <f>IF(A117="","",A117-WEEKDAY(A117,2)+1)</f>
        <v/>
      </c>
      <c r="AQ117" s="127">
        <f>IF(AO117="","",AO117+6)</f>
        <v/>
      </c>
      <c r="AR117" s="19">
        <f>IF(AO117="","","Semana "&amp;TEXT(AO117,"dd-mm-yyyy")&amp;" al "&amp;TEXT(AP117,"dd-mm-yyyy"))</f>
        <v/>
      </c>
      <c r="AS117" s="19">
        <f>IF(A117="","",TEXT(A117,"mmmm yyyy"))</f>
        <v/>
      </c>
      <c r="AT117" s="19">
        <f>IF(A117="","",TEXT(A117,"dddd"))</f>
        <v/>
      </c>
      <c r="AU117" s="19">
        <f>IF(A117="","","CRR-"&amp;TEXT(A117,"yyyymmdd")&amp;"-"&amp;M117&amp;"-"&amp;TEXT(ROW()-3,"0000"))</f>
        <v/>
      </c>
      <c r="AV117" s="19">
        <f>IF(A117="","",IF(OR(B117="",C117="",E117="",F117="",M117="",N117=""),"Revisar campos obligatorios",IF(AND(P117="Atraso primera hora",Q117=""),"Falta justificación atraso primera hora",IF(AND(Z117="No cumple",AA117=""),"Falta justificación recambio &gt;15 min",IF(AND(ISNUMBER(SEARCH("suspend",N117)),OR(AG117="",AH117="")),"Falta causa/motivo suspensión","OK")))))</f>
        <v/>
      </c>
      <c r="AW117" s="19">
        <f>IF(N117="","",IF(ISNUMBER(SEARCH("suspend",N117)),IF(AND(AG117="",AH117=""),"Sin causa/motivo registrado",IF(AG117="",AH117,IF(AH117="",AG117,AG117&amp;": "&amp;AH117))),""))</f>
        <v/>
      </c>
    </row>
    <row r="118" ht="16" customHeight="1" s="151">
      <c r="A118" s="54" t="n">
        <v>46176</v>
      </c>
      <c r="B118" s="55" t="inlineStr">
        <is>
          <t>SONIA</t>
        </is>
      </c>
      <c r="C118" s="55" t="inlineStr">
        <is>
          <t>VALENZUELA</t>
        </is>
      </c>
      <c r="D118" s="55" t="inlineStr">
        <is>
          <t>81a 2m 28d</t>
        </is>
      </c>
      <c r="E118" s="55" t="inlineStr">
        <is>
          <t>- FACOERESIS EXTRACAPSULAR CON IMPLANTE DE LENTE INTRAOCULAR (NO INCLUYE EL VALOR DE LA PROTESIS)</t>
        </is>
      </c>
      <c r="F118" s="59" t="inlineStr">
        <is>
          <t>UNIDAD DE OFTALMOLOGIA</t>
        </is>
      </c>
      <c r="G118" s="60" t="inlineStr">
        <is>
          <t>OFTALMOLOGIA</t>
        </is>
      </c>
      <c r="H118" s="55" t="inlineStr">
        <is>
          <t>1202064-10</t>
        </is>
      </c>
      <c r="I118" s="36" t="n"/>
      <c r="J118" s="20">
        <f>IF(H118&lt;&gt;"",IFERROR(VLOOKUP(IFERROR(LEFT(H118,FIND("-",H118)-1),H118),'Catalogo MINSAL'!A:E,5,FALSE),""),IF(I118&lt;&gt;"",IFERROR(VLOOKUP(IFERROR(LEFT(I118,FIND("-",I118)-1),I118),'Catalogo MINSAL'!A:E,5,FALSE),""),""))</f>
        <v/>
      </c>
      <c r="K118" s="55" t="inlineStr">
        <is>
          <t>Mario Ricardo Gonzalez Andrade</t>
        </is>
      </c>
      <c r="L118" s="55" t="inlineStr">
        <is>
          <t>Dr. Arturo Hillerns Eltit</t>
        </is>
      </c>
      <c r="M118" s="55" t="inlineStr">
        <is>
          <t>Quirofano 08</t>
        </is>
      </c>
      <c r="N118" s="48" t="inlineStr">
        <is>
          <t>Realizado</t>
        </is>
      </c>
      <c r="O118" s="57" t="n">
        <v>0.5208333333333334</v>
      </c>
      <c r="P118" s="27">
        <f>IFERROR(IF(OR(O118="",A118="",M118=""),"",IF(SUMPRODUCT(($A$4:$A$500=A118)*($M$4:$M$500=M118)*($O$4:$O$500&lt;&gt;"")*(MOD($O$4:$O$500,1)&lt;MOD(O118,1)))=0,IF(MOD(O118,1)&lt;=TIME(8,15,0),"Ingreso adecuado primera hora","Atraso primera hora"),"No aplica")),"")</f>
        <v/>
      </c>
      <c r="Q118" s="86" t="n"/>
      <c r="R118" s="57" t="n">
        <v>0.5361111111111111</v>
      </c>
      <c r="S118" s="57" t="n">
        <v>0.5472222222222223</v>
      </c>
      <c r="T118" s="57" t="n">
        <v>0.55</v>
      </c>
      <c r="U118" s="103">
        <f>IFERROR(VLOOKUP(M118,'Horario Pabellones'!$A$4:$D$17,2,FALSE),"")</f>
        <v/>
      </c>
      <c r="V118" s="103">
        <f>IFERROR(VLOOKUP(M118,'Horario Pabellones'!$A$4:$D$17,3,FALSE),"")</f>
        <v/>
      </c>
      <c r="W118" s="104">
        <f>IFERROR(VLOOKUP(M118,'Horario Pabellones'!$A$4:$D$17,4,FALSE),"")</f>
        <v/>
      </c>
      <c r="X118" s="93">
        <f>IFERROR(IF(OR(A118="",M118="",W118=""),"",(((_xludf.AGGREGATE(14,6,MOD($S$4:$S$500,1)/(($A$4:$A$500=A118)*($M$4:$M$500=M118)*($R$4:$R$500&lt;&gt;"")*($S$4:$S$500&lt;&gt;"")),1)-_xludf.AGGREGATE(15,6,MOD($R$4:$R$500,1)/(($A$4:$A$500=A118)*($M$4:$M$500=M118)*($R$4:$R$500&lt;&gt;"")*($S$4:$S$500&lt;&gt;"")),1))*1440)/60)/(W118/60)),"")</f>
        <v/>
      </c>
      <c r="Y118" s="26">
        <f>IFERROR(IF(OR(O118="",A118="",M118=""),"",(IF(ISNUMBER(O118),MOD(O118,1),TIMEVALUE(O118))-LOOKUP(2,1/(($A$4:$A$500=A118)*($M$4:$M$500=M118)*($T$4:$T$500&lt;&gt;"")*($T$4:$T$500&lt;IF(ISNUMBER(O118),MOD(O118,1),TIMEVALUE(O118)))),$T$4:$T$500))*1440),"")</f>
        <v/>
      </c>
      <c r="Z118" s="27">
        <f>IFERROR(IF(Y118="","",IF(ROUND(Y118,0)&lt;=15,"Cumple","No cumple")),"")</f>
        <v/>
      </c>
      <c r="AA118" s="85" t="inlineStr">
        <is>
          <t>Cirujano en policlinico (Dr. Hillers)</t>
        </is>
      </c>
      <c r="AB118" s="26">
        <f>IFERROR(IF(OR(O118="",R118=""),"",IF(IF(ISNUMBER(R118),MOD(R118,1),TIMEVALUE(R118))&gt;=IF(ISNUMBER(O118),MOD(O118,1),TIMEVALUE(O118)),(IF(ISNUMBER(R118),MOD(R118,1),TIMEVALUE(R118))-IF(ISNUMBER(O118),MOD(O118,1),TIMEVALUE(O118)))*1440,(IF(ISNUMBER(R118),MOD(R118,1),TIMEVALUE(R118))+1-IF(ISNUMBER(O118),MOD(O118,1),TIMEVALUE(O118)))*1440)),"")</f>
        <v/>
      </c>
      <c r="AC118" s="28">
        <f>IFERROR(IF(OR(R118="",S118=""),"",IF(IF(ISNUMBER(S118),MOD(S118,1),TIMEVALUE(S118))&gt;=IF(ISNUMBER(R118),MOD(R118,1),TIMEVALUE(R118)),(IF(ISNUMBER(S118),MOD(S118,1),TIMEVALUE(S118))-IF(ISNUMBER(R118),MOD(R118,1),TIMEVALUE(R118)))*1440,(IF(ISNUMBER(S118),MOD(S118,1),TIMEVALUE(S118))+1-IF(ISNUMBER(R118),MOD(R118,1),TIMEVALUE(R118)))*1440)),"")</f>
        <v/>
      </c>
      <c r="AD118" s="105" t="n">
        <v>30</v>
      </c>
      <c r="AE118" s="26">
        <f>IFERROR(IF(OR(AC118="",AD118=""),"",AC118-AD118),"")</f>
        <v/>
      </c>
      <c r="AF118" s="27">
        <f>IFERROR(IF(AE118="","",IF(ROUND(AE118,0)&gt;15,"Subestimacion",IF(ROUND(AE118,0)&lt;-15,"Sobrestimacion","Asertivo"))),"")</f>
        <v/>
      </c>
      <c r="AG118" s="55" t="inlineStr">
        <is>
          <t>Sin Suspensión</t>
        </is>
      </c>
      <c r="AH118" s="85" t="n"/>
      <c r="AI118" s="85" t="n"/>
      <c r="AJ118" s="19" t="n"/>
      <c r="AK118" s="19" t="inlineStr">
        <is>
          <t>Sí</t>
        </is>
      </c>
      <c r="AL118" s="19" t="inlineStr">
        <is>
          <t>No</t>
        </is>
      </c>
      <c r="AM118" s="55" t="inlineStr">
        <is>
          <t>I0001189885</t>
        </is>
      </c>
      <c r="AN118" s="19" t="n"/>
      <c r="AO118" s="19" t="n"/>
      <c r="AP118" s="127">
        <f>IF(A118="","",A118-WEEKDAY(A118,2)+1)</f>
        <v/>
      </c>
      <c r="AQ118" s="127">
        <f>IF(AO118="","",AO118+6)</f>
        <v/>
      </c>
      <c r="AR118" s="19">
        <f>IF(AO118="","","Semana "&amp;TEXT(AO118,"dd-mm-yyyy")&amp;" al "&amp;TEXT(AP118,"dd-mm-yyyy"))</f>
        <v/>
      </c>
      <c r="AS118" s="19">
        <f>IF(A118="","",TEXT(A118,"mmmm yyyy"))</f>
        <v/>
      </c>
      <c r="AT118" s="19">
        <f>IF(A118="","",TEXT(A118,"dddd"))</f>
        <v/>
      </c>
      <c r="AU118" s="19">
        <f>IF(A118="","","CRR-"&amp;TEXT(A118,"yyyymmdd")&amp;"-"&amp;M118&amp;"-"&amp;TEXT(ROW()-3,"0000"))</f>
        <v/>
      </c>
      <c r="AV118" s="19">
        <f>IF(A118="","",IF(OR(B118="",C118="",E118="",F118="",M118="",N118=""),"Revisar campos obligatorios",IF(AND(P118="Atraso primera hora",Q118=""),"Falta justificación atraso primera hora",IF(AND(Z118="No cumple",AA118=""),"Falta justificación recambio &gt;15 min",IF(AND(ISNUMBER(SEARCH("suspend",N118)),OR(AG118="",AH118="")),"Falta causa/motivo suspensión","OK")))))</f>
        <v/>
      </c>
      <c r="AW118" s="19">
        <f>IF(N118="","",IF(ISNUMBER(SEARCH("suspend",N118)),IF(AND(AG118="",AH118=""),"Sin causa/motivo registrado",IF(AG118="",AH118,IF(AH118="",AG118,AG118&amp;": "&amp;AH118))),""))</f>
        <v/>
      </c>
    </row>
    <row r="119" ht="16" customHeight="1" s="151">
      <c r="A119" s="54" t="n">
        <v>46176</v>
      </c>
      <c r="B119" s="55" t="inlineStr">
        <is>
          <t>BENERILDA DEL CARMEN</t>
        </is>
      </c>
      <c r="C119" s="55" t="inlineStr">
        <is>
          <t>ALBORNOZ</t>
        </is>
      </c>
      <c r="D119" s="55" t="inlineStr">
        <is>
          <t>82a 9m 30d</t>
        </is>
      </c>
      <c r="E119" s="55" t="inlineStr">
        <is>
          <t>- FACOERESIS EXTRACAPSULAR CON IMPLANTE DE LENTE INTRAOCULAR (NO INCLUYE EL VALOR DE LA PROTESIS)</t>
        </is>
      </c>
      <c r="F119" s="59" t="inlineStr">
        <is>
          <t>UNIDAD DE OFTALMOLOGIA</t>
        </is>
      </c>
      <c r="G119" s="60" t="inlineStr">
        <is>
          <t>OFTALMOLOGIA</t>
        </is>
      </c>
      <c r="H119" s="55" t="inlineStr">
        <is>
          <t>1202064-10</t>
        </is>
      </c>
      <c r="I119" s="36" t="n"/>
      <c r="J119" s="20">
        <f>IF(H119&lt;&gt;"",IFERROR(VLOOKUP(IFERROR(LEFT(H119,FIND("-",H119)-1),H119),'Catalogo MINSAL'!A:E,5,FALSE),""),IF(I119&lt;&gt;"",IFERROR(VLOOKUP(IFERROR(LEFT(I119,FIND("-",I119)-1),I119),'Catalogo MINSAL'!A:E,5,FALSE),""),""))</f>
        <v/>
      </c>
      <c r="K119" s="55" t="inlineStr">
        <is>
          <t>Mario Ricardo Gonzalez Andrade</t>
        </is>
      </c>
      <c r="L119" s="55" t="inlineStr">
        <is>
          <t>Dr. Arturo Hillerns Eltit</t>
        </is>
      </c>
      <c r="M119" s="55" t="inlineStr">
        <is>
          <t>Quirofano 08</t>
        </is>
      </c>
      <c r="N119" s="48" t="inlineStr">
        <is>
          <t>Realizado</t>
        </is>
      </c>
      <c r="O119" s="57" t="n">
        <v>0.6006944444444444</v>
      </c>
      <c r="P119" s="27">
        <f>IFERROR(IF(OR(O119="",A119="",M119=""),"",IF(SUMPRODUCT(($A$4:$A$500=A119)*($M$4:$M$500=M119)*($O$4:$O$500&lt;&gt;"")*(MOD($O$4:$O$500,1)&lt;MOD(O119,1)))=0,IF(MOD(O119,1)&lt;=TIME(8,15,0),"Ingreso adecuado primera hora","Atraso primera hora"),"No aplica")),"")</f>
        <v/>
      </c>
      <c r="Q119" s="86" t="n"/>
      <c r="R119" s="57" t="n">
        <v>0.60625</v>
      </c>
      <c r="S119" s="57" t="n">
        <v>0.6270833333333333</v>
      </c>
      <c r="T119" s="57" t="n">
        <v>0.6298611111111111</v>
      </c>
      <c r="U119" s="103">
        <f>IFERROR(VLOOKUP(M119,'Horario Pabellones'!$A$4:$D$17,2,FALSE),"")</f>
        <v/>
      </c>
      <c r="V119" s="103">
        <f>IFERROR(VLOOKUP(M119,'Horario Pabellones'!$A$4:$D$17,3,FALSE),"")</f>
        <v/>
      </c>
      <c r="W119" s="104">
        <f>IFERROR(VLOOKUP(M119,'Horario Pabellones'!$A$4:$D$17,4,FALSE),"")</f>
        <v/>
      </c>
      <c r="X119" s="93">
        <f>IFERROR(IF(OR(A119="",M119="",W119=""),"",(((_xludf.AGGREGATE(14,6,MOD($S$4:$S$500,1)/(($A$4:$A$500=A119)*($M$4:$M$500=M119)*($R$4:$R$500&lt;&gt;"")*($S$4:$S$500&lt;&gt;"")),1)-_xludf.AGGREGATE(15,6,MOD($R$4:$R$500,1)/(($A$4:$A$500=A119)*($M$4:$M$500=M119)*($R$4:$R$500&lt;&gt;"")*($S$4:$S$500&lt;&gt;"")),1))*1440)/60)/(W119/60)),"")</f>
        <v/>
      </c>
      <c r="Y119" s="26">
        <f>IFERROR(IF(OR(O119="",A119="",M119=""),"",(IF(ISNUMBER(O119),MOD(O119,1),TIMEVALUE(O119))-LOOKUP(2,1/(($A$4:$A$500=A119)*($M$4:$M$500=M119)*($T$4:$T$500&lt;&gt;"")*($T$4:$T$500&lt;IF(ISNUMBER(O119),MOD(O119,1),TIMEVALUE(O119)))),$T$4:$T$500))*1440),"")</f>
        <v/>
      </c>
      <c r="Z119" s="27">
        <f>IFERROR(IF(Y119="","",IF(ROUND(Y119,0)&lt;=15,"Cumple","No cumple")),"")</f>
        <v/>
      </c>
      <c r="AA119" s="85" t="inlineStr">
        <is>
          <t>Cirujano en policlinico (Dr. Hillers)</t>
        </is>
      </c>
      <c r="AB119" s="26">
        <f>IFERROR(IF(OR(O119="",R119=""),"",IF(IF(ISNUMBER(R119),MOD(R119,1),TIMEVALUE(R119))&gt;=IF(ISNUMBER(O119),MOD(O119,1),TIMEVALUE(O119)),(IF(ISNUMBER(R119),MOD(R119,1),TIMEVALUE(R119))-IF(ISNUMBER(O119),MOD(O119,1),TIMEVALUE(O119)))*1440,(IF(ISNUMBER(R119),MOD(R119,1),TIMEVALUE(R119))+1-IF(ISNUMBER(O119),MOD(O119,1),TIMEVALUE(O119)))*1440)),"")</f>
        <v/>
      </c>
      <c r="AC119" s="28">
        <f>IFERROR(IF(OR(R119="",S119=""),"",IF(IF(ISNUMBER(S119),MOD(S119,1),TIMEVALUE(S119))&gt;=IF(ISNUMBER(R119),MOD(R119,1),TIMEVALUE(R119)),(IF(ISNUMBER(S119),MOD(S119,1),TIMEVALUE(S119))-IF(ISNUMBER(R119),MOD(R119,1),TIMEVALUE(R119)))*1440,(IF(ISNUMBER(S119),MOD(S119,1),TIMEVALUE(S119))+1-IF(ISNUMBER(R119),MOD(R119,1),TIMEVALUE(R119)))*1440)),"")</f>
        <v/>
      </c>
      <c r="AD119" s="105" t="n">
        <v>30</v>
      </c>
      <c r="AE119" s="26">
        <f>IFERROR(IF(OR(AC119="",AD119=""),"",AC119-AD119),"")</f>
        <v/>
      </c>
      <c r="AF119" s="27">
        <f>IFERROR(IF(AE119="","",IF(ROUND(AE119,0)&gt;15,"Subestimacion",IF(ROUND(AE119,0)&lt;-15,"Sobrestimacion","Asertivo"))),"")</f>
        <v/>
      </c>
      <c r="AG119" s="55" t="inlineStr">
        <is>
          <t>Sin Suspensión</t>
        </is>
      </c>
      <c r="AH119" s="85" t="n"/>
      <c r="AI119" s="85" t="n"/>
      <c r="AJ119" s="19" t="n"/>
      <c r="AK119" s="19" t="inlineStr">
        <is>
          <t>Sí</t>
        </is>
      </c>
      <c r="AL119" s="19" t="inlineStr">
        <is>
          <t>No</t>
        </is>
      </c>
      <c r="AM119" s="55" t="inlineStr">
        <is>
          <t>I0001189884</t>
        </is>
      </c>
      <c r="AN119" s="19" t="n"/>
      <c r="AO119" s="19" t="n"/>
      <c r="AP119" s="127">
        <f>IF(A119="","",A119-WEEKDAY(A119,2)+1)</f>
        <v/>
      </c>
      <c r="AQ119" s="127">
        <f>IF(AO119="","",AO119+6)</f>
        <v/>
      </c>
      <c r="AR119" s="19">
        <f>IF(AO119="","","Semana "&amp;TEXT(AO119,"dd-mm-yyyy")&amp;" al "&amp;TEXT(AP119,"dd-mm-yyyy"))</f>
        <v/>
      </c>
      <c r="AS119" s="19">
        <f>IF(A119="","",TEXT(A119,"mmmm yyyy"))</f>
        <v/>
      </c>
      <c r="AT119" s="19">
        <f>IF(A119="","",TEXT(A119,"dddd"))</f>
        <v/>
      </c>
      <c r="AU119" s="19">
        <f>IF(A119="","","CRR-"&amp;TEXT(A119,"yyyymmdd")&amp;"-"&amp;M119&amp;"-"&amp;TEXT(ROW()-3,"0000"))</f>
        <v/>
      </c>
      <c r="AV119" s="19">
        <f>IF(A119="","",IF(OR(B119="",C119="",E119="",F119="",M119="",N119=""),"Revisar campos obligatorios",IF(AND(P119="Atraso primera hora",Q119=""),"Falta justificación atraso primera hora",IF(AND(Z119="No cumple",AA119=""),"Falta justificación recambio &gt;15 min",IF(AND(ISNUMBER(SEARCH("suspend",N119)),OR(AG119="",AH119="")),"Falta causa/motivo suspensión","OK")))))</f>
        <v/>
      </c>
      <c r="AW119" s="19">
        <f>IF(N119="","",IF(ISNUMBER(SEARCH("suspend",N119)),IF(AND(AG119="",AH119=""),"Sin causa/motivo registrado",IF(AG119="",AH119,IF(AH119="",AG119,AG119&amp;": "&amp;AH119))),""))</f>
        <v/>
      </c>
    </row>
    <row r="120" ht="16" customHeight="1" s="151">
      <c r="A120" s="54" t="n">
        <v>46176</v>
      </c>
      <c r="B120" s="55" t="inlineStr">
        <is>
          <t>GUISELA DEL CARMEN</t>
        </is>
      </c>
      <c r="C120" s="55" t="inlineStr">
        <is>
          <t>FERNÁNDEZ</t>
        </is>
      </c>
      <c r="D120" s="55" t="inlineStr">
        <is>
          <t>81a 0m 22d</t>
        </is>
      </c>
      <c r="E120" s="55" t="inlineStr">
        <is>
          <t>- FACOERESIS EXTRACAPSULAR CON IMPLANTE DE LENTE INTRAOCULAR (NO INCLUYE EL VALOR DE LA PROTESIS)</t>
        </is>
      </c>
      <c r="F120" s="59" t="inlineStr">
        <is>
          <t>UNIDAD DE OFTALMOLOGIA</t>
        </is>
      </c>
      <c r="G120" s="60" t="inlineStr">
        <is>
          <t>OFTALMOLOGIA</t>
        </is>
      </c>
      <c r="H120" s="55" t="inlineStr">
        <is>
          <t>1202064-10</t>
        </is>
      </c>
      <c r="I120" s="36" t="n"/>
      <c r="J120" s="20">
        <f>IF(H120&lt;&gt;"",IFERROR(VLOOKUP(IFERROR(LEFT(H120,FIND("-",H120)-1),H120),'Catalogo MINSAL'!A:E,5,FALSE),""),IF(I120&lt;&gt;"",IFERROR(VLOOKUP(IFERROR(LEFT(I120,FIND("-",I120)-1),I120),'Catalogo MINSAL'!A:E,5,FALSE),""),""))</f>
        <v/>
      </c>
      <c r="K120" s="55" t="inlineStr">
        <is>
          <t>Mario Ricardo Gonzalez Andrade</t>
        </is>
      </c>
      <c r="L120" s="55" t="inlineStr">
        <is>
          <t>Dr. Arturo Hillerns Eltit</t>
        </is>
      </c>
      <c r="M120" s="55" t="inlineStr">
        <is>
          <t>Quirofano 08</t>
        </is>
      </c>
      <c r="N120" s="48" t="inlineStr">
        <is>
          <t>Realizado</t>
        </is>
      </c>
      <c r="O120" s="57" t="n">
        <v>0.6388888888888888</v>
      </c>
      <c r="P120" s="27">
        <f>IFERROR(IF(OR(O120="",A120="",M120=""),"",IF(SUMPRODUCT(($A$4:$A$500=A120)*($M$4:$M$500=M120)*($O$4:$O$500&lt;&gt;"")*(MOD($O$4:$O$500,1)&lt;MOD(O120,1)))=0,IF(MOD(O120,1)&lt;=TIME(8,15,0),"Ingreso adecuado primera hora","Atraso primera hora"),"No aplica")),"")</f>
        <v/>
      </c>
      <c r="Q120" s="87" t="n"/>
      <c r="R120" s="57" t="n">
        <v>0.6458333333333334</v>
      </c>
      <c r="S120" s="57" t="n">
        <v>0.6590277777777778</v>
      </c>
      <c r="T120" s="57" t="n">
        <v>0.6597222222222222</v>
      </c>
      <c r="U120" s="103">
        <f>IFERROR(VLOOKUP(M120,'Horario Pabellones'!$A$4:$D$17,2,FALSE),"")</f>
        <v/>
      </c>
      <c r="V120" s="103">
        <f>IFERROR(VLOOKUP(M120,'Horario Pabellones'!$A$4:$D$17,3,FALSE),"")</f>
        <v/>
      </c>
      <c r="W120" s="104">
        <f>IFERROR(VLOOKUP(M120,'Horario Pabellones'!$A$4:$D$17,4,FALSE),"")</f>
        <v/>
      </c>
      <c r="X120" s="93">
        <f>IFERROR(IF(OR(A120="",M120="",W120=""),"",(((_xludf.AGGREGATE(14,6,MOD($S$4:$S$500,1)/(($A$4:$A$500=A120)*($M$4:$M$500=M120)*($R$4:$R$500&lt;&gt;"")*($S$4:$S$500&lt;&gt;"")),1)-_xludf.AGGREGATE(15,6,MOD($R$4:$R$500,1)/(($A$4:$A$500=A120)*($M$4:$M$500=M120)*($R$4:$R$500&lt;&gt;"")*($S$4:$S$500&lt;&gt;"")),1))*1440)/60)/(W120/60)),"")</f>
        <v/>
      </c>
      <c r="Y120" s="26">
        <f>IFERROR(IF(OR(O120="",A120="",M120=""),"",(IF(ISNUMBER(O120),MOD(O120,1),TIMEVALUE(O120))-LOOKUP(2,1/(($A$4:$A$500=A120)*($M$4:$M$500=M120)*($T$4:$T$500&lt;&gt;"")*($T$4:$T$500&lt;IF(ISNUMBER(O120),MOD(O120,1),TIMEVALUE(O120)))),$T$4:$T$500))*1440),"")</f>
        <v/>
      </c>
      <c r="Z120" s="27">
        <f>IFERROR(IF(Y120="","",IF(ROUND(Y120,0)&lt;=15,"Cumple","No cumple")),"")</f>
        <v/>
      </c>
      <c r="AA120" s="15" t="n"/>
      <c r="AB120" s="26">
        <f>IFERROR(IF(OR(O120="",R120=""),"",IF(IF(ISNUMBER(R120),MOD(R120,1),TIMEVALUE(R120))&gt;=IF(ISNUMBER(O120),MOD(O120,1),TIMEVALUE(O120)),(IF(ISNUMBER(R120),MOD(R120,1),TIMEVALUE(R120))-IF(ISNUMBER(O120),MOD(O120,1),TIMEVALUE(O120)))*1440,(IF(ISNUMBER(R120),MOD(R120,1),TIMEVALUE(R120))+1-IF(ISNUMBER(O120),MOD(O120,1),TIMEVALUE(O120)))*1440)),"")</f>
        <v/>
      </c>
      <c r="AC120" s="28">
        <f>IFERROR(IF(OR(R120="",S120=""),"",IF(IF(ISNUMBER(S120),MOD(S120,1),TIMEVALUE(S120))&gt;=IF(ISNUMBER(R120),MOD(R120,1),TIMEVALUE(R120)),(IF(ISNUMBER(S120),MOD(S120,1),TIMEVALUE(S120))-IF(ISNUMBER(R120),MOD(R120,1),TIMEVALUE(R120)))*1440,(IF(ISNUMBER(S120),MOD(S120,1),TIMEVALUE(S120))+1-IF(ISNUMBER(R120),MOD(R120,1),TIMEVALUE(R120)))*1440)),"")</f>
        <v/>
      </c>
      <c r="AD120" s="105" t="n">
        <v>30</v>
      </c>
      <c r="AE120" s="26">
        <f>IFERROR(IF(OR(AC120="",AD120=""),"",AC120-AD120),"")</f>
        <v/>
      </c>
      <c r="AF120" s="27">
        <f>IFERROR(IF(AE120="","",IF(ROUND(AE120,0)&gt;15,"Subestimacion",IF(ROUND(AE120,0)&lt;-15,"Sobrestimacion","Asertivo"))),"")</f>
        <v/>
      </c>
      <c r="AG120" s="55" t="inlineStr">
        <is>
          <t>Sin Suspensión</t>
        </is>
      </c>
      <c r="AH120" s="15" t="n"/>
      <c r="AI120" s="15" t="n"/>
      <c r="AJ120" s="19" t="n"/>
      <c r="AK120" s="19" t="inlineStr">
        <is>
          <t>Sí</t>
        </is>
      </c>
      <c r="AL120" s="19" t="inlineStr">
        <is>
          <t>No</t>
        </is>
      </c>
      <c r="AM120" s="55" t="inlineStr">
        <is>
          <t>I0001189881</t>
        </is>
      </c>
      <c r="AN120" s="19" t="n"/>
      <c r="AO120" s="19" t="n"/>
      <c r="AP120" s="127">
        <f>IF(A120="","",A120-WEEKDAY(A120,2)+1)</f>
        <v/>
      </c>
      <c r="AQ120" s="127">
        <f>IF(AO120="","",AO120+6)</f>
        <v/>
      </c>
      <c r="AR120" s="19">
        <f>IF(AO120="","","Semana "&amp;TEXT(AO120,"dd-mm-yyyy")&amp;" al "&amp;TEXT(AP120,"dd-mm-yyyy"))</f>
        <v/>
      </c>
      <c r="AS120" s="19">
        <f>IF(A120="","",TEXT(A120,"mmmm yyyy"))</f>
        <v/>
      </c>
      <c r="AT120" s="19">
        <f>IF(A120="","",TEXT(A120,"dddd"))</f>
        <v/>
      </c>
      <c r="AU120" s="19">
        <f>IF(A120="","","CRR-"&amp;TEXT(A120,"yyyymmdd")&amp;"-"&amp;M120&amp;"-"&amp;TEXT(ROW()-3,"0000"))</f>
        <v/>
      </c>
      <c r="AV120" s="19">
        <f>IF(A120="","",IF(OR(B120="",C120="",E120="",F120="",M120="",N120=""),"Revisar campos obligatorios",IF(AND(P120="Atraso primera hora",Q120=""),"Falta justificación atraso primera hora",IF(AND(Z120="No cumple",AA120=""),"Falta justificación recambio &gt;15 min",IF(AND(ISNUMBER(SEARCH("suspend",N120)),OR(AG120="",AH120="")),"Falta causa/motivo suspensión","OK")))))</f>
        <v/>
      </c>
      <c r="AW120" s="19">
        <f>IF(N120="","",IF(ISNUMBER(SEARCH("suspend",N120)),IF(AND(AG120="",AH120=""),"Sin causa/motivo registrado",IF(AG120="",AH120,IF(AH120="",AG120,AG120&amp;": "&amp;AH120))),""))</f>
        <v/>
      </c>
    </row>
    <row r="121" ht="16" customHeight="1" s="151">
      <c r="A121" s="54" t="n">
        <v>46176</v>
      </c>
      <c r="B121" s="55" t="inlineStr">
        <is>
          <t>MARÍA CELIA</t>
        </is>
      </c>
      <c r="C121" s="55" t="inlineStr">
        <is>
          <t>TORO</t>
        </is>
      </c>
      <c r="D121" s="55" t="inlineStr">
        <is>
          <t>81a 6m 30d</t>
        </is>
      </c>
      <c r="E121" s="55" t="inlineStr">
        <is>
          <t>GLAUCOMA, CICLODIATERMIA Y/O CICLOCRIOTERAPIA</t>
        </is>
      </c>
      <c r="F121" s="59" t="inlineStr">
        <is>
          <t>UNIDAD DE OFTALMOLOGIA</t>
        </is>
      </c>
      <c r="G121" s="60" t="inlineStr">
        <is>
          <t>OFTALMOLOGIA</t>
        </is>
      </c>
      <c r="H121" s="55" t="inlineStr">
        <is>
          <t>1201037-3</t>
        </is>
      </c>
      <c r="I121" s="36" t="n"/>
      <c r="J121" s="20">
        <f>IF(H121&lt;&gt;"",IFERROR(VLOOKUP(IFERROR(LEFT(H121,FIND("-",H121)-1),H121),'Catalogo MINSAL'!A:E,5,FALSE),""),IF(I121&lt;&gt;"",IFERROR(VLOOKUP(IFERROR(LEFT(I121,FIND("-",I121)-1),I121),'Catalogo MINSAL'!A:E,5,FALSE),""),""))</f>
        <v/>
      </c>
      <c r="K121" s="55" t="inlineStr">
        <is>
          <t>Mario Ricardo Gonzalez Andrade</t>
        </is>
      </c>
      <c r="L121" s="55" t="inlineStr">
        <is>
          <t>Pablo Romero</t>
        </is>
      </c>
      <c r="M121" s="55" t="inlineStr">
        <is>
          <t>Quirofano 08</t>
        </is>
      </c>
      <c r="N121" s="55" t="inlineStr">
        <is>
          <t>Suspendido</t>
        </is>
      </c>
      <c r="O121" s="36" t="n"/>
      <c r="P121" s="27">
        <f>IFERROR(IF(OR(O121="",A121="",M121=""),"",IF(SUMPRODUCT(($A$4:$A$500=A121)*($M$4:$M$500=M121)*($O$4:$O$500&lt;&gt;"")*(MOD($O$4:$O$500,1)&lt;MOD(O121,1)))=0,IF(MOD(O121,1)&lt;=TIME(8,15,0),"Ingreso adecuado primera hora","Atraso primera hora"),"No aplica")),"")</f>
        <v/>
      </c>
      <c r="Q121" s="86" t="n"/>
      <c r="R121" s="36" t="n"/>
      <c r="S121" s="36" t="n"/>
      <c r="T121" s="36" t="n"/>
      <c r="U121" s="103">
        <f>IFERROR(VLOOKUP(M121,'Horario Pabellones'!$A$4:$D$17,2,FALSE),"")</f>
        <v/>
      </c>
      <c r="V121" s="103">
        <f>IFERROR(VLOOKUP(M121,'Horario Pabellones'!$A$4:$D$17,3,FALSE),"")</f>
        <v/>
      </c>
      <c r="W121" s="104">
        <f>IFERROR(VLOOKUP(M121,'Horario Pabellones'!$A$4:$D$17,4,FALSE),"")</f>
        <v/>
      </c>
      <c r="X121" s="93">
        <f>IFERROR(IF(OR(A121="",M121="",W121=""),"",(((_xludf.AGGREGATE(14,6,MOD($S$4:$S$500,1)/(($A$4:$A$500=A121)*($M$4:$M$500=M121)*($R$4:$R$500&lt;&gt;"")*($S$4:$S$500&lt;&gt;"")),1)-_xludf.AGGREGATE(15,6,MOD($R$4:$R$500,1)/(($A$4:$A$500=A121)*($M$4:$M$500=M121)*($R$4:$R$500&lt;&gt;"")*($S$4:$S$500&lt;&gt;"")),1))*1440)/60)/(W121/60)),"")</f>
        <v/>
      </c>
      <c r="Y121" s="26">
        <f>IFERROR(IF(OR(O121="",A121="",M121=""),"",(IF(ISNUMBER(O121),MOD(O121,1),TIMEVALUE(O121))-LOOKUP(2,1/(($A$4:$A$500=A121)*($M$4:$M$500=M121)*($T$4:$T$500&lt;&gt;"")*($T$4:$T$500&lt;IF(ISNUMBER(O121),MOD(O121,1),TIMEVALUE(O121)))),$T$4:$T$500))*1440),"")</f>
        <v/>
      </c>
      <c r="Z121" s="27">
        <f>IFERROR(IF(Y121="","",IF(ROUND(Y121,0)&lt;=15,"Cumple","No cumple")),"")</f>
        <v/>
      </c>
      <c r="AA121" s="85" t="n"/>
      <c r="AB121" s="26">
        <f>IFERROR(IF(OR(O121="",R121=""),"",IF(IF(ISNUMBER(R121),MOD(R121,1),TIMEVALUE(R121))&gt;=IF(ISNUMBER(O121),MOD(O121,1),TIMEVALUE(O121)),(IF(ISNUMBER(R121),MOD(R121,1),TIMEVALUE(R121))-IF(ISNUMBER(O121),MOD(O121,1),TIMEVALUE(O121)))*1440,(IF(ISNUMBER(R121),MOD(R121,1),TIMEVALUE(R121))+1-IF(ISNUMBER(O121),MOD(O121,1),TIMEVALUE(O121)))*1440)),"")</f>
        <v/>
      </c>
      <c r="AC121" s="28">
        <f>IFERROR(IF(OR(R121="",S121=""),"",IF(IF(ISNUMBER(S121),MOD(S121,1),TIMEVALUE(S121))&gt;=IF(ISNUMBER(R121),MOD(R121,1),TIMEVALUE(R121)),(IF(ISNUMBER(S121),MOD(S121,1),TIMEVALUE(S121))-IF(ISNUMBER(R121),MOD(R121,1),TIMEVALUE(R121)))*1440,(IF(ISNUMBER(S121),MOD(S121,1),TIMEVALUE(S121))+1-IF(ISNUMBER(R121),MOD(R121,1),TIMEVALUE(R121)))*1440)),"")</f>
        <v/>
      </c>
      <c r="AD121" s="105" t="n">
        <v>30</v>
      </c>
      <c r="AE121" s="26">
        <f>IFERROR(IF(OR(AC121="",AD121=""),"",AC121-AD121),"")</f>
        <v/>
      </c>
      <c r="AF121" s="27">
        <f>IFERROR(IF(AE121="","",IF(ROUND(AE121,0)&gt;15,"Subestimacion",IF(ROUND(AE121,0)&lt;-15,"Sobrestimacion","Asertivo"))),"")</f>
        <v/>
      </c>
      <c r="AG121" s="61" t="inlineStr">
        <is>
          <t>Sin indicación quirúrgica</t>
        </is>
      </c>
      <c r="AH121" s="86" t="inlineStr">
        <is>
          <t>Sin medicamento de esclera, sin indicacion qx</t>
        </is>
      </c>
      <c r="AI121" s="86" t="inlineStr">
        <is>
          <t>Sin medicamento de esclera, sin indicacion qx</t>
        </is>
      </c>
      <c r="AJ121" s="19" t="n"/>
      <c r="AK121" s="19" t="inlineStr">
        <is>
          <t>Sí</t>
        </is>
      </c>
      <c r="AL121" s="19" t="inlineStr">
        <is>
          <t>No</t>
        </is>
      </c>
      <c r="AM121" s="55" t="inlineStr">
        <is>
          <t>I0001189886</t>
        </is>
      </c>
      <c r="AN121" s="19" t="n"/>
      <c r="AO121" s="19" t="n"/>
      <c r="AP121" s="127">
        <f>IF(A121="","",A121-WEEKDAY(A121,2)+1)</f>
        <v/>
      </c>
      <c r="AQ121" s="127">
        <f>IF(AO121="","",AO121+6)</f>
        <v/>
      </c>
      <c r="AR121" s="19">
        <f>IF(AO121="","","Semana "&amp;TEXT(AO121,"dd-mm-yyyy")&amp;" al "&amp;TEXT(AP121,"dd-mm-yyyy"))</f>
        <v/>
      </c>
      <c r="AS121" s="19">
        <f>IF(A121="","",TEXT(A121,"mmmm yyyy"))</f>
        <v/>
      </c>
      <c r="AT121" s="19">
        <f>IF(A121="","",TEXT(A121,"dddd"))</f>
        <v/>
      </c>
      <c r="AU121" s="19">
        <f>IF(A121="","","CRR-"&amp;TEXT(A121,"yyyymmdd")&amp;"-"&amp;M121&amp;"-"&amp;TEXT(ROW()-3,"0000"))</f>
        <v/>
      </c>
      <c r="AV121" s="19">
        <f>IF(A121="","",IF(OR(B121="",C121="",E121="",F121="",M121="",N121=""),"Revisar campos obligatorios",IF(AND(P121="Atraso primera hora",Q121=""),"Falta justificación atraso primera hora",IF(AND(Z121="No cumple",AA121=""),"Falta justificación recambio &gt;15 min",IF(AND(ISNUMBER(SEARCH("suspend",N121)),OR(AG121="",AH121="")),"Falta causa/motivo suspensión","OK")))))</f>
        <v/>
      </c>
      <c r="AW121" s="19">
        <f>IF(N121="","",IF(ISNUMBER(SEARCH("suspend",N121)),IF(AND(AG121="",AH121=""),"Sin causa/motivo registrado",IF(AG121="",AH121,IF(AH121="",AG121,AG121&amp;": "&amp;AH121))),""))</f>
        <v/>
      </c>
    </row>
    <row r="122" ht="16" customHeight="1" s="151">
      <c r="A122" s="65" t="n">
        <v>46177</v>
      </c>
      <c r="B122" s="66" t="inlineStr">
        <is>
          <t>MARGARITA ISABEL</t>
        </is>
      </c>
      <c r="C122" s="66" t="inlineStr">
        <is>
          <t>CARRERA</t>
        </is>
      </c>
      <c r="D122" s="66" t="inlineStr">
        <is>
          <t>46a 0m 16d</t>
        </is>
      </c>
      <c r="E122" s="67" t="inlineStr">
        <is>
          <t>- FACOERESIS EXTRACAPSULAR CON IMPLANTE DE LENTE INTRAOCULAR (NO INCLUYE EL VALOR DE LA PROTESIS)</t>
        </is>
      </c>
      <c r="F122" s="68" t="inlineStr">
        <is>
          <t>UNIDAD DE OFTALMOLOGIA</t>
        </is>
      </c>
      <c r="G122" s="72" t="inlineStr">
        <is>
          <t>OFTALMOLOGIA</t>
        </is>
      </c>
      <c r="H122" s="66" t="inlineStr">
        <is>
          <t>1202064-10</t>
        </is>
      </c>
      <c r="I122" s="19" t="n"/>
      <c r="J122" s="20">
        <f>IF(H122&lt;&gt;"",IFERROR(VLOOKUP(IFERROR(LEFT(H122,FIND("-",H122)-1),H122),'Catalogo MINSAL'!A:E,5,FALSE),""),IF(I122&lt;&gt;"",IFERROR(VLOOKUP(IFERROR(LEFT(I122,FIND("-",I122)-1),I122),'Catalogo MINSAL'!A:E,5,FALSE),""),""))</f>
        <v/>
      </c>
      <c r="K122" s="66" t="inlineStr">
        <is>
          <t>Diandra Silva Rodriguez</t>
        </is>
      </c>
      <c r="L122" s="66" t="inlineStr">
        <is>
          <t>Dr. Arturo Hillerns Eltit</t>
        </is>
      </c>
      <c r="M122" s="66" t="inlineStr">
        <is>
          <t>Quirofano 08</t>
        </is>
      </c>
      <c r="N122" s="19" t="inlineStr">
        <is>
          <t>Realizado</t>
        </is>
      </c>
      <c r="O122" s="70" t="n">
        <v>0.3645833333333333</v>
      </c>
      <c r="P122" s="27">
        <f>IFERROR(IF(OR(O122="",A122="",M122=""),"",IF(SUMPRODUCT(($A$4:$A$500=A122)*($M$4:$M$500=M122)*($O$4:$O$500&lt;&gt;"")*(MOD($O$4:$O$500,1)&lt;MOD(O122,1)))=0,IF(MOD(O122,1)&lt;=TIME(8,15,0),"Ingreso adecuado primera hora","Atraso primera hora"),"No aplica")),"")</f>
        <v/>
      </c>
      <c r="Q122" s="86" t="inlineStr">
        <is>
          <t>Cirujano en policlinico (Dr. Hillers)</t>
        </is>
      </c>
      <c r="R122" s="70" t="n">
        <v>0.3722222222222222</v>
      </c>
      <c r="S122" s="70" t="n">
        <v>0.3798611111111111</v>
      </c>
      <c r="T122" s="70" t="n">
        <v>0.38125</v>
      </c>
      <c r="U122" s="106">
        <f>IFERROR(VLOOKUP(M122,'Horario Pabellones'!$A$4:$D$17,2,FALSE),"")</f>
        <v/>
      </c>
      <c r="V122" s="106">
        <f>IFERROR(VLOOKUP(M122,'Horario Pabellones'!$A$4:$D$17,3,FALSE),"")</f>
        <v/>
      </c>
      <c r="W122" s="104">
        <f>IFERROR(VLOOKUP(M122,'Horario Pabellones'!$A$4:$D$17,4,FALSE),"")</f>
        <v/>
      </c>
      <c r="X122" s="93">
        <f>IFERROR(IF(OR(A122="",M122="",W122=""),"",(((_xludf.AGGREGATE(14,6,MOD($S$4:$S$500,1)/(($A$4:$A$500=A122)*($M$4:$M$500=M122)*($R$4:$R$500&lt;&gt;"")*($S$4:$S$500&lt;&gt;"")),1)-_xludf.AGGREGATE(15,6,MOD($R$4:$R$500,1)/(($A$4:$A$500=A122)*($M$4:$M$500=M122)*($R$4:$R$500&lt;&gt;"")*($S$4:$S$500&lt;&gt;"")),1))*1440)/60)/(W122/60)),"")</f>
        <v/>
      </c>
      <c r="Y122" s="26">
        <f>IFERROR(IF(OR(O122="",A122="",M122=""),"",(IF(ISNUMBER(O122),MOD(O122,1),TIMEVALUE(O122))-LOOKUP(2,1/(($A$4:$A$500=A122)*($M$4:$M$500=M122)*($T$4:$T$500&lt;&gt;"")*($T$4:$T$500&lt;IF(ISNUMBER(O122),MOD(O122,1),TIMEVALUE(O122)))),$T$4:$T$500))*1440),"")</f>
        <v/>
      </c>
      <c r="Z122" s="27">
        <f>IFERROR(IF(Y122="","",IF(ROUND(Y122,0)&lt;=15,"Cumple","No cumple")),"")</f>
        <v/>
      </c>
      <c r="AA122" s="85" t="n"/>
      <c r="AB122" s="26">
        <f>IFERROR(IF(OR(O122="",R122=""),"",IF(IF(ISNUMBER(R122),MOD(R122,1),TIMEVALUE(R122))&gt;=IF(ISNUMBER(O122),MOD(O122,1),TIMEVALUE(O122)),(IF(ISNUMBER(R122),MOD(R122,1),TIMEVALUE(R122))-IF(ISNUMBER(O122),MOD(O122,1),TIMEVALUE(O122)))*1440,(IF(ISNUMBER(R122),MOD(R122,1),TIMEVALUE(R122))+1-IF(ISNUMBER(O122),MOD(O122,1),TIMEVALUE(O122)))*1440)),"")</f>
        <v/>
      </c>
      <c r="AC122" s="28">
        <f>IFERROR(IF(OR(R122="",S122=""),"",IF(IF(ISNUMBER(S122),MOD(S122,1),TIMEVALUE(S122))&gt;=IF(ISNUMBER(R122),MOD(R122,1),TIMEVALUE(R122)),(IF(ISNUMBER(S122),MOD(S122,1),TIMEVALUE(S122))-IF(ISNUMBER(R122),MOD(R122,1),TIMEVALUE(R122)))*1440,(IF(ISNUMBER(S122),MOD(S122,1),TIMEVALUE(S122))+1-IF(ISNUMBER(R122),MOD(R122,1),TIMEVALUE(R122)))*1440)),"")</f>
        <v/>
      </c>
      <c r="AD122" s="104" t="n">
        <v>30</v>
      </c>
      <c r="AE122" s="26">
        <f>IFERROR(IF(OR(AC122="",AD122=""),"",AC122-AD122),"")</f>
        <v/>
      </c>
      <c r="AF122" s="27">
        <f>IFERROR(IF(AE122="","",IF(ROUND(AE122,0)&gt;15,"Subestimacion",IF(ROUND(AE122,0)&lt;-15,"Sobrestimacion","Asertivo"))),"")</f>
        <v/>
      </c>
      <c r="AG122" s="66" t="inlineStr">
        <is>
          <t>Sin Suspensión</t>
        </is>
      </c>
      <c r="AH122" s="85" t="n"/>
      <c r="AI122" s="85" t="n"/>
      <c r="AJ122" s="19" t="n"/>
      <c r="AK122" s="19" t="inlineStr">
        <is>
          <t>Sí</t>
        </is>
      </c>
      <c r="AL122" s="19" t="inlineStr">
        <is>
          <t>No</t>
        </is>
      </c>
      <c r="AM122" s="66" t="inlineStr">
        <is>
          <t>I0001190201</t>
        </is>
      </c>
      <c r="AN122" s="19" t="n"/>
      <c r="AO122" s="19" t="n"/>
      <c r="AP122" s="127">
        <f>IF(A122="","",A122-WEEKDAY(A122,2)+1)</f>
        <v/>
      </c>
      <c r="AQ122" s="127">
        <f>IF(AO122="","",AO122+6)</f>
        <v/>
      </c>
      <c r="AR122" s="19">
        <f>IF(AO122="","","Semana "&amp;TEXT(AO122,"dd-mm-yyyy")&amp;" al "&amp;TEXT(AP122,"dd-mm-yyyy"))</f>
        <v/>
      </c>
      <c r="AS122" s="19">
        <f>IF(A122="","",TEXT(A122,"mmmm yyyy"))</f>
        <v/>
      </c>
      <c r="AT122" s="19">
        <f>IF(A122="","",TEXT(A122,"dddd"))</f>
        <v/>
      </c>
      <c r="AU122" s="19">
        <f>IF(A122="","","CRR-"&amp;TEXT(A122,"yyyymmdd")&amp;"-"&amp;M122&amp;"-"&amp;TEXT(ROW()-3,"0000"))</f>
        <v/>
      </c>
      <c r="AV122" s="19">
        <f>IF(A122="","",IF(OR(B122="",C122="",E122="",F122="",M122="",N122=""),"Revisar campos obligatorios",IF(AND(P122="Atraso primera hora",Q122=""),"Falta justificación atraso primera hora",IF(AND(Z122="No cumple",AA122=""),"Falta justificación recambio &gt;15 min",IF(AND(ISNUMBER(SEARCH("suspend",N122)),OR(AG122="",AH122="")),"Falta causa/motivo suspensión","OK")))))</f>
        <v/>
      </c>
      <c r="AW122" s="19">
        <f>IF(N122="","",IF(ISNUMBER(SEARCH("suspend",N122)),IF(AND(AG122="",AH122=""),"Sin causa/motivo registrado",IF(AG122="",AH122,IF(AH122="",AG122,AG122&amp;": "&amp;AH122))),""))</f>
        <v/>
      </c>
    </row>
    <row r="123" ht="16" customHeight="1" s="151">
      <c r="A123" s="65" t="n">
        <v>46177</v>
      </c>
      <c r="B123" s="66" t="inlineStr">
        <is>
          <t>EMILIO ANTONIO</t>
        </is>
      </c>
      <c r="C123" s="66" t="inlineStr">
        <is>
          <t>JIMÉNEZ</t>
        </is>
      </c>
      <c r="D123" s="66" t="inlineStr">
        <is>
          <t>69a 2m 9d</t>
        </is>
      </c>
      <c r="E123" s="67" t="inlineStr">
        <is>
          <t>- FACOERESIS EXTRACAPSULAR CON IMPLANTE DE LENTE INTRAOCULAR (NO INCLUYE EL VALOR DE LA PROTESIS)</t>
        </is>
      </c>
      <c r="F123" s="68" t="inlineStr">
        <is>
          <t>UNIDAD DE OFTALMOLOGIA</t>
        </is>
      </c>
      <c r="G123" s="72" t="inlineStr">
        <is>
          <t>OFTALMOLOGIA</t>
        </is>
      </c>
      <c r="H123" s="66" t="inlineStr">
        <is>
          <t>1202064-10</t>
        </is>
      </c>
      <c r="I123" s="19" t="n"/>
      <c r="J123" s="20">
        <f>IF(H123&lt;&gt;"",IFERROR(VLOOKUP(IFERROR(LEFT(H123,FIND("-",H123)-1),H123),'Catalogo MINSAL'!A:E,5,FALSE),""),IF(I123&lt;&gt;"",IFERROR(VLOOKUP(IFERROR(LEFT(I123,FIND("-",I123)-1),I123),'Catalogo MINSAL'!A:E,5,FALSE),""),""))</f>
        <v/>
      </c>
      <c r="K123" s="66" t="inlineStr">
        <is>
          <t>Diandra Silva Rodriguez</t>
        </is>
      </c>
      <c r="L123" s="66" t="inlineStr">
        <is>
          <t>Dr. Arturo Hillerns Eltit</t>
        </is>
      </c>
      <c r="M123" s="66" t="inlineStr">
        <is>
          <t>Quirofano 08</t>
        </is>
      </c>
      <c r="N123" s="19" t="inlineStr">
        <is>
          <t>Realizado</t>
        </is>
      </c>
      <c r="O123" s="70" t="n">
        <v>0.3902777777777778</v>
      </c>
      <c r="P123" s="27">
        <f>IFERROR(IF(OR(O123="",A123="",M123=""),"",IF(SUMPRODUCT(($A$4:$A$500=A123)*($M$4:$M$500=M123)*($O$4:$O$500&lt;&gt;"")*(MOD($O$4:$O$500,1)&lt;MOD(O123,1)))=0,IF(MOD(O123,1)&lt;=TIME(8,15,0),"Ingreso adecuado primera hora","Atraso primera hora"),"No aplica")),"")</f>
        <v/>
      </c>
      <c r="Q123" s="87" t="n"/>
      <c r="R123" s="70" t="n">
        <v>0.3993055555555556</v>
      </c>
      <c r="S123" s="70" t="n">
        <v>0.40625</v>
      </c>
      <c r="T123" s="70" t="n">
        <v>0.4083333333333333</v>
      </c>
      <c r="U123" s="106">
        <f>IFERROR(VLOOKUP(M123,'Horario Pabellones'!$A$4:$D$17,2,FALSE),"")</f>
        <v/>
      </c>
      <c r="V123" s="106">
        <f>IFERROR(VLOOKUP(M123,'Horario Pabellones'!$A$4:$D$17,3,FALSE),"")</f>
        <v/>
      </c>
      <c r="W123" s="104">
        <f>IFERROR(VLOOKUP(M123,'Horario Pabellones'!$A$4:$D$17,4,FALSE),"")</f>
        <v/>
      </c>
      <c r="X123" s="93">
        <f>IFERROR(IF(OR(A123="",M123="",W123=""),"",(((_xludf.AGGREGATE(14,6,MOD($S$4:$S$500,1)/(($A$4:$A$500=A123)*($M$4:$M$500=M123)*($R$4:$R$500&lt;&gt;"")*($S$4:$S$500&lt;&gt;"")),1)-_xludf.AGGREGATE(15,6,MOD($R$4:$R$500,1)/(($A$4:$A$500=A123)*($M$4:$M$500=M123)*($R$4:$R$500&lt;&gt;"")*($S$4:$S$500&lt;&gt;"")),1))*1440)/60)/(W123/60)),"")</f>
        <v/>
      </c>
      <c r="Y123" s="26">
        <f>IFERROR(IF(OR(O123="",A123="",M123=""),"",(IF(ISNUMBER(O123),MOD(O123,1),TIMEVALUE(O123))-LOOKUP(2,1/(($A$4:$A$500=A123)*($M$4:$M$500=M123)*($T$4:$T$500&lt;&gt;"")*($T$4:$T$500&lt;IF(ISNUMBER(O123),MOD(O123,1),TIMEVALUE(O123)))),$T$4:$T$500))*1440),"")</f>
        <v/>
      </c>
      <c r="Z123" s="27">
        <f>IFERROR(IF(Y123="","",IF(ROUND(Y123,0)&lt;=15,"Cumple","No cumple")),"")</f>
        <v/>
      </c>
      <c r="AA123" s="15" t="n"/>
      <c r="AB123" s="26">
        <f>IFERROR(IF(OR(O123="",R123=""),"",IF(IF(ISNUMBER(R123),MOD(R123,1),TIMEVALUE(R123))&gt;=IF(ISNUMBER(O123),MOD(O123,1),TIMEVALUE(O123)),(IF(ISNUMBER(R123),MOD(R123,1),TIMEVALUE(R123))-IF(ISNUMBER(O123),MOD(O123,1),TIMEVALUE(O123)))*1440,(IF(ISNUMBER(R123),MOD(R123,1),TIMEVALUE(R123))+1-IF(ISNUMBER(O123),MOD(O123,1),TIMEVALUE(O123)))*1440)),"")</f>
        <v/>
      </c>
      <c r="AC123" s="28">
        <f>IFERROR(IF(OR(R123="",S123=""),"",IF(IF(ISNUMBER(S123),MOD(S123,1),TIMEVALUE(S123))&gt;=IF(ISNUMBER(R123),MOD(R123,1),TIMEVALUE(R123)),(IF(ISNUMBER(S123),MOD(S123,1),TIMEVALUE(S123))-IF(ISNUMBER(R123),MOD(R123,1),TIMEVALUE(R123)))*1440,(IF(ISNUMBER(S123),MOD(S123,1),TIMEVALUE(S123))+1-IF(ISNUMBER(R123),MOD(R123,1),TIMEVALUE(R123)))*1440)),"")</f>
        <v/>
      </c>
      <c r="AD123" s="104" t="n">
        <v>30</v>
      </c>
      <c r="AE123" s="26">
        <f>IFERROR(IF(OR(AC123="",AD123=""),"",AC123-AD123),"")</f>
        <v/>
      </c>
      <c r="AF123" s="27">
        <f>IFERROR(IF(AE123="","",IF(ROUND(AE123,0)&gt;15,"Subestimacion",IF(ROUND(AE123,0)&lt;-15,"Sobrestimacion","Asertivo"))),"")</f>
        <v/>
      </c>
      <c r="AG123" s="66" t="inlineStr">
        <is>
          <t>Sin Suspensión</t>
        </is>
      </c>
      <c r="AH123" s="15" t="n"/>
      <c r="AI123" s="15" t="n"/>
      <c r="AJ123" s="19" t="n"/>
      <c r="AK123" s="19" t="inlineStr">
        <is>
          <t>Sí</t>
        </is>
      </c>
      <c r="AL123" s="19" t="inlineStr">
        <is>
          <t>No</t>
        </is>
      </c>
      <c r="AM123" s="66" t="inlineStr">
        <is>
          <t>I0001190218</t>
        </is>
      </c>
      <c r="AN123" s="19" t="n"/>
      <c r="AO123" s="19" t="n"/>
      <c r="AP123" s="127">
        <f>IF(A123="","",A123-WEEKDAY(A123,2)+1)</f>
        <v/>
      </c>
      <c r="AQ123" s="127">
        <f>IF(AO123="","",AO123+6)</f>
        <v/>
      </c>
      <c r="AR123" s="19">
        <f>IF(AO123="","","Semana "&amp;TEXT(AO123,"dd-mm-yyyy")&amp;" al "&amp;TEXT(AP123,"dd-mm-yyyy"))</f>
        <v/>
      </c>
      <c r="AS123" s="19">
        <f>IF(A123="","",TEXT(A123,"mmmm yyyy"))</f>
        <v/>
      </c>
      <c r="AT123" s="19">
        <f>IF(A123="","",TEXT(A123,"dddd"))</f>
        <v/>
      </c>
      <c r="AU123" s="19">
        <f>IF(A123="","","CRR-"&amp;TEXT(A123,"yyyymmdd")&amp;"-"&amp;M123&amp;"-"&amp;TEXT(ROW()-3,"0000"))</f>
        <v/>
      </c>
      <c r="AV123" s="19">
        <f>IF(A123="","",IF(OR(B123="",C123="",E123="",F123="",M123="",N123=""),"Revisar campos obligatorios",IF(AND(P123="Atraso primera hora",Q123=""),"Falta justificación atraso primera hora",IF(AND(Z123="No cumple",AA123=""),"Falta justificación recambio &gt;15 min",IF(AND(ISNUMBER(SEARCH("suspend",N123)),OR(AG123="",AH123="")),"Falta causa/motivo suspensión","OK")))))</f>
        <v/>
      </c>
      <c r="AW123" s="19">
        <f>IF(N123="","",IF(ISNUMBER(SEARCH("suspend",N123)),IF(AND(AG123="",AH123=""),"Sin causa/motivo registrado",IF(AG123="",AH123,IF(AH123="",AG123,AG123&amp;": "&amp;AH123))),""))</f>
        <v/>
      </c>
    </row>
    <row r="124" ht="16" customHeight="1" s="151">
      <c r="A124" s="65" t="n">
        <v>46177</v>
      </c>
      <c r="B124" s="66" t="inlineStr">
        <is>
          <t>JUANA ELENA</t>
        </is>
      </c>
      <c r="C124" s="66" t="inlineStr">
        <is>
          <t>JEREZ</t>
        </is>
      </c>
      <c r="D124" s="66" t="inlineStr">
        <is>
          <t>83a 2m 18d</t>
        </is>
      </c>
      <c r="E124" s="67" t="inlineStr">
        <is>
          <t>- FACOERESIS EXTRACAPSULAR CON IMPLANTE DE LENTE INTRAOCULAR (NO INCLUYE EL VALOR DE LA PROTESIS)</t>
        </is>
      </c>
      <c r="F124" s="68" t="inlineStr">
        <is>
          <t>UNIDAD DE OFTALMOLOGIA</t>
        </is>
      </c>
      <c r="G124" s="72" t="inlineStr">
        <is>
          <t>OFTALMOLOGIA</t>
        </is>
      </c>
      <c r="H124" s="66" t="inlineStr">
        <is>
          <t>1202064-10</t>
        </is>
      </c>
      <c r="I124" s="19" t="n"/>
      <c r="J124" s="20">
        <f>IF(H124&lt;&gt;"",IFERROR(VLOOKUP(IFERROR(LEFT(H124,FIND("-",H124)-1),H124),'Catalogo MINSAL'!A:E,5,FALSE),""),IF(I124&lt;&gt;"",IFERROR(VLOOKUP(IFERROR(LEFT(I124,FIND("-",I124)-1),I124),'Catalogo MINSAL'!A:E,5,FALSE),""),""))</f>
        <v/>
      </c>
      <c r="K124" s="66" t="inlineStr">
        <is>
          <t>Diandra Silva Rodriguez</t>
        </is>
      </c>
      <c r="L124" s="66" t="inlineStr">
        <is>
          <t>Sebastian Aceituno Arroyo</t>
        </is>
      </c>
      <c r="M124" s="66" t="inlineStr">
        <is>
          <t>Quirofano 08</t>
        </is>
      </c>
      <c r="N124" s="19" t="inlineStr">
        <is>
          <t>Realizado</t>
        </is>
      </c>
      <c r="O124" s="70" t="n">
        <v>0.4361111111111111</v>
      </c>
      <c r="P124" s="27">
        <f>IFERROR(IF(OR(O124="",A124="",M124=""),"",IF(SUMPRODUCT(($A$4:$A$500=A124)*($M$4:$M$500=M124)*($O$4:$O$500&lt;&gt;"")*(MOD($O$4:$O$500,1)&lt;MOD(O124,1)))=0,IF(MOD(O124,1)&lt;=TIME(8,15,0),"Ingreso adecuado primera hora","Atraso primera hora"),"No aplica")),"")</f>
        <v/>
      </c>
      <c r="Q124" s="86" t="n"/>
      <c r="R124" s="70" t="n">
        <v>0.4444444444444444</v>
      </c>
      <c r="S124" s="70" t="n">
        <v>0.4604166666666666</v>
      </c>
      <c r="T124" s="70" t="n">
        <v>0.4618055555555556</v>
      </c>
      <c r="U124" s="106">
        <f>IFERROR(VLOOKUP(M124,'Horario Pabellones'!$A$4:$D$17,2,FALSE),"")</f>
        <v/>
      </c>
      <c r="V124" s="106">
        <f>IFERROR(VLOOKUP(M124,'Horario Pabellones'!$A$4:$D$17,3,FALSE),"")</f>
        <v/>
      </c>
      <c r="W124" s="104">
        <f>IFERROR(VLOOKUP(M124,'Horario Pabellones'!$A$4:$D$17,4,FALSE),"")</f>
        <v/>
      </c>
      <c r="X124" s="93">
        <f>IFERROR(IF(OR(A124="",M124="",W124=""),"",(((_xludf.AGGREGATE(14,6,MOD($S$4:$S$500,1)/(($A$4:$A$500=A124)*($M$4:$M$500=M124)*($R$4:$R$500&lt;&gt;"")*($S$4:$S$500&lt;&gt;"")),1)-_xludf.AGGREGATE(15,6,MOD($R$4:$R$500,1)/(($A$4:$A$500=A124)*($M$4:$M$500=M124)*($R$4:$R$500&lt;&gt;"")*($S$4:$S$500&lt;&gt;"")),1))*1440)/60)/(W124/60)),"")</f>
        <v/>
      </c>
      <c r="Y124" s="26">
        <f>IFERROR(IF(OR(O124="",A124="",M124=""),"",(IF(ISNUMBER(O124),MOD(O124,1),TIMEVALUE(O124))-LOOKUP(2,1/(($A$4:$A$500=A124)*($M$4:$M$500=M124)*($T$4:$T$500&lt;&gt;"")*($T$4:$T$500&lt;IF(ISNUMBER(O124),MOD(O124,1),TIMEVALUE(O124)))),$T$4:$T$500))*1440),"")</f>
        <v/>
      </c>
      <c r="Z124" s="27">
        <f>IFERROR(IF(Y124="","",IF(ROUND(Y124,0)&lt;=15,"Cumple","No cumple")),"")</f>
        <v/>
      </c>
      <c r="AA124" s="85" t="inlineStr">
        <is>
          <t>Cirujano en policlinico (Dr. Aceituno)</t>
        </is>
      </c>
      <c r="AB124" s="26">
        <f>IFERROR(IF(OR(O124="",R124=""),"",IF(IF(ISNUMBER(R124),MOD(R124,1),TIMEVALUE(R124))&gt;=IF(ISNUMBER(O124),MOD(O124,1),TIMEVALUE(O124)),(IF(ISNUMBER(R124),MOD(R124,1),TIMEVALUE(R124))-IF(ISNUMBER(O124),MOD(O124,1),TIMEVALUE(O124)))*1440,(IF(ISNUMBER(R124),MOD(R124,1),TIMEVALUE(R124))+1-IF(ISNUMBER(O124),MOD(O124,1),TIMEVALUE(O124)))*1440)),"")</f>
        <v/>
      </c>
      <c r="AC124" s="28">
        <f>IFERROR(IF(OR(R124="",S124=""),"",IF(IF(ISNUMBER(S124),MOD(S124,1),TIMEVALUE(S124))&gt;=IF(ISNUMBER(R124),MOD(R124,1),TIMEVALUE(R124)),(IF(ISNUMBER(S124),MOD(S124,1),TIMEVALUE(S124))-IF(ISNUMBER(R124),MOD(R124,1),TIMEVALUE(R124)))*1440,(IF(ISNUMBER(S124),MOD(S124,1),TIMEVALUE(S124))+1-IF(ISNUMBER(R124),MOD(R124,1),TIMEVALUE(R124)))*1440)),"")</f>
        <v/>
      </c>
      <c r="AD124" s="104" t="n">
        <v>30</v>
      </c>
      <c r="AE124" s="26">
        <f>IFERROR(IF(OR(AC124="",AD124=""),"",AC124-AD124),"")</f>
        <v/>
      </c>
      <c r="AF124" s="27">
        <f>IFERROR(IF(AE124="","",IF(ROUND(AE124,0)&gt;15,"Subestimacion",IF(ROUND(AE124,0)&lt;-15,"Sobrestimacion","Asertivo"))),"")</f>
        <v/>
      </c>
      <c r="AG124" s="66" t="inlineStr">
        <is>
          <t>Sin Suspensión</t>
        </is>
      </c>
      <c r="AH124" s="85" t="n"/>
      <c r="AI124" s="85" t="n"/>
      <c r="AJ124" s="19" t="n"/>
      <c r="AK124" s="19" t="inlineStr">
        <is>
          <t>Sí</t>
        </is>
      </c>
      <c r="AL124" s="19" t="inlineStr">
        <is>
          <t>No</t>
        </is>
      </c>
      <c r="AM124" s="66" t="inlineStr">
        <is>
          <t>I0001190226</t>
        </is>
      </c>
      <c r="AN124" s="19" t="n"/>
      <c r="AO124" s="19" t="n"/>
      <c r="AP124" s="127">
        <f>IF(A124="","",A124-WEEKDAY(A124,2)+1)</f>
        <v/>
      </c>
      <c r="AQ124" s="127">
        <f>IF(AO124="","",AO124+6)</f>
        <v/>
      </c>
      <c r="AR124" s="19">
        <f>IF(AO124="","","Semana "&amp;TEXT(AO124,"dd-mm-yyyy")&amp;" al "&amp;TEXT(AP124,"dd-mm-yyyy"))</f>
        <v/>
      </c>
      <c r="AS124" s="19">
        <f>IF(A124="","",TEXT(A124,"mmmm yyyy"))</f>
        <v/>
      </c>
      <c r="AT124" s="19">
        <f>IF(A124="","",TEXT(A124,"dddd"))</f>
        <v/>
      </c>
      <c r="AU124" s="19">
        <f>IF(A124="","","CRR-"&amp;TEXT(A124,"yyyymmdd")&amp;"-"&amp;M124&amp;"-"&amp;TEXT(ROW()-3,"0000"))</f>
        <v/>
      </c>
      <c r="AV124" s="19">
        <f>IF(A124="","",IF(OR(B124="",C124="",E124="",F124="",M124="",N124=""),"Revisar campos obligatorios",IF(AND(P124="Atraso primera hora",Q124=""),"Falta justificación atraso primera hora",IF(AND(Z124="No cumple",AA124=""),"Falta justificación recambio &gt;15 min",IF(AND(ISNUMBER(SEARCH("suspend",N124)),OR(AG124="",AH124="")),"Falta causa/motivo suspensión","OK")))))</f>
        <v/>
      </c>
      <c r="AW124" s="19">
        <f>IF(N124="","",IF(ISNUMBER(SEARCH("suspend",N124)),IF(AND(AG124="",AH124=""),"Sin causa/motivo registrado",IF(AG124="",AH124,IF(AH124="",AG124,AG124&amp;": "&amp;AH124))),""))</f>
        <v/>
      </c>
    </row>
    <row r="125" ht="16" customHeight="1" s="151">
      <c r="A125" s="65" t="n">
        <v>46177</v>
      </c>
      <c r="B125" s="66" t="inlineStr">
        <is>
          <t>MARÍA EUGENIA</t>
        </is>
      </c>
      <c r="C125" s="66" t="inlineStr">
        <is>
          <t>BUSTOS</t>
        </is>
      </c>
      <c r="D125" s="66" t="inlineStr">
        <is>
          <t>81a 5m 28d</t>
        </is>
      </c>
      <c r="E125" s="67" t="inlineStr">
        <is>
          <t>- FACOERESIS EXTRACAPSULAR CON IMPLANTE DE LENTE INTRAOCULAR (NO INCLUYE EL VALOR DE LA PROTESIS)</t>
        </is>
      </c>
      <c r="F125" s="68" t="inlineStr">
        <is>
          <t>UNIDAD DE OFTALMOLOGIA</t>
        </is>
      </c>
      <c r="G125" s="72" t="inlineStr">
        <is>
          <t>OFTALMOLOGIA</t>
        </is>
      </c>
      <c r="H125" s="66" t="inlineStr">
        <is>
          <t>1202064-10</t>
        </is>
      </c>
      <c r="I125" s="19" t="n"/>
      <c r="J125" s="20">
        <f>IF(H125&lt;&gt;"",IFERROR(VLOOKUP(IFERROR(LEFT(H125,FIND("-",H125)-1),H125),'Catalogo MINSAL'!A:E,5,FALSE),""),IF(I125&lt;&gt;"",IFERROR(VLOOKUP(IFERROR(LEFT(I125,FIND("-",I125)-1),I125),'Catalogo MINSAL'!A:E,5,FALSE),""),""))</f>
        <v/>
      </c>
      <c r="K125" s="66" t="inlineStr">
        <is>
          <t>Diandra Silva Rodriguez</t>
        </is>
      </c>
      <c r="L125" s="66" t="inlineStr">
        <is>
          <t>Dr. Arturo Hillerns Eltit</t>
        </is>
      </c>
      <c r="M125" s="66" t="inlineStr">
        <is>
          <t>Quirofano 08</t>
        </is>
      </c>
      <c r="N125" s="19" t="inlineStr">
        <is>
          <t>Realizado</t>
        </is>
      </c>
      <c r="O125" s="70" t="n">
        <v>0.4708333333333333</v>
      </c>
      <c r="P125" s="27">
        <f>IFERROR(IF(OR(O125="",A125="",M125=""),"",IF(SUMPRODUCT(($A$4:$A$500=A125)*($M$4:$M$500=M125)*($O$4:$O$500&lt;&gt;"")*(MOD($O$4:$O$500,1)&lt;MOD(O125,1)))=0,IF(MOD(O125,1)&lt;=TIME(8,15,0),"Ingreso adecuado primera hora","Atraso primera hora"),"No aplica")),"")</f>
        <v/>
      </c>
      <c r="Q125" s="87" t="n"/>
      <c r="R125" s="70" t="n">
        <v>0.4736111111111111</v>
      </c>
      <c r="S125" s="70" t="n">
        <v>0.4770833333333334</v>
      </c>
      <c r="T125" s="70" t="n">
        <v>0.4791666666666667</v>
      </c>
      <c r="U125" s="106">
        <f>IFERROR(VLOOKUP(M125,'Horario Pabellones'!$A$4:$D$17,2,FALSE),"")</f>
        <v/>
      </c>
      <c r="V125" s="106">
        <f>IFERROR(VLOOKUP(M125,'Horario Pabellones'!$A$4:$D$17,3,FALSE),"")</f>
        <v/>
      </c>
      <c r="W125" s="104">
        <f>IFERROR(VLOOKUP(M125,'Horario Pabellones'!$A$4:$D$17,4,FALSE),"")</f>
        <v/>
      </c>
      <c r="X125" s="93">
        <f>IFERROR(IF(OR(A125="",M125="",W125=""),"",(((_xludf.AGGREGATE(14,6,MOD($S$4:$S$500,1)/(($A$4:$A$500=A125)*($M$4:$M$500=M125)*($R$4:$R$500&lt;&gt;"")*($S$4:$S$500&lt;&gt;"")),1)-_xludf.AGGREGATE(15,6,MOD($R$4:$R$500,1)/(($A$4:$A$500=A125)*($M$4:$M$500=M125)*($R$4:$R$500&lt;&gt;"")*($S$4:$S$500&lt;&gt;"")),1))*1440)/60)/(W125/60)),"")</f>
        <v/>
      </c>
      <c r="Y125" s="26">
        <f>IFERROR(IF(OR(O125="",A125="",M125=""),"",(IF(ISNUMBER(O125),MOD(O125,1),TIMEVALUE(O125))-LOOKUP(2,1/(($A$4:$A$500=A125)*($M$4:$M$500=M125)*($T$4:$T$500&lt;&gt;"")*($T$4:$T$500&lt;IF(ISNUMBER(O125),MOD(O125,1),TIMEVALUE(O125)))),$T$4:$T$500))*1440),"")</f>
        <v/>
      </c>
      <c r="Z125" s="27">
        <f>IFERROR(IF(Y125="","",IF(ROUND(Y125,0)&lt;=15,"Cumple","No cumple")),"")</f>
        <v/>
      </c>
      <c r="AA125" s="15" t="n"/>
      <c r="AB125" s="26">
        <f>IFERROR(IF(OR(O125="",R125=""),"",IF(IF(ISNUMBER(R125),MOD(R125,1),TIMEVALUE(R125))&gt;=IF(ISNUMBER(O125),MOD(O125,1),TIMEVALUE(O125)),(IF(ISNUMBER(R125),MOD(R125,1),TIMEVALUE(R125))-IF(ISNUMBER(O125),MOD(O125,1),TIMEVALUE(O125)))*1440,(IF(ISNUMBER(R125),MOD(R125,1),TIMEVALUE(R125))+1-IF(ISNUMBER(O125),MOD(O125,1),TIMEVALUE(O125)))*1440)),"")</f>
        <v/>
      </c>
      <c r="AC125" s="28">
        <f>IFERROR(IF(OR(R125="",S125=""),"",IF(IF(ISNUMBER(S125),MOD(S125,1),TIMEVALUE(S125))&gt;=IF(ISNUMBER(R125),MOD(R125,1),TIMEVALUE(R125)),(IF(ISNUMBER(S125),MOD(S125,1),TIMEVALUE(S125))-IF(ISNUMBER(R125),MOD(R125,1),TIMEVALUE(R125)))*1440,(IF(ISNUMBER(S125),MOD(S125,1),TIMEVALUE(S125))+1-IF(ISNUMBER(R125),MOD(R125,1),TIMEVALUE(R125)))*1440)),"")</f>
        <v/>
      </c>
      <c r="AD125" s="104" t="n">
        <v>30</v>
      </c>
      <c r="AE125" s="26">
        <f>IFERROR(IF(OR(AC125="",AD125=""),"",AC125-AD125),"")</f>
        <v/>
      </c>
      <c r="AF125" s="27">
        <f>IFERROR(IF(AE125="","",IF(ROUND(AE125,0)&gt;15,"Subestimacion",IF(ROUND(AE125,0)&lt;-15,"Sobrestimacion","Asertivo"))),"")</f>
        <v/>
      </c>
      <c r="AG125" s="66" t="inlineStr">
        <is>
          <t>Sin Suspensión</t>
        </is>
      </c>
      <c r="AH125" s="15" t="n"/>
      <c r="AI125" s="15" t="n"/>
      <c r="AJ125" s="19" t="n"/>
      <c r="AK125" s="19" t="inlineStr">
        <is>
          <t>Sí</t>
        </is>
      </c>
      <c r="AL125" s="19" t="inlineStr">
        <is>
          <t>No</t>
        </is>
      </c>
      <c r="AM125" s="66" t="inlineStr">
        <is>
          <t>I0001190199</t>
        </is>
      </c>
      <c r="AN125" s="19" t="n"/>
      <c r="AO125" s="19" t="n"/>
      <c r="AP125" s="127">
        <f>IF(A125="","",A125-WEEKDAY(A125,2)+1)</f>
        <v/>
      </c>
      <c r="AQ125" s="127">
        <f>IF(AO125="","",AO125+6)</f>
        <v/>
      </c>
      <c r="AR125" s="19">
        <f>IF(AO125="","","Semana "&amp;TEXT(AO125,"dd-mm-yyyy")&amp;" al "&amp;TEXT(AP125,"dd-mm-yyyy"))</f>
        <v/>
      </c>
      <c r="AS125" s="19">
        <f>IF(A125="","",TEXT(A125,"mmmm yyyy"))</f>
        <v/>
      </c>
      <c r="AT125" s="19">
        <f>IF(A125="","",TEXT(A125,"dddd"))</f>
        <v/>
      </c>
      <c r="AU125" s="19">
        <f>IF(A125="","","CRR-"&amp;TEXT(A125,"yyyymmdd")&amp;"-"&amp;M125&amp;"-"&amp;TEXT(ROW()-3,"0000"))</f>
        <v/>
      </c>
      <c r="AV125" s="19">
        <f>IF(A125="","",IF(OR(B125="",C125="",E125="",F125="",M125="",N125=""),"Revisar campos obligatorios",IF(AND(P125="Atraso primera hora",Q125=""),"Falta justificación atraso primera hora",IF(AND(Z125="No cumple",AA125=""),"Falta justificación recambio &gt;15 min",IF(AND(ISNUMBER(SEARCH("suspend",N125)),OR(AG125="",AH125="")),"Falta causa/motivo suspensión","OK")))))</f>
        <v/>
      </c>
      <c r="AW125" s="19">
        <f>IF(N125="","",IF(ISNUMBER(SEARCH("suspend",N125)),IF(AND(AG125="",AH125=""),"Sin causa/motivo registrado",IF(AG125="",AH125,IF(AH125="",AG125,AG125&amp;": "&amp;AH125))),""))</f>
        <v/>
      </c>
    </row>
    <row r="126" ht="16" customHeight="1" s="151">
      <c r="A126" s="65" t="n">
        <v>46177</v>
      </c>
      <c r="B126" s="66" t="inlineStr">
        <is>
          <t>NOELIA DE LAS MERCED</t>
        </is>
      </c>
      <c r="C126" s="66" t="inlineStr">
        <is>
          <t>REYES</t>
        </is>
      </c>
      <c r="D126" s="66" t="inlineStr">
        <is>
          <t>72a 11m 18d</t>
        </is>
      </c>
      <c r="E126" s="67" t="inlineStr">
        <is>
          <t>- FACOERESIS EXTRACAPSULAR CON IMPLANTE DE LENTE INTRAOCULAR (NO INCLUYE EL VALOR DE LA PROTESIS)</t>
        </is>
      </c>
      <c r="F126" s="68" t="inlineStr">
        <is>
          <t>UNIDAD DE OFTALMOLOGIA</t>
        </is>
      </c>
      <c r="G126" s="72" t="inlineStr">
        <is>
          <t>OFTALMOLOGIA</t>
        </is>
      </c>
      <c r="H126" s="66" t="inlineStr">
        <is>
          <t>1202064-10</t>
        </is>
      </c>
      <c r="I126" s="19" t="n"/>
      <c r="J126" s="20">
        <f>IF(H126&lt;&gt;"",IFERROR(VLOOKUP(IFERROR(LEFT(H126,FIND("-",H126)-1),H126),'Catalogo MINSAL'!A:E,5,FALSE),""),IF(I126&lt;&gt;"",IFERROR(VLOOKUP(IFERROR(LEFT(I126,FIND("-",I126)-1),I126),'Catalogo MINSAL'!A:E,5,FALSE),""),""))</f>
        <v/>
      </c>
      <c r="K126" s="66" t="inlineStr">
        <is>
          <t>Diandra Silva Rodriguez</t>
        </is>
      </c>
      <c r="L126" s="66" t="inlineStr">
        <is>
          <t>Sebastian Aceituno Arroyo</t>
        </is>
      </c>
      <c r="M126" s="66" t="inlineStr">
        <is>
          <t>Quirofano 08</t>
        </is>
      </c>
      <c r="N126" s="19" t="inlineStr">
        <is>
          <t>Realizado</t>
        </is>
      </c>
      <c r="O126" s="70" t="n">
        <v>0.4895833333333333</v>
      </c>
      <c r="P126" s="27">
        <f>IFERROR(IF(OR(O126="",A126="",M126=""),"",IF(SUMPRODUCT(($A$4:$A$500=A126)*($M$4:$M$500=M126)*($O$4:$O$500&lt;&gt;"")*(MOD($O$4:$O$500,1)&lt;MOD(O126,1)))=0,IF(MOD(O126,1)&lt;=TIME(8,15,0),"Ingreso adecuado primera hora","Atraso primera hora"),"No aplica")),"")</f>
        <v/>
      </c>
      <c r="Q126" s="87" t="n"/>
      <c r="R126" s="70" t="n">
        <v>0.4930555555555556</v>
      </c>
      <c r="S126" s="70" t="n">
        <v>0.5083333333333333</v>
      </c>
      <c r="T126" s="70" t="n">
        <v>0.5104166666666666</v>
      </c>
      <c r="U126" s="106">
        <f>IFERROR(VLOOKUP(M126,'Horario Pabellones'!$A$4:$D$17,2,FALSE),"")</f>
        <v/>
      </c>
      <c r="V126" s="106">
        <f>IFERROR(VLOOKUP(M126,'Horario Pabellones'!$A$4:$D$17,3,FALSE),"")</f>
        <v/>
      </c>
      <c r="W126" s="104">
        <f>IFERROR(VLOOKUP(M126,'Horario Pabellones'!$A$4:$D$17,4,FALSE),"")</f>
        <v/>
      </c>
      <c r="X126" s="93">
        <f>IFERROR(IF(OR(A126="",M126="",W126=""),"",(((_xludf.AGGREGATE(14,6,MOD($S$4:$S$500,1)/(($A$4:$A$500=A126)*($M$4:$M$500=M126)*($R$4:$R$500&lt;&gt;"")*($S$4:$S$500&lt;&gt;"")),1)-_xludf.AGGREGATE(15,6,MOD($R$4:$R$500,1)/(($A$4:$A$500=A126)*($M$4:$M$500=M126)*($R$4:$R$500&lt;&gt;"")*($S$4:$S$500&lt;&gt;"")),1))*1440)/60)/(W126/60)),"")</f>
        <v/>
      </c>
      <c r="Y126" s="26">
        <f>IFERROR(IF(OR(O126="",A126="",M126=""),"",(IF(ISNUMBER(O126),MOD(O126,1),TIMEVALUE(O126))-LOOKUP(2,1/(($A$4:$A$500=A126)*($M$4:$M$500=M126)*($T$4:$T$500&lt;&gt;"")*($T$4:$T$500&lt;IF(ISNUMBER(O126),MOD(O126,1),TIMEVALUE(O126)))),$T$4:$T$500))*1440),"")</f>
        <v/>
      </c>
      <c r="Z126" s="27">
        <f>IFERROR(IF(Y126="","",IF(ROUND(Y126,0)&lt;=15,"Cumple","No cumple")),"")</f>
        <v/>
      </c>
      <c r="AA126" s="15" t="n"/>
      <c r="AB126" s="26">
        <f>IFERROR(IF(OR(O126="",R126=""),"",IF(IF(ISNUMBER(R126),MOD(R126,1),TIMEVALUE(R126))&gt;=IF(ISNUMBER(O126),MOD(O126,1),TIMEVALUE(O126)),(IF(ISNUMBER(R126),MOD(R126,1),TIMEVALUE(R126))-IF(ISNUMBER(O126),MOD(O126,1),TIMEVALUE(O126)))*1440,(IF(ISNUMBER(R126),MOD(R126,1),TIMEVALUE(R126))+1-IF(ISNUMBER(O126),MOD(O126,1),TIMEVALUE(O126)))*1440)),"")</f>
        <v/>
      </c>
      <c r="AC126" s="28">
        <f>IFERROR(IF(OR(R126="",S126=""),"",IF(IF(ISNUMBER(S126),MOD(S126,1),TIMEVALUE(S126))&gt;=IF(ISNUMBER(R126),MOD(R126,1),TIMEVALUE(R126)),(IF(ISNUMBER(S126),MOD(S126,1),TIMEVALUE(S126))-IF(ISNUMBER(R126),MOD(R126,1),TIMEVALUE(R126)))*1440,(IF(ISNUMBER(S126),MOD(S126,1),TIMEVALUE(S126))+1-IF(ISNUMBER(R126),MOD(R126,1),TIMEVALUE(R126)))*1440)),"")</f>
        <v/>
      </c>
      <c r="AD126" s="104" t="n">
        <v>30</v>
      </c>
      <c r="AE126" s="26">
        <f>IFERROR(IF(OR(AC126="",AD126=""),"",AC126-AD126),"")</f>
        <v/>
      </c>
      <c r="AF126" s="27">
        <f>IFERROR(IF(AE126="","",IF(ROUND(AE126,0)&gt;15,"Subestimacion",IF(ROUND(AE126,0)&lt;-15,"Sobrestimacion","Asertivo"))),"")</f>
        <v/>
      </c>
      <c r="AG126" s="66" t="inlineStr">
        <is>
          <t>Sin Suspensión</t>
        </is>
      </c>
      <c r="AH126" s="15" t="n"/>
      <c r="AI126" s="15" t="n"/>
      <c r="AJ126" s="19" t="n"/>
      <c r="AK126" s="19" t="inlineStr">
        <is>
          <t>Sí</t>
        </is>
      </c>
      <c r="AL126" s="19" t="inlineStr">
        <is>
          <t>No</t>
        </is>
      </c>
      <c r="AM126" s="66" t="inlineStr">
        <is>
          <t>I0001190228</t>
        </is>
      </c>
      <c r="AN126" s="19" t="n"/>
      <c r="AO126" s="19" t="n"/>
      <c r="AP126" s="127">
        <f>IF(A126="","",A126-WEEKDAY(A126,2)+1)</f>
        <v/>
      </c>
      <c r="AQ126" s="127">
        <f>IF(AO126="","",AO126+6)</f>
        <v/>
      </c>
      <c r="AR126" s="19">
        <f>IF(AO126="","","Semana "&amp;TEXT(AO126,"dd-mm-yyyy")&amp;" al "&amp;TEXT(AP126,"dd-mm-yyyy"))</f>
        <v/>
      </c>
      <c r="AS126" s="19">
        <f>IF(A126="","",TEXT(A126,"mmmm yyyy"))</f>
        <v/>
      </c>
      <c r="AT126" s="19">
        <f>IF(A126="","",TEXT(A126,"dddd"))</f>
        <v/>
      </c>
      <c r="AU126" s="19">
        <f>IF(A126="","","CRR-"&amp;TEXT(A126,"yyyymmdd")&amp;"-"&amp;M126&amp;"-"&amp;TEXT(ROW()-3,"0000"))</f>
        <v/>
      </c>
      <c r="AV126" s="19">
        <f>IF(A126="","",IF(OR(B126="",C126="",E126="",F126="",M126="",N126=""),"Revisar campos obligatorios",IF(AND(P126="Atraso primera hora",Q126=""),"Falta justificación atraso primera hora",IF(AND(Z126="No cumple",AA126=""),"Falta justificación recambio &gt;15 min",IF(AND(ISNUMBER(SEARCH("suspend",N126)),OR(AG126="",AH126="")),"Falta causa/motivo suspensión","OK")))))</f>
        <v/>
      </c>
      <c r="AW126" s="19">
        <f>IF(N126="","",IF(ISNUMBER(SEARCH("suspend",N126)),IF(AND(AG126="",AH126=""),"Sin causa/motivo registrado",IF(AG126="",AH126,IF(AH126="",AG126,AG126&amp;": "&amp;AH126))),""))</f>
        <v/>
      </c>
    </row>
    <row r="127" ht="16" customHeight="1" s="151">
      <c r="A127" s="65" t="n">
        <v>46177</v>
      </c>
      <c r="B127" s="66" t="inlineStr">
        <is>
          <t>VALERIANO JUSTO</t>
        </is>
      </c>
      <c r="C127" s="66" t="inlineStr">
        <is>
          <t>GAJARDO</t>
        </is>
      </c>
      <c r="D127" s="66" t="inlineStr">
        <is>
          <t>90a 6m 18d</t>
        </is>
      </c>
      <c r="E127" s="67" t="inlineStr">
        <is>
          <t>- FACOERESIS EXTRACAPSULAR CON IMPLANTE DE LENTE INTRAOCULAR (NO INCLUYE EL VALOR DE LA PROTESIS)</t>
        </is>
      </c>
      <c r="F127" s="68" t="inlineStr">
        <is>
          <t>UNIDAD DE OFTALMOLOGIA</t>
        </is>
      </c>
      <c r="G127" s="72" t="inlineStr">
        <is>
          <t>OFTALMOLOGIA</t>
        </is>
      </c>
      <c r="H127" s="66" t="inlineStr">
        <is>
          <t>1202064-10</t>
        </is>
      </c>
      <c r="I127" s="19" t="n"/>
      <c r="J127" s="20">
        <f>IF(H127&lt;&gt;"",IFERROR(VLOOKUP(IFERROR(LEFT(H127,FIND("-",H127)-1),H127),'Catalogo MINSAL'!A:E,5,FALSE),""),IF(I127&lt;&gt;"",IFERROR(VLOOKUP(IFERROR(LEFT(I127,FIND("-",I127)-1),I127),'Catalogo MINSAL'!A:E,5,FALSE),""),""))</f>
        <v/>
      </c>
      <c r="K127" s="66" t="inlineStr">
        <is>
          <t>Diandra Silva Rodriguez</t>
        </is>
      </c>
      <c r="L127" s="66" t="inlineStr">
        <is>
          <t>Dr. Arturo Hillerns Eltit</t>
        </is>
      </c>
      <c r="M127" s="66" t="inlineStr">
        <is>
          <t>Quirofano 08</t>
        </is>
      </c>
      <c r="N127" s="19" t="inlineStr">
        <is>
          <t>Realizado</t>
        </is>
      </c>
      <c r="O127" s="70" t="n">
        <v>0.5972222222222222</v>
      </c>
      <c r="P127" s="27">
        <f>IFERROR(IF(OR(O127="",A127="",M127=""),"",IF(SUMPRODUCT(($A$4:$A$500=A127)*($M$4:$M$500=M127)*($O$4:$O$500&lt;&gt;"")*(MOD($O$4:$O$500,1)&lt;MOD(O127,1)))=0,IF(MOD(O127,1)&lt;=TIME(8,15,0),"Ingreso adecuado primera hora","Atraso primera hora"),"No aplica")),"")</f>
        <v/>
      </c>
      <c r="Q127" s="86" t="n"/>
      <c r="R127" s="70" t="n">
        <v>0.6013888888888889</v>
      </c>
      <c r="S127" s="70" t="n">
        <v>0.6097222222222223</v>
      </c>
      <c r="T127" s="70" t="n">
        <v>0.6111111111111112</v>
      </c>
      <c r="U127" s="106">
        <f>IFERROR(VLOOKUP(M127,'Horario Pabellones'!$A$4:$D$17,2,FALSE),"")</f>
        <v/>
      </c>
      <c r="V127" s="106">
        <f>IFERROR(VLOOKUP(M127,'Horario Pabellones'!$A$4:$D$17,3,FALSE),"")</f>
        <v/>
      </c>
      <c r="W127" s="104">
        <f>IFERROR(VLOOKUP(M127,'Horario Pabellones'!$A$4:$D$17,4,FALSE),"")</f>
        <v/>
      </c>
      <c r="X127" s="93">
        <f>IFERROR(IF(OR(A127="",M127="",W127=""),"",(((_xludf.AGGREGATE(14,6,MOD($S$4:$S$500,1)/(($A$4:$A$500=A127)*($M$4:$M$500=M127)*($R$4:$R$500&lt;&gt;"")*($S$4:$S$500&lt;&gt;"")),1)-_xludf.AGGREGATE(15,6,MOD($R$4:$R$500,1)/(($A$4:$A$500=A127)*($M$4:$M$500=M127)*($R$4:$R$500&lt;&gt;"")*($S$4:$S$500&lt;&gt;"")),1))*1440)/60)/(W127/60)),"")</f>
        <v/>
      </c>
      <c r="Y127" s="26">
        <f>IFERROR(IF(OR(O127="",A127="",M127=""),"",(IF(ISNUMBER(O127),MOD(O127,1),TIMEVALUE(O127))-LOOKUP(2,1/(($A$4:$A$500=A127)*($M$4:$M$500=M127)*($T$4:$T$500&lt;&gt;"")*($T$4:$T$500&lt;IF(ISNUMBER(O127),MOD(O127,1),TIMEVALUE(O127)))),$T$4:$T$500))*1440),"")</f>
        <v/>
      </c>
      <c r="Z127" s="27">
        <f>IFERROR(IF(Y127="","",IF(ROUND(Y127,0)&lt;=15,"Cumple","No cumple")),"")</f>
        <v/>
      </c>
      <c r="AA127" s="85" t="inlineStr">
        <is>
          <t>Cirujano en policlinico (Dr. Hillers)</t>
        </is>
      </c>
      <c r="AB127" s="26">
        <f>IFERROR(IF(OR(O127="",R127=""),"",IF(IF(ISNUMBER(R127),MOD(R127,1),TIMEVALUE(R127))&gt;=IF(ISNUMBER(O127),MOD(O127,1),TIMEVALUE(O127)),(IF(ISNUMBER(R127),MOD(R127,1),TIMEVALUE(R127))-IF(ISNUMBER(O127),MOD(O127,1),TIMEVALUE(O127)))*1440,(IF(ISNUMBER(R127),MOD(R127,1),TIMEVALUE(R127))+1-IF(ISNUMBER(O127),MOD(O127,1),TIMEVALUE(O127)))*1440)),"")</f>
        <v/>
      </c>
      <c r="AC127" s="28">
        <f>IFERROR(IF(OR(R127="",S127=""),"",IF(IF(ISNUMBER(S127),MOD(S127,1),TIMEVALUE(S127))&gt;=IF(ISNUMBER(R127),MOD(R127,1),TIMEVALUE(R127)),(IF(ISNUMBER(S127),MOD(S127,1),TIMEVALUE(S127))-IF(ISNUMBER(R127),MOD(R127,1),TIMEVALUE(R127)))*1440,(IF(ISNUMBER(S127),MOD(S127,1),TIMEVALUE(S127))+1-IF(ISNUMBER(R127),MOD(R127,1),TIMEVALUE(R127)))*1440)),"")</f>
        <v/>
      </c>
      <c r="AD127" s="104" t="n">
        <v>30</v>
      </c>
      <c r="AE127" s="26">
        <f>IFERROR(IF(OR(AC127="",AD127=""),"",AC127-AD127),"")</f>
        <v/>
      </c>
      <c r="AF127" s="27">
        <f>IFERROR(IF(AE127="","",IF(ROUND(AE127,0)&gt;15,"Subestimacion",IF(ROUND(AE127,0)&lt;-15,"Sobrestimacion","Asertivo"))),"")</f>
        <v/>
      </c>
      <c r="AG127" s="66" t="inlineStr">
        <is>
          <t>Sin Suspensión</t>
        </is>
      </c>
      <c r="AH127" s="85" t="n"/>
      <c r="AI127" s="85" t="n"/>
      <c r="AJ127" s="19" t="n"/>
      <c r="AK127" s="19" t="inlineStr">
        <is>
          <t>Sí</t>
        </is>
      </c>
      <c r="AL127" s="19" t="inlineStr">
        <is>
          <t>No</t>
        </is>
      </c>
      <c r="AM127" s="66" t="inlineStr">
        <is>
          <t>I0001190229</t>
        </is>
      </c>
      <c r="AN127" s="19" t="n"/>
      <c r="AO127" s="19" t="n"/>
      <c r="AP127" s="127">
        <f>IF(A127="","",A127-WEEKDAY(A127,2)+1)</f>
        <v/>
      </c>
      <c r="AQ127" s="127">
        <f>IF(AO127="","",AO127+6)</f>
        <v/>
      </c>
      <c r="AR127" s="19">
        <f>IF(AO127="","","Semana "&amp;TEXT(AO127,"dd-mm-yyyy")&amp;" al "&amp;TEXT(AP127,"dd-mm-yyyy"))</f>
        <v/>
      </c>
      <c r="AS127" s="19">
        <f>IF(A127="","",TEXT(A127,"mmmm yyyy"))</f>
        <v/>
      </c>
      <c r="AT127" s="19">
        <f>IF(A127="","",TEXT(A127,"dddd"))</f>
        <v/>
      </c>
      <c r="AU127" s="19">
        <f>IF(A127="","","CRR-"&amp;TEXT(A127,"yyyymmdd")&amp;"-"&amp;M127&amp;"-"&amp;TEXT(ROW()-3,"0000"))</f>
        <v/>
      </c>
      <c r="AV127" s="19">
        <f>IF(A127="","",IF(OR(B127="",C127="",E127="",F127="",M127="",N127=""),"Revisar campos obligatorios",IF(AND(P127="Atraso primera hora",Q127=""),"Falta justificación atraso primera hora",IF(AND(Z127="No cumple",AA127=""),"Falta justificación recambio &gt;15 min",IF(AND(ISNUMBER(SEARCH("suspend",N127)),OR(AG127="",AH127="")),"Falta causa/motivo suspensión","OK")))))</f>
        <v/>
      </c>
      <c r="AW127" s="19">
        <f>IF(N127="","",IF(ISNUMBER(SEARCH("suspend",N127)),IF(AND(AG127="",AH127=""),"Sin causa/motivo registrado",IF(AG127="",AH127,IF(AH127="",AG127,AG127&amp;": "&amp;AH127))),""))</f>
        <v/>
      </c>
    </row>
    <row r="128" ht="16" customHeight="1" s="151">
      <c r="A128" s="65" t="n">
        <v>46177</v>
      </c>
      <c r="B128" s="66" t="inlineStr">
        <is>
          <t>CRISTIAN ALEXIS</t>
        </is>
      </c>
      <c r="C128" s="66" t="inlineStr">
        <is>
          <t>PROVOSTE</t>
        </is>
      </c>
      <c r="D128" s="66" t="inlineStr">
        <is>
          <t>43a 6m 26d</t>
        </is>
      </c>
      <c r="E128" s="67" t="inlineStr">
        <is>
          <t>- FACOERESIS EXTRACAPSULAR CON IMPLANTE DE LENTE INTRAOCULAR (NO INCLUYE EL VALOR DE LA PROTESIS)</t>
        </is>
      </c>
      <c r="F128" s="68" t="inlineStr">
        <is>
          <t>UNIDAD DE OFTALMOLOGIA</t>
        </is>
      </c>
      <c r="G128" s="72" t="inlineStr">
        <is>
          <t>OFTALMOLOGIA</t>
        </is>
      </c>
      <c r="H128" s="66" t="inlineStr">
        <is>
          <t>1202064-10</t>
        </is>
      </c>
      <c r="I128" s="19" t="n"/>
      <c r="J128" s="20">
        <f>IF(H128&lt;&gt;"",IFERROR(VLOOKUP(IFERROR(LEFT(H128,FIND("-",H128)-1),H128),'Catalogo MINSAL'!A:E,5,FALSE),""),IF(I128&lt;&gt;"",IFERROR(VLOOKUP(IFERROR(LEFT(I128,FIND("-",I128)-1),I128),'Catalogo MINSAL'!A:E,5,FALSE),""),""))</f>
        <v/>
      </c>
      <c r="K128" s="66" t="inlineStr">
        <is>
          <t>Diandra Silva Rodriguez</t>
        </is>
      </c>
      <c r="L128" s="66" t="inlineStr">
        <is>
          <t>Dr. Arturo Hillerns Eltit</t>
        </is>
      </c>
      <c r="M128" s="66" t="inlineStr">
        <is>
          <t>Quirofano 08</t>
        </is>
      </c>
      <c r="N128" s="19" t="inlineStr">
        <is>
          <t>Realizado</t>
        </is>
      </c>
      <c r="O128" s="70" t="n">
        <v>0.6180555555555556</v>
      </c>
      <c r="P128" s="27">
        <f>IFERROR(IF(OR(O128="",A128="",M128=""),"",IF(SUMPRODUCT(($A$4:$A$500=A128)*($M$4:$M$500=M128)*($O$4:$O$500&lt;&gt;"")*(MOD($O$4:$O$500,1)&lt;MOD(O128,1)))=0,IF(MOD(O128,1)&lt;=TIME(8,15,0),"Ingreso adecuado primera hora","Atraso primera hora"),"No aplica")),"")</f>
        <v/>
      </c>
      <c r="Q128" s="87" t="n"/>
      <c r="R128" s="70" t="n">
        <v>0.6222222222222222</v>
      </c>
      <c r="S128" s="70" t="n">
        <v>0.6319444444444444</v>
      </c>
      <c r="T128" s="70" t="n">
        <v>0.6354166666666666</v>
      </c>
      <c r="U128" s="106">
        <f>IFERROR(VLOOKUP(M128,'Horario Pabellones'!$A$4:$D$17,2,FALSE),"")</f>
        <v/>
      </c>
      <c r="V128" s="106">
        <f>IFERROR(VLOOKUP(M128,'Horario Pabellones'!$A$4:$D$17,3,FALSE),"")</f>
        <v/>
      </c>
      <c r="W128" s="104">
        <f>IFERROR(VLOOKUP(M128,'Horario Pabellones'!$A$4:$D$17,4,FALSE),"")</f>
        <v/>
      </c>
      <c r="X128" s="93">
        <f>IFERROR(IF(OR(A128="",M128="",W128=""),"",(((_xludf.AGGREGATE(14,6,MOD($S$4:$S$500,1)/(($A$4:$A$500=A128)*($M$4:$M$500=M128)*($R$4:$R$500&lt;&gt;"")*($S$4:$S$500&lt;&gt;"")),1)-_xludf.AGGREGATE(15,6,MOD($R$4:$R$500,1)/(($A$4:$A$500=A128)*($M$4:$M$500=M128)*($R$4:$R$500&lt;&gt;"")*($S$4:$S$500&lt;&gt;"")),1))*1440)/60)/(W128/60)),"")</f>
        <v/>
      </c>
      <c r="Y128" s="26">
        <f>IFERROR(IF(OR(O128="",A128="",M128=""),"",(IF(ISNUMBER(O128),MOD(O128,1),TIMEVALUE(O128))-LOOKUP(2,1/(($A$4:$A$500=A128)*($M$4:$M$500=M128)*($T$4:$T$500&lt;&gt;"")*($T$4:$T$500&lt;IF(ISNUMBER(O128),MOD(O128,1),TIMEVALUE(O128)))),$T$4:$T$500))*1440),"")</f>
        <v/>
      </c>
      <c r="Z128" s="27">
        <f>IFERROR(IF(Y128="","",IF(ROUND(Y128,0)&lt;=15,"Cumple","No cumple")),"")</f>
        <v/>
      </c>
      <c r="AA128" s="15" t="n"/>
      <c r="AB128" s="26">
        <f>IFERROR(IF(OR(O128="",R128=""),"",IF(IF(ISNUMBER(R128),MOD(R128,1),TIMEVALUE(R128))&gt;=IF(ISNUMBER(O128),MOD(O128,1),TIMEVALUE(O128)),(IF(ISNUMBER(R128),MOD(R128,1),TIMEVALUE(R128))-IF(ISNUMBER(O128),MOD(O128,1),TIMEVALUE(O128)))*1440,(IF(ISNUMBER(R128),MOD(R128,1),TIMEVALUE(R128))+1-IF(ISNUMBER(O128),MOD(O128,1),TIMEVALUE(O128)))*1440)),"")</f>
        <v/>
      </c>
      <c r="AC128" s="28">
        <f>IFERROR(IF(OR(R128="",S128=""),"",IF(IF(ISNUMBER(S128),MOD(S128,1),TIMEVALUE(S128))&gt;=IF(ISNUMBER(R128),MOD(R128,1),TIMEVALUE(R128)),(IF(ISNUMBER(S128),MOD(S128,1),TIMEVALUE(S128))-IF(ISNUMBER(R128),MOD(R128,1),TIMEVALUE(R128)))*1440,(IF(ISNUMBER(S128),MOD(S128,1),TIMEVALUE(S128))+1-IF(ISNUMBER(R128),MOD(R128,1),TIMEVALUE(R128)))*1440)),"")</f>
        <v/>
      </c>
      <c r="AD128" s="104" t="n">
        <v>30</v>
      </c>
      <c r="AE128" s="26">
        <f>IFERROR(IF(OR(AC128="",AD128=""),"",AC128-AD128),"")</f>
        <v/>
      </c>
      <c r="AF128" s="27">
        <f>IFERROR(IF(AE128="","",IF(ROUND(AE128,0)&gt;15,"Subestimacion",IF(ROUND(AE128,0)&lt;-15,"Sobrestimacion","Asertivo"))),"")</f>
        <v/>
      </c>
      <c r="AG128" s="66" t="inlineStr">
        <is>
          <t>Sin Suspensión</t>
        </is>
      </c>
      <c r="AH128" s="15" t="n"/>
      <c r="AI128" s="15" t="n"/>
      <c r="AJ128" s="19" t="n"/>
      <c r="AK128" s="19" t="inlineStr">
        <is>
          <t>Sí</t>
        </is>
      </c>
      <c r="AL128" s="19" t="inlineStr">
        <is>
          <t>No</t>
        </is>
      </c>
      <c r="AM128" s="66" t="inlineStr">
        <is>
          <t>I0001190231</t>
        </is>
      </c>
      <c r="AN128" s="19" t="n"/>
      <c r="AO128" s="19" t="n"/>
      <c r="AP128" s="127">
        <f>IF(A128="","",A128-WEEKDAY(A128,2)+1)</f>
        <v/>
      </c>
      <c r="AQ128" s="127">
        <f>IF(AO128="","",AO128+6)</f>
        <v/>
      </c>
      <c r="AR128" s="19">
        <f>IF(AO128="","","Semana "&amp;TEXT(AO128,"dd-mm-yyyy")&amp;" al "&amp;TEXT(AP128,"dd-mm-yyyy"))</f>
        <v/>
      </c>
      <c r="AS128" s="19">
        <f>IF(A128="","",TEXT(A128,"mmmm yyyy"))</f>
        <v/>
      </c>
      <c r="AT128" s="19">
        <f>IF(A128="","",TEXT(A128,"dddd"))</f>
        <v/>
      </c>
      <c r="AU128" s="19">
        <f>IF(A128="","","CRR-"&amp;TEXT(A128,"yyyymmdd")&amp;"-"&amp;M128&amp;"-"&amp;TEXT(ROW()-3,"0000"))</f>
        <v/>
      </c>
      <c r="AV128" s="19">
        <f>IF(A128="","",IF(OR(B128="",C128="",E128="",F128="",M128="",N128=""),"Revisar campos obligatorios",IF(AND(P128="Atraso primera hora",Q128=""),"Falta justificación atraso primera hora",IF(AND(Z128="No cumple",AA128=""),"Falta justificación recambio &gt;15 min",IF(AND(ISNUMBER(SEARCH("suspend",N128)),OR(AG128="",AH128="")),"Falta causa/motivo suspensión","OK")))))</f>
        <v/>
      </c>
      <c r="AW128" s="19">
        <f>IF(N128="","",IF(ISNUMBER(SEARCH("suspend",N128)),IF(AND(AG128="",AH128=""),"Sin causa/motivo registrado",IF(AG128="",AH128,IF(AH128="",AG128,AG128&amp;": "&amp;AH128))),""))</f>
        <v/>
      </c>
    </row>
    <row r="129" ht="16" customHeight="1" s="151">
      <c r="A129" s="65" t="n">
        <v>46177</v>
      </c>
      <c r="B129" s="66" t="inlineStr">
        <is>
          <t>MARIO GUSTAVO</t>
        </is>
      </c>
      <c r="C129" s="66" t="inlineStr">
        <is>
          <t>CERDA</t>
        </is>
      </c>
      <c r="D129" s="66" t="inlineStr">
        <is>
          <t>77a 7m 18d</t>
        </is>
      </c>
      <c r="E129" s="67" t="inlineStr">
        <is>
          <t>- FACOERESIS EXTRACAPSULAR CON IMPLANTE DE LENTE INTRAOCULAR (NO INCLUYE EL VALOR DE LA PROTESIS)</t>
        </is>
      </c>
      <c r="F129" s="68" t="inlineStr">
        <is>
          <t>UNIDAD DE OFTALMOLOGIA</t>
        </is>
      </c>
      <c r="G129" s="72" t="inlineStr">
        <is>
          <t>OFTALMOLOGIA</t>
        </is>
      </c>
      <c r="H129" s="66" t="inlineStr">
        <is>
          <t>1202064-10</t>
        </is>
      </c>
      <c r="I129" s="19" t="n"/>
      <c r="J129" s="20">
        <f>IF(H129&lt;&gt;"",IFERROR(VLOOKUP(IFERROR(LEFT(H129,FIND("-",H129)-1),H129),'Catalogo MINSAL'!A:E,5,FALSE),""),IF(I129&lt;&gt;"",IFERROR(VLOOKUP(IFERROR(LEFT(I129,FIND("-",I129)-1),I129),'Catalogo MINSAL'!A:E,5,FALSE),""),""))</f>
        <v/>
      </c>
      <c r="K129" s="66" t="inlineStr">
        <is>
          <t>Diandra Silva Rodriguez</t>
        </is>
      </c>
      <c r="L129" s="66" t="inlineStr">
        <is>
          <t>Dr. Arturo Hillerns Eltit</t>
        </is>
      </c>
      <c r="M129" s="66" t="inlineStr">
        <is>
          <t>Quirofano 08</t>
        </is>
      </c>
      <c r="N129" s="19" t="inlineStr">
        <is>
          <t>Realizado</t>
        </is>
      </c>
      <c r="O129" s="70" t="n">
        <v>0.6388888888888888</v>
      </c>
      <c r="P129" s="27">
        <f>IFERROR(IF(OR(O129="",A129="",M129=""),"",IF(SUMPRODUCT(($A$4:$A$500=A129)*($M$4:$M$500=M129)*($O$4:$O$500&lt;&gt;"")*(MOD($O$4:$O$500,1)&lt;MOD(O129,1)))=0,IF(MOD(O129,1)&lt;=TIME(8,15,0),"Ingreso adecuado primera hora","Atraso primera hora"),"No aplica")),"")</f>
        <v/>
      </c>
      <c r="Q129" s="87" t="n"/>
      <c r="R129" s="70" t="n">
        <v>0.6423611111111112</v>
      </c>
      <c r="S129" s="70" t="n">
        <v>0.6708333333333333</v>
      </c>
      <c r="T129" s="70" t="n">
        <v>0.6729166666666667</v>
      </c>
      <c r="U129" s="106">
        <f>IFERROR(VLOOKUP(M129,'Horario Pabellones'!$A$4:$D$17,2,FALSE),"")</f>
        <v/>
      </c>
      <c r="V129" s="106">
        <f>IFERROR(VLOOKUP(M129,'Horario Pabellones'!$A$4:$D$17,3,FALSE),"")</f>
        <v/>
      </c>
      <c r="W129" s="104">
        <f>IFERROR(VLOOKUP(M129,'Horario Pabellones'!$A$4:$D$17,4,FALSE),"")</f>
        <v/>
      </c>
      <c r="X129" s="93">
        <f>IFERROR(IF(OR(A129="",M129="",W129=""),"",(((_xludf.AGGREGATE(14,6,MOD($S$4:$S$500,1)/(($A$4:$A$500=A129)*($M$4:$M$500=M129)*($R$4:$R$500&lt;&gt;"")*($S$4:$S$500&lt;&gt;"")),1)-_xludf.AGGREGATE(15,6,MOD($R$4:$R$500,1)/(($A$4:$A$500=A129)*($M$4:$M$500=M129)*($R$4:$R$500&lt;&gt;"")*($S$4:$S$500&lt;&gt;"")),1))*1440)/60)/(W129/60)),"")</f>
        <v/>
      </c>
      <c r="Y129" s="26">
        <f>IFERROR(IF(OR(O129="",A129="",M129=""),"",(IF(ISNUMBER(O129),MOD(O129,1),TIMEVALUE(O129))-LOOKUP(2,1/(($A$4:$A$500=A129)*($M$4:$M$500=M129)*($T$4:$T$500&lt;&gt;"")*($T$4:$T$500&lt;IF(ISNUMBER(O129),MOD(O129,1),TIMEVALUE(O129)))),$T$4:$T$500))*1440),"")</f>
        <v/>
      </c>
      <c r="Z129" s="27">
        <f>IFERROR(IF(Y129="","",IF(ROUND(Y129,0)&lt;=15,"Cumple","No cumple")),"")</f>
        <v/>
      </c>
      <c r="AA129" s="15" t="n"/>
      <c r="AB129" s="26">
        <f>IFERROR(IF(OR(O129="",R129=""),"",IF(IF(ISNUMBER(R129),MOD(R129,1),TIMEVALUE(R129))&gt;=IF(ISNUMBER(O129),MOD(O129,1),TIMEVALUE(O129)),(IF(ISNUMBER(R129),MOD(R129,1),TIMEVALUE(R129))-IF(ISNUMBER(O129),MOD(O129,1),TIMEVALUE(O129)))*1440,(IF(ISNUMBER(R129),MOD(R129,1),TIMEVALUE(R129))+1-IF(ISNUMBER(O129),MOD(O129,1),TIMEVALUE(O129)))*1440)),"")</f>
        <v/>
      </c>
      <c r="AC129" s="28">
        <f>IFERROR(IF(OR(R129="",S129=""),"",IF(IF(ISNUMBER(S129),MOD(S129,1),TIMEVALUE(S129))&gt;=IF(ISNUMBER(R129),MOD(R129,1),TIMEVALUE(R129)),(IF(ISNUMBER(S129),MOD(S129,1),TIMEVALUE(S129))-IF(ISNUMBER(R129),MOD(R129,1),TIMEVALUE(R129)))*1440,(IF(ISNUMBER(S129),MOD(S129,1),TIMEVALUE(S129))+1-IF(ISNUMBER(R129),MOD(R129,1),TIMEVALUE(R129)))*1440)),"")</f>
        <v/>
      </c>
      <c r="AD129" s="104" t="n">
        <v>30</v>
      </c>
      <c r="AE129" s="26">
        <f>IFERROR(IF(OR(AC129="",AD129=""),"",AC129-AD129),"")</f>
        <v/>
      </c>
      <c r="AF129" s="27">
        <f>IFERROR(IF(AE129="","",IF(ROUND(AE129,0)&gt;15,"Subestimacion",IF(ROUND(AE129,0)&lt;-15,"Sobrestimacion","Asertivo"))),"")</f>
        <v/>
      </c>
      <c r="AG129" s="66" t="inlineStr">
        <is>
          <t>Sin Suspensión</t>
        </is>
      </c>
      <c r="AH129" s="15" t="n"/>
      <c r="AI129" s="15" t="n"/>
      <c r="AJ129" s="19" t="n"/>
      <c r="AK129" s="19" t="inlineStr">
        <is>
          <t>Sí</t>
        </is>
      </c>
      <c r="AL129" s="19" t="inlineStr">
        <is>
          <t>No</t>
        </is>
      </c>
      <c r="AM129" s="66" t="inlineStr">
        <is>
          <t>I0001190232</t>
        </is>
      </c>
      <c r="AN129" s="19" t="n"/>
      <c r="AO129" s="19" t="n"/>
      <c r="AP129" s="127">
        <f>IF(A129="","",A129-WEEKDAY(A129,2)+1)</f>
        <v/>
      </c>
      <c r="AQ129" s="127">
        <f>IF(AO129="","",AO129+6)</f>
        <v/>
      </c>
      <c r="AR129" s="19">
        <f>IF(AO129="","","Semana "&amp;TEXT(AO129,"dd-mm-yyyy")&amp;" al "&amp;TEXT(AP129,"dd-mm-yyyy"))</f>
        <v/>
      </c>
      <c r="AS129" s="19">
        <f>IF(A129="","",TEXT(A129,"mmmm yyyy"))</f>
        <v/>
      </c>
      <c r="AT129" s="19">
        <f>IF(A129="","",TEXT(A129,"dddd"))</f>
        <v/>
      </c>
      <c r="AU129" s="19">
        <f>IF(A129="","","CRR-"&amp;TEXT(A129,"yyyymmdd")&amp;"-"&amp;M129&amp;"-"&amp;TEXT(ROW()-3,"0000"))</f>
        <v/>
      </c>
      <c r="AV129" s="19">
        <f>IF(A129="","",IF(OR(B129="",C129="",E129="",F129="",M129="",N129=""),"Revisar campos obligatorios",IF(AND(P129="Atraso primera hora",Q129=""),"Falta justificación atraso primera hora",IF(AND(Z129="No cumple",AA129=""),"Falta justificación recambio &gt;15 min",IF(AND(ISNUMBER(SEARCH("suspend",N129)),OR(AG129="",AH129="")),"Falta causa/motivo suspensión","OK")))))</f>
        <v/>
      </c>
      <c r="AW129" s="19">
        <f>IF(N129="","",IF(ISNUMBER(SEARCH("suspend",N129)),IF(AND(AG129="",AH129=""),"Sin causa/motivo registrado",IF(AG129="",AH129,IF(AH129="",AG129,AG129&amp;": "&amp;AH129))),""))</f>
        <v/>
      </c>
    </row>
    <row r="130" ht="16" customHeight="1" s="151">
      <c r="A130" s="65" t="n">
        <v>46177</v>
      </c>
      <c r="B130" s="66" t="inlineStr">
        <is>
          <t>MARÍA VERÓNICA</t>
        </is>
      </c>
      <c r="C130" s="66" t="inlineStr">
        <is>
          <t>VÁSQUEZ</t>
        </is>
      </c>
      <c r="D130" s="66" t="inlineStr">
        <is>
          <t>65a 11m 7d</t>
        </is>
      </c>
      <c r="E130" s="67" t="inlineStr">
        <is>
          <t>- FACOERESIS EXTRACAPSULAR CON IMPLANTE DE LENTE INTRAOCULAR (NO INCLUYE EL VALOR DE LA PROTESIS)</t>
        </is>
      </c>
      <c r="F130" s="68" t="inlineStr">
        <is>
          <t>UNIDAD DE OFTALMOLOGIA</t>
        </is>
      </c>
      <c r="G130" s="72" t="inlineStr">
        <is>
          <t>OFTALMOLOGIA</t>
        </is>
      </c>
      <c r="H130" s="66" t="inlineStr">
        <is>
          <t>1202064-10</t>
        </is>
      </c>
      <c r="I130" s="19" t="n"/>
      <c r="J130" s="20">
        <f>IF(H130&lt;&gt;"",IFERROR(VLOOKUP(IFERROR(LEFT(H130,FIND("-",H130)-1),H130),'Catalogo MINSAL'!A:E,5,FALSE),""),IF(I130&lt;&gt;"",IFERROR(VLOOKUP(IFERROR(LEFT(I130,FIND("-",I130)-1),I130),'Catalogo MINSAL'!A:E,5,FALSE),""),""))</f>
        <v/>
      </c>
      <c r="K130" s="66" t="inlineStr">
        <is>
          <t>Diandra Silva Rodriguez</t>
        </is>
      </c>
      <c r="L130" s="66" t="inlineStr">
        <is>
          <t>Sebastian Aceituno Arroyo</t>
        </is>
      </c>
      <c r="M130" s="66" t="inlineStr">
        <is>
          <t>Quirofano 08</t>
        </is>
      </c>
      <c r="N130" s="19" t="inlineStr">
        <is>
          <t>Suspendido</t>
        </is>
      </c>
      <c r="O130" s="15" t="n"/>
      <c r="P130" s="27">
        <f>IFERROR(IF(OR(O130="",A130="",M130=""),"",IF(SUMPRODUCT(($A$4:$A$500=A130)*($M$4:$M$500=M130)*($O$4:$O$500&lt;&gt;"")*(MOD($O$4:$O$500,1)&lt;MOD(O130,1)))=0,IF(MOD(O130,1)&lt;=TIME(8,15,0),"Ingreso adecuado primera hora","Atraso primera hora"),"No aplica")),"")</f>
        <v/>
      </c>
      <c r="Q130" s="86" t="n"/>
      <c r="R130" s="15" t="n"/>
      <c r="S130" s="15" t="n"/>
      <c r="T130" s="15" t="n"/>
      <c r="U130" s="106">
        <f>IFERROR(VLOOKUP(M130,'Horario Pabellones'!$A$4:$D$17,2,FALSE),"")</f>
        <v/>
      </c>
      <c r="V130" s="106">
        <f>IFERROR(VLOOKUP(M130,'Horario Pabellones'!$A$4:$D$17,3,FALSE),"")</f>
        <v/>
      </c>
      <c r="W130" s="104">
        <f>IFERROR(VLOOKUP(M130,'Horario Pabellones'!$A$4:$D$17,4,FALSE),"")</f>
        <v/>
      </c>
      <c r="X130" s="93">
        <f>IFERROR(IF(OR(A130="",M130="",W130=""),"",(((_xludf.AGGREGATE(14,6,MOD($S$4:$S$500,1)/(($A$4:$A$500=A130)*($M$4:$M$500=M130)*($R$4:$R$500&lt;&gt;"")*($S$4:$S$500&lt;&gt;"")),1)-_xludf.AGGREGATE(15,6,MOD($R$4:$R$500,1)/(($A$4:$A$500=A130)*($M$4:$M$500=M130)*($R$4:$R$500&lt;&gt;"")*($S$4:$S$500&lt;&gt;"")),1))*1440)/60)/(W130/60)),"")</f>
        <v/>
      </c>
      <c r="Y130" s="26">
        <f>IFERROR(IF(OR(O130="",A130="",M130=""),"",(IF(ISNUMBER(O130),MOD(O130,1),TIMEVALUE(O130))-LOOKUP(2,1/(($A$4:$A$500=A130)*($M$4:$M$500=M130)*($T$4:$T$500&lt;&gt;"")*($T$4:$T$500&lt;IF(ISNUMBER(O130),MOD(O130,1),TIMEVALUE(O130)))),$T$4:$T$500))*1440),"")</f>
        <v/>
      </c>
      <c r="Z130" s="27">
        <f>IFERROR(IF(Y130="","",IF(ROUND(Y130,0)&lt;=15,"Cumple","No cumple")),"")</f>
        <v/>
      </c>
      <c r="AA130" s="85" t="n"/>
      <c r="AB130" s="26">
        <f>IFERROR(IF(OR(O130="",R130=""),"",IF(IF(ISNUMBER(R130),MOD(R130,1),TIMEVALUE(R130))&gt;=IF(ISNUMBER(O130),MOD(O130,1),TIMEVALUE(O130)),(IF(ISNUMBER(R130),MOD(R130,1),TIMEVALUE(R130))-IF(ISNUMBER(O130),MOD(O130,1),TIMEVALUE(O130)))*1440,(IF(ISNUMBER(R130),MOD(R130,1),TIMEVALUE(R130))+1-IF(ISNUMBER(O130),MOD(O130,1),TIMEVALUE(O130)))*1440)),"")</f>
        <v/>
      </c>
      <c r="AC130" s="28">
        <f>IFERROR(IF(OR(R130="",S130=""),"",IF(IF(ISNUMBER(S130),MOD(S130,1),TIMEVALUE(S130))&gt;=IF(ISNUMBER(R130),MOD(R130,1),TIMEVALUE(R130)),(IF(ISNUMBER(S130),MOD(S130,1),TIMEVALUE(S130))-IF(ISNUMBER(R130),MOD(R130,1),TIMEVALUE(R130)))*1440,(IF(ISNUMBER(S130),MOD(S130,1),TIMEVALUE(S130))+1-IF(ISNUMBER(R130),MOD(R130,1),TIMEVALUE(R130)))*1440)),"")</f>
        <v/>
      </c>
      <c r="AD130" s="104" t="n">
        <v>30</v>
      </c>
      <c r="AE130" s="26">
        <f>IFERROR(IF(OR(AC130="",AD130=""),"",AC130-AD130),"")</f>
        <v/>
      </c>
      <c r="AF130" s="27">
        <f>IFERROR(IF(AE130="","",IF(ROUND(AE130,0)&gt;15,"Subestimacion",IF(ROUND(AE130,0)&lt;-15,"Sobrestimacion","Asertivo"))),"")</f>
        <v/>
      </c>
      <c r="AG130" s="71" t="inlineStr">
        <is>
          <t>No se presenta</t>
        </is>
      </c>
      <c r="AH130" s="85" t="inlineStr">
        <is>
          <t>No se presenta</t>
        </is>
      </c>
      <c r="AI130" s="85" t="inlineStr">
        <is>
          <t>No se presenta</t>
        </is>
      </c>
      <c r="AJ130" s="19" t="n"/>
      <c r="AK130" s="19" t="inlineStr">
        <is>
          <t>Sí</t>
        </is>
      </c>
      <c r="AL130" s="19" t="inlineStr">
        <is>
          <t>No</t>
        </is>
      </c>
      <c r="AM130" s="66" t="inlineStr">
        <is>
          <t>I0001190220</t>
        </is>
      </c>
      <c r="AN130" s="19" t="n"/>
      <c r="AO130" s="19" t="n"/>
      <c r="AP130" s="127">
        <f>IF(A130="","",A130-WEEKDAY(A130,2)+1)</f>
        <v/>
      </c>
      <c r="AQ130" s="127">
        <f>IF(AO130="","",AO130+6)</f>
        <v/>
      </c>
      <c r="AR130" s="19">
        <f>IF(AO130="","","Semana "&amp;TEXT(AO130,"dd-mm-yyyy")&amp;" al "&amp;TEXT(AP130,"dd-mm-yyyy"))</f>
        <v/>
      </c>
      <c r="AS130" s="19">
        <f>IF(A130="","",TEXT(A130,"mmmm yyyy"))</f>
        <v/>
      </c>
      <c r="AT130" s="19">
        <f>IF(A130="","",TEXT(A130,"dddd"))</f>
        <v/>
      </c>
      <c r="AU130" s="19">
        <f>IF(A130="","","CRR-"&amp;TEXT(A130,"yyyymmdd")&amp;"-"&amp;M130&amp;"-"&amp;TEXT(ROW()-3,"0000"))</f>
        <v/>
      </c>
      <c r="AV130" s="19">
        <f>IF(A130="","",IF(OR(B130="",C130="",E130="",F130="",M130="",N130=""),"Revisar campos obligatorios",IF(AND(P130="Atraso primera hora",Q130=""),"Falta justificación atraso primera hora",IF(AND(Z130="No cumple",AA130=""),"Falta justificación recambio &gt;15 min",IF(AND(ISNUMBER(SEARCH("suspend",N130)),OR(AG130="",AH130="")),"Falta causa/motivo suspensión","OK")))))</f>
        <v/>
      </c>
      <c r="AW130" s="19">
        <f>IF(N130="","",IF(ISNUMBER(SEARCH("suspend",N130)),IF(AND(AG130="",AH130=""),"Sin causa/motivo registrado",IF(AG130="",AH130,IF(AH130="",AG130,AG130&amp;": "&amp;AH130))),""))</f>
        <v/>
      </c>
    </row>
    <row r="131" ht="16" customHeight="1" s="151">
      <c r="A131" s="65" t="n">
        <v>46177</v>
      </c>
      <c r="B131" s="66" t="inlineStr">
        <is>
          <t>RAÚL EDUARDO</t>
        </is>
      </c>
      <c r="C131" s="66" t="inlineStr">
        <is>
          <t>ARAVENA</t>
        </is>
      </c>
      <c r="D131" s="66" t="inlineStr">
        <is>
          <t>68a 3m 29d</t>
        </is>
      </c>
      <c r="E131" s="67" t="inlineStr">
        <is>
          <t>Adenoma o cáncer prostático, resección endoscópica desobstructiva, cualquier técnica (uni, bipolar, láser u otros)</t>
        </is>
      </c>
      <c r="F131" s="69" t="inlineStr">
        <is>
          <t>SERVICIO DE UROLOGIA</t>
        </is>
      </c>
      <c r="G131" s="66" t="inlineStr">
        <is>
          <t>UROLOGIA</t>
        </is>
      </c>
      <c r="H131" s="66" t="inlineStr">
        <is>
          <t>1902055-8</t>
        </is>
      </c>
      <c r="I131" s="19" t="n"/>
      <c r="J131" s="20">
        <f>IF(H131&lt;&gt;"",IFERROR(VLOOKUP(IFERROR(LEFT(H131,FIND("-",H131)-1),H131),'Catalogo MINSAL'!A:E,5,FALSE),""),IF(I131&lt;&gt;"",IFERROR(VLOOKUP(IFERROR(LEFT(I131,FIND("-",I131)-1),I131),'Catalogo MINSAL'!A:E,5,FALSE),""),""))</f>
        <v/>
      </c>
      <c r="K131" s="66" t="inlineStr">
        <is>
          <t>Margarita Rojas Espinoza</t>
        </is>
      </c>
      <c r="L131" s="66" t="inlineStr">
        <is>
          <t>Dr. Ignacio Eltit Soler</t>
        </is>
      </c>
      <c r="M131" s="66" t="inlineStr">
        <is>
          <t>Quirofano 09</t>
        </is>
      </c>
      <c r="N131" s="19" t="inlineStr">
        <is>
          <t>Realizado</t>
        </is>
      </c>
      <c r="O131" s="70" t="n">
        <v>0.3534722222222222</v>
      </c>
      <c r="P131" s="27">
        <f>IFERROR(IF(OR(O131="",A131="",M131=""),"",IF(SUMPRODUCT(($A$4:$A$500=A131)*($M$4:$M$500=M131)*($O$4:$O$500&lt;&gt;"")*(MOD($O$4:$O$500,1)&lt;MOD(O131,1)))=0,IF(MOD(O131,1)&lt;=TIME(8,15,0),"Ingreso adecuado primera hora","Atraso primera hora"),"No aplica")),"")</f>
        <v/>
      </c>
      <c r="Q131" s="86" t="inlineStr">
        <is>
          <t>Pendiente consentimiento de citugia ( Dr. Eliti) y paciente pasa al baño antes de ingresar a pabellon</t>
        </is>
      </c>
      <c r="R131" s="70" t="n">
        <v>0.3819444444444444</v>
      </c>
      <c r="S131" s="70" t="n">
        <v>0.4583333333333333</v>
      </c>
      <c r="T131" s="70" t="n">
        <v>0.4618055555555556</v>
      </c>
      <c r="U131" s="106">
        <f>IFERROR(VLOOKUP(M131,'Horario Pabellones'!$A$4:$D$17,2,FALSE),"")</f>
        <v/>
      </c>
      <c r="V131" s="106">
        <f>IFERROR(VLOOKUP(M131,'Horario Pabellones'!$A$4:$D$17,3,FALSE),"")</f>
        <v/>
      </c>
      <c r="W131" s="104">
        <f>IFERROR(VLOOKUP(M131,'Horario Pabellones'!$A$4:$D$17,4,FALSE),"")</f>
        <v/>
      </c>
      <c r="X131" s="93">
        <f>IFERROR(IF(OR(A131="",M131="",W131=""),"",(((_xludf.AGGREGATE(14,6,MOD($S$4:$S$500,1)/(($A$4:$A$500=A131)*($M$4:$M$500=M131)*($R$4:$R$500&lt;&gt;"")*($S$4:$S$500&lt;&gt;"")),1)-_xludf.AGGREGATE(15,6,MOD($R$4:$R$500,1)/(($A$4:$A$500=A131)*($M$4:$M$500=M131)*($R$4:$R$500&lt;&gt;"")*($S$4:$S$500&lt;&gt;"")),1))*1440)/60)/(W131/60)),"")</f>
        <v/>
      </c>
      <c r="Y131" s="26">
        <f>IFERROR(IF(OR(O131="",A131="",M131=""),"",(IF(ISNUMBER(O131),MOD(O131,1),TIMEVALUE(O131))-LOOKUP(2,1/(($A$4:$A$500=A131)*($M$4:$M$500=M131)*($T$4:$T$500&lt;&gt;"")*($T$4:$T$500&lt;IF(ISNUMBER(O131),MOD(O131,1),TIMEVALUE(O131)))),$T$4:$T$500))*1440),"")</f>
        <v/>
      </c>
      <c r="Z131" s="27">
        <f>IFERROR(IF(Y131="","",IF(ROUND(Y131,0)&lt;=15,"Cumple","No cumple")),"")</f>
        <v/>
      </c>
      <c r="AA131" s="85" t="n"/>
      <c r="AB131" s="26">
        <f>IFERROR(IF(OR(O131="",R131=""),"",IF(IF(ISNUMBER(R131),MOD(R131,1),TIMEVALUE(R131))&gt;=IF(ISNUMBER(O131),MOD(O131,1),TIMEVALUE(O131)),(IF(ISNUMBER(R131),MOD(R131,1),TIMEVALUE(R131))-IF(ISNUMBER(O131),MOD(O131,1),TIMEVALUE(O131)))*1440,(IF(ISNUMBER(R131),MOD(R131,1),TIMEVALUE(R131))+1-IF(ISNUMBER(O131),MOD(O131,1),TIMEVALUE(O131)))*1440)),"")</f>
        <v/>
      </c>
      <c r="AC131" s="28">
        <f>IFERROR(IF(OR(R131="",S131=""),"",IF(IF(ISNUMBER(S131),MOD(S131,1),TIMEVALUE(S131))&gt;=IF(ISNUMBER(R131),MOD(R131,1),TIMEVALUE(R131)),(IF(ISNUMBER(S131),MOD(S131,1),TIMEVALUE(S131))-IF(ISNUMBER(R131),MOD(R131,1),TIMEVALUE(R131)))*1440,(IF(ISNUMBER(S131),MOD(S131,1),TIMEVALUE(S131))+1-IF(ISNUMBER(R131),MOD(R131,1),TIMEVALUE(R131)))*1440)),"")</f>
        <v/>
      </c>
      <c r="AD131" s="104" t="n">
        <v>90</v>
      </c>
      <c r="AE131" s="26">
        <f>IFERROR(IF(OR(AC131="",AD131=""),"",AC131-AD131),"")</f>
        <v/>
      </c>
      <c r="AF131" s="27">
        <f>IFERROR(IF(AE131="","",IF(ROUND(AE131,0)&gt;15,"Subestimacion",IF(ROUND(AE131,0)&lt;-15,"Sobrestimacion","Asertivo"))),"")</f>
        <v/>
      </c>
      <c r="AG131" s="66" t="inlineStr">
        <is>
          <t>Sin Suspensión</t>
        </is>
      </c>
      <c r="AH131" s="85" t="n"/>
      <c r="AI131" s="85" t="n"/>
      <c r="AJ131" s="19" t="n"/>
      <c r="AK131" s="19" t="inlineStr">
        <is>
          <t>Sí</t>
        </is>
      </c>
      <c r="AL131" s="19" t="inlineStr">
        <is>
          <t>No</t>
        </is>
      </c>
      <c r="AM131" s="66" t="inlineStr">
        <is>
          <t>I0001190222</t>
        </is>
      </c>
      <c r="AN131" s="19" t="n"/>
      <c r="AO131" s="19" t="n"/>
      <c r="AP131" s="127">
        <f>IF(A131="","",A131-WEEKDAY(A131,2)+1)</f>
        <v/>
      </c>
      <c r="AQ131" s="127">
        <f>IF(AO131="","",AO131+6)</f>
        <v/>
      </c>
      <c r="AR131" s="19">
        <f>IF(AO131="","","Semana "&amp;TEXT(AO131,"dd-mm-yyyy")&amp;" al "&amp;TEXT(AP131,"dd-mm-yyyy"))</f>
        <v/>
      </c>
      <c r="AS131" s="19">
        <f>IF(A131="","",TEXT(A131,"mmmm yyyy"))</f>
        <v/>
      </c>
      <c r="AT131" s="19">
        <f>IF(A131="","",TEXT(A131,"dddd"))</f>
        <v/>
      </c>
      <c r="AU131" s="19">
        <f>IF(A131="","","CRR-"&amp;TEXT(A131,"yyyymmdd")&amp;"-"&amp;M131&amp;"-"&amp;TEXT(ROW()-3,"0000"))</f>
        <v/>
      </c>
      <c r="AV131" s="19">
        <f>IF(A131="","",IF(OR(B131="",C131="",E131="",F131="",M131="",N131=""),"Revisar campos obligatorios",IF(AND(P131="Atraso primera hora",Q131=""),"Falta justificación atraso primera hora",IF(AND(Z131="No cumple",AA131=""),"Falta justificación recambio &gt;15 min",IF(AND(ISNUMBER(SEARCH("suspend",N131)),OR(AG131="",AH131="")),"Falta causa/motivo suspensión","OK")))))</f>
        <v/>
      </c>
      <c r="AW131" s="19">
        <f>IF(N131="","",IF(ISNUMBER(SEARCH("suspend",N131)),IF(AND(AG131="",AH131=""),"Sin causa/motivo registrado",IF(AG131="",AH131,IF(AH131="",AG131,AG131&amp;": "&amp;AH131))),""))</f>
        <v/>
      </c>
    </row>
    <row r="132" ht="16" customHeight="1" s="151">
      <c r="A132" s="65" t="n">
        <v>46177</v>
      </c>
      <c r="B132" s="66" t="inlineStr">
        <is>
          <t>NELSON ENRIQUE</t>
        </is>
      </c>
      <c r="C132" s="66" t="inlineStr">
        <is>
          <t>MANRÍQUEZ</t>
        </is>
      </c>
      <c r="D132" s="66" t="inlineStr">
        <is>
          <t>70a 5m 12d</t>
        </is>
      </c>
      <c r="E132" s="67" t="inlineStr">
        <is>
          <t>Adenoma o cáncer prostático, resección endoscópica desobstructiva, cualquier técnica (uni, bipolar, láser u otros)</t>
        </is>
      </c>
      <c r="F132" s="69" t="inlineStr">
        <is>
          <t>SERVICIO DE UROLOGIA</t>
        </is>
      </c>
      <c r="G132" s="66" t="inlineStr">
        <is>
          <t>UROLOGIA</t>
        </is>
      </c>
      <c r="H132" s="66" t="inlineStr">
        <is>
          <t>1902055-8</t>
        </is>
      </c>
      <c r="I132" s="19" t="n"/>
      <c r="J132" s="20">
        <f>IF(H132&lt;&gt;"",IFERROR(VLOOKUP(IFERROR(LEFT(H132,FIND("-",H132)-1),H132),'Catalogo MINSAL'!A:E,5,FALSE),""),IF(I132&lt;&gt;"",IFERROR(VLOOKUP(IFERROR(LEFT(I132,FIND("-",I132)-1),I132),'Catalogo MINSAL'!A:E,5,FALSE),""),""))</f>
        <v/>
      </c>
      <c r="K132" s="66" t="inlineStr">
        <is>
          <t>Margarita Rojas Espinoza</t>
        </is>
      </c>
      <c r="L132" s="66" t="inlineStr">
        <is>
          <t>Dr. Ignacio Eltit Soler</t>
        </is>
      </c>
      <c r="M132" s="66" t="inlineStr">
        <is>
          <t>Quirofano 09</t>
        </is>
      </c>
      <c r="N132" s="19" t="inlineStr">
        <is>
          <t>Realizado</t>
        </is>
      </c>
      <c r="O132" s="70" t="n">
        <v>0.4791666666666667</v>
      </c>
      <c r="P132" s="27">
        <f>IFERROR(IF(OR(O132="",A132="",M132=""),"",IF(SUMPRODUCT(($A$4:$A$500=A132)*($M$4:$M$500=M132)*($O$4:$O$500&lt;&gt;"")*(MOD($O$4:$O$500,1)&lt;MOD(O132,1)))=0,IF(MOD(O132,1)&lt;=TIME(8,15,0),"Ingreso adecuado primera hora","Atraso primera hora"),"No aplica")),"")</f>
        <v/>
      </c>
      <c r="Q132" s="86" t="n"/>
      <c r="R132" s="70" t="n">
        <v>0.5173611111111112</v>
      </c>
      <c r="S132" s="70" t="n">
        <v>0.59375</v>
      </c>
      <c r="T132" s="70" t="n">
        <v>0.6076388888888888</v>
      </c>
      <c r="U132" s="106">
        <f>IFERROR(VLOOKUP(M132,'Horario Pabellones'!$A$4:$D$17,2,FALSE),"")</f>
        <v/>
      </c>
      <c r="V132" s="106">
        <f>IFERROR(VLOOKUP(M132,'Horario Pabellones'!$A$4:$D$17,3,FALSE),"")</f>
        <v/>
      </c>
      <c r="W132" s="104">
        <f>IFERROR(VLOOKUP(M132,'Horario Pabellones'!$A$4:$D$17,4,FALSE),"")</f>
        <v/>
      </c>
      <c r="X132" s="93">
        <f>IFERROR(IF(OR(A132="",M132="",W132=""),"",(((_xludf.AGGREGATE(14,6,MOD($S$4:$S$500,1)/(($A$4:$A$500=A132)*($M$4:$M$500=M132)*($R$4:$R$500&lt;&gt;"")*($S$4:$S$500&lt;&gt;"")),1)-_xludf.AGGREGATE(15,6,MOD($R$4:$R$500,1)/(($A$4:$A$500=A132)*($M$4:$M$500=M132)*($R$4:$R$500&lt;&gt;"")*($S$4:$S$500&lt;&gt;"")),1))*1440)/60)/(W132/60)),"")</f>
        <v/>
      </c>
      <c r="Y132" s="26">
        <f>IFERROR(IF(OR(O132="",A132="",M132=""),"",(IF(ISNUMBER(O132),MOD(O132,1),TIMEVALUE(O132))-LOOKUP(2,1/(($A$4:$A$500=A132)*($M$4:$M$500=M132)*($T$4:$T$500&lt;&gt;"")*($T$4:$T$500&lt;IF(ISNUMBER(O132),MOD(O132,1),TIMEVALUE(O132)))),$T$4:$T$500))*1440),"")</f>
        <v/>
      </c>
      <c r="Z132" s="27">
        <f>IFERROR(IF(Y132="","",IF(ROUND(Y132,0)&lt;=15,"Cumple","No cumple")),"")</f>
        <v/>
      </c>
      <c r="AA132" s="85" t="inlineStr">
        <is>
          <t>Personal de aseo ocupado en otro pabellon</t>
        </is>
      </c>
      <c r="AB132" s="26">
        <f>IFERROR(IF(OR(O132="",R132=""),"",IF(IF(ISNUMBER(R132),MOD(R132,1),TIMEVALUE(R132))&gt;=IF(ISNUMBER(O132),MOD(O132,1),TIMEVALUE(O132)),(IF(ISNUMBER(R132),MOD(R132,1),TIMEVALUE(R132))-IF(ISNUMBER(O132),MOD(O132,1),TIMEVALUE(O132)))*1440,(IF(ISNUMBER(R132),MOD(R132,1),TIMEVALUE(R132))+1-IF(ISNUMBER(O132),MOD(O132,1),TIMEVALUE(O132)))*1440)),"")</f>
        <v/>
      </c>
      <c r="AC132" s="28">
        <f>IFERROR(IF(OR(R132="",S132=""),"",IF(IF(ISNUMBER(S132),MOD(S132,1),TIMEVALUE(S132))&gt;=IF(ISNUMBER(R132),MOD(R132,1),TIMEVALUE(R132)),(IF(ISNUMBER(S132),MOD(S132,1),TIMEVALUE(S132))-IF(ISNUMBER(R132),MOD(R132,1),TIMEVALUE(R132)))*1440,(IF(ISNUMBER(S132),MOD(S132,1),TIMEVALUE(S132))+1-IF(ISNUMBER(R132),MOD(R132,1),TIMEVALUE(R132)))*1440)),"")</f>
        <v/>
      </c>
      <c r="AD132" s="104" t="n">
        <v>90</v>
      </c>
      <c r="AE132" s="26">
        <f>IFERROR(IF(OR(AC132="",AD132=""),"",AC132-AD132),"")</f>
        <v/>
      </c>
      <c r="AF132" s="27">
        <f>IFERROR(IF(AE132="","",IF(ROUND(AE132,0)&gt;15,"Subestimacion",IF(ROUND(AE132,0)&lt;-15,"Sobrestimacion","Asertivo"))),"")</f>
        <v/>
      </c>
      <c r="AG132" s="66" t="inlineStr">
        <is>
          <t>Sin Suspensión</t>
        </is>
      </c>
      <c r="AH132" s="85" t="n"/>
      <c r="AI132" s="85" t="n"/>
      <c r="AJ132" s="19" t="n"/>
      <c r="AK132" s="19" t="inlineStr">
        <is>
          <t>Sí</t>
        </is>
      </c>
      <c r="AL132" s="19" t="inlineStr">
        <is>
          <t>No</t>
        </is>
      </c>
      <c r="AM132" s="66" t="inlineStr">
        <is>
          <t>I0001190224</t>
        </is>
      </c>
      <c r="AN132" s="19" t="n"/>
      <c r="AO132" s="19" t="n"/>
      <c r="AP132" s="127">
        <f>IF(A132="","",A132-WEEKDAY(A132,2)+1)</f>
        <v/>
      </c>
      <c r="AQ132" s="127">
        <f>IF(AO132="","",AO132+6)</f>
        <v/>
      </c>
      <c r="AR132" s="19">
        <f>IF(AO132="","","Semana "&amp;TEXT(AO132,"dd-mm-yyyy")&amp;" al "&amp;TEXT(AP132,"dd-mm-yyyy"))</f>
        <v/>
      </c>
      <c r="AS132" s="19">
        <f>IF(A132="","",TEXT(A132,"mmmm yyyy"))</f>
        <v/>
      </c>
      <c r="AT132" s="19">
        <f>IF(A132="","",TEXT(A132,"dddd"))</f>
        <v/>
      </c>
      <c r="AU132" s="19">
        <f>IF(A132="","","CRR-"&amp;TEXT(A132,"yyyymmdd")&amp;"-"&amp;M132&amp;"-"&amp;TEXT(ROW()-3,"0000"))</f>
        <v/>
      </c>
      <c r="AV132" s="19">
        <f>IF(A132="","",IF(OR(B132="",C132="",E132="",F132="",M132="",N132=""),"Revisar campos obligatorios",IF(AND(P132="Atraso primera hora",Q132=""),"Falta justificación atraso primera hora",IF(AND(Z132="No cumple",AA132=""),"Falta justificación recambio &gt;15 min",IF(AND(ISNUMBER(SEARCH("suspend",N132)),OR(AG132="",AH132="")),"Falta causa/motivo suspensión","OK")))))</f>
        <v/>
      </c>
      <c r="AW132" s="19">
        <f>IF(N132="","",IF(ISNUMBER(SEARCH("suspend",N132)),IF(AND(AG132="",AH132=""),"Sin causa/motivo registrado",IF(AG132="",AH132,IF(AH132="",AG132,AG132&amp;": "&amp;AH132))),""))</f>
        <v/>
      </c>
    </row>
    <row r="133" ht="16" customHeight="1" s="151">
      <c r="A133" s="65" t="n">
        <v>46177</v>
      </c>
      <c r="B133" s="66" t="inlineStr">
        <is>
          <t>CARLOS RAMIRO</t>
        </is>
      </c>
      <c r="C133" s="66" t="inlineStr">
        <is>
          <t>QUEZADA</t>
        </is>
      </c>
      <c r="D133" s="66" t="inlineStr">
        <is>
          <t>64a 7m 6d</t>
        </is>
      </c>
      <c r="E133" s="67" t="inlineStr">
        <is>
          <t>Adenoma o cáncer prostático, resección endoscópica desobstructiva, cualquier técnica (uni, bipolar, láser u otros)</t>
        </is>
      </c>
      <c r="F133" s="69" t="inlineStr">
        <is>
          <t>SERVICIO DE UROLOGIA</t>
        </is>
      </c>
      <c r="G133" s="66" t="inlineStr">
        <is>
          <t>UROLOGIA</t>
        </is>
      </c>
      <c r="H133" s="66" t="inlineStr">
        <is>
          <t>1902055-8</t>
        </is>
      </c>
      <c r="I133" s="19" t="n"/>
      <c r="J133" s="20">
        <f>IF(H133&lt;&gt;"",IFERROR(VLOOKUP(IFERROR(LEFT(H133,FIND("-",H133)-1),H133),'Catalogo MINSAL'!A:E,5,FALSE),""),IF(I133&lt;&gt;"",IFERROR(VLOOKUP(IFERROR(LEFT(I133,FIND("-",I133)-1),I133),'Catalogo MINSAL'!A:E,5,FALSE),""),""))</f>
        <v/>
      </c>
      <c r="K133" s="66" t="inlineStr">
        <is>
          <t>Margarita Rojas Espinoza</t>
        </is>
      </c>
      <c r="L133" s="66" t="inlineStr">
        <is>
          <t>Dr. Ignacio Eltit Soler</t>
        </is>
      </c>
      <c r="M133" s="66" t="inlineStr">
        <is>
          <t>Quirofano 09</t>
        </is>
      </c>
      <c r="N133" s="19" t="inlineStr">
        <is>
          <t>Realizado</t>
        </is>
      </c>
      <c r="O133" s="70" t="n">
        <v>0.6270833333333333</v>
      </c>
      <c r="P133" s="27">
        <f>IFERROR(IF(OR(O133="",A133="",M133=""),"",IF(SUMPRODUCT(($A$4:$A$500=A133)*($M$4:$M$500=M133)*($O$4:$O$500&lt;&gt;"")*(MOD($O$4:$O$500,1)&lt;MOD(O133,1)))=0,IF(MOD(O133,1)&lt;=TIME(8,15,0),"Ingreso adecuado primera hora","Atraso primera hora"),"No aplica")),"")</f>
        <v/>
      </c>
      <c r="Q133" s="86" t="n"/>
      <c r="R133" s="70" t="n">
        <v>0.6631944444444444</v>
      </c>
      <c r="S133" s="70" t="n">
        <v>0.7395833333333334</v>
      </c>
      <c r="T133" s="70" t="n">
        <v>0.7534722222222222</v>
      </c>
      <c r="U133" s="106">
        <f>IFERROR(VLOOKUP(M133,'Horario Pabellones'!$A$4:$D$17,2,FALSE),"")</f>
        <v/>
      </c>
      <c r="V133" s="106">
        <f>IFERROR(VLOOKUP(M133,'Horario Pabellones'!$A$4:$D$17,3,FALSE),"")</f>
        <v/>
      </c>
      <c r="W133" s="104">
        <f>IFERROR(VLOOKUP(M133,'Horario Pabellones'!$A$4:$D$17,4,FALSE),"")</f>
        <v/>
      </c>
      <c r="X133" s="93">
        <f>IFERROR(IF(OR(A133="",M133="",W133=""),"",(((_xludf.AGGREGATE(14,6,MOD($S$4:$S$500,1)/(($A$4:$A$500=A133)*($M$4:$M$500=M133)*($R$4:$R$500&lt;&gt;"")*($S$4:$S$500&lt;&gt;"")),1)-_xludf.AGGREGATE(15,6,MOD($R$4:$R$500,1)/(($A$4:$A$500=A133)*($M$4:$M$500=M133)*($R$4:$R$500&lt;&gt;"")*($S$4:$S$500&lt;&gt;"")),1))*1440)/60)/(W133/60)),"")</f>
        <v/>
      </c>
      <c r="Y133" s="26">
        <f>IFERROR(IF(OR(O133="",A133="",M133=""),"",(IF(ISNUMBER(O133),MOD(O133,1),TIMEVALUE(O133))-LOOKUP(2,1/(($A$4:$A$500=A133)*($M$4:$M$500=M133)*($T$4:$T$500&lt;&gt;"")*($T$4:$T$500&lt;IF(ISNUMBER(O133),MOD(O133,1),TIMEVALUE(O133)))),$T$4:$T$500))*1440),"")</f>
        <v/>
      </c>
      <c r="Z133" s="27">
        <f>IFERROR(IF(Y133="","",IF(ROUND(Y133,0)&lt;=15,"Cumple","No cumple")),"")</f>
        <v/>
      </c>
      <c r="AA133" s="85" t="inlineStr">
        <is>
          <t>Evalaucion de anestesia muy pronlogada (Dra. Rojas)</t>
        </is>
      </c>
      <c r="AB133" s="26">
        <f>IFERROR(IF(OR(O133="",R133=""),"",IF(IF(ISNUMBER(R133),MOD(R133,1),TIMEVALUE(R133))&gt;=IF(ISNUMBER(O133),MOD(O133,1),TIMEVALUE(O133)),(IF(ISNUMBER(R133),MOD(R133,1),TIMEVALUE(R133))-IF(ISNUMBER(O133),MOD(O133,1),TIMEVALUE(O133)))*1440,(IF(ISNUMBER(R133),MOD(R133,1),TIMEVALUE(R133))+1-IF(ISNUMBER(O133),MOD(O133,1),TIMEVALUE(O133)))*1440)),"")</f>
        <v/>
      </c>
      <c r="AC133" s="28">
        <f>IFERROR(IF(OR(R133="",S133=""),"",IF(IF(ISNUMBER(S133),MOD(S133,1),TIMEVALUE(S133))&gt;=IF(ISNUMBER(R133),MOD(R133,1),TIMEVALUE(R133)),(IF(ISNUMBER(S133),MOD(S133,1),TIMEVALUE(S133))-IF(ISNUMBER(R133),MOD(R133,1),TIMEVALUE(R133)))*1440,(IF(ISNUMBER(S133),MOD(S133,1),TIMEVALUE(S133))+1-IF(ISNUMBER(R133),MOD(R133,1),TIMEVALUE(R133)))*1440)),"")</f>
        <v/>
      </c>
      <c r="AD133" s="104" t="n">
        <v>90</v>
      </c>
      <c r="AE133" s="26">
        <f>IFERROR(IF(OR(AC133="",AD133=""),"",AC133-AD133),"")</f>
        <v/>
      </c>
      <c r="AF133" s="27">
        <f>IFERROR(IF(AE133="","",IF(ROUND(AE133,0)&gt;15,"Subestimacion",IF(ROUND(AE133,0)&lt;-15,"Sobrestimacion","Asertivo"))),"")</f>
        <v/>
      </c>
      <c r="AG133" s="66" t="inlineStr">
        <is>
          <t>Sin Suspensión</t>
        </is>
      </c>
      <c r="AH133" s="85" t="n"/>
      <c r="AI133" s="85" t="n"/>
      <c r="AJ133" s="19" t="n"/>
      <c r="AK133" s="19" t="inlineStr">
        <is>
          <t>Sí</t>
        </is>
      </c>
      <c r="AL133" s="19" t="inlineStr">
        <is>
          <t>No</t>
        </is>
      </c>
      <c r="AM133" s="66" t="inlineStr">
        <is>
          <t>I0001190225</t>
        </is>
      </c>
      <c r="AN133" s="19" t="n"/>
      <c r="AO133" s="19" t="n"/>
      <c r="AP133" s="127">
        <f>IF(A133="","",A133-WEEKDAY(A133,2)+1)</f>
        <v/>
      </c>
      <c r="AQ133" s="127">
        <f>IF(AO133="","",AO133+6)</f>
        <v/>
      </c>
      <c r="AR133" s="19">
        <f>IF(AO133="","","Semana "&amp;TEXT(AO133,"dd-mm-yyyy")&amp;" al "&amp;TEXT(AP133,"dd-mm-yyyy"))</f>
        <v/>
      </c>
      <c r="AS133" s="19">
        <f>IF(A133="","",TEXT(A133,"mmmm yyyy"))</f>
        <v/>
      </c>
      <c r="AT133" s="19">
        <f>IF(A133="","",TEXT(A133,"dddd"))</f>
        <v/>
      </c>
      <c r="AU133" s="19">
        <f>IF(A133="","","CRR-"&amp;TEXT(A133,"yyyymmdd")&amp;"-"&amp;M133&amp;"-"&amp;TEXT(ROW()-3,"0000"))</f>
        <v/>
      </c>
      <c r="AV133" s="19">
        <f>IF(A133="","",IF(OR(B133="",C133="",E133="",F133="",M133="",N133=""),"Revisar campos obligatorios",IF(AND(P133="Atraso primera hora",Q133=""),"Falta justificación atraso primera hora",IF(AND(Z133="No cumple",AA133=""),"Falta justificación recambio &gt;15 min",IF(AND(ISNUMBER(SEARCH("suspend",N133)),OR(AG133="",AH133="")),"Falta causa/motivo suspensión","OK")))))</f>
        <v/>
      </c>
      <c r="AW133" s="19">
        <f>IF(N133="","",IF(ISNUMBER(SEARCH("suspend",N133)),IF(AND(AG133="",AH133=""),"Sin causa/motivo registrado",IF(AG133="",AH133,IF(AH133="",AG133,AG133&amp;": "&amp;AH133))),""))</f>
        <v/>
      </c>
    </row>
    <row r="134" ht="16" customHeight="1" s="151">
      <c r="A134" s="65" t="n">
        <v>46177</v>
      </c>
      <c r="B134" s="66" t="inlineStr">
        <is>
          <t>EDUARDO MANUEL</t>
        </is>
      </c>
      <c r="C134" s="66" t="inlineStr">
        <is>
          <t>LOPEZ</t>
        </is>
      </c>
      <c r="D134" s="66" t="inlineStr">
        <is>
          <t>20a 6m 0d</t>
        </is>
      </c>
      <c r="E134" s="67" t="inlineStr">
        <is>
          <t>Orquidectomía ampliada por cáncer testicular</t>
        </is>
      </c>
      <c r="F134" s="69" t="inlineStr">
        <is>
          <t>SERVICIO DE UROLOGIA</t>
        </is>
      </c>
      <c r="G134" s="66" t="inlineStr">
        <is>
          <t>UROLOGIA</t>
        </is>
      </c>
      <c r="H134" s="66" t="inlineStr">
        <is>
          <t>1902068-6</t>
        </is>
      </c>
      <c r="I134" s="19" t="n"/>
      <c r="J134" s="20">
        <f>IF(H134&lt;&gt;"",IFERROR(VLOOKUP(IFERROR(LEFT(H134,FIND("-",H134)-1),H134),'Catalogo MINSAL'!A:E,5,FALSE),""),IF(I134&lt;&gt;"",IFERROR(VLOOKUP(IFERROR(LEFT(I134,FIND("-",I134)-1),I134),'Catalogo MINSAL'!A:E,5,FALSE),""),""))</f>
        <v/>
      </c>
      <c r="K134" s="66" t="inlineStr">
        <is>
          <t>Rodrigo Alejandro Villegas Lugo</t>
        </is>
      </c>
      <c r="L134" s="66" t="inlineStr">
        <is>
          <t>Sara Francisca Barria Oyarce</t>
        </is>
      </c>
      <c r="M134" s="66" t="inlineStr">
        <is>
          <t>Quirofano 10</t>
        </is>
      </c>
      <c r="N134" s="19" t="inlineStr">
        <is>
          <t>Realizado</t>
        </is>
      </c>
      <c r="O134" s="70" t="n">
        <v>0.4888888888888889</v>
      </c>
      <c r="P134" s="27">
        <f>IFERROR(IF(OR(O134="",A134="",M134=""),"",IF(SUMPRODUCT(($A$4:$A$500=A134)*($M$4:$M$500=M134)*($O$4:$O$500&lt;&gt;"")*(MOD($O$4:$O$500,1)&lt;MOD(O134,1)))=0,IF(MOD(O134,1)&lt;=TIME(8,15,0),"Ingreso adecuado primera hora","Atraso primera hora"),"No aplica")),"")</f>
        <v/>
      </c>
      <c r="Q134" s="86" t="inlineStr">
        <is>
          <t>se cambia de pabellon el paciente para optimizar la produccion ya que cirugia anterior termino a las 18:05 y bloque qx es hasta las 19:00 hrs.</t>
        </is>
      </c>
      <c r="R134" s="70" t="n">
        <v>0.5145833333333333</v>
      </c>
      <c r="S134" s="70" t="n">
        <v>0.59375</v>
      </c>
      <c r="T134" s="70" t="n">
        <v>0.6076388888888888</v>
      </c>
      <c r="U134" s="106">
        <f>IFERROR(VLOOKUP(M134,'Horario Pabellones'!$A$4:$D$17,2,FALSE),"")</f>
        <v/>
      </c>
      <c r="V134" s="106">
        <f>IFERROR(VLOOKUP(M134,'Horario Pabellones'!$A$4:$D$17,3,FALSE),"")</f>
        <v/>
      </c>
      <c r="W134" s="104">
        <f>IFERROR(VLOOKUP(M134,'Horario Pabellones'!$A$4:$D$17,4,FALSE),"")</f>
        <v/>
      </c>
      <c r="X134" s="93">
        <f>IFERROR(IF(OR(A134="",M134="",W134=""),"",(((_xludf.AGGREGATE(14,6,MOD($S$4:$S$500,1)/(($A$4:$A$500=A134)*($M$4:$M$500=M134)*($R$4:$R$500&lt;&gt;"")*($S$4:$S$500&lt;&gt;"")),1)-_xludf.AGGREGATE(15,6,MOD($R$4:$R$500,1)/(($A$4:$A$500=A134)*($M$4:$M$500=M134)*($R$4:$R$500&lt;&gt;"")*($S$4:$S$500&lt;&gt;"")),1))*1440)/60)/(W134/60)),"")</f>
        <v/>
      </c>
      <c r="Y134" s="26">
        <f>IFERROR(IF(OR(O134="",A134="",M134=""),"",(IF(ISNUMBER(O134),MOD(O134,1),TIMEVALUE(O134))-LOOKUP(2,1/(($A$4:$A$500=A134)*($M$4:$M$500=M134)*($T$4:$T$500&lt;&gt;"")*($T$4:$T$500&lt;IF(ISNUMBER(O134),MOD(O134,1),TIMEVALUE(O134)))),$T$4:$T$500))*1440),"")</f>
        <v/>
      </c>
      <c r="Z134" s="27">
        <f>IFERROR(IF(Y134="","",IF(ROUND(Y134,0)&lt;=15,"Cumple","No cumple")),"")</f>
        <v/>
      </c>
      <c r="AA134" s="85" t="n"/>
      <c r="AB134" s="26">
        <f>IFERROR(IF(OR(O134="",R134=""),"",IF(IF(ISNUMBER(R134),MOD(R134,1),TIMEVALUE(R134))&gt;=IF(ISNUMBER(O134),MOD(O134,1),TIMEVALUE(O134)),(IF(ISNUMBER(R134),MOD(R134,1),TIMEVALUE(R134))-IF(ISNUMBER(O134),MOD(O134,1),TIMEVALUE(O134)))*1440,(IF(ISNUMBER(R134),MOD(R134,1),TIMEVALUE(R134))+1-IF(ISNUMBER(O134),MOD(O134,1),TIMEVALUE(O134)))*1440)),"")</f>
        <v/>
      </c>
      <c r="AC134" s="28">
        <f>IFERROR(IF(OR(R134="",S134=""),"",IF(IF(ISNUMBER(S134),MOD(S134,1),TIMEVALUE(S134))&gt;=IF(ISNUMBER(R134),MOD(R134,1),TIMEVALUE(R134)),(IF(ISNUMBER(S134),MOD(S134,1),TIMEVALUE(S134))-IF(ISNUMBER(R134),MOD(R134,1),TIMEVALUE(R134)))*1440,(IF(ISNUMBER(S134),MOD(S134,1),TIMEVALUE(S134))+1-IF(ISNUMBER(R134),MOD(R134,1),TIMEVALUE(R134)))*1440)),"")</f>
        <v/>
      </c>
      <c r="AD134" s="104" t="n">
        <v>200</v>
      </c>
      <c r="AE134" s="26">
        <f>IFERROR(IF(OR(AC134="",AD134=""),"",AC134-AD134),"")</f>
        <v/>
      </c>
      <c r="AF134" s="27">
        <f>IFERROR(IF(AE134="","",IF(ROUND(AE134,0)&gt;15,"Subestimacion",IF(ROUND(AE134,0)&lt;-15,"Sobrestimacion","Asertivo"))),"")</f>
        <v/>
      </c>
      <c r="AG134" s="66" t="inlineStr">
        <is>
          <t>Sin Suspensión</t>
        </is>
      </c>
      <c r="AH134" s="85" t="n"/>
      <c r="AI134" s="85" t="n"/>
      <c r="AJ134" s="19" t="n"/>
      <c r="AK134" s="19" t="inlineStr">
        <is>
          <t>Sí</t>
        </is>
      </c>
      <c r="AL134" s="19" t="inlineStr">
        <is>
          <t>No</t>
        </is>
      </c>
      <c r="AM134" s="66" t="inlineStr">
        <is>
          <t>I0001190235</t>
        </is>
      </c>
      <c r="AN134" s="19" t="n"/>
      <c r="AO134" s="19" t="n"/>
      <c r="AP134" s="127">
        <f>IF(A134="","",A134-WEEKDAY(A134,2)+1)</f>
        <v/>
      </c>
      <c r="AQ134" s="127">
        <f>IF(AO134="","",AO134+6)</f>
        <v/>
      </c>
      <c r="AR134" s="19">
        <f>IF(AO134="","","Semana "&amp;TEXT(AO134,"dd-mm-yyyy")&amp;" al "&amp;TEXT(AP134,"dd-mm-yyyy"))</f>
        <v/>
      </c>
      <c r="AS134" s="19">
        <f>IF(A134="","",TEXT(A134,"mmmm yyyy"))</f>
        <v/>
      </c>
      <c r="AT134" s="19">
        <f>IF(A134="","",TEXT(A134,"dddd"))</f>
        <v/>
      </c>
      <c r="AU134" s="19">
        <f>IF(A134="","","CRR-"&amp;TEXT(A134,"yyyymmdd")&amp;"-"&amp;M134&amp;"-"&amp;TEXT(ROW()-3,"0000"))</f>
        <v/>
      </c>
      <c r="AV134" s="19">
        <f>IF(A134="","",IF(OR(B134="",C134="",E134="",F134="",M134="",N134=""),"Revisar campos obligatorios",IF(AND(P134="Atraso primera hora",Q134=""),"Falta justificación atraso primera hora",IF(AND(Z134="No cumple",AA134=""),"Falta justificación recambio &gt;15 min",IF(AND(ISNUMBER(SEARCH("suspend",N134)),OR(AG134="",AH134="")),"Falta causa/motivo suspensión","OK")))))</f>
        <v/>
      </c>
      <c r="AW134" s="19">
        <f>IF(N134="","",IF(ISNUMBER(SEARCH("suspend",N134)),IF(AND(AG134="",AH134=""),"Sin causa/motivo registrado",IF(AG134="",AH134,IF(AH134="",AG134,AG134&amp;": "&amp;AH134))),""))</f>
        <v/>
      </c>
    </row>
    <row r="135" ht="16" customHeight="1" s="151">
      <c r="A135" s="65" t="n">
        <v>46178</v>
      </c>
      <c r="B135" s="66" t="inlineStr">
        <is>
          <t>IGNACIO VALENTÍN</t>
        </is>
      </c>
      <c r="C135" s="66" t="inlineStr">
        <is>
          <t>CERDA</t>
        </is>
      </c>
      <c r="D135" s="66" t="inlineStr">
        <is>
          <t>2a 11m 4d</t>
        </is>
      </c>
      <c r="E135" s="67" t="inlineStr">
        <is>
          <t>DESCENSO TESTICULO INGUINAL C/S HERNIOPLASTIA</t>
        </is>
      </c>
      <c r="F135" s="73" t="inlineStr">
        <is>
          <t>SERVICIO DE CIRUGIA INFANTIL</t>
        </is>
      </c>
      <c r="G135" s="74" t="inlineStr">
        <is>
          <t>CIRUGIA INFANTIL</t>
        </is>
      </c>
      <c r="H135" s="66" t="inlineStr">
        <is>
          <t>1902061-5</t>
        </is>
      </c>
      <c r="I135" s="66" t="inlineStr">
        <is>
          <t>1902066-5</t>
        </is>
      </c>
      <c r="J135" s="20">
        <f>IF(H135&lt;&gt;"",IFERROR(VLOOKUP(IFERROR(LEFT(H135,FIND("-",H135)-1),H135),'Catalogo MINSAL'!A:E,5,FALSE),""),IF(I135&lt;&gt;"",IFERROR(VLOOKUP(IFERROR(LEFT(I135,FIND("-",I135)-1),I135),'Catalogo MINSAL'!A:E,5,FALSE),""),""))</f>
        <v/>
      </c>
      <c r="K135" s="66" t="inlineStr">
        <is>
          <t>Sebastian Meneses Diaz</t>
        </is>
      </c>
      <c r="L135" s="66" t="inlineStr">
        <is>
          <t>Dr. Richard Vega Duran</t>
        </is>
      </c>
      <c r="M135" s="66" t="inlineStr">
        <is>
          <t>Quirofano 12</t>
        </is>
      </c>
      <c r="N135" s="19" t="inlineStr">
        <is>
          <t>Realizado</t>
        </is>
      </c>
      <c r="O135" s="70" t="n">
        <v>0.35625</v>
      </c>
      <c r="P135" s="27">
        <f>IFERROR(IF(OR(O135="",A135="",M135=""),"",IF(SUMPRODUCT(($A$4:$A$500=A135)*($M$4:$M$500=M135)*($O$4:$O$500&lt;&gt;"")*(MOD($O$4:$O$500,1)&lt;MOD(O135,1)))=0,IF(MOD(O135,1)&lt;=TIME(8,15,0),"Ingreso adecuado primera hora","Atraso primera hora"),"No aplica")),"")</f>
        <v/>
      </c>
      <c r="Q135" s="86" t="n"/>
      <c r="R135" s="70" t="n">
        <v>0.3763888888888889</v>
      </c>
      <c r="S135" s="70" t="n">
        <v>0.40625</v>
      </c>
      <c r="T135" s="70" t="n">
        <v>0.4159722222222222</v>
      </c>
      <c r="U135" s="106">
        <f>IFERROR(VLOOKUP(M135,'Horario Pabellones'!$A$4:$D$17,2,FALSE),"")</f>
        <v/>
      </c>
      <c r="V135" s="106">
        <f>IFERROR(VLOOKUP(M135,'Horario Pabellones'!$A$4:$D$17,3,FALSE),"")</f>
        <v/>
      </c>
      <c r="W135" s="104">
        <f>IFERROR(VLOOKUP(M135,'Horario Pabellones'!$A$4:$D$17,4,FALSE),"")</f>
        <v/>
      </c>
      <c r="X135" s="93">
        <f>IFERROR(IF(OR(A135="",M135="",W135=""),"",(((_xludf.AGGREGATE(14,6,MOD($S$4:$S$500,1)/(($A$4:$A$500=A135)*($M$4:$M$500=M135)*($R$4:$R$500&lt;&gt;"")*($S$4:$S$500&lt;&gt;"")),1)-_xludf.AGGREGATE(15,6,MOD($R$4:$R$500,1)/(($A$4:$A$500=A135)*($M$4:$M$500=M135)*($R$4:$R$500&lt;&gt;"")*($S$4:$S$500&lt;&gt;"")),1))*1440)/60)/(W135/60)),"")</f>
        <v/>
      </c>
      <c r="Y135" s="26">
        <f>IFERROR(IF(OR(O135="",A135="",M135=""),"",(IF(ISNUMBER(O135),MOD(O135,1),TIMEVALUE(O135))-LOOKUP(2,1/(($A$4:$A$500=A135)*($M$4:$M$500=M135)*($T$4:$T$500&lt;&gt;"")*($T$4:$T$500&lt;IF(ISNUMBER(O135),MOD(O135,1),TIMEVALUE(O135)))),$T$4:$T$500))*1440),"")</f>
        <v/>
      </c>
      <c r="Z135" s="27">
        <f>IFERROR(IF(Y135="","",IF(ROUND(Y135,0)&lt;=15,"Cumple","No cumple")),"")</f>
        <v/>
      </c>
      <c r="AA135" s="85" t="n"/>
      <c r="AB135" s="26">
        <f>IFERROR(IF(OR(O135="",R135=""),"",IF(IF(ISNUMBER(R135),MOD(R135,1),TIMEVALUE(R135))&gt;=IF(ISNUMBER(O135),MOD(O135,1),TIMEVALUE(O135)),(IF(ISNUMBER(R135),MOD(R135,1),TIMEVALUE(R135))-IF(ISNUMBER(O135),MOD(O135,1),TIMEVALUE(O135)))*1440,(IF(ISNUMBER(R135),MOD(R135,1),TIMEVALUE(R135))+1-IF(ISNUMBER(O135),MOD(O135,1),TIMEVALUE(O135)))*1440)),"")</f>
        <v/>
      </c>
      <c r="AC135" s="28">
        <f>IFERROR(IF(OR(R135="",S135=""),"",IF(IF(ISNUMBER(S135),MOD(S135,1),TIMEVALUE(S135))&gt;=IF(ISNUMBER(R135),MOD(R135,1),TIMEVALUE(R135)),(IF(ISNUMBER(S135),MOD(S135,1),TIMEVALUE(S135))-IF(ISNUMBER(R135),MOD(R135,1),TIMEVALUE(R135)))*1440,(IF(ISNUMBER(S135),MOD(S135,1),TIMEVALUE(S135))+1-IF(ISNUMBER(R135),MOD(R135,1),TIMEVALUE(R135)))*1440)),"")</f>
        <v/>
      </c>
      <c r="AD135" s="104" t="n">
        <v>60</v>
      </c>
      <c r="AE135" s="26">
        <f>IFERROR(IF(OR(AC135="",AD135=""),"",AC135-AD135),"")</f>
        <v/>
      </c>
      <c r="AF135" s="27">
        <f>IFERROR(IF(AE135="","",IF(ROUND(AE135,0)&gt;15,"Subestimacion",IF(ROUND(AE135,0)&lt;-15,"Sobrestimacion","Asertivo"))),"")</f>
        <v/>
      </c>
      <c r="AG135" s="66" t="inlineStr">
        <is>
          <t>Sin Suspensión</t>
        </is>
      </c>
      <c r="AH135" s="85" t="n"/>
      <c r="AI135" s="85" t="n"/>
      <c r="AJ135" s="19" t="n"/>
      <c r="AK135" s="19" t="inlineStr">
        <is>
          <t>Sí</t>
        </is>
      </c>
      <c r="AL135" s="19" t="inlineStr">
        <is>
          <t>No</t>
        </is>
      </c>
      <c r="AM135" s="66" t="inlineStr">
        <is>
          <t>I0001190524</t>
        </is>
      </c>
      <c r="AN135" s="19" t="n"/>
      <c r="AO135" s="19" t="n"/>
      <c r="AP135" s="127">
        <f>IF(A135="","",A135-WEEKDAY(A135,2)+1)</f>
        <v/>
      </c>
      <c r="AQ135" s="127">
        <f>IF(AO135="","",AO135+6)</f>
        <v/>
      </c>
      <c r="AR135" s="19">
        <f>IF(AO135="","","Semana "&amp;TEXT(AO135,"dd-mm-yyyy")&amp;" al "&amp;TEXT(AP135,"dd-mm-yyyy"))</f>
        <v/>
      </c>
      <c r="AS135" s="19">
        <f>IF(A135="","",TEXT(A135,"mmmm yyyy"))</f>
        <v/>
      </c>
      <c r="AT135" s="19">
        <f>IF(A135="","",TEXT(A135,"dddd"))</f>
        <v/>
      </c>
      <c r="AU135" s="19">
        <f>IF(A135="","","CRR-"&amp;TEXT(A135,"yyyymmdd")&amp;"-"&amp;M135&amp;"-"&amp;TEXT(ROW()-3,"0000"))</f>
        <v/>
      </c>
      <c r="AV135" s="19">
        <f>IF(A135="","",IF(OR(B135="",C135="",E135="",F135="",M135="",N135=""),"Revisar campos obligatorios",IF(AND(P135="Atraso primera hora",Q135=""),"Falta justificación atraso primera hora",IF(AND(Z135="No cumple",AA135=""),"Falta justificación recambio &gt;15 min",IF(AND(ISNUMBER(SEARCH("suspend",N135)),OR(AG135="",AH135="")),"Falta causa/motivo suspensión","OK")))))</f>
        <v/>
      </c>
      <c r="AW135" s="19">
        <f>IF(N135="","",IF(ISNUMBER(SEARCH("suspend",N135)),IF(AND(AG135="",AH135=""),"Sin causa/motivo registrado",IF(AG135="",AH135,IF(AH135="",AG135,AG135&amp;": "&amp;AH135))),""))</f>
        <v/>
      </c>
    </row>
    <row r="136" ht="16" customHeight="1" s="151">
      <c r="A136" s="65" t="n">
        <v>46178</v>
      </c>
      <c r="B136" s="66" t="inlineStr">
        <is>
          <t>MARON LEONOR</t>
        </is>
      </c>
      <c r="C136" s="66" t="inlineStr">
        <is>
          <t>UTRERAS</t>
        </is>
      </c>
      <c r="D136" s="66" t="inlineStr">
        <is>
          <t>6a 10m 10d</t>
        </is>
      </c>
      <c r="E136" s="67" t="inlineStr">
        <is>
          <t>Hernia sin malla por vía anterior, con acceso abierto.</t>
        </is>
      </c>
      <c r="F136" s="73" t="inlineStr">
        <is>
          <t>SERVICIO DE CIRUGIA INFANTIL</t>
        </is>
      </c>
      <c r="G136" s="74" t="inlineStr">
        <is>
          <t>CIRUGIA INFANTIL</t>
        </is>
      </c>
      <c r="H136" s="66" t="inlineStr">
        <is>
          <t>1802153-6</t>
        </is>
      </c>
      <c r="I136" s="15" t="n"/>
      <c r="J136" s="20">
        <f>IF(H136&lt;&gt;"",IFERROR(VLOOKUP(IFERROR(LEFT(H136,FIND("-",H136)-1),H136),'Catalogo MINSAL'!A:E,5,FALSE),""),IF(I136&lt;&gt;"",IFERROR(VLOOKUP(IFERROR(LEFT(I136,FIND("-",I136)-1),I136),'Catalogo MINSAL'!A:E,5,FALSE),""),""))</f>
        <v/>
      </c>
      <c r="K136" s="66" t="inlineStr">
        <is>
          <t>Sebastian Meneses Diaz</t>
        </is>
      </c>
      <c r="L136" s="66" t="inlineStr">
        <is>
          <t>Dr. Richard Vega Duran</t>
        </is>
      </c>
      <c r="M136" s="66" t="inlineStr">
        <is>
          <t>Quirofano 12</t>
        </is>
      </c>
      <c r="N136" s="19" t="inlineStr">
        <is>
          <t>Realizado</t>
        </is>
      </c>
      <c r="O136" s="70" t="n">
        <v>0.4222222222222222</v>
      </c>
      <c r="P136" s="27">
        <f>IFERROR(IF(OR(O136="",A136="",M136=""),"",IF(SUMPRODUCT(($A$4:$A$500=A136)*($M$4:$M$500=M136)*($O$4:$O$500&lt;&gt;"")*(MOD($O$4:$O$500,1)&lt;MOD(O136,1)))=0,IF(MOD(O136,1)&lt;=TIME(8,15,0),"Ingreso adecuado primera hora","Atraso primera hora"),"No aplica")),"")</f>
        <v/>
      </c>
      <c r="Q136" s="87" t="n"/>
      <c r="R136" s="70" t="n">
        <v>0.4520833333333333</v>
      </c>
      <c r="S136" s="70" t="n">
        <v>0.4722222222222222</v>
      </c>
      <c r="T136" s="70" t="n">
        <v>0.4784722222222222</v>
      </c>
      <c r="U136" s="106">
        <f>IFERROR(VLOOKUP(M136,'Horario Pabellones'!$A$4:$D$17,2,FALSE),"")</f>
        <v/>
      </c>
      <c r="V136" s="106">
        <f>IFERROR(VLOOKUP(M136,'Horario Pabellones'!$A$4:$D$17,3,FALSE),"")</f>
        <v/>
      </c>
      <c r="W136" s="104">
        <f>IFERROR(VLOOKUP(M136,'Horario Pabellones'!$A$4:$D$17,4,FALSE),"")</f>
        <v/>
      </c>
      <c r="X136" s="93">
        <f>IFERROR(IF(OR(A136="",M136="",W136=""),"",(((_xludf.AGGREGATE(14,6,MOD($S$4:$S$500,1)/(($A$4:$A$500=A136)*($M$4:$M$500=M136)*($R$4:$R$500&lt;&gt;"")*($S$4:$S$500&lt;&gt;"")),1)-_xludf.AGGREGATE(15,6,MOD($R$4:$R$500,1)/(($A$4:$A$500=A136)*($M$4:$M$500=M136)*($R$4:$R$500&lt;&gt;"")*($S$4:$S$500&lt;&gt;"")),1))*1440)/60)/(W136/60)),"")</f>
        <v/>
      </c>
      <c r="Y136" s="26">
        <f>IFERROR(IF(OR(O136="",A136="",M136=""),"",(IF(ISNUMBER(O136),MOD(O136,1),TIMEVALUE(O136))-LOOKUP(2,1/(($A$4:$A$500=A136)*($M$4:$M$500=M136)*($T$4:$T$500&lt;&gt;"")*($T$4:$T$500&lt;IF(ISNUMBER(O136),MOD(O136,1),TIMEVALUE(O136)))),$T$4:$T$500))*1440),"")</f>
        <v/>
      </c>
      <c r="Z136" s="27">
        <f>IFERROR(IF(Y136="","",IF(ROUND(Y136,0)&lt;=15,"Cumple","No cumple")),"")</f>
        <v/>
      </c>
      <c r="AA136" s="15" t="n"/>
      <c r="AB136" s="26">
        <f>IFERROR(IF(OR(O136="",R136=""),"",IF(IF(ISNUMBER(R136),MOD(R136,1),TIMEVALUE(R136))&gt;=IF(ISNUMBER(O136),MOD(O136,1),TIMEVALUE(O136)),(IF(ISNUMBER(R136),MOD(R136,1),TIMEVALUE(R136))-IF(ISNUMBER(O136),MOD(O136,1),TIMEVALUE(O136)))*1440,(IF(ISNUMBER(R136),MOD(R136,1),TIMEVALUE(R136))+1-IF(ISNUMBER(O136),MOD(O136,1),TIMEVALUE(O136)))*1440)),"")</f>
        <v/>
      </c>
      <c r="AC136" s="28">
        <f>IFERROR(IF(OR(R136="",S136=""),"",IF(IF(ISNUMBER(S136),MOD(S136,1),TIMEVALUE(S136))&gt;=IF(ISNUMBER(R136),MOD(R136,1),TIMEVALUE(R136)),(IF(ISNUMBER(S136),MOD(S136,1),TIMEVALUE(S136))-IF(ISNUMBER(R136),MOD(R136,1),TIMEVALUE(R136)))*1440,(IF(ISNUMBER(S136),MOD(S136,1),TIMEVALUE(S136))+1-IF(ISNUMBER(R136),MOD(R136,1),TIMEVALUE(R136)))*1440)),"")</f>
        <v/>
      </c>
      <c r="AD136" s="104" t="n">
        <v>60</v>
      </c>
      <c r="AE136" s="26">
        <f>IFERROR(IF(OR(AC136="",AD136=""),"",AC136-AD136),"")</f>
        <v/>
      </c>
      <c r="AF136" s="27">
        <f>IFERROR(IF(AE136="","",IF(ROUND(AE136,0)&gt;15,"Subestimacion",IF(ROUND(AE136,0)&lt;-15,"Sobrestimacion","Asertivo"))),"")</f>
        <v/>
      </c>
      <c r="AG136" s="66" t="inlineStr">
        <is>
          <t>Sin Suspensión</t>
        </is>
      </c>
      <c r="AH136" s="15" t="n"/>
      <c r="AI136" s="15" t="n"/>
      <c r="AJ136" s="19" t="n"/>
      <c r="AK136" s="19" t="inlineStr">
        <is>
          <t>Sí</t>
        </is>
      </c>
      <c r="AL136" s="19" t="inlineStr">
        <is>
          <t>No</t>
        </is>
      </c>
      <c r="AM136" s="66" t="inlineStr">
        <is>
          <t>I0001190527</t>
        </is>
      </c>
      <c r="AN136" s="19" t="n"/>
      <c r="AO136" s="19" t="n"/>
      <c r="AP136" s="127">
        <f>IF(A136="","",A136-WEEKDAY(A136,2)+1)</f>
        <v/>
      </c>
      <c r="AQ136" s="127">
        <f>IF(AO136="","",AO136+6)</f>
        <v/>
      </c>
      <c r="AR136" s="19">
        <f>IF(AO136="","","Semana "&amp;TEXT(AO136,"dd-mm-yyyy")&amp;" al "&amp;TEXT(AP136,"dd-mm-yyyy"))</f>
        <v/>
      </c>
      <c r="AS136" s="19">
        <f>IF(A136="","",TEXT(A136,"mmmm yyyy"))</f>
        <v/>
      </c>
      <c r="AT136" s="19">
        <f>IF(A136="","",TEXT(A136,"dddd"))</f>
        <v/>
      </c>
      <c r="AU136" s="19">
        <f>IF(A136="","","CRR-"&amp;TEXT(A136,"yyyymmdd")&amp;"-"&amp;M136&amp;"-"&amp;TEXT(ROW()-3,"0000"))</f>
        <v/>
      </c>
      <c r="AV136" s="19">
        <f>IF(A136="","",IF(OR(B136="",C136="",E136="",F136="",M136="",N136=""),"Revisar campos obligatorios",IF(AND(P136="Atraso primera hora",Q136=""),"Falta justificación atraso primera hora",IF(AND(Z136="No cumple",AA136=""),"Falta justificación recambio &gt;15 min",IF(AND(ISNUMBER(SEARCH("suspend",N136)),OR(AG136="",AH136="")),"Falta causa/motivo suspensión","OK")))))</f>
        <v/>
      </c>
      <c r="AW136" s="19">
        <f>IF(N136="","",IF(ISNUMBER(SEARCH("suspend",N136)),IF(AND(AG136="",AH136=""),"Sin causa/motivo registrado",IF(AG136="",AH136,IF(AH136="",AG136,AG136&amp;": "&amp;AH136))),""))</f>
        <v/>
      </c>
    </row>
    <row r="137" ht="16" customHeight="1" s="151">
      <c r="A137" s="65" t="n">
        <v>46178</v>
      </c>
      <c r="B137" s="66" t="inlineStr">
        <is>
          <t>TOMÁS BALTAZAR</t>
        </is>
      </c>
      <c r="C137" s="66" t="inlineStr">
        <is>
          <t>MOLINA</t>
        </is>
      </c>
      <c r="D137" s="66" t="inlineStr">
        <is>
          <t>6a 3m 19d</t>
        </is>
      </c>
      <c r="E137" s="67" t="inlineStr">
        <is>
          <t>CIRCUNCISION (INCLUYE SECCION DE FRENILLO, Y/O DE SINEQUIAS BALANO-PREPUCIALES, Y/O INCISION DORSAL C/S MEATOTOMIA)</t>
        </is>
      </c>
      <c r="F137" s="73" t="inlineStr">
        <is>
          <t>SERVICIO DE CIRUGIA INFANTIL</t>
        </is>
      </c>
      <c r="G137" s="74" t="inlineStr">
        <is>
          <t>CIRUGIA INFANTIL</t>
        </is>
      </c>
      <c r="H137" s="66" t="inlineStr">
        <is>
          <t>1902082-5</t>
        </is>
      </c>
      <c r="I137" s="15" t="n"/>
      <c r="J137" s="20">
        <f>IF(H137&lt;&gt;"",IFERROR(VLOOKUP(IFERROR(LEFT(H137,FIND("-",H137)-1),H137),'Catalogo MINSAL'!A:E,5,FALSE),""),IF(I137&lt;&gt;"",IFERROR(VLOOKUP(IFERROR(LEFT(I137,FIND("-",I137)-1),I137),'Catalogo MINSAL'!A:E,5,FALSE),""),""))</f>
        <v/>
      </c>
      <c r="K137" s="66" t="inlineStr">
        <is>
          <t>Sebastian Meneses Diaz</t>
        </is>
      </c>
      <c r="L137" s="66" t="inlineStr">
        <is>
          <t>Camila Paz Francisca García Trabucco</t>
        </is>
      </c>
      <c r="M137" s="66" t="inlineStr">
        <is>
          <t>Quirofano 12</t>
        </is>
      </c>
      <c r="N137" s="19" t="inlineStr">
        <is>
          <t>Realizado</t>
        </is>
      </c>
      <c r="O137" s="70" t="n">
        <v>0.4840277777777778</v>
      </c>
      <c r="P137" s="27">
        <f>IFERROR(IF(OR(O137="",A137="",M137=""),"",IF(SUMPRODUCT(($A$4:$A$500=A137)*($M$4:$M$500=M137)*($O$4:$O$500&lt;&gt;"")*(MOD($O$4:$O$500,1)&lt;MOD(O137,1)))=0,IF(MOD(O137,1)&lt;=TIME(8,15,0),"Ingreso adecuado primera hora","Atraso primera hora"),"No aplica")),"")</f>
        <v/>
      </c>
      <c r="Q137" s="87" t="n"/>
      <c r="R137" s="70" t="n">
        <v>0.5069444444444444</v>
      </c>
      <c r="S137" s="70" t="n">
        <v>0.5222222222222223</v>
      </c>
      <c r="T137" s="70" t="n">
        <v>0.5333333333333333</v>
      </c>
      <c r="U137" s="106">
        <f>IFERROR(VLOOKUP(M137,'Horario Pabellones'!$A$4:$D$17,2,FALSE),"")</f>
        <v/>
      </c>
      <c r="V137" s="106">
        <f>IFERROR(VLOOKUP(M137,'Horario Pabellones'!$A$4:$D$17,3,FALSE),"")</f>
        <v/>
      </c>
      <c r="W137" s="104">
        <f>IFERROR(VLOOKUP(M137,'Horario Pabellones'!$A$4:$D$17,4,FALSE),"")</f>
        <v/>
      </c>
      <c r="X137" s="93">
        <f>IFERROR(IF(OR(A137="",M137="",W137=""),"",(((_xludf.AGGREGATE(14,6,MOD($S$4:$S$500,1)/(($A$4:$A$500=A137)*($M$4:$M$500=M137)*($R$4:$R$500&lt;&gt;"")*($S$4:$S$500&lt;&gt;"")),1)-_xludf.AGGREGATE(15,6,MOD($R$4:$R$500,1)/(($A$4:$A$500=A137)*($M$4:$M$500=M137)*($R$4:$R$500&lt;&gt;"")*($S$4:$S$500&lt;&gt;"")),1))*1440)/60)/(W137/60)),"")</f>
        <v/>
      </c>
      <c r="Y137" s="26">
        <f>IFERROR(IF(OR(O137="",A137="",M137=""),"",(IF(ISNUMBER(O137),MOD(O137,1),TIMEVALUE(O137))-LOOKUP(2,1/(($A$4:$A$500=A137)*($M$4:$M$500=M137)*($T$4:$T$500&lt;&gt;"")*($T$4:$T$500&lt;IF(ISNUMBER(O137),MOD(O137,1),TIMEVALUE(O137)))),$T$4:$T$500))*1440),"")</f>
        <v/>
      </c>
      <c r="Z137" s="27">
        <f>IFERROR(IF(Y137="","",IF(ROUND(Y137,0)&lt;=15,"Cumple","No cumple")),"")</f>
        <v/>
      </c>
      <c r="AA137" s="15" t="n"/>
      <c r="AB137" s="26">
        <f>IFERROR(IF(OR(O137="",R137=""),"",IF(IF(ISNUMBER(R137),MOD(R137,1),TIMEVALUE(R137))&gt;=IF(ISNUMBER(O137),MOD(O137,1),TIMEVALUE(O137)),(IF(ISNUMBER(R137),MOD(R137,1),TIMEVALUE(R137))-IF(ISNUMBER(O137),MOD(O137,1),TIMEVALUE(O137)))*1440,(IF(ISNUMBER(R137),MOD(R137,1),TIMEVALUE(R137))+1-IF(ISNUMBER(O137),MOD(O137,1),TIMEVALUE(O137)))*1440)),"")</f>
        <v/>
      </c>
      <c r="AC137" s="28">
        <f>IFERROR(IF(OR(R137="",S137=""),"",IF(IF(ISNUMBER(S137),MOD(S137,1),TIMEVALUE(S137))&gt;=IF(ISNUMBER(R137),MOD(R137,1),TIMEVALUE(R137)),(IF(ISNUMBER(S137),MOD(S137,1),TIMEVALUE(S137))-IF(ISNUMBER(R137),MOD(R137,1),TIMEVALUE(R137)))*1440,(IF(ISNUMBER(S137),MOD(S137,1),TIMEVALUE(S137))+1-IF(ISNUMBER(R137),MOD(R137,1),TIMEVALUE(R137)))*1440)),"")</f>
        <v/>
      </c>
      <c r="AD137" s="104" t="n">
        <v>60</v>
      </c>
      <c r="AE137" s="26">
        <f>IFERROR(IF(OR(AC137="",AD137=""),"",AC137-AD137),"")</f>
        <v/>
      </c>
      <c r="AF137" s="27">
        <f>IFERROR(IF(AE137="","",IF(ROUND(AE137,0)&gt;15,"Subestimacion",IF(ROUND(AE137,0)&lt;-15,"Sobrestimacion","Asertivo"))),"")</f>
        <v/>
      </c>
      <c r="AG137" s="66" t="inlineStr">
        <is>
          <t>Sin Suspensión</t>
        </is>
      </c>
      <c r="AH137" s="15" t="n"/>
      <c r="AI137" s="15" t="n"/>
      <c r="AJ137" s="19" t="n"/>
      <c r="AK137" s="19" t="inlineStr">
        <is>
          <t>Sí</t>
        </is>
      </c>
      <c r="AL137" s="19" t="inlineStr">
        <is>
          <t>No</t>
        </is>
      </c>
      <c r="AM137" s="66" t="inlineStr">
        <is>
          <t>I0001190529</t>
        </is>
      </c>
      <c r="AN137" s="19" t="n"/>
      <c r="AO137" s="19" t="n"/>
      <c r="AP137" s="127">
        <f>IF(A137="","",A137-WEEKDAY(A137,2)+1)</f>
        <v/>
      </c>
      <c r="AQ137" s="127">
        <f>IF(AO137="","",AO137+6)</f>
        <v/>
      </c>
      <c r="AR137" s="19">
        <f>IF(AO137="","","Semana "&amp;TEXT(AO137,"dd-mm-yyyy")&amp;" al "&amp;TEXT(AP137,"dd-mm-yyyy"))</f>
        <v/>
      </c>
      <c r="AS137" s="19">
        <f>IF(A137="","",TEXT(A137,"mmmm yyyy"))</f>
        <v/>
      </c>
      <c r="AT137" s="19">
        <f>IF(A137="","",TEXT(A137,"dddd"))</f>
        <v/>
      </c>
      <c r="AU137" s="19">
        <f>IF(A137="","","CRR-"&amp;TEXT(A137,"yyyymmdd")&amp;"-"&amp;M137&amp;"-"&amp;TEXT(ROW()-3,"0000"))</f>
        <v/>
      </c>
      <c r="AV137" s="19">
        <f>IF(A137="","",IF(OR(B137="",C137="",E137="",F137="",M137="",N137=""),"Revisar campos obligatorios",IF(AND(P137="Atraso primera hora",Q137=""),"Falta justificación atraso primera hora",IF(AND(Z137="No cumple",AA137=""),"Falta justificación recambio &gt;15 min",IF(AND(ISNUMBER(SEARCH("suspend",N137)),OR(AG137="",AH137="")),"Falta causa/motivo suspensión","OK")))))</f>
        <v/>
      </c>
      <c r="AW137" s="19">
        <f>IF(N137="","",IF(ISNUMBER(SEARCH("suspend",N137)),IF(AND(AG137="",AH137=""),"Sin causa/motivo registrado",IF(AG137="",AH137,IF(AH137="",AG137,AG137&amp;": "&amp;AH137))),""))</f>
        <v/>
      </c>
    </row>
    <row r="138" ht="16" customHeight="1" s="151">
      <c r="A138" s="65" t="n">
        <v>46178</v>
      </c>
      <c r="B138" s="66" t="inlineStr">
        <is>
          <t>MATEO ALONZO</t>
        </is>
      </c>
      <c r="C138" s="66" t="inlineStr">
        <is>
          <t>MAZUELA</t>
        </is>
      </c>
      <c r="D138" s="66" t="inlineStr">
        <is>
          <t>8a 10m 9d</t>
        </is>
      </c>
      <c r="E138" s="67" t="inlineStr">
        <is>
          <t>CIRCUNCISION (INCLUYE SECCION DE FRENILLO, Y/O DE SINEQUIAS BALANO-PREPUCIALES, Y/O INCISION DORSAL C/S MEATOTOMIA)</t>
        </is>
      </c>
      <c r="F138" s="73" t="inlineStr">
        <is>
          <t>SERVICIO DE CIRUGIA INFANTIL</t>
        </is>
      </c>
      <c r="G138" s="74" t="inlineStr">
        <is>
          <t>CIRUGIA INFANTIL</t>
        </is>
      </c>
      <c r="H138" s="66" t="inlineStr">
        <is>
          <t>1902082-5</t>
        </is>
      </c>
      <c r="I138" s="15" t="n"/>
      <c r="J138" s="20">
        <f>IF(H138&lt;&gt;"",IFERROR(VLOOKUP(IFERROR(LEFT(H138,FIND("-",H138)-1),H138),'Catalogo MINSAL'!A:E,5,FALSE),""),IF(I138&lt;&gt;"",IFERROR(VLOOKUP(IFERROR(LEFT(I138,FIND("-",I138)-1),I138),'Catalogo MINSAL'!A:E,5,FALSE),""),""))</f>
        <v/>
      </c>
      <c r="K138" s="66" t="inlineStr">
        <is>
          <t>Sebastian Meneses Diaz</t>
        </is>
      </c>
      <c r="L138" s="66" t="inlineStr">
        <is>
          <t>Camila Paz Francisca García Trabucco</t>
        </is>
      </c>
      <c r="M138" s="66" t="inlineStr">
        <is>
          <t>Quirofano 12</t>
        </is>
      </c>
      <c r="N138" s="19" t="inlineStr">
        <is>
          <t>Realizado</t>
        </is>
      </c>
      <c r="O138" s="70" t="n">
        <v>0.5416666666666666</v>
      </c>
      <c r="P138" s="27">
        <f>IFERROR(IF(OR(O138="",A138="",M138=""),"",IF(SUMPRODUCT(($A$4:$A$500=A138)*($M$4:$M$500=M138)*($O$4:$O$500&lt;&gt;"")*(MOD($O$4:$O$500,1)&lt;MOD(O138,1)))=0,IF(MOD(O138,1)&lt;=TIME(8,15,0),"Ingreso adecuado primera hora","Atraso primera hora"),"No aplica")),"")</f>
        <v/>
      </c>
      <c r="Q138" s="87" t="n"/>
      <c r="R138" s="70" t="n">
        <v>0.5625</v>
      </c>
      <c r="S138" s="70" t="n">
        <v>0.5868055555555556</v>
      </c>
      <c r="T138" s="70" t="n">
        <v>0.5986111111111111</v>
      </c>
      <c r="U138" s="106">
        <f>IFERROR(VLOOKUP(M138,'Horario Pabellones'!$A$4:$D$17,2,FALSE),"")</f>
        <v/>
      </c>
      <c r="V138" s="106">
        <f>IFERROR(VLOOKUP(M138,'Horario Pabellones'!$A$4:$D$17,3,FALSE),"")</f>
        <v/>
      </c>
      <c r="W138" s="104">
        <f>IFERROR(VLOOKUP(M138,'Horario Pabellones'!$A$4:$D$17,4,FALSE),"")</f>
        <v/>
      </c>
      <c r="X138" s="93">
        <f>IFERROR(IF(OR(A138="",M138="",W138=""),"",(((_xludf.AGGREGATE(14,6,MOD($S$4:$S$500,1)/(($A$4:$A$500=A138)*($M$4:$M$500=M138)*($R$4:$R$500&lt;&gt;"")*($S$4:$S$500&lt;&gt;"")),1)-_xludf.AGGREGATE(15,6,MOD($R$4:$R$500,1)/(($A$4:$A$500=A138)*($M$4:$M$500=M138)*($R$4:$R$500&lt;&gt;"")*($S$4:$S$500&lt;&gt;"")),1))*1440)/60)/(W138/60)),"")</f>
        <v/>
      </c>
      <c r="Y138" s="26">
        <f>IFERROR(IF(OR(O138="",A138="",M138=""),"",(IF(ISNUMBER(O138),MOD(O138,1),TIMEVALUE(O138))-LOOKUP(2,1/(($A$4:$A$500=A138)*($M$4:$M$500=M138)*($T$4:$T$500&lt;&gt;"")*($T$4:$T$500&lt;IF(ISNUMBER(O138),MOD(O138,1),TIMEVALUE(O138)))),$T$4:$T$500))*1440),"")</f>
        <v/>
      </c>
      <c r="Z138" s="27">
        <f>IFERROR(IF(Y138="","",IF(ROUND(Y138,0)&lt;=15,"Cumple","No cumple")),"")</f>
        <v/>
      </c>
      <c r="AA138" s="15" t="n"/>
      <c r="AB138" s="26">
        <f>IFERROR(IF(OR(O138="",R138=""),"",IF(IF(ISNUMBER(R138),MOD(R138,1),TIMEVALUE(R138))&gt;=IF(ISNUMBER(O138),MOD(O138,1),TIMEVALUE(O138)),(IF(ISNUMBER(R138),MOD(R138,1),TIMEVALUE(R138))-IF(ISNUMBER(O138),MOD(O138,1),TIMEVALUE(O138)))*1440,(IF(ISNUMBER(R138),MOD(R138,1),TIMEVALUE(R138))+1-IF(ISNUMBER(O138),MOD(O138,1),TIMEVALUE(O138)))*1440)),"")</f>
        <v/>
      </c>
      <c r="AC138" s="28">
        <f>IFERROR(IF(OR(R138="",S138=""),"",IF(IF(ISNUMBER(S138),MOD(S138,1),TIMEVALUE(S138))&gt;=IF(ISNUMBER(R138),MOD(R138,1),TIMEVALUE(R138)),(IF(ISNUMBER(S138),MOD(S138,1),TIMEVALUE(S138))-IF(ISNUMBER(R138),MOD(R138,1),TIMEVALUE(R138)))*1440,(IF(ISNUMBER(S138),MOD(S138,1),TIMEVALUE(S138))+1-IF(ISNUMBER(R138),MOD(R138,1),TIMEVALUE(R138)))*1440)),"")</f>
        <v/>
      </c>
      <c r="AD138" s="104" t="n">
        <v>60</v>
      </c>
      <c r="AE138" s="26">
        <f>IFERROR(IF(OR(AC138="",AD138=""),"",AC138-AD138),"")</f>
        <v/>
      </c>
      <c r="AF138" s="27">
        <f>IFERROR(IF(AE138="","",IF(ROUND(AE138,0)&gt;15,"Subestimacion",IF(ROUND(AE138,0)&lt;-15,"Sobrestimacion","Asertivo"))),"")</f>
        <v/>
      </c>
      <c r="AG138" s="66" t="inlineStr">
        <is>
          <t>Sin Suspensión</t>
        </is>
      </c>
      <c r="AH138" s="15" t="n"/>
      <c r="AI138" s="15" t="n"/>
      <c r="AJ138" s="19" t="n"/>
      <c r="AK138" s="19" t="inlineStr">
        <is>
          <t>Sí</t>
        </is>
      </c>
      <c r="AL138" s="19" t="inlineStr">
        <is>
          <t>No</t>
        </is>
      </c>
      <c r="AM138" s="66" t="inlineStr">
        <is>
          <t>I0001190536</t>
        </is>
      </c>
      <c r="AN138" s="19" t="n"/>
      <c r="AO138" s="19" t="n"/>
      <c r="AP138" s="127">
        <f>IF(A138="","",A138-WEEKDAY(A138,2)+1)</f>
        <v/>
      </c>
      <c r="AQ138" s="127">
        <f>IF(AO138="","",AO138+6)</f>
        <v/>
      </c>
      <c r="AR138" s="19">
        <f>IF(AO138="","","Semana "&amp;TEXT(AO138,"dd-mm-yyyy")&amp;" al "&amp;TEXT(AP138,"dd-mm-yyyy"))</f>
        <v/>
      </c>
      <c r="AS138" s="19">
        <f>IF(A138="","",TEXT(A138,"mmmm yyyy"))</f>
        <v/>
      </c>
      <c r="AT138" s="19">
        <f>IF(A138="","",TEXT(A138,"dddd"))</f>
        <v/>
      </c>
      <c r="AU138" s="19">
        <f>IF(A138="","","CRR-"&amp;TEXT(A138,"yyyymmdd")&amp;"-"&amp;M138&amp;"-"&amp;TEXT(ROW()-3,"0000"))</f>
        <v/>
      </c>
      <c r="AV138" s="19">
        <f>IF(A138="","",IF(OR(B138="",C138="",E138="",F138="",M138="",N138=""),"Revisar campos obligatorios",IF(AND(P138="Atraso primera hora",Q138=""),"Falta justificación atraso primera hora",IF(AND(Z138="No cumple",AA138=""),"Falta justificación recambio &gt;15 min",IF(AND(ISNUMBER(SEARCH("suspend",N138)),OR(AG138="",AH138="")),"Falta causa/motivo suspensión","OK")))))</f>
        <v/>
      </c>
      <c r="AW138" s="19">
        <f>IF(N138="","",IF(ISNUMBER(SEARCH("suspend",N138)),IF(AND(AG138="",AH138=""),"Sin causa/motivo registrado",IF(AG138="",AH138,IF(AH138="",AG138,AG138&amp;": "&amp;AH138))),""))</f>
        <v/>
      </c>
    </row>
    <row r="139" ht="16" customHeight="1" s="151">
      <c r="A139" s="65" t="n">
        <v>46178</v>
      </c>
      <c r="B139" s="66" t="inlineStr">
        <is>
          <t>MATEO ISAAC</t>
        </is>
      </c>
      <c r="C139" s="66" t="inlineStr">
        <is>
          <t>YÁÑEZ</t>
        </is>
      </c>
      <c r="D139" s="66" t="inlineStr">
        <is>
          <t>6a 11m 28d</t>
        </is>
      </c>
      <c r="E139" s="67" t="inlineStr">
        <is>
          <t>CIRCUNCISION (INCLUYE SECCION DE FRENILLO, Y/O DE SINEQUIAS BALANO-PREPUCIALES, Y/O INCISION DORSAL C/S MEATOTOMIA)</t>
        </is>
      </c>
      <c r="F139" s="73" t="inlineStr">
        <is>
          <t>SERVICIO DE CIRUGIA INFANTIL</t>
        </is>
      </c>
      <c r="G139" s="74" t="inlineStr">
        <is>
          <t>CIRUGIA INFANTIL</t>
        </is>
      </c>
      <c r="H139" s="66" t="inlineStr">
        <is>
          <t>1902082-5</t>
        </is>
      </c>
      <c r="I139" s="15" t="n"/>
      <c r="J139" s="20">
        <f>IF(H139&lt;&gt;"",IFERROR(VLOOKUP(IFERROR(LEFT(H139,FIND("-",H139)-1),H139),'Catalogo MINSAL'!A:E,5,FALSE),""),IF(I139&lt;&gt;"",IFERROR(VLOOKUP(IFERROR(LEFT(I139,FIND("-",I139)-1),I139),'Catalogo MINSAL'!A:E,5,FALSE),""),""))</f>
        <v/>
      </c>
      <c r="K139" s="66" t="inlineStr">
        <is>
          <t>Sebastian Meneses Diaz</t>
        </is>
      </c>
      <c r="L139" s="66" t="inlineStr">
        <is>
          <t>Camila Paz Francisca García Trabucco</t>
        </is>
      </c>
      <c r="M139" s="66" t="inlineStr">
        <is>
          <t>Quirofano 12</t>
        </is>
      </c>
      <c r="N139" s="19" t="inlineStr">
        <is>
          <t>Realizado</t>
        </is>
      </c>
      <c r="O139" s="70" t="n">
        <v>0.6041666666666666</v>
      </c>
      <c r="P139" s="27">
        <f>IFERROR(IF(OR(O139="",A139="",M139=""),"",IF(SUMPRODUCT(($A$4:$A$500=A139)*($M$4:$M$500=M139)*($O$4:$O$500&lt;&gt;"")*(MOD($O$4:$O$500,1)&lt;MOD(O139,1)))=0,IF(MOD(O139,1)&lt;=TIME(8,15,0),"Ingreso adecuado primera hora","Atraso primera hora"),"No aplica")),"")</f>
        <v/>
      </c>
      <c r="Q139" s="87" t="n"/>
      <c r="R139" s="70" t="n">
        <v>0.6194444444444445</v>
      </c>
      <c r="S139" s="70" t="n">
        <v>0.6402777777777777</v>
      </c>
      <c r="T139" s="70" t="n">
        <v>0.6458333333333334</v>
      </c>
      <c r="U139" s="106">
        <f>IFERROR(VLOOKUP(M139,'Horario Pabellones'!$A$4:$D$17,2,FALSE),"")</f>
        <v/>
      </c>
      <c r="V139" s="106">
        <f>IFERROR(VLOOKUP(M139,'Horario Pabellones'!$A$4:$D$17,3,FALSE),"")</f>
        <v/>
      </c>
      <c r="W139" s="104">
        <f>IFERROR(VLOOKUP(M139,'Horario Pabellones'!$A$4:$D$17,4,FALSE),"")</f>
        <v/>
      </c>
      <c r="X139" s="93">
        <f>IFERROR(IF(OR(A139="",M139="",W139=""),"",(((_xludf.AGGREGATE(14,6,MOD($S$4:$S$500,1)/(($A$4:$A$500=A139)*($M$4:$M$500=M139)*($R$4:$R$500&lt;&gt;"")*($S$4:$S$500&lt;&gt;"")),1)-_xludf.AGGREGATE(15,6,MOD($R$4:$R$500,1)/(($A$4:$A$500=A139)*($M$4:$M$500=M139)*($R$4:$R$500&lt;&gt;"")*($S$4:$S$500&lt;&gt;"")),1))*1440)/60)/(W139/60)),"")</f>
        <v/>
      </c>
      <c r="Y139" s="26">
        <f>IFERROR(IF(OR(O139="",A139="",M139=""),"",(IF(ISNUMBER(O139),MOD(O139,1),TIMEVALUE(O139))-LOOKUP(2,1/(($A$4:$A$500=A139)*($M$4:$M$500=M139)*($T$4:$T$500&lt;&gt;"")*($T$4:$T$500&lt;IF(ISNUMBER(O139),MOD(O139,1),TIMEVALUE(O139)))),$T$4:$T$500))*1440),"")</f>
        <v/>
      </c>
      <c r="Z139" s="27">
        <f>IFERROR(IF(Y139="","",IF(ROUND(Y139,0)&lt;=15,"Cumple","No cumple")),"")</f>
        <v/>
      </c>
      <c r="AA139" s="15" t="n"/>
      <c r="AB139" s="26">
        <f>IFERROR(IF(OR(O139="",R139=""),"",IF(IF(ISNUMBER(R139),MOD(R139,1),TIMEVALUE(R139))&gt;=IF(ISNUMBER(O139),MOD(O139,1),TIMEVALUE(O139)),(IF(ISNUMBER(R139),MOD(R139,1),TIMEVALUE(R139))-IF(ISNUMBER(O139),MOD(O139,1),TIMEVALUE(O139)))*1440,(IF(ISNUMBER(R139),MOD(R139,1),TIMEVALUE(R139))+1-IF(ISNUMBER(O139),MOD(O139,1),TIMEVALUE(O139)))*1440)),"")</f>
        <v/>
      </c>
      <c r="AC139" s="28">
        <f>IFERROR(IF(OR(R139="",S139=""),"",IF(IF(ISNUMBER(S139),MOD(S139,1),TIMEVALUE(S139))&gt;=IF(ISNUMBER(R139),MOD(R139,1),TIMEVALUE(R139)),(IF(ISNUMBER(S139),MOD(S139,1),TIMEVALUE(S139))-IF(ISNUMBER(R139),MOD(R139,1),TIMEVALUE(R139)))*1440,(IF(ISNUMBER(S139),MOD(S139,1),TIMEVALUE(S139))+1-IF(ISNUMBER(R139),MOD(R139,1),TIMEVALUE(R139)))*1440)),"")</f>
        <v/>
      </c>
      <c r="AD139" s="104" t="n">
        <v>60</v>
      </c>
      <c r="AE139" s="26">
        <f>IFERROR(IF(OR(AC139="",AD139=""),"",AC139-AD139),"")</f>
        <v/>
      </c>
      <c r="AF139" s="27">
        <f>IFERROR(IF(AE139="","",IF(ROUND(AE139,0)&gt;15,"Subestimacion",IF(ROUND(AE139,0)&lt;-15,"Sobrestimacion","Asertivo"))),"")</f>
        <v/>
      </c>
      <c r="AG139" s="66" t="inlineStr">
        <is>
          <t>Sin Suspensión</t>
        </is>
      </c>
      <c r="AH139" s="15" t="n"/>
      <c r="AI139" s="15" t="n"/>
      <c r="AJ139" s="19" t="n"/>
      <c r="AK139" s="19" t="inlineStr">
        <is>
          <t>Sí</t>
        </is>
      </c>
      <c r="AL139" s="19" t="inlineStr">
        <is>
          <t>No</t>
        </is>
      </c>
      <c r="AM139" s="66" t="inlineStr">
        <is>
          <t>I0001190532</t>
        </is>
      </c>
      <c r="AN139" s="19" t="n"/>
      <c r="AO139" s="19" t="n"/>
      <c r="AP139" s="127">
        <f>IF(A139="","",A139-WEEKDAY(A139,2)+1)</f>
        <v/>
      </c>
      <c r="AQ139" s="127">
        <f>IF(AO139="","",AO139+6)</f>
        <v/>
      </c>
      <c r="AR139" s="19">
        <f>IF(AO139="","","Semana "&amp;TEXT(AO139,"dd-mm-yyyy")&amp;" al "&amp;TEXT(AP139,"dd-mm-yyyy"))</f>
        <v/>
      </c>
      <c r="AS139" s="19">
        <f>IF(A139="","",TEXT(A139,"mmmm yyyy"))</f>
        <v/>
      </c>
      <c r="AT139" s="19">
        <f>IF(A139="","",TEXT(A139,"dddd"))</f>
        <v/>
      </c>
      <c r="AU139" s="19">
        <f>IF(A139="","","CRR-"&amp;TEXT(A139,"yyyymmdd")&amp;"-"&amp;M139&amp;"-"&amp;TEXT(ROW()-3,"0000"))</f>
        <v/>
      </c>
      <c r="AV139" s="19">
        <f>IF(A139="","",IF(OR(B139="",C139="",E139="",F139="",M139="",N139=""),"Revisar campos obligatorios",IF(AND(P139="Atraso primera hora",Q139=""),"Falta justificación atraso primera hora",IF(AND(Z139="No cumple",AA139=""),"Falta justificación recambio &gt;15 min",IF(AND(ISNUMBER(SEARCH("suspend",N139)),OR(AG139="",AH139="")),"Falta causa/motivo suspensión","OK")))))</f>
        <v/>
      </c>
      <c r="AW139" s="19">
        <f>IF(N139="","",IF(ISNUMBER(SEARCH("suspend",N139)),IF(AND(AG139="",AH139=""),"Sin causa/motivo registrado",IF(AG139="",AH139,IF(AH139="",AG139,AG139&amp;": "&amp;AH139))),""))</f>
        <v/>
      </c>
    </row>
    <row r="140" ht="16" customHeight="1" s="151">
      <c r="A140" s="65" t="n">
        <v>46178</v>
      </c>
      <c r="B140" s="66" t="inlineStr">
        <is>
          <t>AXEL XAVIER</t>
        </is>
      </c>
      <c r="C140" s="66" t="inlineStr">
        <is>
          <t>PADRON</t>
        </is>
      </c>
      <c r="D140" s="66" t="inlineStr">
        <is>
          <t>7a 0m 22d</t>
        </is>
      </c>
      <c r="E140" s="67" t="inlineStr">
        <is>
          <t>CIRCUNCISION (INCLUYE SECCION DE FRENILLO, Y/O DE SINEQUIAS BALANO-PREPUCIALES, Y/O INCISION DORSAL C/S MEATOTOMIA)</t>
        </is>
      </c>
      <c r="F140" s="73" t="inlineStr">
        <is>
          <t>SERVICIO DE CIRUGIA INFANTIL</t>
        </is>
      </c>
      <c r="G140" s="74" t="inlineStr">
        <is>
          <t>CIRUGIA INFANTIL</t>
        </is>
      </c>
      <c r="H140" s="66" t="inlineStr">
        <is>
          <t>1902082-5</t>
        </is>
      </c>
      <c r="I140" s="15" t="n"/>
      <c r="J140" s="20">
        <f>IF(H140&lt;&gt;"",IFERROR(VLOOKUP(IFERROR(LEFT(H140,FIND("-",H140)-1),H140),'Catalogo MINSAL'!A:E,5,FALSE),""),IF(I140&lt;&gt;"",IFERROR(VLOOKUP(IFERROR(LEFT(I140,FIND("-",I140)-1),I140),'Catalogo MINSAL'!A:E,5,FALSE),""),""))</f>
        <v/>
      </c>
      <c r="K140" s="66" t="inlineStr">
        <is>
          <t>Sebastian Meneses Diaz</t>
        </is>
      </c>
      <c r="L140" s="66" t="inlineStr">
        <is>
          <t>Camila Paz Francisca García Trabucco</t>
        </is>
      </c>
      <c r="M140" s="66" t="inlineStr">
        <is>
          <t>Quirofano 12</t>
        </is>
      </c>
      <c r="N140" s="19" t="inlineStr">
        <is>
          <t>Realizado</t>
        </is>
      </c>
      <c r="O140" s="70" t="n">
        <v>0.6527777777777778</v>
      </c>
      <c r="P140" s="27">
        <f>IFERROR(IF(OR(O140="",A140="",M140=""),"",IF(SUMPRODUCT(($A$4:$A$500=A140)*($M$4:$M$500=M140)*($O$4:$O$500&lt;&gt;"")*(MOD($O$4:$O$500,1)&lt;MOD(O140,1)))=0,IF(MOD(O140,1)&lt;=TIME(8,15,0),"Ingreso adecuado primera hora","Atraso primera hora"),"No aplica")),"")</f>
        <v/>
      </c>
      <c r="Q140" s="87" t="n"/>
      <c r="R140" s="70" t="n">
        <v>0.6701388888888888</v>
      </c>
      <c r="S140" s="70" t="n">
        <v>0.6909722222222222</v>
      </c>
      <c r="T140" s="70" t="n">
        <v>0.7</v>
      </c>
      <c r="U140" s="106">
        <f>IFERROR(VLOOKUP(M140,'Horario Pabellones'!$A$4:$D$17,2,FALSE),"")</f>
        <v/>
      </c>
      <c r="V140" s="106">
        <f>IFERROR(VLOOKUP(M140,'Horario Pabellones'!$A$4:$D$17,3,FALSE),"")</f>
        <v/>
      </c>
      <c r="W140" s="104">
        <f>IFERROR(VLOOKUP(M140,'Horario Pabellones'!$A$4:$D$17,4,FALSE),"")</f>
        <v/>
      </c>
      <c r="X140" s="93">
        <f>IFERROR(IF(OR(A140="",M140="",W140=""),"",(((_xludf.AGGREGATE(14,6,MOD($S$4:$S$500,1)/(($A$4:$A$500=A140)*($M$4:$M$500=M140)*($R$4:$R$500&lt;&gt;"")*($S$4:$S$500&lt;&gt;"")),1)-_xludf.AGGREGATE(15,6,MOD($R$4:$R$500,1)/(($A$4:$A$500=A140)*($M$4:$M$500=M140)*($R$4:$R$500&lt;&gt;"")*($S$4:$S$500&lt;&gt;"")),1))*1440)/60)/(W140/60)),"")</f>
        <v/>
      </c>
      <c r="Y140" s="26">
        <f>IFERROR(IF(OR(O140="",A140="",M140=""),"",(IF(ISNUMBER(O140),MOD(O140,1),TIMEVALUE(O140))-LOOKUP(2,1/(($A$4:$A$500=A140)*($M$4:$M$500=M140)*($T$4:$T$500&lt;&gt;"")*($T$4:$T$500&lt;IF(ISNUMBER(O140),MOD(O140,1),TIMEVALUE(O140)))),$T$4:$T$500))*1440),"")</f>
        <v/>
      </c>
      <c r="Z140" s="27">
        <f>IFERROR(IF(Y140="","",IF(ROUND(Y140,0)&lt;=15,"Cumple","No cumple")),"")</f>
        <v/>
      </c>
      <c r="AA140" s="15" t="n"/>
      <c r="AB140" s="26">
        <f>IFERROR(IF(OR(O140="",R140=""),"",IF(IF(ISNUMBER(R140),MOD(R140,1),TIMEVALUE(R140))&gt;=IF(ISNUMBER(O140),MOD(O140,1),TIMEVALUE(O140)),(IF(ISNUMBER(R140),MOD(R140,1),TIMEVALUE(R140))-IF(ISNUMBER(O140),MOD(O140,1),TIMEVALUE(O140)))*1440,(IF(ISNUMBER(R140),MOD(R140,1),TIMEVALUE(R140))+1-IF(ISNUMBER(O140),MOD(O140,1),TIMEVALUE(O140)))*1440)),"")</f>
        <v/>
      </c>
      <c r="AC140" s="28">
        <f>IFERROR(IF(OR(R140="",S140=""),"",IF(IF(ISNUMBER(S140),MOD(S140,1),TIMEVALUE(S140))&gt;=IF(ISNUMBER(R140),MOD(R140,1),TIMEVALUE(R140)),(IF(ISNUMBER(S140),MOD(S140,1),TIMEVALUE(S140))-IF(ISNUMBER(R140),MOD(R140,1),TIMEVALUE(R140)))*1440,(IF(ISNUMBER(S140),MOD(S140,1),TIMEVALUE(S140))+1-IF(ISNUMBER(R140),MOD(R140,1),TIMEVALUE(R140)))*1440)),"")</f>
        <v/>
      </c>
      <c r="AD140" s="104" t="n">
        <v>60</v>
      </c>
      <c r="AE140" s="26">
        <f>IFERROR(IF(OR(AC140="",AD140=""),"",AC140-AD140),"")</f>
        <v/>
      </c>
      <c r="AF140" s="27">
        <f>IFERROR(IF(AE140="","",IF(ROUND(AE140,0)&gt;15,"Subestimacion",IF(ROUND(AE140,0)&lt;-15,"Sobrestimacion","Asertivo"))),"")</f>
        <v/>
      </c>
      <c r="AG140" s="66" t="inlineStr">
        <is>
          <t>Sin Suspensión</t>
        </is>
      </c>
      <c r="AH140" s="15" t="n"/>
      <c r="AI140" s="15" t="n"/>
      <c r="AJ140" s="19" t="n"/>
      <c r="AK140" s="19" t="inlineStr">
        <is>
          <t>Sí</t>
        </is>
      </c>
      <c r="AL140" s="19" t="inlineStr">
        <is>
          <t>No</t>
        </is>
      </c>
      <c r="AM140" s="66" t="inlineStr">
        <is>
          <t>I0001190535</t>
        </is>
      </c>
      <c r="AN140" s="19" t="n"/>
      <c r="AO140" s="19" t="n"/>
      <c r="AP140" s="127">
        <f>IF(A140="","",A140-WEEKDAY(A140,2)+1)</f>
        <v/>
      </c>
      <c r="AQ140" s="127">
        <f>IF(AO140="","",AO140+6)</f>
        <v/>
      </c>
      <c r="AR140" s="19">
        <f>IF(AO140="","","Semana "&amp;TEXT(AO140,"dd-mm-yyyy")&amp;" al "&amp;TEXT(AP140,"dd-mm-yyyy"))</f>
        <v/>
      </c>
      <c r="AS140" s="19">
        <f>IF(A140="","",TEXT(A140,"mmmm yyyy"))</f>
        <v/>
      </c>
      <c r="AT140" s="19">
        <f>IF(A140="","",TEXT(A140,"dddd"))</f>
        <v/>
      </c>
      <c r="AU140" s="19">
        <f>IF(A140="","","CRR-"&amp;TEXT(A140,"yyyymmdd")&amp;"-"&amp;M140&amp;"-"&amp;TEXT(ROW()-3,"0000"))</f>
        <v/>
      </c>
      <c r="AV140" s="19">
        <f>IF(A140="","",IF(OR(B140="",C140="",E140="",F140="",M140="",N140=""),"Revisar campos obligatorios",IF(AND(P140="Atraso primera hora",Q140=""),"Falta justificación atraso primera hora",IF(AND(Z140="No cumple",AA140=""),"Falta justificación recambio &gt;15 min",IF(AND(ISNUMBER(SEARCH("suspend",N140)),OR(AG140="",AH140="")),"Falta causa/motivo suspensión","OK")))))</f>
        <v/>
      </c>
      <c r="AW140" s="19">
        <f>IF(N140="","",IF(ISNUMBER(SEARCH("suspend",N140)),IF(AND(AG140="",AH140=""),"Sin causa/motivo registrado",IF(AG140="",AH140,IF(AH140="",AG140,AG140&amp;": "&amp;AH140))),""))</f>
        <v/>
      </c>
    </row>
    <row r="141" ht="16" customHeight="1" s="151">
      <c r="A141" s="65" t="n">
        <v>46178</v>
      </c>
      <c r="B141" s="66" t="inlineStr">
        <is>
          <t>ALEXANDER MATEO</t>
        </is>
      </c>
      <c r="C141" s="66" t="inlineStr">
        <is>
          <t>ACUÑA</t>
        </is>
      </c>
      <c r="D141" s="66" t="inlineStr">
        <is>
          <t>10a 2m 5d</t>
        </is>
      </c>
      <c r="E141" s="67" t="inlineStr">
        <is>
          <t>CIRCUNCISION (INCLUYE SECCION DE FRENILLO, Y/O DE SINEQUIAS BALANO-PREPUCIALES, Y/O INCISION DORSAL C/S MEATOTOMIA)</t>
        </is>
      </c>
      <c r="F141" s="73" t="inlineStr">
        <is>
          <t>SERVICIO DE CIRUGIA INFANTIL</t>
        </is>
      </c>
      <c r="G141" s="74" t="inlineStr">
        <is>
          <t>CIRUGIA INFANTIL</t>
        </is>
      </c>
      <c r="H141" s="66" t="inlineStr">
        <is>
          <t>1902082-5</t>
        </is>
      </c>
      <c r="I141" s="15" t="n"/>
      <c r="J141" s="20">
        <f>IF(H141&lt;&gt;"",IFERROR(VLOOKUP(IFERROR(LEFT(H141,FIND("-",H141)-1),H141),'Catalogo MINSAL'!A:E,5,FALSE),""),IF(I141&lt;&gt;"",IFERROR(VLOOKUP(IFERROR(LEFT(I141,FIND("-",I141)-1),I141),'Catalogo MINSAL'!A:E,5,FALSE),""),""))</f>
        <v/>
      </c>
      <c r="K141" s="66" t="inlineStr">
        <is>
          <t>Sebastian Meneses Diaz</t>
        </is>
      </c>
      <c r="L141" s="66" t="inlineStr">
        <is>
          <t>Camila Paz Francisca García Trabucco</t>
        </is>
      </c>
      <c r="M141" s="66" t="inlineStr">
        <is>
          <t>Quirofano 12</t>
        </is>
      </c>
      <c r="N141" s="19" t="inlineStr">
        <is>
          <t>Realizado</t>
        </is>
      </c>
      <c r="O141" s="70" t="n">
        <v>0.70625</v>
      </c>
      <c r="P141" s="27">
        <f>IFERROR(IF(OR(O141="",A141="",M141=""),"",IF(SUMPRODUCT(($A$4:$A$500=A141)*($M$4:$M$500=M141)*($O$4:$O$500&lt;&gt;"")*(MOD($O$4:$O$500,1)&lt;MOD(O141,1)))=0,IF(MOD(O141,1)&lt;=TIME(8,15,0),"Ingreso adecuado primera hora","Atraso primera hora"),"No aplica")),"")</f>
        <v/>
      </c>
      <c r="Q141" s="87" t="n"/>
      <c r="R141" s="70" t="n">
        <v>0.7201388888888889</v>
      </c>
      <c r="S141" s="70" t="n">
        <v>0.7444444444444445</v>
      </c>
      <c r="T141" s="70" t="n">
        <v>0.7625</v>
      </c>
      <c r="U141" s="106">
        <f>IFERROR(VLOOKUP(M141,'Horario Pabellones'!$A$4:$D$17,2,FALSE),"")</f>
        <v/>
      </c>
      <c r="V141" s="106">
        <f>IFERROR(VLOOKUP(M141,'Horario Pabellones'!$A$4:$D$17,3,FALSE),"")</f>
        <v/>
      </c>
      <c r="W141" s="104">
        <f>IFERROR(VLOOKUP(M141,'Horario Pabellones'!$A$4:$D$17,4,FALSE),"")</f>
        <v/>
      </c>
      <c r="X141" s="93">
        <f>IFERROR(IF(OR(A141="",M141="",W141=""),"",(((_xludf.AGGREGATE(14,6,MOD($S$4:$S$500,1)/(($A$4:$A$500=A141)*($M$4:$M$500=M141)*($R$4:$R$500&lt;&gt;"")*($S$4:$S$500&lt;&gt;"")),1)-_xludf.AGGREGATE(15,6,MOD($R$4:$R$500,1)/(($A$4:$A$500=A141)*($M$4:$M$500=M141)*($R$4:$R$500&lt;&gt;"")*($S$4:$S$500&lt;&gt;"")),1))*1440)/60)/(W141/60)),"")</f>
        <v/>
      </c>
      <c r="Y141" s="26">
        <f>IFERROR(IF(OR(O141="",A141="",M141=""),"",(IF(ISNUMBER(O141),MOD(O141,1),TIMEVALUE(O141))-LOOKUP(2,1/(($A$4:$A$500=A141)*($M$4:$M$500=M141)*($T$4:$T$500&lt;&gt;"")*($T$4:$T$500&lt;IF(ISNUMBER(O141),MOD(O141,1),TIMEVALUE(O141)))),$T$4:$T$500))*1440),"")</f>
        <v/>
      </c>
      <c r="Z141" s="27">
        <f>IFERROR(IF(Y141="","",IF(ROUND(Y141,0)&lt;=15,"Cumple","No cumple")),"")</f>
        <v/>
      </c>
      <c r="AA141" s="15" t="n"/>
      <c r="AB141" s="26">
        <f>IFERROR(IF(OR(O141="",R141=""),"",IF(IF(ISNUMBER(R141),MOD(R141,1),TIMEVALUE(R141))&gt;=IF(ISNUMBER(O141),MOD(O141,1),TIMEVALUE(O141)),(IF(ISNUMBER(R141),MOD(R141,1),TIMEVALUE(R141))-IF(ISNUMBER(O141),MOD(O141,1),TIMEVALUE(O141)))*1440,(IF(ISNUMBER(R141),MOD(R141,1),TIMEVALUE(R141))+1-IF(ISNUMBER(O141),MOD(O141,1),TIMEVALUE(O141)))*1440)),"")</f>
        <v/>
      </c>
      <c r="AC141" s="28">
        <f>IFERROR(IF(OR(R141="",S141=""),"",IF(IF(ISNUMBER(S141),MOD(S141,1),TIMEVALUE(S141))&gt;=IF(ISNUMBER(R141),MOD(R141,1),TIMEVALUE(R141)),(IF(ISNUMBER(S141),MOD(S141,1),TIMEVALUE(S141))-IF(ISNUMBER(R141),MOD(R141,1),TIMEVALUE(R141)))*1440,(IF(ISNUMBER(S141),MOD(S141,1),TIMEVALUE(S141))+1-IF(ISNUMBER(R141),MOD(R141,1),TIMEVALUE(R141)))*1440)),"")</f>
        <v/>
      </c>
      <c r="AD141" s="104" t="n">
        <v>60</v>
      </c>
      <c r="AE141" s="26">
        <f>IFERROR(IF(OR(AC141="",AD141=""),"",AC141-AD141),"")</f>
        <v/>
      </c>
      <c r="AF141" s="27">
        <f>IFERROR(IF(AE141="","",IF(ROUND(AE141,0)&gt;15,"Subestimacion",IF(ROUND(AE141,0)&lt;-15,"Sobrestimacion","Asertivo"))),"")</f>
        <v/>
      </c>
      <c r="AG141" s="66" t="inlineStr">
        <is>
          <t>Sin Suspensión</t>
        </is>
      </c>
      <c r="AH141" s="15" t="n"/>
      <c r="AI141" s="15" t="n"/>
      <c r="AJ141" s="19" t="n"/>
      <c r="AK141" s="19" t="inlineStr">
        <is>
          <t>Sí</t>
        </is>
      </c>
      <c r="AL141" s="19" t="inlineStr">
        <is>
          <t>No</t>
        </is>
      </c>
      <c r="AM141" s="66" t="inlineStr">
        <is>
          <t>I0001190539</t>
        </is>
      </c>
      <c r="AN141" s="19" t="n"/>
      <c r="AO141" s="19" t="n"/>
      <c r="AP141" s="127">
        <f>IF(A141="","",A141-WEEKDAY(A141,2)+1)</f>
        <v/>
      </c>
      <c r="AQ141" s="127">
        <f>IF(AO141="","",AO141+6)</f>
        <v/>
      </c>
      <c r="AR141" s="19">
        <f>IF(AO141="","","Semana "&amp;TEXT(AO141,"dd-mm-yyyy")&amp;" al "&amp;TEXT(AP141,"dd-mm-yyyy"))</f>
        <v/>
      </c>
      <c r="AS141" s="19">
        <f>IF(A141="","",TEXT(A141,"mmmm yyyy"))</f>
        <v/>
      </c>
      <c r="AT141" s="19">
        <f>IF(A141="","",TEXT(A141,"dddd"))</f>
        <v/>
      </c>
      <c r="AU141" s="19">
        <f>IF(A141="","","CRR-"&amp;TEXT(A141,"yyyymmdd")&amp;"-"&amp;M141&amp;"-"&amp;TEXT(ROW()-3,"0000"))</f>
        <v/>
      </c>
      <c r="AV141" s="19">
        <f>IF(A141="","",IF(OR(B141="",C141="",E141="",F141="",M141="",N141=""),"Revisar campos obligatorios",IF(AND(P141="Atraso primera hora",Q141=""),"Falta justificación atraso primera hora",IF(AND(Z141="No cumple",AA141=""),"Falta justificación recambio &gt;15 min",IF(AND(ISNUMBER(SEARCH("suspend",N141)),OR(AG141="",AH141="")),"Falta causa/motivo suspensión","OK")))))</f>
        <v/>
      </c>
      <c r="AW141" s="19">
        <f>IF(N141="","",IF(ISNUMBER(SEARCH("suspend",N141)),IF(AND(AG141="",AH141=""),"Sin causa/motivo registrado",IF(AG141="",AH141,IF(AH141="",AG141,AG141&amp;": "&amp;AH141))),""))</f>
        <v/>
      </c>
    </row>
    <row r="142" ht="16" customHeight="1" s="151">
      <c r="A142" s="65" t="n">
        <v>46178</v>
      </c>
      <c r="B142" s="66" t="inlineStr">
        <is>
          <t>MARGARITA</t>
        </is>
      </c>
      <c r="C142" s="66" t="inlineStr">
        <is>
          <t>VALENZUELA</t>
        </is>
      </c>
      <c r="D142" s="66" t="inlineStr">
        <is>
          <t>85a 10m 21d</t>
        </is>
      </c>
      <c r="E142" s="67" t="inlineStr">
        <is>
          <t>OSTEOSINTESIS RADIO, (CUALQUIER TECNICA)</t>
        </is>
      </c>
      <c r="F142" s="66" t="inlineStr">
        <is>
          <t>SERVICIO DE TRAUMATOLOGIA</t>
        </is>
      </c>
      <c r="G142" s="66" t="inlineStr">
        <is>
          <t>TMT MANO</t>
        </is>
      </c>
      <c r="H142" s="66" t="inlineStr">
        <is>
          <t>2104085-6</t>
        </is>
      </c>
      <c r="I142" s="19" t="n"/>
      <c r="J142" s="20">
        <f>IF(H142&lt;&gt;"",IFERROR(VLOOKUP(IFERROR(LEFT(H142,FIND("-",H142)-1),H142),'Catalogo MINSAL'!A:E,5,FALSE),""),IF(I142&lt;&gt;"",IFERROR(VLOOKUP(IFERROR(LEFT(I142,FIND("-",I142)-1),I142),'Catalogo MINSAL'!A:E,5,FALSE),""),""))</f>
        <v/>
      </c>
      <c r="K142" s="66" t="inlineStr">
        <is>
          <t>Teixeira Da Silva David</t>
        </is>
      </c>
      <c r="L142" s="66" t="inlineStr">
        <is>
          <t>Dra. Lisette Irausquin Gudiño</t>
        </is>
      </c>
      <c r="M142" s="66" t="inlineStr">
        <is>
          <t>Quirofano 14</t>
        </is>
      </c>
      <c r="N142" s="19" t="inlineStr">
        <is>
          <t>Realizado</t>
        </is>
      </c>
      <c r="O142" s="70" t="n">
        <v>0.3576388888888889</v>
      </c>
      <c r="P142" s="27">
        <f>IFERROR(IF(OR(O142="",A142="",M142=""),"",IF(SUMPRODUCT(($A$4:$A$500=A142)*($M$4:$M$500=M142)*($O$4:$O$500&lt;&gt;"")*(MOD($O$4:$O$500,1)&lt;MOD(O142,1)))=0,IF(MOD(O142,1)&lt;=TIME(8,15,0),"Ingreso adecuado primera hora","Atraso primera hora"),"No aplica")),"")</f>
        <v/>
      </c>
      <c r="Q142" s="86" t="inlineStr">
        <is>
          <t>Atraso de anestesista (Dr. texeira), revision de cajas</t>
        </is>
      </c>
      <c r="R142" s="70" t="n">
        <v>0.3805555555555555</v>
      </c>
      <c r="S142" s="70" t="n">
        <v>0.4166666666666667</v>
      </c>
      <c r="T142" s="70" t="n">
        <v>0.4270833333333333</v>
      </c>
      <c r="U142" s="106">
        <f>IFERROR(VLOOKUP(M142,'Horario Pabellones'!$A$4:$D$17,2,FALSE),"")</f>
        <v/>
      </c>
      <c r="V142" s="106">
        <f>IFERROR(VLOOKUP(M142,'Horario Pabellones'!$A$4:$D$17,3,FALSE),"")</f>
        <v/>
      </c>
      <c r="W142" s="104">
        <f>IFERROR(VLOOKUP(M142,'Horario Pabellones'!$A$4:$D$17,4,FALSE),"")</f>
        <v/>
      </c>
      <c r="X142" s="93">
        <f>IFERROR(IF(OR(A142="",M142="",W142=""),"",(((_xludf.AGGREGATE(14,6,MOD($S$4:$S$500,1)/(($A$4:$A$500=A142)*($M$4:$M$500=M142)*($R$4:$R$500&lt;&gt;"")*($S$4:$S$500&lt;&gt;"")),1)-_xludf.AGGREGATE(15,6,MOD($R$4:$R$500,1)/(($A$4:$A$500=A142)*($M$4:$M$500=M142)*($R$4:$R$500&lt;&gt;"")*($S$4:$S$500&lt;&gt;"")),1))*1440)/60)/(W142/60)),"")</f>
        <v/>
      </c>
      <c r="Y142" s="26">
        <f>IFERROR(IF(OR(O142="",A142="",M142=""),"",(IF(ISNUMBER(O142),MOD(O142,1),TIMEVALUE(O142))-LOOKUP(2,1/(($A$4:$A$500=A142)*($M$4:$M$500=M142)*($T$4:$T$500&lt;&gt;"")*($T$4:$T$500&lt;IF(ISNUMBER(O142),MOD(O142,1),TIMEVALUE(O142)))),$T$4:$T$500))*1440),"")</f>
        <v/>
      </c>
      <c r="Z142" s="27">
        <f>IFERROR(IF(Y142="","",IF(ROUND(Y142,0)&lt;=15,"Cumple","No cumple")),"")</f>
        <v/>
      </c>
      <c r="AA142" s="85" t="n"/>
      <c r="AB142" s="26">
        <f>IFERROR(IF(OR(O142="",R142=""),"",IF(IF(ISNUMBER(R142),MOD(R142,1),TIMEVALUE(R142))&gt;=IF(ISNUMBER(O142),MOD(O142,1),TIMEVALUE(O142)),(IF(ISNUMBER(R142),MOD(R142,1),TIMEVALUE(R142))-IF(ISNUMBER(O142),MOD(O142,1),TIMEVALUE(O142)))*1440,(IF(ISNUMBER(R142),MOD(R142,1),TIMEVALUE(R142))+1-IF(ISNUMBER(O142),MOD(O142,1),TIMEVALUE(O142)))*1440)),"")</f>
        <v/>
      </c>
      <c r="AC142" s="28">
        <f>IFERROR(IF(OR(R142="",S142=""),"",IF(IF(ISNUMBER(S142),MOD(S142,1),TIMEVALUE(S142))&gt;=IF(ISNUMBER(R142),MOD(R142,1),TIMEVALUE(R142)),(IF(ISNUMBER(S142),MOD(S142,1),TIMEVALUE(S142))-IF(ISNUMBER(R142),MOD(R142,1),TIMEVALUE(R142)))*1440,(IF(ISNUMBER(S142),MOD(S142,1),TIMEVALUE(S142))+1-IF(ISNUMBER(R142),MOD(R142,1),TIMEVALUE(R142)))*1440)),"")</f>
        <v/>
      </c>
      <c r="AD142" s="104" t="n">
        <v>90</v>
      </c>
      <c r="AE142" s="26">
        <f>IFERROR(IF(OR(AC142="",AD142=""),"",AC142-AD142),"")</f>
        <v/>
      </c>
      <c r="AF142" s="27">
        <f>IFERROR(IF(AE142="","",IF(ROUND(AE142,0)&gt;15,"Subestimacion",IF(ROUND(AE142,0)&lt;-15,"Sobrestimacion","Asertivo"))),"")</f>
        <v/>
      </c>
      <c r="AG142" s="66" t="inlineStr">
        <is>
          <t>Sin Suspensión</t>
        </is>
      </c>
      <c r="AH142" s="85" t="n"/>
      <c r="AI142" s="85" t="n"/>
      <c r="AJ142" s="19" t="n"/>
      <c r="AK142" s="19" t="inlineStr">
        <is>
          <t>Sí</t>
        </is>
      </c>
      <c r="AL142" s="19" t="inlineStr">
        <is>
          <t>No</t>
        </is>
      </c>
      <c r="AM142" s="66" t="inlineStr">
        <is>
          <t>I0001190541</t>
        </is>
      </c>
      <c r="AN142" s="19" t="n"/>
      <c r="AO142" s="19" t="n"/>
      <c r="AP142" s="127">
        <f>IF(A142="","",A142-WEEKDAY(A142,2)+1)</f>
        <v/>
      </c>
      <c r="AQ142" s="127">
        <f>IF(AO142="","",AO142+6)</f>
        <v/>
      </c>
      <c r="AR142" s="19">
        <f>IF(AO142="","","Semana "&amp;TEXT(AO142,"dd-mm-yyyy")&amp;" al "&amp;TEXT(AP142,"dd-mm-yyyy"))</f>
        <v/>
      </c>
      <c r="AS142" s="19">
        <f>IF(A142="","",TEXT(A142,"mmmm yyyy"))</f>
        <v/>
      </c>
      <c r="AT142" s="19">
        <f>IF(A142="","",TEXT(A142,"dddd"))</f>
        <v/>
      </c>
      <c r="AU142" s="19">
        <f>IF(A142="","","CRR-"&amp;TEXT(A142,"yyyymmdd")&amp;"-"&amp;M142&amp;"-"&amp;TEXT(ROW()-3,"0000"))</f>
        <v/>
      </c>
      <c r="AV142" s="19">
        <f>IF(A142="","",IF(OR(B142="",C142="",E142="",F142="",M142="",N142=""),"Revisar campos obligatorios",IF(AND(P142="Atraso primera hora",Q142=""),"Falta justificación atraso primera hora",IF(AND(Z142="No cumple",AA142=""),"Falta justificación recambio &gt;15 min",IF(AND(ISNUMBER(SEARCH("suspend",N142)),OR(AG142="",AH142="")),"Falta causa/motivo suspensión","OK")))))</f>
        <v/>
      </c>
      <c r="AW142" s="19">
        <f>IF(N142="","",IF(ISNUMBER(SEARCH("suspend",N142)),IF(AND(AG142="",AH142=""),"Sin causa/motivo registrado",IF(AG142="",AH142,IF(AH142="",AG142,AG142&amp;": "&amp;AH142))),""))</f>
        <v/>
      </c>
    </row>
    <row r="143" ht="16" customHeight="1" s="151">
      <c r="A143" s="65" t="n">
        <v>46178</v>
      </c>
      <c r="B143" s="66" t="inlineStr">
        <is>
          <t>CRISTIAN MIGUEL ADRIÁN</t>
        </is>
      </c>
      <c r="C143" s="66" t="inlineStr">
        <is>
          <t>GARCÍA</t>
        </is>
      </c>
      <c r="D143" s="66" t="inlineStr">
        <is>
          <t>45a 9m 29d</t>
        </is>
      </c>
      <c r="E143" s="67" t="inlineStr">
        <is>
          <t>PSEUDOARTROSIS CUBITO Y/O RADIO C/S OSTEOSINTESIS C/S YESO</t>
        </is>
      </c>
      <c r="F143" s="66" t="inlineStr">
        <is>
          <t>SERVICIO DE TRAUMATOLOGIA</t>
        </is>
      </c>
      <c r="G143" s="66" t="inlineStr">
        <is>
          <t>TMT MANO</t>
        </is>
      </c>
      <c r="H143" s="66" t="inlineStr">
        <is>
          <t>2104075-6</t>
        </is>
      </c>
      <c r="I143" s="19" t="n"/>
      <c r="J143" s="20">
        <f>IF(H143&lt;&gt;"",IFERROR(VLOOKUP(IFERROR(LEFT(H143,FIND("-",H143)-1),H143),'Catalogo MINSAL'!A:E,5,FALSE),""),IF(I143&lt;&gt;"",IFERROR(VLOOKUP(IFERROR(LEFT(I143,FIND("-",I143)-1),I143),'Catalogo MINSAL'!A:E,5,FALSE),""),""))</f>
        <v/>
      </c>
      <c r="K143" s="66" t="inlineStr">
        <is>
          <t>Teixeira Da Silva David</t>
        </is>
      </c>
      <c r="L143" s="66" t="inlineStr">
        <is>
          <t>Paula Ramírez Vargas</t>
        </is>
      </c>
      <c r="M143" s="66" t="inlineStr">
        <is>
          <t>Quirofano 14</t>
        </is>
      </c>
      <c r="N143" s="19" t="inlineStr">
        <is>
          <t>Realizado</t>
        </is>
      </c>
      <c r="O143" s="70" t="n">
        <v>0.4534722222222222</v>
      </c>
      <c r="P143" s="27">
        <f>IFERROR(IF(OR(O143="",A143="",M143=""),"",IF(SUMPRODUCT(($A$4:$A$500=A143)*($M$4:$M$500=M143)*($O$4:$O$500&lt;&gt;"")*(MOD($O$4:$O$500,1)&lt;MOD(O143,1)))=0,IF(MOD(O143,1)&lt;=TIME(8,15,0),"Ingreso adecuado primera hora","Atraso primera hora"),"No aplica")),"")</f>
        <v/>
      </c>
      <c r="Q143" s="86" t="n"/>
      <c r="R143" s="70" t="n">
        <v>0.4736111111111111</v>
      </c>
      <c r="S143" s="70" t="n">
        <v>0.5416666666666666</v>
      </c>
      <c r="T143" s="70" t="n">
        <v>0.5576388888888889</v>
      </c>
      <c r="U143" s="106">
        <f>IFERROR(VLOOKUP(M143,'Horario Pabellones'!$A$4:$D$17,2,FALSE),"")</f>
        <v/>
      </c>
      <c r="V143" s="106">
        <f>IFERROR(VLOOKUP(M143,'Horario Pabellones'!$A$4:$D$17,3,FALSE),"")</f>
        <v/>
      </c>
      <c r="W143" s="104">
        <f>IFERROR(VLOOKUP(M143,'Horario Pabellones'!$A$4:$D$17,4,FALSE),"")</f>
        <v/>
      </c>
      <c r="X143" s="93">
        <f>IFERROR(IF(OR(A143="",M143="",W143=""),"",(((_xludf.AGGREGATE(14,6,MOD($S$4:$S$500,1)/(($A$4:$A$500=A143)*($M$4:$M$500=M143)*($R$4:$R$500&lt;&gt;"")*($S$4:$S$500&lt;&gt;"")),1)-_xludf.AGGREGATE(15,6,MOD($R$4:$R$500,1)/(($A$4:$A$500=A143)*($M$4:$M$500=M143)*($R$4:$R$500&lt;&gt;"")*($S$4:$S$500&lt;&gt;"")),1))*1440)/60)/(W143/60)),"")</f>
        <v/>
      </c>
      <c r="Y143" s="26">
        <f>IFERROR(IF(OR(O143="",A143="",M143=""),"",(IF(ISNUMBER(O143),MOD(O143,1),TIMEVALUE(O143))-LOOKUP(2,1/(($A$4:$A$500=A143)*($M$4:$M$500=M143)*($T$4:$T$500&lt;&gt;"")*($T$4:$T$500&lt;IF(ISNUMBER(O143),MOD(O143,1),TIMEVALUE(O143)))),$T$4:$T$500))*1440),"")</f>
        <v/>
      </c>
      <c r="Z143" s="27">
        <f>IFERROR(IF(Y143="","",IF(ROUND(Y143,0)&lt;=15,"Cumple","No cumple")),"")</f>
        <v/>
      </c>
      <c r="AA143" s="85" t="inlineStr">
        <is>
          <t>Revision de cajas</t>
        </is>
      </c>
      <c r="AB143" s="26">
        <f>IFERROR(IF(OR(O143="",R143=""),"",IF(IF(ISNUMBER(R143),MOD(R143,1),TIMEVALUE(R143))&gt;=IF(ISNUMBER(O143),MOD(O143,1),TIMEVALUE(O143)),(IF(ISNUMBER(R143),MOD(R143,1),TIMEVALUE(R143))-IF(ISNUMBER(O143),MOD(O143,1),TIMEVALUE(O143)))*1440,(IF(ISNUMBER(R143),MOD(R143,1),TIMEVALUE(R143))+1-IF(ISNUMBER(O143),MOD(O143,1),TIMEVALUE(O143)))*1440)),"")</f>
        <v/>
      </c>
      <c r="AC143" s="28">
        <f>IFERROR(IF(OR(R143="",S143=""),"",IF(IF(ISNUMBER(S143),MOD(S143,1),TIMEVALUE(S143))&gt;=IF(ISNUMBER(R143),MOD(R143,1),TIMEVALUE(R143)),(IF(ISNUMBER(S143),MOD(S143,1),TIMEVALUE(S143))-IF(ISNUMBER(R143),MOD(R143,1),TIMEVALUE(R143)))*1440,(IF(ISNUMBER(S143),MOD(S143,1),TIMEVALUE(S143))+1-IF(ISNUMBER(R143),MOD(R143,1),TIMEVALUE(R143)))*1440)),"")</f>
        <v/>
      </c>
      <c r="AD143" s="104" t="n">
        <v>120</v>
      </c>
      <c r="AE143" s="26">
        <f>IFERROR(IF(OR(AC143="",AD143=""),"",AC143-AD143),"")</f>
        <v/>
      </c>
      <c r="AF143" s="27">
        <f>IFERROR(IF(AE143="","",IF(ROUND(AE143,0)&gt;15,"Subestimacion",IF(ROUND(AE143,0)&lt;-15,"Sobrestimacion","Asertivo"))),"")</f>
        <v/>
      </c>
      <c r="AG143" s="66" t="inlineStr">
        <is>
          <t>Sin Suspensión</t>
        </is>
      </c>
      <c r="AH143" s="85" t="n"/>
      <c r="AI143" s="85" t="n"/>
      <c r="AJ143" s="19" t="n"/>
      <c r="AK143" s="19" t="inlineStr">
        <is>
          <t>Sí</t>
        </is>
      </c>
      <c r="AL143" s="19" t="inlineStr">
        <is>
          <t>No</t>
        </is>
      </c>
      <c r="AM143" s="66" t="inlineStr">
        <is>
          <t>I0001190553</t>
        </is>
      </c>
      <c r="AN143" s="19" t="n"/>
      <c r="AO143" s="19" t="n"/>
      <c r="AP143" s="127">
        <f>IF(A143="","",A143-WEEKDAY(A143,2)+1)</f>
        <v/>
      </c>
      <c r="AQ143" s="127">
        <f>IF(AO143="","",AO143+6)</f>
        <v/>
      </c>
      <c r="AR143" s="19">
        <f>IF(AO143="","","Semana "&amp;TEXT(AO143,"dd-mm-yyyy")&amp;" al "&amp;TEXT(AP143,"dd-mm-yyyy"))</f>
        <v/>
      </c>
      <c r="AS143" s="19">
        <f>IF(A143="","",TEXT(A143,"mmmm yyyy"))</f>
        <v/>
      </c>
      <c r="AT143" s="19">
        <f>IF(A143="","",TEXT(A143,"dddd"))</f>
        <v/>
      </c>
      <c r="AU143" s="19">
        <f>IF(A143="","","CRR-"&amp;TEXT(A143,"yyyymmdd")&amp;"-"&amp;M143&amp;"-"&amp;TEXT(ROW()-3,"0000"))</f>
        <v/>
      </c>
      <c r="AV143" s="19">
        <f>IF(A143="","",IF(OR(B143="",C143="",E143="",F143="",M143="",N143=""),"Revisar campos obligatorios",IF(AND(P143="Atraso primera hora",Q143=""),"Falta justificación atraso primera hora",IF(AND(Z143="No cumple",AA143=""),"Falta justificación recambio &gt;15 min",IF(AND(ISNUMBER(SEARCH("suspend",N143)),OR(AG143="",AH143="")),"Falta causa/motivo suspensión","OK")))))</f>
        <v/>
      </c>
      <c r="AW143" s="19">
        <f>IF(N143="","",IF(ISNUMBER(SEARCH("suspend",N143)),IF(AND(AG143="",AH143=""),"Sin causa/motivo registrado",IF(AG143="",AH143,IF(AH143="",AG143,AG143&amp;": "&amp;AH143))),""))</f>
        <v/>
      </c>
    </row>
    <row r="144" ht="16" customHeight="1" s="151">
      <c r="A144" s="65" t="n">
        <v>46178</v>
      </c>
      <c r="B144" s="66" t="inlineStr">
        <is>
          <t>BENJAMÍN SEBASTIÁN</t>
        </is>
      </c>
      <c r="C144" s="66" t="inlineStr">
        <is>
          <t>GONZÁLEZ</t>
        </is>
      </c>
      <c r="D144" s="66" t="inlineStr">
        <is>
          <t>17a 7m 25d</t>
        </is>
      </c>
      <c r="E144" s="67" t="inlineStr">
        <is>
          <t>MANO TENORRAFIA O INJERTOS FLEXORES</t>
        </is>
      </c>
      <c r="F144" s="66" t="inlineStr">
        <is>
          <t>SERVICIO DE TRAUMATOLOGIA</t>
        </is>
      </c>
      <c r="G144" s="66" t="inlineStr">
        <is>
          <t>TMT MANO</t>
        </is>
      </c>
      <c r="H144" s="66" t="inlineStr">
        <is>
          <t>2104108-5</t>
        </is>
      </c>
      <c r="I144" s="19" t="n"/>
      <c r="J144" s="20">
        <f>IF(H144&lt;&gt;"",IFERROR(VLOOKUP(IFERROR(LEFT(H144,FIND("-",H144)-1),H144),'Catalogo MINSAL'!A:E,5,FALSE),""),IF(I144&lt;&gt;"",IFERROR(VLOOKUP(IFERROR(LEFT(I144,FIND("-",I144)-1),I144),'Catalogo MINSAL'!A:E,5,FALSE),""),""))</f>
        <v/>
      </c>
      <c r="K144" s="66" t="inlineStr">
        <is>
          <t>Teixeira Da Silva David</t>
        </is>
      </c>
      <c r="L144" s="66" t="inlineStr">
        <is>
          <t>Dra. Lisette Irausquin Gudiño</t>
        </is>
      </c>
      <c r="M144" s="66" t="inlineStr">
        <is>
          <t>Quirofano 14</t>
        </is>
      </c>
      <c r="N144" s="19" t="inlineStr">
        <is>
          <t>Realizado</t>
        </is>
      </c>
      <c r="O144" s="70" t="n">
        <v>0.5618055555555556</v>
      </c>
      <c r="P144" s="27">
        <f>IFERROR(IF(OR(O144="",A144="",M144=""),"",IF(SUMPRODUCT(($A$4:$A$500=A144)*($M$4:$M$500=M144)*($O$4:$O$500&lt;&gt;"")*(MOD($O$4:$O$500,1)&lt;MOD(O144,1)))=0,IF(MOD(O144,1)&lt;=TIME(8,15,0),"Ingreso adecuado primera hora","Atraso primera hora"),"No aplica")),"")</f>
        <v/>
      </c>
      <c r="Q144" s="87" t="n"/>
      <c r="R144" s="70" t="n">
        <v>0.5875</v>
      </c>
      <c r="S144" s="70" t="n">
        <v>0.6388888888888888</v>
      </c>
      <c r="T144" s="70" t="n">
        <v>0.6520833333333333</v>
      </c>
      <c r="U144" s="106">
        <f>IFERROR(VLOOKUP(M144,'Horario Pabellones'!$A$4:$D$17,2,FALSE),"")</f>
        <v/>
      </c>
      <c r="V144" s="106">
        <f>IFERROR(VLOOKUP(M144,'Horario Pabellones'!$A$4:$D$17,3,FALSE),"")</f>
        <v/>
      </c>
      <c r="W144" s="104">
        <f>IFERROR(VLOOKUP(M144,'Horario Pabellones'!$A$4:$D$17,4,FALSE),"")</f>
        <v/>
      </c>
      <c r="X144" s="93">
        <f>IFERROR(IF(OR(A144="",M144="",W144=""),"",(((_xludf.AGGREGATE(14,6,MOD($S$4:$S$500,1)/(($A$4:$A$500=A144)*($M$4:$M$500=M144)*($R$4:$R$500&lt;&gt;"")*($S$4:$S$500&lt;&gt;"")),1)-_xludf.AGGREGATE(15,6,MOD($R$4:$R$500,1)/(($A$4:$A$500=A144)*($M$4:$M$500=M144)*($R$4:$R$500&lt;&gt;"")*($S$4:$S$500&lt;&gt;"")),1))*1440)/60)/(W144/60)),"")</f>
        <v/>
      </c>
      <c r="Y144" s="26">
        <f>IFERROR(IF(OR(O144="",A144="",M144=""),"",(IF(ISNUMBER(O144),MOD(O144,1),TIMEVALUE(O144))-LOOKUP(2,1/(($A$4:$A$500=A144)*($M$4:$M$500=M144)*($T$4:$T$500&lt;&gt;"")*($T$4:$T$500&lt;IF(ISNUMBER(O144),MOD(O144,1),TIMEVALUE(O144)))),$T$4:$T$500))*1440),"")</f>
        <v/>
      </c>
      <c r="Z144" s="27">
        <f>IFERROR(IF(Y144="","",IF(ROUND(Y144,0)&lt;=15,"Cumple","No cumple")),"")</f>
        <v/>
      </c>
      <c r="AA144" s="15" t="n"/>
      <c r="AB144" s="26">
        <f>IFERROR(IF(OR(O144="",R144=""),"",IF(IF(ISNUMBER(R144),MOD(R144,1),TIMEVALUE(R144))&gt;=IF(ISNUMBER(O144),MOD(O144,1),TIMEVALUE(O144)),(IF(ISNUMBER(R144),MOD(R144,1),TIMEVALUE(R144))-IF(ISNUMBER(O144),MOD(O144,1),TIMEVALUE(O144)))*1440,(IF(ISNUMBER(R144),MOD(R144,1),TIMEVALUE(R144))+1-IF(ISNUMBER(O144),MOD(O144,1),TIMEVALUE(O144)))*1440)),"")</f>
        <v/>
      </c>
      <c r="AC144" s="28">
        <f>IFERROR(IF(OR(R144="",S144=""),"",IF(IF(ISNUMBER(S144),MOD(S144,1),TIMEVALUE(S144))&gt;=IF(ISNUMBER(R144),MOD(R144,1),TIMEVALUE(R144)),(IF(ISNUMBER(S144),MOD(S144,1),TIMEVALUE(S144))-IF(ISNUMBER(R144),MOD(R144,1),TIMEVALUE(R144)))*1440,(IF(ISNUMBER(S144),MOD(S144,1),TIMEVALUE(S144))+1-IF(ISNUMBER(R144),MOD(R144,1),TIMEVALUE(R144)))*1440)),"")</f>
        <v/>
      </c>
      <c r="AD144" s="104" t="n">
        <v>90</v>
      </c>
      <c r="AE144" s="26">
        <f>IFERROR(IF(OR(AC144="",AD144=""),"",AC144-AD144),"")</f>
        <v/>
      </c>
      <c r="AF144" s="27">
        <f>IFERROR(IF(AE144="","",IF(ROUND(AE144,0)&gt;15,"Subestimacion",IF(ROUND(AE144,0)&lt;-15,"Sobrestimacion","Asertivo"))),"")</f>
        <v/>
      </c>
      <c r="AG144" s="66" t="inlineStr">
        <is>
          <t>Sin Suspensión</t>
        </is>
      </c>
      <c r="AH144" s="15" t="n"/>
      <c r="AI144" s="15" t="n"/>
      <c r="AJ144" s="19" t="n"/>
      <c r="AK144" s="19" t="inlineStr">
        <is>
          <t>Sí</t>
        </is>
      </c>
      <c r="AL144" s="19" t="inlineStr">
        <is>
          <t>No</t>
        </is>
      </c>
      <c r="AM144" s="66" t="inlineStr">
        <is>
          <t>I0001190555</t>
        </is>
      </c>
      <c r="AN144" s="19" t="n"/>
      <c r="AO144" s="19" t="n"/>
      <c r="AP144" s="127">
        <f>IF(A144="","",A144-WEEKDAY(A144,2)+1)</f>
        <v/>
      </c>
      <c r="AQ144" s="127">
        <f>IF(AO144="","",AO144+6)</f>
        <v/>
      </c>
      <c r="AR144" s="19">
        <f>IF(AO144="","","Semana "&amp;TEXT(AO144,"dd-mm-yyyy")&amp;" al "&amp;TEXT(AP144,"dd-mm-yyyy"))</f>
        <v/>
      </c>
      <c r="AS144" s="19">
        <f>IF(A144="","",TEXT(A144,"mmmm yyyy"))</f>
        <v/>
      </c>
      <c r="AT144" s="19">
        <f>IF(A144="","",TEXT(A144,"dddd"))</f>
        <v/>
      </c>
      <c r="AU144" s="19">
        <f>IF(A144="","","CRR-"&amp;TEXT(A144,"yyyymmdd")&amp;"-"&amp;M144&amp;"-"&amp;TEXT(ROW()-3,"0000"))</f>
        <v/>
      </c>
      <c r="AV144" s="19">
        <f>IF(A144="","",IF(OR(B144="",C144="",E144="",F144="",M144="",N144=""),"Revisar campos obligatorios",IF(AND(P144="Atraso primera hora",Q144=""),"Falta justificación atraso primera hora",IF(AND(Z144="No cumple",AA144=""),"Falta justificación recambio &gt;15 min",IF(AND(ISNUMBER(SEARCH("suspend",N144)),OR(AG144="",AH144="")),"Falta causa/motivo suspensión","OK")))))</f>
        <v/>
      </c>
      <c r="AW144" s="19">
        <f>IF(N144="","",IF(ISNUMBER(SEARCH("suspend",N144)),IF(AND(AG144="",AH144=""),"Sin causa/motivo registrado",IF(AG144="",AH144,IF(AH144="",AG144,AG144&amp;": "&amp;AH144))),""))</f>
        <v/>
      </c>
    </row>
    <row r="145" ht="16" customHeight="1" s="151">
      <c r="A145" s="65" t="n">
        <v>46178</v>
      </c>
      <c r="B145" s="66" t="inlineStr">
        <is>
          <t>BERNARDA DE LA CRUZ</t>
        </is>
      </c>
      <c r="C145" s="66" t="inlineStr">
        <is>
          <t>CATALÁN</t>
        </is>
      </c>
      <c r="D145" s="66" t="inlineStr">
        <is>
          <t>54a 9m 18d</t>
        </is>
      </c>
      <c r="E145" s="67" t="inlineStr">
        <is>
          <t>OSTEOSINTESIS RADIO, (CUALQUIER TECNICA)</t>
        </is>
      </c>
      <c r="F145" s="66" t="inlineStr">
        <is>
          <t>SERVICIO DE TRAUMATOLOGIA</t>
        </is>
      </c>
      <c r="G145" s="66" t="inlineStr">
        <is>
          <t>TMT MANO</t>
        </is>
      </c>
      <c r="H145" s="66" t="inlineStr">
        <is>
          <t>2104085-6</t>
        </is>
      </c>
      <c r="I145" s="19" t="n"/>
      <c r="J145" s="20">
        <f>IF(H145&lt;&gt;"",IFERROR(VLOOKUP(IFERROR(LEFT(H145,FIND("-",H145)-1),H145),'Catalogo MINSAL'!A:E,5,FALSE),""),IF(I145&lt;&gt;"",IFERROR(VLOOKUP(IFERROR(LEFT(I145,FIND("-",I145)-1),I145),'Catalogo MINSAL'!A:E,5,FALSE),""),""))</f>
        <v/>
      </c>
      <c r="K145" s="66" t="inlineStr">
        <is>
          <t>Teixeira Da Silva David</t>
        </is>
      </c>
      <c r="L145" s="66" t="inlineStr">
        <is>
          <t>Dra. Lisette Irausquin Gudiño</t>
        </is>
      </c>
      <c r="M145" s="66" t="inlineStr">
        <is>
          <t>Quirofano 14</t>
        </is>
      </c>
      <c r="N145" s="19" t="inlineStr">
        <is>
          <t>Realizado</t>
        </is>
      </c>
      <c r="O145" s="70" t="n">
        <v>0.6708333333333333</v>
      </c>
      <c r="P145" s="27">
        <f>IFERROR(IF(OR(O145="",A145="",M145=""),"",IF(SUMPRODUCT(($A$4:$A$500=A145)*($M$4:$M$500=M145)*($O$4:$O$500&lt;&gt;"")*(MOD($O$4:$O$500,1)&lt;MOD(O145,1)))=0,IF(MOD(O145,1)&lt;=TIME(8,15,0),"Ingreso adecuado primera hora","Atraso primera hora"),"No aplica")),"")</f>
        <v/>
      </c>
      <c r="Q145" s="86" t="n"/>
      <c r="R145" s="70" t="n">
        <v>0.6909722222222222</v>
      </c>
      <c r="S145" s="70" t="n">
        <v>0.7604166666666666</v>
      </c>
      <c r="T145" s="70" t="n">
        <v>0.7652777777777777</v>
      </c>
      <c r="U145" s="106">
        <f>IFERROR(VLOOKUP(M145,'Horario Pabellones'!$A$4:$D$17,2,FALSE),"")</f>
        <v/>
      </c>
      <c r="V145" s="106">
        <f>IFERROR(VLOOKUP(M145,'Horario Pabellones'!$A$4:$D$17,3,FALSE),"")</f>
        <v/>
      </c>
      <c r="W145" s="104">
        <f>IFERROR(VLOOKUP(M145,'Horario Pabellones'!$A$4:$D$17,4,FALSE),"")</f>
        <v/>
      </c>
      <c r="X145" s="93">
        <f>IFERROR(IF(OR(A145="",M145="",W145=""),"",(((_xludf.AGGREGATE(14,6,MOD($S$4:$S$500,1)/(($A$4:$A$500=A145)*($M$4:$M$500=M145)*($R$4:$R$500&lt;&gt;"")*($S$4:$S$500&lt;&gt;"")),1)-_xludf.AGGREGATE(15,6,MOD($R$4:$R$500,1)/(($A$4:$A$500=A145)*($M$4:$M$500=M145)*($R$4:$R$500&lt;&gt;"")*($S$4:$S$500&lt;&gt;"")),1))*1440)/60)/(W145/60)),"")</f>
        <v/>
      </c>
      <c r="Y145" s="26">
        <f>IFERROR(IF(OR(O145="",A145="",M145=""),"",(IF(ISNUMBER(O145),MOD(O145,1),TIMEVALUE(O145))-LOOKUP(2,1/(($A$4:$A$500=A145)*($M$4:$M$500=M145)*($T$4:$T$500&lt;&gt;"")*($T$4:$T$500&lt;IF(ISNUMBER(O145),MOD(O145,1),TIMEVALUE(O145)))),$T$4:$T$500))*1440),"")</f>
        <v/>
      </c>
      <c r="Z145" s="27">
        <f>IFERROR(IF(Y145="","",IF(ROUND(Y145,0)&lt;=15,"Cumple","No cumple")),"")</f>
        <v/>
      </c>
      <c r="AA145" s="85" t="inlineStr">
        <is>
          <t>Revision de cajas</t>
        </is>
      </c>
      <c r="AB145" s="26">
        <f>IFERROR(IF(OR(O145="",R145=""),"",IF(IF(ISNUMBER(R145),MOD(R145,1),TIMEVALUE(R145))&gt;=IF(ISNUMBER(O145),MOD(O145,1),TIMEVALUE(O145)),(IF(ISNUMBER(R145),MOD(R145,1),TIMEVALUE(R145))-IF(ISNUMBER(O145),MOD(O145,1),TIMEVALUE(O145)))*1440,(IF(ISNUMBER(R145),MOD(R145,1),TIMEVALUE(R145))+1-IF(ISNUMBER(O145),MOD(O145,1),TIMEVALUE(O145)))*1440)),"")</f>
        <v/>
      </c>
      <c r="AC145" s="28">
        <f>IFERROR(IF(OR(R145="",S145=""),"",IF(IF(ISNUMBER(S145),MOD(S145,1),TIMEVALUE(S145))&gt;=IF(ISNUMBER(R145),MOD(R145,1),TIMEVALUE(R145)),(IF(ISNUMBER(S145),MOD(S145,1),TIMEVALUE(S145))-IF(ISNUMBER(R145),MOD(R145,1),TIMEVALUE(R145)))*1440,(IF(ISNUMBER(S145),MOD(S145,1),TIMEVALUE(S145))+1-IF(ISNUMBER(R145),MOD(R145,1),TIMEVALUE(R145)))*1440)),"")</f>
        <v/>
      </c>
      <c r="AD145" s="104" t="n">
        <v>90</v>
      </c>
      <c r="AE145" s="26">
        <f>IFERROR(IF(OR(AC145="",AD145=""),"",AC145-AD145),"")</f>
        <v/>
      </c>
      <c r="AF145" s="27">
        <f>IFERROR(IF(AE145="","",IF(ROUND(AE145,0)&gt;15,"Subestimacion",IF(ROUND(AE145,0)&lt;-15,"Sobrestimacion","Asertivo"))),"")</f>
        <v/>
      </c>
      <c r="AG145" s="66" t="inlineStr">
        <is>
          <t>Sin Suspensión</t>
        </is>
      </c>
      <c r="AH145" s="85" t="n"/>
      <c r="AI145" s="85" t="n"/>
      <c r="AJ145" s="19" t="n"/>
      <c r="AK145" s="19" t="inlineStr">
        <is>
          <t>Sí</t>
        </is>
      </c>
      <c r="AL145" s="19" t="inlineStr">
        <is>
          <t>No</t>
        </is>
      </c>
      <c r="AM145" s="66" t="inlineStr">
        <is>
          <t>I0001190556</t>
        </is>
      </c>
      <c r="AN145" s="19" t="n"/>
      <c r="AO145" s="19" t="n"/>
      <c r="AP145" s="127">
        <f>IF(A145="","",A145-WEEKDAY(A145,2)+1)</f>
        <v/>
      </c>
      <c r="AQ145" s="127">
        <f>IF(AO145="","",AO145+6)</f>
        <v/>
      </c>
      <c r="AR145" s="19">
        <f>IF(AO145="","","Semana "&amp;TEXT(AO145,"dd-mm-yyyy")&amp;" al "&amp;TEXT(AP145,"dd-mm-yyyy"))</f>
        <v/>
      </c>
      <c r="AS145" s="19">
        <f>IF(A145="","",TEXT(A145,"mmmm yyyy"))</f>
        <v/>
      </c>
      <c r="AT145" s="19">
        <f>IF(A145="","",TEXT(A145,"dddd"))</f>
        <v/>
      </c>
      <c r="AU145" s="19">
        <f>IF(A145="","","CRR-"&amp;TEXT(A145,"yyyymmdd")&amp;"-"&amp;M145&amp;"-"&amp;TEXT(ROW()-3,"0000"))</f>
        <v/>
      </c>
      <c r="AV145" s="19">
        <f>IF(A145="","",IF(OR(B145="",C145="",E145="",F145="",M145="",N145=""),"Revisar campos obligatorios",IF(AND(P145="Atraso primera hora",Q145=""),"Falta justificación atraso primera hora",IF(AND(Z145="No cumple",AA145=""),"Falta justificación recambio &gt;15 min",IF(AND(ISNUMBER(SEARCH("suspend",N145)),OR(AG145="",AH145="")),"Falta causa/motivo suspensión","OK")))))</f>
        <v/>
      </c>
      <c r="AW145" s="19">
        <f>IF(N145="","",IF(ISNUMBER(SEARCH("suspend",N145)),IF(AND(AG145="",AH145=""),"Sin causa/motivo registrado",IF(AG145="",AH145,IF(AH145="",AG145,AG145&amp;": "&amp;AH145))),""))</f>
        <v/>
      </c>
    </row>
    <row r="146" ht="16" customHeight="1" s="151">
      <c r="A146" s="65" t="n">
        <v>46178</v>
      </c>
      <c r="B146" s="66" t="inlineStr">
        <is>
          <t>FELIPE IGNACIO</t>
        </is>
      </c>
      <c r="C146" s="66" t="inlineStr">
        <is>
          <t>GALLARDO</t>
        </is>
      </c>
      <c r="D146" s="66" t="inlineStr">
        <is>
          <t>31a 5m 2d</t>
        </is>
      </c>
      <c r="E146" s="67" t="inlineStr">
        <is>
          <t>REGULARIZACION DE MUÑON DE AMPUTACIO,</t>
        </is>
      </c>
      <c r="F146" s="66" t="inlineStr">
        <is>
          <t>SERVICIO DE TRAUMATOLOGIA</t>
        </is>
      </c>
      <c r="G146" s="66" t="inlineStr">
        <is>
          <t>TMT MANO</t>
        </is>
      </c>
      <c r="H146" s="66" t="inlineStr">
        <is>
          <t>2104038-4</t>
        </is>
      </c>
      <c r="I146" s="19" t="n"/>
      <c r="J146" s="20">
        <f>IF(H146&lt;&gt;"",IFERROR(VLOOKUP(IFERROR(LEFT(H146,FIND("-",H146)-1),H146),'Catalogo MINSAL'!A:E,5,FALSE),""),IF(I146&lt;&gt;"",IFERROR(VLOOKUP(IFERROR(LEFT(I146,FIND("-",I146)-1),I146),'Catalogo MINSAL'!A:E,5,FALSE),""),""))</f>
        <v/>
      </c>
      <c r="K146" s="66" t="inlineStr">
        <is>
          <t>Teixeira Da Silva David</t>
        </is>
      </c>
      <c r="L146" s="66" t="inlineStr">
        <is>
          <t>Dra. Lisette Irausquin Gudiño</t>
        </is>
      </c>
      <c r="M146" s="66" t="inlineStr">
        <is>
          <t>Quirofano 14</t>
        </is>
      </c>
      <c r="N146" s="19" t="inlineStr">
        <is>
          <t>Suspendido</t>
        </is>
      </c>
      <c r="O146" s="15" t="n"/>
      <c r="P146" s="27">
        <f>IFERROR(IF(OR(O146="",A146="",M146=""),"",IF(SUMPRODUCT(($A$4:$A$500=A146)*($M$4:$M$500=M146)*($O$4:$O$500&lt;&gt;"")*(MOD($O$4:$O$500,1)&lt;MOD(O146,1)))=0,IF(MOD(O146,1)&lt;=TIME(8,15,0),"Ingreso adecuado primera hora","Atraso primera hora"),"No aplica")),"")</f>
        <v/>
      </c>
      <c r="Q146" s="86" t="n"/>
      <c r="R146" s="15" t="n"/>
      <c r="S146" s="15" t="n"/>
      <c r="T146" s="15" t="n"/>
      <c r="U146" s="106">
        <f>IFERROR(VLOOKUP(M146,'Horario Pabellones'!$A$4:$D$17,2,FALSE),"")</f>
        <v/>
      </c>
      <c r="V146" s="106">
        <f>IFERROR(VLOOKUP(M146,'Horario Pabellones'!$A$4:$D$17,3,FALSE),"")</f>
        <v/>
      </c>
      <c r="W146" s="104">
        <f>IFERROR(VLOOKUP(M146,'Horario Pabellones'!$A$4:$D$17,4,FALSE),"")</f>
        <v/>
      </c>
      <c r="X146" s="93">
        <f>IFERROR(IF(OR(A146="",M146="",W146=""),"",(((_xludf.AGGREGATE(14,6,MOD($S$4:$S$500,1)/(($A$4:$A$500=A146)*($M$4:$M$500=M146)*($R$4:$R$500&lt;&gt;"")*($S$4:$S$500&lt;&gt;"")),1)-_xludf.AGGREGATE(15,6,MOD($R$4:$R$500,1)/(($A$4:$A$500=A146)*($M$4:$M$500=M146)*($R$4:$R$500&lt;&gt;"")*($S$4:$S$500&lt;&gt;"")),1))*1440)/60)/(W146/60)),"")</f>
        <v/>
      </c>
      <c r="Y146" s="26">
        <f>IFERROR(IF(OR(O146="",A146="",M146=""),"",(IF(ISNUMBER(O146),MOD(O146,1),TIMEVALUE(O146))-LOOKUP(2,1/(($A$4:$A$500=A146)*($M$4:$M$500=M146)*($T$4:$T$500&lt;&gt;"")*($T$4:$T$500&lt;IF(ISNUMBER(O146),MOD(O146,1),TIMEVALUE(O146)))),$T$4:$T$500))*1440),"")</f>
        <v/>
      </c>
      <c r="Z146" s="27">
        <f>IFERROR(IF(Y146="","",IF(ROUND(Y146,0)&lt;=15,"Cumple","No cumple")),"")</f>
        <v/>
      </c>
      <c r="AA146" s="85" t="n"/>
      <c r="AB146" s="26">
        <f>IFERROR(IF(OR(O146="",R146=""),"",IF(IF(ISNUMBER(R146),MOD(R146,1),TIMEVALUE(R146))&gt;=IF(ISNUMBER(O146),MOD(O146,1),TIMEVALUE(O146)),(IF(ISNUMBER(R146),MOD(R146,1),TIMEVALUE(R146))-IF(ISNUMBER(O146),MOD(O146,1),TIMEVALUE(O146)))*1440,(IF(ISNUMBER(R146),MOD(R146,1),TIMEVALUE(R146))+1-IF(ISNUMBER(O146),MOD(O146,1),TIMEVALUE(O146)))*1440)),"")</f>
        <v/>
      </c>
      <c r="AC146" s="28">
        <f>IFERROR(IF(OR(R146="",S146=""),"",IF(IF(ISNUMBER(S146),MOD(S146,1),TIMEVALUE(S146))&gt;=IF(ISNUMBER(R146),MOD(R146,1),TIMEVALUE(R146)),(IF(ISNUMBER(S146),MOD(S146,1),TIMEVALUE(S146))-IF(ISNUMBER(R146),MOD(R146,1),TIMEVALUE(R146)))*1440,(IF(ISNUMBER(S146),MOD(S146,1),TIMEVALUE(S146))+1-IF(ISNUMBER(R146),MOD(R146,1),TIMEVALUE(R146)))*1440)),"")</f>
        <v/>
      </c>
      <c r="AD146" s="104" t="n">
        <v>60</v>
      </c>
      <c r="AE146" s="26">
        <f>IFERROR(IF(OR(AC146="",AD146=""),"",AC146-AD146),"")</f>
        <v/>
      </c>
      <c r="AF146" s="27">
        <f>IFERROR(IF(AE146="","",IF(ROUND(AE146,0)&gt;15,"Subestimacion",IF(ROUND(AE146,0)&lt;-15,"Sobrestimacion","Asertivo"))),"")</f>
        <v/>
      </c>
      <c r="AG146" s="75" t="inlineStr">
        <is>
          <t>Error de programación</t>
        </is>
      </c>
      <c r="AH146" s="86" t="inlineStr">
        <is>
          <t>Penultima cirugia termina a las 18:22 hrs, bloque quirurgico hasta las 19:00 hrs.</t>
        </is>
      </c>
      <c r="AI146" s="86" t="inlineStr">
        <is>
          <t>Penultima cirugia termina a las 18:22 hrs, bloque quirurgico hasta las 19:00 hrs.</t>
        </is>
      </c>
      <c r="AJ146" s="19" t="inlineStr">
        <is>
          <t>Prolongacion de tabla, penultima cirugia termina a las 18:22 hrs</t>
        </is>
      </c>
      <c r="AK146" s="19" t="n"/>
      <c r="AL146" s="19" t="n"/>
      <c r="AM146" s="66" t="inlineStr">
        <is>
          <t>I0001190557</t>
        </is>
      </c>
      <c r="AN146" s="19" t="n"/>
      <c r="AO146" s="19" t="n"/>
      <c r="AP146" s="127">
        <f>IF(A146="","",A146-WEEKDAY(A146,2)+1)</f>
        <v/>
      </c>
      <c r="AQ146" s="127">
        <f>IF(AO146="","",AO146+6)</f>
        <v/>
      </c>
      <c r="AR146" s="19">
        <f>IF(AO146="","","Semana "&amp;TEXT(AO146,"dd-mm-yyyy")&amp;" al "&amp;TEXT(AP146,"dd-mm-yyyy"))</f>
        <v/>
      </c>
      <c r="AS146" s="19">
        <f>IF(A146="","",TEXT(A146,"mmmm yyyy"))</f>
        <v/>
      </c>
      <c r="AT146" s="19">
        <f>IF(A146="","",TEXT(A146,"dddd"))</f>
        <v/>
      </c>
      <c r="AU146" s="19">
        <f>IF(A146="","","CRR-"&amp;TEXT(A146,"yyyymmdd")&amp;"-"&amp;M146&amp;"-"&amp;TEXT(ROW()-3,"0000"))</f>
        <v/>
      </c>
      <c r="AV146" s="19">
        <f>IF(A146="","",IF(OR(B146="",C146="",E146="",F146="",M146="",N146=""),"Revisar campos obligatorios",IF(AND(P146="Atraso primera hora",Q146=""),"Falta justificación atraso primera hora",IF(AND(Z146="No cumple",AA146=""),"Falta justificación recambio &gt;15 min",IF(AND(ISNUMBER(SEARCH("suspend",N146)),OR(AG146="",AH146="")),"Falta causa/motivo suspensión","OK")))))</f>
        <v/>
      </c>
      <c r="AW146" s="19">
        <f>IF(N146="","",IF(ISNUMBER(SEARCH("suspend",N146)),IF(AND(AG146="",AH146=""),"Sin causa/motivo registrado",IF(AG146="",AH146,IF(AH146="",AG146,AG146&amp;": "&amp;AH146))),""))</f>
        <v/>
      </c>
    </row>
    <row r="147" ht="16" customHeight="1" s="151">
      <c r="A147" s="128" t="n">
        <v>46181</v>
      </c>
      <c r="B147" s="130" t="inlineStr">
        <is>
          <t>ALFREDO DEL CARMEN</t>
        </is>
      </c>
      <c r="C147" s="129" t="inlineStr">
        <is>
          <t>FIGUEROA</t>
        </is>
      </c>
      <c r="D147" s="129" t="inlineStr">
        <is>
          <t>75a 3m 14d</t>
        </is>
      </c>
      <c r="E147" s="130" t="inlineStr">
        <is>
          <t>- FACOERESIS EXTRACAPSULAR CON IMPLANTE DE LENTE INTRAOCULAR (NO INCLUYE EL VALOR DE LA PROTESIS)</t>
        </is>
      </c>
      <c r="F147" s="131" t="inlineStr">
        <is>
          <t>UNIDAD DE OFTALMOLOGIA</t>
        </is>
      </c>
      <c r="G147" s="133" t="inlineStr">
        <is>
          <t>OFTALMOLOGIA</t>
        </is>
      </c>
      <c r="H147" s="129" t="inlineStr">
        <is>
          <t>1202064-10</t>
        </is>
      </c>
      <c r="I147" s="19" t="n"/>
      <c r="J147" s="20">
        <f>IF(H147&lt;&gt;"",IFERROR(VLOOKUP(IFERROR(LEFT(H147,FIND("-",H147)-1),H147),'Catalogo MINSAL'!A:E,5,FALSE),""),IF(I147&lt;&gt;"",IFERROR(VLOOKUP(IFERROR(LEFT(I147,FIND("-",I147)-1),I147),'Catalogo MINSAL'!A:E,5,FALSE),""),""))</f>
        <v/>
      </c>
      <c r="K147" s="129" t="inlineStr">
        <is>
          <t>Luz Rojas Nef</t>
        </is>
      </c>
      <c r="L147" s="130" t="inlineStr">
        <is>
          <t>Sebastian Andres Ramirez Ramirez</t>
        </is>
      </c>
      <c r="M147" s="129" t="inlineStr">
        <is>
          <t>Quirofano 07</t>
        </is>
      </c>
      <c r="N147" s="135" t="inlineStr">
        <is>
          <t>Realizado</t>
        </is>
      </c>
      <c r="O147" s="137" t="n">
        <v>0.3576388888888889</v>
      </c>
      <c r="P147" s="27">
        <f>IFERROR(IF(OR(O147="",A147="",M147=""),"",IF(SUMPRODUCT(($A$4:$A$500=A147)*($M$4:$M$500=M147)*($O$4:$O$500&lt;&gt;"")*(MOD($O$4:$O$500,1)&lt;MOD(O147,1)))=0,IF(MOD(O147,1)&lt;=TIME(8,15,0),"Ingreso adecuado primera hora","Atraso primera hora"),"No aplica")),"")</f>
        <v/>
      </c>
      <c r="Q147" s="138" t="inlineStr">
        <is>
          <t>Atraso Cirujano</t>
        </is>
      </c>
      <c r="R147" s="137" t="n">
        <v>0.3694444444444445</v>
      </c>
      <c r="S147" s="137" t="n">
        <v>0.375</v>
      </c>
      <c r="T147" s="137" t="n">
        <v>0.3784722222222222</v>
      </c>
      <c r="U147" s="25">
        <f>IFERROR(VLOOKUP(M147,'Horario Pabellones'!$A$4:$D$17,2,FALSE),"")</f>
        <v/>
      </c>
      <c r="V147" s="25">
        <f>IFERROR(VLOOKUP(M147,'Horario Pabellones'!$A$4:$D$17,3,FALSE),"")</f>
        <v/>
      </c>
      <c r="W147" s="99">
        <f>IFERROR(VLOOKUP(M147,'Horario Pabellones'!$A$4:$D$17,4,FALSE),"")</f>
        <v/>
      </c>
      <c r="X147" s="89">
        <f>IFERROR(IF(OR(A147="",M147="",W147=""),"",(((_xludf.AGGREGATE(14,6,MOD($S$4:$S$500,1)/(($A$4:$A$500=A147)*($M$4:$M$500=M147)*($R$4:$R$500&lt;&gt;"")*($S$4:$S$500&lt;&gt;"")),1)-_xludf.AGGREGATE(15,6,MOD($R$4:$R$500,1)/(($A$4:$A$500=A147)*($M$4:$M$500=M147)*($R$4:$R$500&lt;&gt;"")*($S$4:$S$500&lt;&gt;"")),1))*1440)/60)/(W147/60)),"")</f>
        <v/>
      </c>
      <c r="Y147" s="26">
        <f>IFERROR(IF(OR(O147="",A147="",M147=""),"",(IF(ISNUMBER(O147),MOD(O147,1),TIMEVALUE(O147))-LOOKUP(2,1/(($A$4:$A$500=A147)*($M$4:$M$500=M147)*($T$4:$T$500&lt;&gt;"")*($T$4:$T$500&lt;IF(ISNUMBER(O147),MOD(O147,1),TIMEVALUE(O147)))),$T$4:$T$500))*1440),"")</f>
        <v/>
      </c>
      <c r="Z147" s="27">
        <f>IFERROR(IF(Y147="","",IF(ROUND(Y147,0)&lt;=15,"Cumple","No cumple")),"")</f>
        <v/>
      </c>
      <c r="AA147" s="129" t="n"/>
      <c r="AB147" s="26">
        <f>IFERROR(IF(OR(O147="",R147=""),"",IF(IF(ISNUMBER(R147),MOD(R147,1),TIMEVALUE(R147))&gt;=IF(ISNUMBER(O147),MOD(O147,1),TIMEVALUE(O147)),(IF(ISNUMBER(R147),MOD(R147,1),TIMEVALUE(R147))-IF(ISNUMBER(O147),MOD(O147,1),TIMEVALUE(O147)))*1440,(IF(ISNUMBER(R147),MOD(R147,1),TIMEVALUE(R147))+1-IF(ISNUMBER(O147),MOD(O147,1),TIMEVALUE(O147)))*1440)),"")</f>
        <v/>
      </c>
      <c r="AC147" s="28">
        <f>IFERROR(IF(OR(R147="",S147=""),"",IF(IF(ISNUMBER(S147),MOD(S147,1),TIMEVALUE(S147))&gt;=IF(ISNUMBER(R147),MOD(R147,1),TIMEVALUE(R147)),(IF(ISNUMBER(S147),MOD(S147,1),TIMEVALUE(S147))-IF(ISNUMBER(R147),MOD(R147,1),TIMEVALUE(R147)))*1440,(IF(ISNUMBER(S147),MOD(S147,1),TIMEVALUE(S147))+1-IF(ISNUMBER(R147),MOD(R147,1),TIMEVALUE(R147)))*1440)),"")</f>
        <v/>
      </c>
      <c r="AD147" s="129" t="n">
        <v>30</v>
      </c>
      <c r="AE147" s="26">
        <f>IFERROR(IF(OR(AC147="",AD147=""),"",AC147-AD147),"")</f>
        <v/>
      </c>
      <c r="AF147" s="27">
        <f>IFERROR(IF(AE147="","",IF(ROUND(AE147,0)&gt;15,"Subestimacion",IF(ROUND(AE147,0)&lt;-15,"Sobrestimacion","Asertivo"))),"")</f>
        <v/>
      </c>
      <c r="AG147" s="19" t="n"/>
      <c r="AH147" s="19" t="n"/>
      <c r="AI147" s="19" t="n"/>
      <c r="AJ147" s="129" t="n"/>
      <c r="AK147" s="19" t="n"/>
      <c r="AL147" s="19" t="n"/>
      <c r="AM147" s="19" t="n"/>
      <c r="AN147" s="19" t="n"/>
      <c r="AO147" s="19" t="n"/>
      <c r="AP147" s="127">
        <f>IF(A147="","",A147-WEEKDAY(A147,2)+1)</f>
        <v/>
      </c>
      <c r="AQ147" s="127">
        <f>IF(AO147="","",AO147+6)</f>
        <v/>
      </c>
      <c r="AR147" s="19">
        <f>IF(AO147="","","Semana "&amp;TEXT(AO147,"dd-mm-yyyy")&amp;" al "&amp;TEXT(AP147,"dd-mm-yyyy"))</f>
        <v/>
      </c>
      <c r="AS147" s="19">
        <f>IF(A147="","",TEXT(A147,"mmmm yyyy"))</f>
        <v/>
      </c>
      <c r="AT147" s="19">
        <f>IF(A147="","",TEXT(A147,"dddd"))</f>
        <v/>
      </c>
      <c r="AU147" s="19">
        <f>IF(A147="","","CRR-"&amp;TEXT(A147,"yyyymmdd")&amp;"-"&amp;M147&amp;"-"&amp;TEXT(ROW()-3,"0000"))</f>
        <v/>
      </c>
      <c r="AV147" s="19">
        <f>IF(A147="","",IF(OR(B147="",C147="",E147="",F147="",M147="",N147=""),"Revisar campos obligatorios",IF(AND(P147="Atraso primera hora",Q147=""),"Falta justificación atraso primera hora",IF(AND(Z147="No cumple",AA147=""),"Falta justificación recambio &gt;15 min",IF(AND(ISNUMBER(SEARCH("suspend",N147)),OR(AG147="",AH147="")),"Falta causa/motivo suspensión","OK")))))</f>
        <v/>
      </c>
      <c r="AW147" s="19">
        <f>IF(N147="","",IF(ISNUMBER(SEARCH("suspend",N147)),IF(AND(AG147="",AH147=""),"Sin causa/motivo registrado",IF(AG147="",AH147,IF(AH147="",AG147,AG147&amp;": "&amp;AH147))),""))</f>
        <v/>
      </c>
    </row>
    <row r="148" ht="16" customHeight="1" s="151">
      <c r="A148" s="128" t="n">
        <v>46181</v>
      </c>
      <c r="B148" s="130" t="inlineStr">
        <is>
          <t>MARCO ANTONIO</t>
        </is>
      </c>
      <c r="C148" s="129" t="inlineStr">
        <is>
          <t>SILVA</t>
        </is>
      </c>
      <c r="D148" s="129" t="inlineStr">
        <is>
          <t>59a 5m 14d</t>
        </is>
      </c>
      <c r="E148" s="130" t="inlineStr">
        <is>
          <t>- FACOERESIS EXTRACAPSULAR CON IMPLANTE DE LENTE INTRAOCULAR (NO INCLUYE EL VALOR DE LA PROTESIS)</t>
        </is>
      </c>
      <c r="F148" s="131" t="inlineStr">
        <is>
          <t>UNIDAD DE OFTALMOLOGIA</t>
        </is>
      </c>
      <c r="G148" s="133" t="inlineStr">
        <is>
          <t>OFTALMOLOGIA</t>
        </is>
      </c>
      <c r="H148" s="129" t="inlineStr">
        <is>
          <t>1202064-10</t>
        </is>
      </c>
      <c r="I148" s="19" t="n"/>
      <c r="J148" s="20">
        <f>IF(H148&lt;&gt;"",IFERROR(VLOOKUP(IFERROR(LEFT(H148,FIND("-",H148)-1),H148),'Catalogo MINSAL'!A:E,5,FALSE),""),IF(I148&lt;&gt;"",IFERROR(VLOOKUP(IFERROR(LEFT(I148,FIND("-",I148)-1),I148),'Catalogo MINSAL'!A:E,5,FALSE),""),""))</f>
        <v/>
      </c>
      <c r="K148" s="129" t="inlineStr">
        <is>
          <t>Luz Rojas Nef</t>
        </is>
      </c>
      <c r="L148" s="130" t="inlineStr">
        <is>
          <t>Sebastian Andres Ramirez Ramirez</t>
        </is>
      </c>
      <c r="M148" s="129" t="inlineStr">
        <is>
          <t>Quirofano 07</t>
        </is>
      </c>
      <c r="N148" s="135" t="inlineStr">
        <is>
          <t>Realizado</t>
        </is>
      </c>
      <c r="O148" s="137" t="n">
        <v>0.3805555555555555</v>
      </c>
      <c r="P148" s="27">
        <f>IFERROR(IF(OR(O148="",A148="",M148=""),"",IF(SUMPRODUCT(($A$4:$A$500=A148)*($M$4:$M$500=M148)*($O$4:$O$500&lt;&gt;"")*(MOD($O$4:$O$500,1)&lt;MOD(O148,1)))=0,IF(MOD(O148,1)&lt;=TIME(8,15,0),"Ingreso adecuado primera hora","Atraso primera hora"),"No aplica")),"")</f>
        <v/>
      </c>
      <c r="Q148" s="129" t="n"/>
      <c r="R148" s="137" t="n">
        <v>0.3854166666666667</v>
      </c>
      <c r="S148" s="137" t="n">
        <v>0.3923611111111111</v>
      </c>
      <c r="T148" s="137" t="n">
        <v>0.3979166666666666</v>
      </c>
      <c r="U148" s="25">
        <f>IFERROR(VLOOKUP(M148,'Horario Pabellones'!$A$4:$D$17,2,FALSE),"")</f>
        <v/>
      </c>
      <c r="V148" s="25">
        <f>IFERROR(VLOOKUP(M148,'Horario Pabellones'!$A$4:$D$17,3,FALSE),"")</f>
        <v/>
      </c>
      <c r="W148" s="99">
        <f>IFERROR(VLOOKUP(M148,'Horario Pabellones'!$A$4:$D$17,4,FALSE),"")</f>
        <v/>
      </c>
      <c r="X148" s="89">
        <f>IFERROR(IF(OR(A148="",M148="",W148=""),"",(((_xludf.AGGREGATE(14,6,MOD($S$4:$S$500,1)/(($A$4:$A$500=A148)*($M$4:$M$500=M148)*($R$4:$R$500&lt;&gt;"")*($S$4:$S$500&lt;&gt;"")),1)-_xludf.AGGREGATE(15,6,MOD($R$4:$R$500,1)/(($A$4:$A$500=A148)*($M$4:$M$500=M148)*($R$4:$R$500&lt;&gt;"")*($S$4:$S$500&lt;&gt;"")),1))*1440)/60)/(W148/60)),"")</f>
        <v/>
      </c>
      <c r="Y148" s="26">
        <f>IFERROR(IF(OR(O148="",A148="",M148=""),"",(IF(ISNUMBER(O148),MOD(O148,1),TIMEVALUE(O148))-LOOKUP(2,1/(($A$4:$A$500=A148)*($M$4:$M$500=M148)*($T$4:$T$500&lt;&gt;"")*($T$4:$T$500&lt;IF(ISNUMBER(O148),MOD(O148,1),TIMEVALUE(O148)))),$T$4:$T$500))*1440),"")</f>
        <v/>
      </c>
      <c r="Z148" s="27">
        <f>IFERROR(IF(Y148="","",IF(ROUND(Y148,0)&lt;=15,"Cumple","No cumple")),"")</f>
        <v/>
      </c>
      <c r="AA148" s="15" t="n"/>
      <c r="AB148" s="26">
        <f>IFERROR(IF(OR(O148="",R148=""),"",IF(IF(ISNUMBER(R148),MOD(R148,1),TIMEVALUE(R148))&gt;=IF(ISNUMBER(O148),MOD(O148,1),TIMEVALUE(O148)),(IF(ISNUMBER(R148),MOD(R148,1),TIMEVALUE(R148))-IF(ISNUMBER(O148),MOD(O148,1),TIMEVALUE(O148)))*1440,(IF(ISNUMBER(R148),MOD(R148,1),TIMEVALUE(R148))+1-IF(ISNUMBER(O148),MOD(O148,1),TIMEVALUE(O148)))*1440)),"")</f>
        <v/>
      </c>
      <c r="AC148" s="28">
        <f>IFERROR(IF(OR(R148="",S148=""),"",IF(IF(ISNUMBER(S148),MOD(S148,1),TIMEVALUE(S148))&gt;=IF(ISNUMBER(R148),MOD(R148,1),TIMEVALUE(R148)),(IF(ISNUMBER(S148),MOD(S148,1),TIMEVALUE(S148))-IF(ISNUMBER(R148),MOD(R148,1),TIMEVALUE(R148)))*1440,(IF(ISNUMBER(S148),MOD(S148,1),TIMEVALUE(S148))+1-IF(ISNUMBER(R148),MOD(R148,1),TIMEVALUE(R148)))*1440)),"")</f>
        <v/>
      </c>
      <c r="AD148" s="129" t="n">
        <v>30</v>
      </c>
      <c r="AE148" s="26">
        <f>IFERROR(IF(OR(AC148="",AD148=""),"",AC148-AD148),"")</f>
        <v/>
      </c>
      <c r="AF148" s="27">
        <f>IFERROR(IF(AE148="","",IF(ROUND(AE148,0)&gt;15,"Subestimacion",IF(ROUND(AE148,0)&lt;-15,"Sobrestimacion","Asertivo"))),"")</f>
        <v/>
      </c>
      <c r="AG148" s="19" t="n"/>
      <c r="AH148" s="19" t="n"/>
      <c r="AI148" s="19" t="n"/>
      <c r="AJ148" s="15" t="n"/>
      <c r="AK148" s="19" t="n"/>
      <c r="AL148" s="19" t="n"/>
      <c r="AM148" s="19" t="n"/>
      <c r="AN148" s="19" t="n"/>
      <c r="AO148" s="19" t="n"/>
      <c r="AP148" s="127">
        <f>IF(A148="","",A148-WEEKDAY(A148,2)+1)</f>
        <v/>
      </c>
      <c r="AQ148" s="127">
        <f>IF(AO148="","",AO148+6)</f>
        <v/>
      </c>
      <c r="AR148" s="19">
        <f>IF(AO148="","","Semana "&amp;TEXT(AO148,"dd-mm-yyyy")&amp;" al "&amp;TEXT(AP148,"dd-mm-yyyy"))</f>
        <v/>
      </c>
      <c r="AS148" s="19">
        <f>IF(A148="","",TEXT(A148,"mmmm yyyy"))</f>
        <v/>
      </c>
      <c r="AT148" s="19">
        <f>IF(A148="","",TEXT(A148,"dddd"))</f>
        <v/>
      </c>
      <c r="AU148" s="19">
        <f>IF(A148="","","CRR-"&amp;TEXT(A148,"yyyymmdd")&amp;"-"&amp;M148&amp;"-"&amp;TEXT(ROW()-3,"0000"))</f>
        <v/>
      </c>
      <c r="AV148" s="19">
        <f>IF(A148="","",IF(OR(B148="",C148="",E148="",F148="",M148="",N148=""),"Revisar campos obligatorios",IF(AND(P148="Atraso primera hora",Q148=""),"Falta justificación atraso primera hora",IF(AND(Z148="No cumple",AA148=""),"Falta justificación recambio &gt;15 min",IF(AND(ISNUMBER(SEARCH("suspend",N148)),OR(AG148="",AH148="")),"Falta causa/motivo suspensión","OK")))))</f>
        <v/>
      </c>
      <c r="AW148" s="19">
        <f>IF(N148="","",IF(ISNUMBER(SEARCH("suspend",N148)),IF(AND(AG148="",AH148=""),"Sin causa/motivo registrado",IF(AG148="",AH148,IF(AH148="",AG148,AG148&amp;": "&amp;AH148))),""))</f>
        <v/>
      </c>
    </row>
    <row r="149" ht="16" customHeight="1" s="151">
      <c r="A149" s="128" t="n">
        <v>46181</v>
      </c>
      <c r="B149" s="130" t="inlineStr">
        <is>
          <t>LEONCIO</t>
        </is>
      </c>
      <c r="C149" s="129" t="inlineStr">
        <is>
          <t>BLANCO</t>
        </is>
      </c>
      <c r="D149" s="129" t="inlineStr">
        <is>
          <t>85a 7m 13d</t>
        </is>
      </c>
      <c r="E149" s="130" t="inlineStr">
        <is>
          <t>- FACOERESIS EXTRACAPSULAR CON IMPLANTE DE LENTE INTRAOCULAR (NO INCLUYE EL VALOR DE LA PROTESIS)</t>
        </is>
      </c>
      <c r="F149" s="131" t="inlineStr">
        <is>
          <t>UNIDAD DE OFTALMOLOGIA</t>
        </is>
      </c>
      <c r="G149" s="133" t="inlineStr">
        <is>
          <t>OFTALMOLOGIA</t>
        </is>
      </c>
      <c r="H149" s="129" t="inlineStr">
        <is>
          <t>1202064-10</t>
        </is>
      </c>
      <c r="I149" s="19" t="n"/>
      <c r="J149" s="20">
        <f>IF(H149&lt;&gt;"",IFERROR(VLOOKUP(IFERROR(LEFT(H149,FIND("-",H149)-1),H149),'Catalogo MINSAL'!A:E,5,FALSE),""),IF(I149&lt;&gt;"",IFERROR(VLOOKUP(IFERROR(LEFT(I149,FIND("-",I149)-1),I149),'Catalogo MINSAL'!A:E,5,FALSE),""),""))</f>
        <v/>
      </c>
      <c r="K149" s="129" t="inlineStr">
        <is>
          <t>Luz Rojas Nef</t>
        </is>
      </c>
      <c r="L149" s="130" t="inlineStr">
        <is>
          <t>Sebastian Andres Ramirez Ramirez</t>
        </is>
      </c>
      <c r="M149" s="129" t="inlineStr">
        <is>
          <t>Quirofano 07</t>
        </is>
      </c>
      <c r="N149" s="135" t="inlineStr">
        <is>
          <t>Realizado</t>
        </is>
      </c>
      <c r="O149" s="137" t="n">
        <v>0.3993055555555556</v>
      </c>
      <c r="P149" s="27">
        <f>IFERROR(IF(OR(O149="",A149="",M149=""),"",IF(SUMPRODUCT(($A$4:$A$500=A149)*($M$4:$M$500=M149)*($O$4:$O$500&lt;&gt;"")*(MOD($O$4:$O$500,1)&lt;MOD(O149,1)))=0,IF(MOD(O149,1)&lt;=TIME(8,15,0),"Ingreso adecuado primera hora","Atraso primera hora"),"No aplica")),"")</f>
        <v/>
      </c>
      <c r="Q149" s="129" t="n"/>
      <c r="R149" s="137" t="n">
        <v>0.4048611111111111</v>
      </c>
      <c r="S149" s="137" t="n">
        <v>0.4166666666666667</v>
      </c>
      <c r="T149" s="137" t="n">
        <v>0.41875</v>
      </c>
      <c r="U149" s="25">
        <f>IFERROR(VLOOKUP(M149,'Horario Pabellones'!$A$4:$D$17,2,FALSE),"")</f>
        <v/>
      </c>
      <c r="V149" s="25">
        <f>IFERROR(VLOOKUP(M149,'Horario Pabellones'!$A$4:$D$17,3,FALSE),"")</f>
        <v/>
      </c>
      <c r="W149" s="99">
        <f>IFERROR(VLOOKUP(M149,'Horario Pabellones'!$A$4:$D$17,4,FALSE),"")</f>
        <v/>
      </c>
      <c r="X149" s="89">
        <f>IFERROR(IF(OR(A149="",M149="",W149=""),"",(((_xludf.AGGREGATE(14,6,MOD($S$4:$S$500,1)/(($A$4:$A$500=A149)*($M$4:$M$500=M149)*($R$4:$R$500&lt;&gt;"")*($S$4:$S$500&lt;&gt;"")),1)-_xludf.AGGREGATE(15,6,MOD($R$4:$R$500,1)/(($A$4:$A$500=A149)*($M$4:$M$500=M149)*($R$4:$R$500&lt;&gt;"")*($S$4:$S$500&lt;&gt;"")),1))*1440)/60)/(W149/60)),"")</f>
        <v/>
      </c>
      <c r="Y149" s="26">
        <f>IFERROR(IF(OR(O149="",A149="",M149=""),"",(IF(ISNUMBER(O149),MOD(O149,1),TIMEVALUE(O149))-LOOKUP(2,1/(($A$4:$A$500=A149)*($M$4:$M$500=M149)*($T$4:$T$500&lt;&gt;"")*($T$4:$T$500&lt;IF(ISNUMBER(O149),MOD(O149,1),TIMEVALUE(O149)))),$T$4:$T$500))*1440),"")</f>
        <v/>
      </c>
      <c r="Z149" s="27">
        <f>IFERROR(IF(Y149="","",IF(ROUND(Y149,0)&lt;=15,"Cumple","No cumple")),"")</f>
        <v/>
      </c>
      <c r="AA149" s="15" t="n"/>
      <c r="AB149" s="26">
        <f>IFERROR(IF(OR(O149="",R149=""),"",IF(IF(ISNUMBER(R149),MOD(R149,1),TIMEVALUE(R149))&gt;=IF(ISNUMBER(O149),MOD(O149,1),TIMEVALUE(O149)),(IF(ISNUMBER(R149),MOD(R149,1),TIMEVALUE(R149))-IF(ISNUMBER(O149),MOD(O149,1),TIMEVALUE(O149)))*1440,(IF(ISNUMBER(R149),MOD(R149,1),TIMEVALUE(R149))+1-IF(ISNUMBER(O149),MOD(O149,1),TIMEVALUE(O149)))*1440)),"")</f>
        <v/>
      </c>
      <c r="AC149" s="28">
        <f>IFERROR(IF(OR(R149="",S149=""),"",IF(IF(ISNUMBER(S149),MOD(S149,1),TIMEVALUE(S149))&gt;=IF(ISNUMBER(R149),MOD(R149,1),TIMEVALUE(R149)),(IF(ISNUMBER(S149),MOD(S149,1),TIMEVALUE(S149))-IF(ISNUMBER(R149),MOD(R149,1),TIMEVALUE(R149)))*1440,(IF(ISNUMBER(S149),MOD(S149,1),TIMEVALUE(S149))+1-IF(ISNUMBER(R149),MOD(R149,1),TIMEVALUE(R149)))*1440)),"")</f>
        <v/>
      </c>
      <c r="AD149" s="129" t="n">
        <v>30</v>
      </c>
      <c r="AE149" s="26">
        <f>IFERROR(IF(OR(AC149="",AD149=""),"",AC149-AD149),"")</f>
        <v/>
      </c>
      <c r="AF149" s="27">
        <f>IFERROR(IF(AE149="","",IF(ROUND(AE149,0)&gt;15,"Subestimacion",IF(ROUND(AE149,0)&lt;-15,"Sobrestimacion","Asertivo"))),"")</f>
        <v/>
      </c>
      <c r="AG149" s="19" t="n"/>
      <c r="AH149" s="19" t="n"/>
      <c r="AI149" s="19" t="n"/>
      <c r="AJ149" s="15" t="n"/>
      <c r="AK149" s="19" t="n"/>
      <c r="AL149" s="19" t="n"/>
      <c r="AM149" s="19" t="n"/>
      <c r="AN149" s="19" t="n"/>
      <c r="AO149" s="19" t="n"/>
      <c r="AP149" s="127">
        <f>IF(A149="","",A149-WEEKDAY(A149,2)+1)</f>
        <v/>
      </c>
      <c r="AQ149" s="127">
        <f>IF(AO149="","",AO149+6)</f>
        <v/>
      </c>
      <c r="AR149" s="19">
        <f>IF(AO149="","","Semana "&amp;TEXT(AO149,"dd-mm-yyyy")&amp;" al "&amp;TEXT(AP149,"dd-mm-yyyy"))</f>
        <v/>
      </c>
      <c r="AS149" s="19">
        <f>IF(A149="","",TEXT(A149,"mmmm yyyy"))</f>
        <v/>
      </c>
      <c r="AT149" s="19">
        <f>IF(A149="","",TEXT(A149,"dddd"))</f>
        <v/>
      </c>
      <c r="AU149" s="19">
        <f>IF(A149="","","CRR-"&amp;TEXT(A149,"yyyymmdd")&amp;"-"&amp;M149&amp;"-"&amp;TEXT(ROW()-3,"0000"))</f>
        <v/>
      </c>
      <c r="AV149" s="19">
        <f>IF(A149="","",IF(OR(B149="",C149="",E149="",F149="",M149="",N149=""),"Revisar campos obligatorios",IF(AND(P149="Atraso primera hora",Q149=""),"Falta justificación atraso primera hora",IF(AND(Z149="No cumple",AA149=""),"Falta justificación recambio &gt;15 min",IF(AND(ISNUMBER(SEARCH("suspend",N149)),OR(AG149="",AH149="")),"Falta causa/motivo suspensión","OK")))))</f>
        <v/>
      </c>
      <c r="AW149" s="19">
        <f>IF(N149="","",IF(ISNUMBER(SEARCH("suspend",N149)),IF(AND(AG149="",AH149=""),"Sin causa/motivo registrado",IF(AG149="",AH149,IF(AH149="",AG149,AG149&amp;": "&amp;AH149))),""))</f>
        <v/>
      </c>
    </row>
    <row r="150" ht="16" customHeight="1" s="151">
      <c r="A150" s="128" t="n">
        <v>46181</v>
      </c>
      <c r="B150" s="130" t="inlineStr">
        <is>
          <t>VITERBA DEL CARMEN</t>
        </is>
      </c>
      <c r="C150" s="129" t="inlineStr">
        <is>
          <t>FLORES</t>
        </is>
      </c>
      <c r="D150" s="129" t="inlineStr">
        <is>
          <t>88a 8m 3d</t>
        </is>
      </c>
      <c r="E150" s="130" t="inlineStr">
        <is>
          <t>- FACOERESIS EXTRACAPSULAR CON IMPLANTE DE LENTE INTRAOCULAR (NO INCLUYE EL VALOR DE LA PROTESIS)</t>
        </is>
      </c>
      <c r="F150" s="131" t="inlineStr">
        <is>
          <t>UNIDAD DE OFTALMOLOGIA</t>
        </is>
      </c>
      <c r="G150" s="133" t="inlineStr">
        <is>
          <t>OFTALMOLOGIA</t>
        </is>
      </c>
      <c r="H150" s="129" t="inlineStr">
        <is>
          <t>1202064-10</t>
        </is>
      </c>
      <c r="I150" s="19" t="n"/>
      <c r="J150" s="20">
        <f>IF(H150&lt;&gt;"",IFERROR(VLOOKUP(IFERROR(LEFT(H150,FIND("-",H150)-1),H150),'Catalogo MINSAL'!A:E,5,FALSE),""),IF(I150&lt;&gt;"",IFERROR(VLOOKUP(IFERROR(LEFT(I150,FIND("-",I150)-1),I150),'Catalogo MINSAL'!A:E,5,FALSE),""),""))</f>
        <v/>
      </c>
      <c r="K150" s="129" t="inlineStr">
        <is>
          <t>Luz Rojas Nef</t>
        </is>
      </c>
      <c r="L150" s="130" t="inlineStr">
        <is>
          <t>Sebastian Andres Ramirez Ramirez</t>
        </is>
      </c>
      <c r="M150" s="129" t="inlineStr">
        <is>
          <t>Quirofano 07</t>
        </is>
      </c>
      <c r="N150" s="135" t="inlineStr">
        <is>
          <t>Realizado</t>
        </is>
      </c>
      <c r="O150" s="137" t="n">
        <v>0.4201388888888889</v>
      </c>
      <c r="P150" s="27">
        <f>IFERROR(IF(OR(O150="",A150="",M150=""),"",IF(SUMPRODUCT(($A$4:$A$500=A150)*($M$4:$M$500=M150)*($O$4:$O$500&lt;&gt;"")*(MOD($O$4:$O$500,1)&lt;MOD(O150,1)))=0,IF(MOD(O150,1)&lt;=TIME(8,15,0),"Ingreso adecuado primera hora","Atraso primera hora"),"No aplica")),"")</f>
        <v/>
      </c>
      <c r="Q150" s="129" t="n"/>
      <c r="R150" s="137" t="n">
        <v>0.4222222222222222</v>
      </c>
      <c r="S150" s="137" t="n">
        <v>0.4375</v>
      </c>
      <c r="T150" s="137" t="n">
        <v>0.4430555555555555</v>
      </c>
      <c r="U150" s="25">
        <f>IFERROR(VLOOKUP(M150,'Horario Pabellones'!$A$4:$D$17,2,FALSE),"")</f>
        <v/>
      </c>
      <c r="V150" s="25">
        <f>IFERROR(VLOOKUP(M150,'Horario Pabellones'!$A$4:$D$17,3,FALSE),"")</f>
        <v/>
      </c>
      <c r="W150" s="99">
        <f>IFERROR(VLOOKUP(M150,'Horario Pabellones'!$A$4:$D$17,4,FALSE),"")</f>
        <v/>
      </c>
      <c r="X150" s="89">
        <f>IFERROR(IF(OR(A150="",M150="",W150=""),"",(((_xludf.AGGREGATE(14,6,MOD($S$4:$S$500,1)/(($A$4:$A$500=A150)*($M$4:$M$500=M150)*($R$4:$R$500&lt;&gt;"")*($S$4:$S$500&lt;&gt;"")),1)-_xludf.AGGREGATE(15,6,MOD($R$4:$R$500,1)/(($A$4:$A$500=A150)*($M$4:$M$500=M150)*($R$4:$R$500&lt;&gt;"")*($S$4:$S$500&lt;&gt;"")),1))*1440)/60)/(W150/60)),"")</f>
        <v/>
      </c>
      <c r="Y150" s="26">
        <f>IFERROR(IF(OR(O150="",A150="",M150=""),"",(IF(ISNUMBER(O150),MOD(O150,1),TIMEVALUE(O150))-LOOKUP(2,1/(($A$4:$A$500=A150)*($M$4:$M$500=M150)*($T$4:$T$500&lt;&gt;"")*($T$4:$T$500&lt;IF(ISNUMBER(O150),MOD(O150,1),TIMEVALUE(O150)))),$T$4:$T$500))*1440),"")</f>
        <v/>
      </c>
      <c r="Z150" s="27">
        <f>IFERROR(IF(Y150="","",IF(ROUND(Y150,0)&lt;=15,"Cumple","No cumple")),"")</f>
        <v/>
      </c>
      <c r="AA150" s="15" t="n"/>
      <c r="AB150" s="26">
        <f>IFERROR(IF(OR(O150="",R150=""),"",IF(IF(ISNUMBER(R150),MOD(R150,1),TIMEVALUE(R150))&gt;=IF(ISNUMBER(O150),MOD(O150,1),TIMEVALUE(O150)),(IF(ISNUMBER(R150),MOD(R150,1),TIMEVALUE(R150))-IF(ISNUMBER(O150),MOD(O150,1),TIMEVALUE(O150)))*1440,(IF(ISNUMBER(R150),MOD(R150,1),TIMEVALUE(R150))+1-IF(ISNUMBER(O150),MOD(O150,1),TIMEVALUE(O150)))*1440)),"")</f>
        <v/>
      </c>
      <c r="AC150" s="28">
        <f>IFERROR(IF(OR(R150="",S150=""),"",IF(IF(ISNUMBER(S150),MOD(S150,1),TIMEVALUE(S150))&gt;=IF(ISNUMBER(R150),MOD(R150,1),TIMEVALUE(R150)),(IF(ISNUMBER(S150),MOD(S150,1),TIMEVALUE(S150))-IF(ISNUMBER(R150),MOD(R150,1),TIMEVALUE(R150)))*1440,(IF(ISNUMBER(S150),MOD(S150,1),TIMEVALUE(S150))+1-IF(ISNUMBER(R150),MOD(R150,1),TIMEVALUE(R150)))*1440)),"")</f>
        <v/>
      </c>
      <c r="AD150" s="129" t="n">
        <v>30</v>
      </c>
      <c r="AE150" s="26">
        <f>IFERROR(IF(OR(AC150="",AD150=""),"",AC150-AD150),"")</f>
        <v/>
      </c>
      <c r="AF150" s="27">
        <f>IFERROR(IF(AE150="","",IF(ROUND(AE150,0)&gt;15,"Subestimacion",IF(ROUND(AE150,0)&lt;-15,"Sobrestimacion","Asertivo"))),"")</f>
        <v/>
      </c>
      <c r="AG150" s="19" t="n"/>
      <c r="AH150" s="19" t="n"/>
      <c r="AI150" s="19" t="n"/>
      <c r="AJ150" s="15" t="n"/>
      <c r="AK150" s="19" t="n"/>
      <c r="AL150" s="19" t="n"/>
      <c r="AM150" s="19" t="n"/>
      <c r="AN150" s="19" t="n"/>
      <c r="AO150" s="19" t="n"/>
      <c r="AP150" s="127">
        <f>IF(A150="","",A150-WEEKDAY(A150,2)+1)</f>
        <v/>
      </c>
      <c r="AQ150" s="127">
        <f>IF(AO150="","",AO150+6)</f>
        <v/>
      </c>
      <c r="AR150" s="19">
        <f>IF(AO150="","","Semana "&amp;TEXT(AO150,"dd-mm-yyyy")&amp;" al "&amp;TEXT(AP150,"dd-mm-yyyy"))</f>
        <v/>
      </c>
      <c r="AS150" s="19">
        <f>IF(A150="","",TEXT(A150,"mmmm yyyy"))</f>
        <v/>
      </c>
      <c r="AT150" s="19">
        <f>IF(A150="","",TEXT(A150,"dddd"))</f>
        <v/>
      </c>
      <c r="AU150" s="19">
        <f>IF(A150="","","CRR-"&amp;TEXT(A150,"yyyymmdd")&amp;"-"&amp;M150&amp;"-"&amp;TEXT(ROW()-3,"0000"))</f>
        <v/>
      </c>
      <c r="AV150" s="19">
        <f>IF(A150="","",IF(OR(B150="",C150="",E150="",F150="",M150="",N150=""),"Revisar campos obligatorios",IF(AND(P150="Atraso primera hora",Q150=""),"Falta justificación atraso primera hora",IF(AND(Z150="No cumple",AA150=""),"Falta justificación recambio &gt;15 min",IF(AND(ISNUMBER(SEARCH("suspend",N150)),OR(AG150="",AH150="")),"Falta causa/motivo suspensión","OK")))))</f>
        <v/>
      </c>
      <c r="AW150" s="19">
        <f>IF(N150="","",IF(ISNUMBER(SEARCH("suspend",N150)),IF(AND(AG150="",AH150=""),"Sin causa/motivo registrado",IF(AG150="",AH150,IF(AH150="",AG150,AG150&amp;": "&amp;AH150))),""))</f>
        <v/>
      </c>
    </row>
    <row r="151" ht="16" customHeight="1" s="151">
      <c r="A151" s="128" t="n">
        <v>46181</v>
      </c>
      <c r="B151" s="130" t="inlineStr">
        <is>
          <t>MARÍA EUGENIA</t>
        </is>
      </c>
      <c r="C151" s="129" t="inlineStr">
        <is>
          <t>MOLINA</t>
        </is>
      </c>
      <c r="D151" s="129" t="inlineStr">
        <is>
          <t>78a 5m 1d</t>
        </is>
      </c>
      <c r="E151" s="130" t="inlineStr">
        <is>
          <t>- FACOERESIS EXTRACAPSULAR CON IMPLANTE DE LENTE INTRAOCULAR (NO INCLUYE EL VALOR DE LA PROTESIS)</t>
        </is>
      </c>
      <c r="F151" s="131" t="inlineStr">
        <is>
          <t>UNIDAD DE OFTALMOLOGIA</t>
        </is>
      </c>
      <c r="G151" s="133" t="inlineStr">
        <is>
          <t>OFTALMOLOGIA</t>
        </is>
      </c>
      <c r="H151" s="129" t="inlineStr">
        <is>
          <t>1202064-10</t>
        </is>
      </c>
      <c r="I151" s="19" t="n"/>
      <c r="J151" s="20">
        <f>IF(H151&lt;&gt;"",IFERROR(VLOOKUP(IFERROR(LEFT(H151,FIND("-",H151)-1),H151),'Catalogo MINSAL'!A:E,5,FALSE),""),IF(I151&lt;&gt;"",IFERROR(VLOOKUP(IFERROR(LEFT(I151,FIND("-",I151)-1),I151),'Catalogo MINSAL'!A:E,5,FALSE),""),""))</f>
        <v/>
      </c>
      <c r="K151" s="129" t="inlineStr">
        <is>
          <t>Luz Rojas Nef</t>
        </is>
      </c>
      <c r="L151" s="130" t="inlineStr">
        <is>
          <t>Marco Antonio Soto Sepulveda</t>
        </is>
      </c>
      <c r="M151" s="129" t="inlineStr">
        <is>
          <t>Quirofano 07</t>
        </is>
      </c>
      <c r="N151" s="135" t="inlineStr">
        <is>
          <t>Realizado</t>
        </is>
      </c>
      <c r="O151" s="137" t="n">
        <v>0.4444444444444444</v>
      </c>
      <c r="P151" s="27">
        <f>IFERROR(IF(OR(O151="",A151="",M151=""),"",IF(SUMPRODUCT(($A$4:$A$500=A151)*($M$4:$M$500=M151)*($O$4:$O$500&lt;&gt;"")*(MOD($O$4:$O$500,1)&lt;MOD(O151,1)))=0,IF(MOD(O151,1)&lt;=TIME(8,15,0),"Ingreso adecuado primera hora","Atraso primera hora"),"No aplica")),"")</f>
        <v/>
      </c>
      <c r="Q151" s="129" t="n"/>
      <c r="R151" s="137" t="n">
        <v>0.4486111111111111</v>
      </c>
      <c r="S151" s="137" t="n">
        <v>0.4618055555555556</v>
      </c>
      <c r="T151" s="137" t="n">
        <v>0.4673611111111111</v>
      </c>
      <c r="U151" s="25">
        <f>IFERROR(VLOOKUP(M151,'Horario Pabellones'!$A$4:$D$17,2,FALSE),"")</f>
        <v/>
      </c>
      <c r="V151" s="25">
        <f>IFERROR(VLOOKUP(M151,'Horario Pabellones'!$A$4:$D$17,3,FALSE),"")</f>
        <v/>
      </c>
      <c r="W151" s="99">
        <f>IFERROR(VLOOKUP(M151,'Horario Pabellones'!$A$4:$D$17,4,FALSE),"")</f>
        <v/>
      </c>
      <c r="X151" s="89">
        <f>IFERROR(IF(OR(A151="",M151="",W151=""),"",(((_xludf.AGGREGATE(14,6,MOD($S$4:$S$500,1)/(($A$4:$A$500=A151)*($M$4:$M$500=M151)*($R$4:$R$500&lt;&gt;"")*($S$4:$S$500&lt;&gt;"")),1)-_xludf.AGGREGATE(15,6,MOD($R$4:$R$500,1)/(($A$4:$A$500=A151)*($M$4:$M$500=M151)*($R$4:$R$500&lt;&gt;"")*($S$4:$S$500&lt;&gt;"")),1))*1440)/60)/(W151/60)),"")</f>
        <v/>
      </c>
      <c r="Y151" s="26">
        <f>IFERROR(IF(OR(O151="",A151="",M151=""),"",(IF(ISNUMBER(O151),MOD(O151,1),TIMEVALUE(O151))-LOOKUP(2,1/(($A$4:$A$500=A151)*($M$4:$M$500=M151)*($T$4:$T$500&lt;&gt;"")*($T$4:$T$500&lt;IF(ISNUMBER(O151),MOD(O151,1),TIMEVALUE(O151)))),$T$4:$T$500))*1440),"")</f>
        <v/>
      </c>
      <c r="Z151" s="27">
        <f>IFERROR(IF(Y151="","",IF(ROUND(Y151,0)&lt;=15,"Cumple","No cumple")),"")</f>
        <v/>
      </c>
      <c r="AA151" s="15" t="n"/>
      <c r="AB151" s="26">
        <f>IFERROR(IF(OR(O151="",R151=""),"",IF(IF(ISNUMBER(R151),MOD(R151,1),TIMEVALUE(R151))&gt;=IF(ISNUMBER(O151),MOD(O151,1),TIMEVALUE(O151)),(IF(ISNUMBER(R151),MOD(R151,1),TIMEVALUE(R151))-IF(ISNUMBER(O151),MOD(O151,1),TIMEVALUE(O151)))*1440,(IF(ISNUMBER(R151),MOD(R151,1),TIMEVALUE(R151))+1-IF(ISNUMBER(O151),MOD(O151,1),TIMEVALUE(O151)))*1440)),"")</f>
        <v/>
      </c>
      <c r="AC151" s="28">
        <f>IFERROR(IF(OR(R151="",S151=""),"",IF(IF(ISNUMBER(S151),MOD(S151,1),TIMEVALUE(S151))&gt;=IF(ISNUMBER(R151),MOD(R151,1),TIMEVALUE(R151)),(IF(ISNUMBER(S151),MOD(S151,1),TIMEVALUE(S151))-IF(ISNUMBER(R151),MOD(R151,1),TIMEVALUE(R151)))*1440,(IF(ISNUMBER(S151),MOD(S151,1),TIMEVALUE(S151))+1-IF(ISNUMBER(R151),MOD(R151,1),TIMEVALUE(R151)))*1440)),"")</f>
        <v/>
      </c>
      <c r="AD151" s="129" t="n">
        <v>30</v>
      </c>
      <c r="AE151" s="26">
        <f>IFERROR(IF(OR(AC151="",AD151=""),"",AC151-AD151),"")</f>
        <v/>
      </c>
      <c r="AF151" s="27">
        <f>IFERROR(IF(AE151="","",IF(ROUND(AE151,0)&gt;15,"Subestimacion",IF(ROUND(AE151,0)&lt;-15,"Sobrestimacion","Asertivo"))),"")</f>
        <v/>
      </c>
      <c r="AG151" s="19" t="n"/>
      <c r="AH151" s="19" t="n"/>
      <c r="AI151" s="19" t="n"/>
      <c r="AJ151" s="15" t="n"/>
      <c r="AK151" s="19" t="n"/>
      <c r="AL151" s="19" t="n"/>
      <c r="AM151" s="19" t="n"/>
      <c r="AN151" s="19" t="n"/>
      <c r="AO151" s="19" t="n"/>
      <c r="AP151" s="127">
        <f>IF(A151="","",A151-WEEKDAY(A151,2)+1)</f>
        <v/>
      </c>
      <c r="AQ151" s="127">
        <f>IF(AO151="","",AO151+6)</f>
        <v/>
      </c>
      <c r="AR151" s="19">
        <f>IF(AO151="","","Semana "&amp;TEXT(AO151,"dd-mm-yyyy")&amp;" al "&amp;TEXT(AP151,"dd-mm-yyyy"))</f>
        <v/>
      </c>
      <c r="AS151" s="19">
        <f>IF(A151="","",TEXT(A151,"mmmm yyyy"))</f>
        <v/>
      </c>
      <c r="AT151" s="19">
        <f>IF(A151="","",TEXT(A151,"dddd"))</f>
        <v/>
      </c>
      <c r="AU151" s="19">
        <f>IF(A151="","","CRR-"&amp;TEXT(A151,"yyyymmdd")&amp;"-"&amp;M151&amp;"-"&amp;TEXT(ROW()-3,"0000"))</f>
        <v/>
      </c>
      <c r="AV151" s="19">
        <f>IF(A151="","",IF(OR(B151="",C151="",E151="",F151="",M151="",N151=""),"Revisar campos obligatorios",IF(AND(P151="Atraso primera hora",Q151=""),"Falta justificación atraso primera hora",IF(AND(Z151="No cumple",AA151=""),"Falta justificación recambio &gt;15 min",IF(AND(ISNUMBER(SEARCH("suspend",N151)),OR(AG151="",AH151="")),"Falta causa/motivo suspensión","OK")))))</f>
        <v/>
      </c>
      <c r="AW151" s="19">
        <f>IF(N151="","",IF(ISNUMBER(SEARCH("suspend",N151)),IF(AND(AG151="",AH151=""),"Sin causa/motivo registrado",IF(AG151="",AH151,IF(AH151="",AG151,AG151&amp;": "&amp;AH151))),""))</f>
        <v/>
      </c>
    </row>
    <row r="152" ht="16" customHeight="1" s="151">
      <c r="A152" s="128" t="n">
        <v>46181</v>
      </c>
      <c r="B152" s="130" t="inlineStr">
        <is>
          <t>MARIGEN CANDELARIA</t>
        </is>
      </c>
      <c r="C152" s="129" t="inlineStr">
        <is>
          <t>COFIAN</t>
        </is>
      </c>
      <c r="D152" s="129" t="inlineStr">
        <is>
          <t>77a 10m 26d</t>
        </is>
      </c>
      <c r="E152" s="130" t="inlineStr">
        <is>
          <t>- FACOERESIS EXTRACAPSULAR CON IMPLANTE DE LENTE INTRAOCULAR (NO INCLUYE EL VALOR DE LA PROTESIS)</t>
        </is>
      </c>
      <c r="F152" s="131" t="inlineStr">
        <is>
          <t>UNIDAD DE OFTALMOLOGIA</t>
        </is>
      </c>
      <c r="G152" s="133" t="inlineStr">
        <is>
          <t>OFTALMOLOGIA</t>
        </is>
      </c>
      <c r="H152" s="129" t="inlineStr">
        <is>
          <t>1202064-10</t>
        </is>
      </c>
      <c r="I152" s="19" t="n"/>
      <c r="J152" s="20">
        <f>IF(H152&lt;&gt;"",IFERROR(VLOOKUP(IFERROR(LEFT(H152,FIND("-",H152)-1),H152),'Catalogo MINSAL'!A:E,5,FALSE),""),IF(I152&lt;&gt;"",IFERROR(VLOOKUP(IFERROR(LEFT(I152,FIND("-",I152)-1),I152),'Catalogo MINSAL'!A:E,5,FALSE),""),""))</f>
        <v/>
      </c>
      <c r="K152" s="129" t="inlineStr">
        <is>
          <t>Luz Rojas Nef</t>
        </is>
      </c>
      <c r="L152" s="130" t="inlineStr">
        <is>
          <t>Marco Antonio Soto Sepulveda</t>
        </is>
      </c>
      <c r="M152" s="129" t="inlineStr">
        <is>
          <t>Quirofano 07</t>
        </is>
      </c>
      <c r="N152" s="135" t="inlineStr">
        <is>
          <t>Realizado</t>
        </is>
      </c>
      <c r="O152" s="137" t="n">
        <v>0.46875</v>
      </c>
      <c r="P152" s="27">
        <f>IFERROR(IF(OR(O152="",A152="",M152=""),"",IF(SUMPRODUCT(($A$4:$A$500=A152)*($M$4:$M$500=M152)*($O$4:$O$500&lt;&gt;"")*(MOD($O$4:$O$500,1)&lt;MOD(O152,1)))=0,IF(MOD(O152,1)&lt;=TIME(8,15,0),"Ingreso adecuado primera hora","Atraso primera hora"),"No aplica")),"")</f>
        <v/>
      </c>
      <c r="Q152" s="129" t="n"/>
      <c r="R152" s="137" t="n">
        <v>0.4777777777777778</v>
      </c>
      <c r="S152" s="137" t="n">
        <v>0.4930555555555556</v>
      </c>
      <c r="T152" s="137" t="n">
        <v>0.4965277777777778</v>
      </c>
      <c r="U152" s="25">
        <f>IFERROR(VLOOKUP(M152,'Horario Pabellones'!$A$4:$D$17,2,FALSE),"")</f>
        <v/>
      </c>
      <c r="V152" s="25">
        <f>IFERROR(VLOOKUP(M152,'Horario Pabellones'!$A$4:$D$17,3,FALSE),"")</f>
        <v/>
      </c>
      <c r="W152" s="99">
        <f>IFERROR(VLOOKUP(M152,'Horario Pabellones'!$A$4:$D$17,4,FALSE),"")</f>
        <v/>
      </c>
      <c r="X152" s="89">
        <f>IFERROR(IF(OR(A152="",M152="",W152=""),"",(((_xludf.AGGREGATE(14,6,MOD($S$4:$S$500,1)/(($A$4:$A$500=A152)*($M$4:$M$500=M152)*($R$4:$R$500&lt;&gt;"")*($S$4:$S$500&lt;&gt;"")),1)-_xludf.AGGREGATE(15,6,MOD($R$4:$R$500,1)/(($A$4:$A$500=A152)*($M$4:$M$500=M152)*($R$4:$R$500&lt;&gt;"")*($S$4:$S$500&lt;&gt;"")),1))*1440)/60)/(W152/60)),"")</f>
        <v/>
      </c>
      <c r="Y152" s="26">
        <f>IFERROR(IF(OR(O152="",A152="",M152=""),"",(IF(ISNUMBER(O152),MOD(O152,1),TIMEVALUE(O152))-LOOKUP(2,1/(($A$4:$A$500=A152)*($M$4:$M$500=M152)*($T$4:$T$500&lt;&gt;"")*($T$4:$T$500&lt;IF(ISNUMBER(O152),MOD(O152,1),TIMEVALUE(O152)))),$T$4:$T$500))*1440),"")</f>
        <v/>
      </c>
      <c r="Z152" s="27">
        <f>IFERROR(IF(Y152="","",IF(ROUND(Y152,0)&lt;=15,"Cumple","No cumple")),"")</f>
        <v/>
      </c>
      <c r="AA152" s="15" t="n"/>
      <c r="AB152" s="26">
        <f>IFERROR(IF(OR(O152="",R152=""),"",IF(IF(ISNUMBER(R152),MOD(R152,1),TIMEVALUE(R152))&gt;=IF(ISNUMBER(O152),MOD(O152,1),TIMEVALUE(O152)),(IF(ISNUMBER(R152),MOD(R152,1),TIMEVALUE(R152))-IF(ISNUMBER(O152),MOD(O152,1),TIMEVALUE(O152)))*1440,(IF(ISNUMBER(R152),MOD(R152,1),TIMEVALUE(R152))+1-IF(ISNUMBER(O152),MOD(O152,1),TIMEVALUE(O152)))*1440)),"")</f>
        <v/>
      </c>
      <c r="AC152" s="28">
        <f>IFERROR(IF(OR(R152="",S152=""),"",IF(IF(ISNUMBER(S152),MOD(S152,1),TIMEVALUE(S152))&gt;=IF(ISNUMBER(R152),MOD(R152,1),TIMEVALUE(R152)),(IF(ISNUMBER(S152),MOD(S152,1),TIMEVALUE(S152))-IF(ISNUMBER(R152),MOD(R152,1),TIMEVALUE(R152)))*1440,(IF(ISNUMBER(S152),MOD(S152,1),TIMEVALUE(S152))+1-IF(ISNUMBER(R152),MOD(R152,1),TIMEVALUE(R152)))*1440)),"")</f>
        <v/>
      </c>
      <c r="AD152" s="129" t="n">
        <v>30</v>
      </c>
      <c r="AE152" s="26">
        <f>IFERROR(IF(OR(AC152="",AD152=""),"",AC152-AD152),"")</f>
        <v/>
      </c>
      <c r="AF152" s="27">
        <f>IFERROR(IF(AE152="","",IF(ROUND(AE152,0)&gt;15,"Subestimacion",IF(ROUND(AE152,0)&lt;-15,"Sobrestimacion","Asertivo"))),"")</f>
        <v/>
      </c>
      <c r="AG152" s="19" t="n"/>
      <c r="AH152" s="19" t="n"/>
      <c r="AI152" s="19" t="n"/>
      <c r="AJ152" s="15" t="n"/>
      <c r="AK152" s="19" t="n"/>
      <c r="AL152" s="19" t="n"/>
      <c r="AM152" s="19" t="n"/>
      <c r="AN152" s="19" t="n"/>
      <c r="AO152" s="19" t="n"/>
      <c r="AP152" s="127">
        <f>IF(A152="","",A152-WEEKDAY(A152,2)+1)</f>
        <v/>
      </c>
      <c r="AQ152" s="127">
        <f>IF(AO152="","",AO152+6)</f>
        <v/>
      </c>
      <c r="AR152" s="19">
        <f>IF(AO152="","","Semana "&amp;TEXT(AO152,"dd-mm-yyyy")&amp;" al "&amp;TEXT(AP152,"dd-mm-yyyy"))</f>
        <v/>
      </c>
      <c r="AS152" s="19">
        <f>IF(A152="","",TEXT(A152,"mmmm yyyy"))</f>
        <v/>
      </c>
      <c r="AT152" s="19">
        <f>IF(A152="","",TEXT(A152,"dddd"))</f>
        <v/>
      </c>
      <c r="AU152" s="19">
        <f>IF(A152="","","CRR-"&amp;TEXT(A152,"yyyymmdd")&amp;"-"&amp;M152&amp;"-"&amp;TEXT(ROW()-3,"0000"))</f>
        <v/>
      </c>
      <c r="AV152" s="19">
        <f>IF(A152="","",IF(OR(B152="",C152="",E152="",F152="",M152="",N152=""),"Revisar campos obligatorios",IF(AND(P152="Atraso primera hora",Q152=""),"Falta justificación atraso primera hora",IF(AND(Z152="No cumple",AA152=""),"Falta justificación recambio &gt;15 min",IF(AND(ISNUMBER(SEARCH("suspend",N152)),OR(AG152="",AH152="")),"Falta causa/motivo suspensión","OK")))))</f>
        <v/>
      </c>
      <c r="AW152" s="19">
        <f>IF(N152="","",IF(ISNUMBER(SEARCH("suspend",N152)),IF(AND(AG152="",AH152=""),"Sin causa/motivo registrado",IF(AG152="",AH152,IF(AH152="",AG152,AG152&amp;": "&amp;AH152))),""))</f>
        <v/>
      </c>
    </row>
    <row r="153" ht="16" customHeight="1" s="151">
      <c r="A153" s="128" t="n">
        <v>46181</v>
      </c>
      <c r="B153" s="130" t="inlineStr">
        <is>
          <t>LUIS ALBERTO</t>
        </is>
      </c>
      <c r="C153" s="129" t="inlineStr">
        <is>
          <t>ILIGARAY</t>
        </is>
      </c>
      <c r="D153" s="129" t="inlineStr">
        <is>
          <t>63a 1m 26d</t>
        </is>
      </c>
      <c r="E153" s="130" t="inlineStr">
        <is>
          <t>- FACOERESIS EXTRACAPSULAR CON IMPLANTE DE LENTE INTRAOCULAR (NO INCLUYE EL VALOR DE LA PROTESIS)</t>
        </is>
      </c>
      <c r="F153" s="131" t="inlineStr">
        <is>
          <t>UNIDAD DE OFTALMOLOGIA</t>
        </is>
      </c>
      <c r="G153" s="133" t="inlineStr">
        <is>
          <t>OFTALMOLOGIA</t>
        </is>
      </c>
      <c r="H153" s="129" t="inlineStr">
        <is>
          <t>1202064-10</t>
        </is>
      </c>
      <c r="I153" s="19" t="n"/>
      <c r="J153" s="20">
        <f>IF(H153&lt;&gt;"",IFERROR(VLOOKUP(IFERROR(LEFT(H153,FIND("-",H153)-1),H153),'Catalogo MINSAL'!A:E,5,FALSE),""),IF(I153&lt;&gt;"",IFERROR(VLOOKUP(IFERROR(LEFT(I153,FIND("-",I153)-1),I153),'Catalogo MINSAL'!A:E,5,FALSE),""),""))</f>
        <v/>
      </c>
      <c r="K153" s="129" t="inlineStr">
        <is>
          <t>Luz Rojas Nef</t>
        </is>
      </c>
      <c r="L153" s="130" t="inlineStr">
        <is>
          <t>Sebastian Andres Ramirez Ramirez</t>
        </is>
      </c>
      <c r="M153" s="129" t="inlineStr">
        <is>
          <t>Quirofano 07</t>
        </is>
      </c>
      <c r="N153" s="135" t="inlineStr">
        <is>
          <t>Realizado</t>
        </is>
      </c>
      <c r="O153" s="137" t="n">
        <v>0.4979166666666667</v>
      </c>
      <c r="P153" s="27">
        <f>IFERROR(IF(OR(O153="",A153="",M153=""),"",IF(SUMPRODUCT(($A$4:$A$500=A153)*($M$4:$M$500=M153)*($O$4:$O$500&lt;&gt;"")*(MOD($O$4:$O$500,1)&lt;MOD(O153,1)))=0,IF(MOD(O153,1)&lt;=TIME(8,15,0),"Ingreso adecuado primera hora","Atraso primera hora"),"No aplica")),"")</f>
        <v/>
      </c>
      <c r="Q153" s="129" t="n"/>
      <c r="R153" s="137" t="n">
        <v>0.5034722222222222</v>
      </c>
      <c r="S153" s="137" t="n">
        <v>0.5166666666666667</v>
      </c>
      <c r="T153" s="137" t="n">
        <v>0.5208333333333334</v>
      </c>
      <c r="U153" s="25">
        <f>IFERROR(VLOOKUP(M153,'Horario Pabellones'!$A$4:$D$17,2,FALSE),"")</f>
        <v/>
      </c>
      <c r="V153" s="25">
        <f>IFERROR(VLOOKUP(M153,'Horario Pabellones'!$A$4:$D$17,3,FALSE),"")</f>
        <v/>
      </c>
      <c r="W153" s="99">
        <f>IFERROR(VLOOKUP(M153,'Horario Pabellones'!$A$4:$D$17,4,FALSE),"")</f>
        <v/>
      </c>
      <c r="X153" s="89">
        <f>IFERROR(IF(OR(A153="",M153="",W153=""),"",(((_xludf.AGGREGATE(14,6,MOD($S$4:$S$500,1)/(($A$4:$A$500=A153)*($M$4:$M$500=M153)*($R$4:$R$500&lt;&gt;"")*($S$4:$S$500&lt;&gt;"")),1)-_xludf.AGGREGATE(15,6,MOD($R$4:$R$500,1)/(($A$4:$A$500=A153)*($M$4:$M$500=M153)*($R$4:$R$500&lt;&gt;"")*($S$4:$S$500&lt;&gt;"")),1))*1440)/60)/(W153/60)),"")</f>
        <v/>
      </c>
      <c r="Y153" s="26">
        <f>IFERROR(IF(OR(O153="",A153="",M153=""),"",(IF(ISNUMBER(O153),MOD(O153,1),TIMEVALUE(O153))-LOOKUP(2,1/(($A$4:$A$500=A153)*($M$4:$M$500=M153)*($T$4:$T$500&lt;&gt;"")*($T$4:$T$500&lt;IF(ISNUMBER(O153),MOD(O153,1),TIMEVALUE(O153)))),$T$4:$T$500))*1440),"")</f>
        <v/>
      </c>
      <c r="Z153" s="27">
        <f>IFERROR(IF(Y153="","",IF(ROUND(Y153,0)&lt;=15,"Cumple","No cumple")),"")</f>
        <v/>
      </c>
      <c r="AA153" s="15" t="n"/>
      <c r="AB153" s="26">
        <f>IFERROR(IF(OR(O153="",R153=""),"",IF(IF(ISNUMBER(R153),MOD(R153,1),TIMEVALUE(R153))&gt;=IF(ISNUMBER(O153),MOD(O153,1),TIMEVALUE(O153)),(IF(ISNUMBER(R153),MOD(R153,1),TIMEVALUE(R153))-IF(ISNUMBER(O153),MOD(O153,1),TIMEVALUE(O153)))*1440,(IF(ISNUMBER(R153),MOD(R153,1),TIMEVALUE(R153))+1-IF(ISNUMBER(O153),MOD(O153,1),TIMEVALUE(O153)))*1440)),"")</f>
        <v/>
      </c>
      <c r="AC153" s="28">
        <f>IFERROR(IF(OR(R153="",S153=""),"",IF(IF(ISNUMBER(S153),MOD(S153,1),TIMEVALUE(S153))&gt;=IF(ISNUMBER(R153),MOD(R153,1),TIMEVALUE(R153)),(IF(ISNUMBER(S153),MOD(S153,1),TIMEVALUE(S153))-IF(ISNUMBER(R153),MOD(R153,1),TIMEVALUE(R153)))*1440,(IF(ISNUMBER(S153),MOD(S153,1),TIMEVALUE(S153))+1-IF(ISNUMBER(R153),MOD(R153,1),TIMEVALUE(R153)))*1440)),"")</f>
        <v/>
      </c>
      <c r="AD153" s="129" t="n">
        <v>30</v>
      </c>
      <c r="AE153" s="26">
        <f>IFERROR(IF(OR(AC153="",AD153=""),"",AC153-AD153),"")</f>
        <v/>
      </c>
      <c r="AF153" s="27">
        <f>IFERROR(IF(AE153="","",IF(ROUND(AE153,0)&gt;15,"Subestimacion",IF(ROUND(AE153,0)&lt;-15,"Sobrestimacion","Asertivo"))),"")</f>
        <v/>
      </c>
      <c r="AG153" s="19" t="n"/>
      <c r="AH153" s="19" t="n"/>
      <c r="AI153" s="19" t="n"/>
      <c r="AJ153" s="15" t="n"/>
      <c r="AK153" s="19" t="n"/>
      <c r="AL153" s="19" t="n"/>
      <c r="AM153" s="19" t="n"/>
      <c r="AN153" s="19" t="n"/>
      <c r="AO153" s="19" t="n"/>
      <c r="AP153" s="127">
        <f>IF(A153="","",A153-WEEKDAY(A153,2)+1)</f>
        <v/>
      </c>
      <c r="AQ153" s="127">
        <f>IF(AO153="","",AO153+6)</f>
        <v/>
      </c>
      <c r="AR153" s="19">
        <f>IF(AO153="","","Semana "&amp;TEXT(AO153,"dd-mm-yyyy")&amp;" al "&amp;TEXT(AP153,"dd-mm-yyyy"))</f>
        <v/>
      </c>
      <c r="AS153" s="19">
        <f>IF(A153="","",TEXT(A153,"mmmm yyyy"))</f>
        <v/>
      </c>
      <c r="AT153" s="19">
        <f>IF(A153="","",TEXT(A153,"dddd"))</f>
        <v/>
      </c>
      <c r="AU153" s="19">
        <f>IF(A153="","","CRR-"&amp;TEXT(A153,"yyyymmdd")&amp;"-"&amp;M153&amp;"-"&amp;TEXT(ROW()-3,"0000"))</f>
        <v/>
      </c>
      <c r="AV153" s="19">
        <f>IF(A153="","",IF(OR(B153="",C153="",E153="",F153="",M153="",N153=""),"Revisar campos obligatorios",IF(AND(P153="Atraso primera hora",Q153=""),"Falta justificación atraso primera hora",IF(AND(Z153="No cumple",AA153=""),"Falta justificación recambio &gt;15 min",IF(AND(ISNUMBER(SEARCH("suspend",N153)),OR(AG153="",AH153="")),"Falta causa/motivo suspensión","OK")))))</f>
        <v/>
      </c>
      <c r="AW153" s="19">
        <f>IF(N153="","",IF(ISNUMBER(SEARCH("suspend",N153)),IF(AND(AG153="",AH153=""),"Sin causa/motivo registrado",IF(AG153="",AH153,IF(AH153="",AG153,AG153&amp;": "&amp;AH153))),""))</f>
        <v/>
      </c>
    </row>
    <row r="154" ht="16" customHeight="1" s="151">
      <c r="A154" s="128" t="n">
        <v>46181</v>
      </c>
      <c r="B154" s="130" t="inlineStr">
        <is>
          <t>YEDRIT ARMANDINA</t>
        </is>
      </c>
      <c r="C154" s="129" t="inlineStr">
        <is>
          <t>VILLA</t>
        </is>
      </c>
      <c r="D154" s="129" t="inlineStr">
        <is>
          <t>68a 3m 24d</t>
        </is>
      </c>
      <c r="E154" s="130" t="inlineStr">
        <is>
          <t>- FACOERESIS EXTRACAPSULAR CON IMPLANTE DE LENTE INTRAOCULAR (NO INCLUYE EL VALOR DE LA PROTESIS)</t>
        </is>
      </c>
      <c r="F154" s="131" t="inlineStr">
        <is>
          <t>UNIDAD DE OFTALMOLOGIA</t>
        </is>
      </c>
      <c r="G154" s="133" t="inlineStr">
        <is>
          <t>OFTALMOLOGIA</t>
        </is>
      </c>
      <c r="H154" s="129" t="inlineStr">
        <is>
          <t>1202064-10</t>
        </is>
      </c>
      <c r="I154" s="19" t="n"/>
      <c r="J154" s="20">
        <f>IF(H154&lt;&gt;"",IFERROR(VLOOKUP(IFERROR(LEFT(H154,FIND("-",H154)-1),H154),'Catalogo MINSAL'!A:E,5,FALSE),""),IF(I154&lt;&gt;"",IFERROR(VLOOKUP(IFERROR(LEFT(I154,FIND("-",I154)-1),I154),'Catalogo MINSAL'!A:E,5,FALSE),""),""))</f>
        <v/>
      </c>
      <c r="K154" s="129" t="inlineStr">
        <is>
          <t>Luz Rojas Nef</t>
        </is>
      </c>
      <c r="L154" s="130" t="inlineStr">
        <is>
          <t>Sebastian Andres Ramirez Ramirez</t>
        </is>
      </c>
      <c r="M154" s="129" t="inlineStr">
        <is>
          <t>Quirofano 07</t>
        </is>
      </c>
      <c r="N154" s="135" t="inlineStr">
        <is>
          <t>Realizado</t>
        </is>
      </c>
      <c r="O154" s="137" t="n">
        <v>0.5208333333333334</v>
      </c>
      <c r="P154" s="27">
        <f>IFERROR(IF(OR(O154="",A154="",M154=""),"",IF(SUMPRODUCT(($A$4:$A$500=A154)*($M$4:$M$500=M154)*($O$4:$O$500&lt;&gt;"")*(MOD($O$4:$O$500,1)&lt;MOD(O154,1)))=0,IF(MOD(O154,1)&lt;=TIME(8,15,0),"Ingreso adecuado primera hora","Atraso primera hora"),"No aplica")),"")</f>
        <v/>
      </c>
      <c r="Q154" s="129" t="n"/>
      <c r="R154" s="137" t="n">
        <v>0.5243055555555556</v>
      </c>
      <c r="S154" s="137" t="n">
        <v>0.5347222222222222</v>
      </c>
      <c r="T154" s="137" t="n">
        <v>0.5381944444444444</v>
      </c>
      <c r="U154" s="25">
        <f>IFERROR(VLOOKUP(M154,'Horario Pabellones'!$A$4:$D$17,2,FALSE),"")</f>
        <v/>
      </c>
      <c r="V154" s="25">
        <f>IFERROR(VLOOKUP(M154,'Horario Pabellones'!$A$4:$D$17,3,FALSE),"")</f>
        <v/>
      </c>
      <c r="W154" s="99">
        <f>IFERROR(VLOOKUP(M154,'Horario Pabellones'!$A$4:$D$17,4,FALSE),"")</f>
        <v/>
      </c>
      <c r="X154" s="89">
        <f>IFERROR(IF(OR(A154="",M154="",W154=""),"",(((_xludf.AGGREGATE(14,6,MOD($S$4:$S$500,1)/(($A$4:$A$500=A154)*($M$4:$M$500=M154)*($R$4:$R$500&lt;&gt;"")*($S$4:$S$500&lt;&gt;"")),1)-_xludf.AGGREGATE(15,6,MOD($R$4:$R$500,1)/(($A$4:$A$500=A154)*($M$4:$M$500=M154)*($R$4:$R$500&lt;&gt;"")*($S$4:$S$500&lt;&gt;"")),1))*1440)/60)/(W154/60)),"")</f>
        <v/>
      </c>
      <c r="Y154" s="26">
        <f>IFERROR(IF(OR(O154="",A154="",M154=""),"",(IF(ISNUMBER(O154),MOD(O154,1),TIMEVALUE(O154))-LOOKUP(2,1/(($A$4:$A$500=A154)*($M$4:$M$500=M154)*($T$4:$T$500&lt;&gt;"")*($T$4:$T$500&lt;IF(ISNUMBER(O154),MOD(O154,1),TIMEVALUE(O154)))),$T$4:$T$500))*1440),"")</f>
        <v/>
      </c>
      <c r="Z154" s="27">
        <f>IFERROR(IF(Y154="","",IF(ROUND(Y154,0)&lt;=15,"Cumple","No cumple")),"")</f>
        <v/>
      </c>
      <c r="AA154" s="15" t="inlineStr">
        <is>
          <t>Cirujano en policlinico (Dr. Hillers)</t>
        </is>
      </c>
      <c r="AB154" s="26">
        <f>IFERROR(IF(OR(O154="",R154=""),"",IF(IF(ISNUMBER(R154),MOD(R154,1),TIMEVALUE(R154))&gt;=IF(ISNUMBER(O154),MOD(O154,1),TIMEVALUE(O154)),(IF(ISNUMBER(R154),MOD(R154,1),TIMEVALUE(R154))-IF(ISNUMBER(O154),MOD(O154,1),TIMEVALUE(O154)))*1440,(IF(ISNUMBER(R154),MOD(R154,1),TIMEVALUE(R154))+1-IF(ISNUMBER(O154),MOD(O154,1),TIMEVALUE(O154)))*1440)),"")</f>
        <v/>
      </c>
      <c r="AC154" s="28">
        <f>IFERROR(IF(OR(R154="",S154=""),"",IF(IF(ISNUMBER(S154),MOD(S154,1),TIMEVALUE(S154))&gt;=IF(ISNUMBER(R154),MOD(R154,1),TIMEVALUE(R154)),(IF(ISNUMBER(S154),MOD(S154,1),TIMEVALUE(S154))-IF(ISNUMBER(R154),MOD(R154,1),TIMEVALUE(R154)))*1440,(IF(ISNUMBER(S154),MOD(S154,1),TIMEVALUE(S154))+1-IF(ISNUMBER(R154),MOD(R154,1),TIMEVALUE(R154)))*1440)),"")</f>
        <v/>
      </c>
      <c r="AD154" s="129" t="n">
        <v>30</v>
      </c>
      <c r="AE154" s="26">
        <f>IFERROR(IF(OR(AC154="",AD154=""),"",AC154-AD154),"")</f>
        <v/>
      </c>
      <c r="AF154" s="27">
        <f>IFERROR(IF(AE154="","",IF(ROUND(AE154,0)&gt;15,"Subestimacion",IF(ROUND(AE154,0)&lt;-15,"Sobrestimacion","Asertivo"))),"")</f>
        <v/>
      </c>
      <c r="AG154" s="19" t="n"/>
      <c r="AH154" s="19" t="n"/>
      <c r="AI154" s="19" t="n"/>
      <c r="AJ154" s="15" t="n"/>
      <c r="AK154" s="19" t="n"/>
      <c r="AL154" s="19" t="n"/>
      <c r="AM154" s="19" t="n"/>
      <c r="AN154" s="19" t="n"/>
      <c r="AO154" s="19" t="n"/>
      <c r="AP154" s="127">
        <f>IF(A154="","",A154-WEEKDAY(A154,2)+1)</f>
        <v/>
      </c>
      <c r="AQ154" s="127">
        <f>IF(AO154="","",AO154+6)</f>
        <v/>
      </c>
      <c r="AR154" s="19">
        <f>IF(AO154="","","Semana "&amp;TEXT(AO154,"dd-mm-yyyy")&amp;" al "&amp;TEXT(AP154,"dd-mm-yyyy"))</f>
        <v/>
      </c>
      <c r="AS154" s="19">
        <f>IF(A154="","",TEXT(A154,"mmmm yyyy"))</f>
        <v/>
      </c>
      <c r="AT154" s="19">
        <f>IF(A154="","",TEXT(A154,"dddd"))</f>
        <v/>
      </c>
      <c r="AU154" s="19">
        <f>IF(A154="","","CRR-"&amp;TEXT(A154,"yyyymmdd")&amp;"-"&amp;M154&amp;"-"&amp;TEXT(ROW()-3,"0000"))</f>
        <v/>
      </c>
      <c r="AV154" s="19">
        <f>IF(A154="","",IF(OR(B154="",C154="",E154="",F154="",M154="",N154=""),"Revisar campos obligatorios",IF(AND(P154="Atraso primera hora",Q154=""),"Falta justificación atraso primera hora",IF(AND(Z154="No cumple",AA154=""),"Falta justificación recambio &gt;15 min",IF(AND(ISNUMBER(SEARCH("suspend",N154)),OR(AG154="",AH154="")),"Falta causa/motivo suspensión","OK")))))</f>
        <v/>
      </c>
      <c r="AW154" s="19">
        <f>IF(N154="","",IF(ISNUMBER(SEARCH("suspend",N154)),IF(AND(AG154="",AH154=""),"Sin causa/motivo registrado",IF(AG154="",AH154,IF(AH154="",AG154,AG154&amp;": "&amp;AH154))),""))</f>
        <v/>
      </c>
    </row>
    <row r="155" ht="16" customHeight="1" s="151">
      <c r="A155" s="128" t="n">
        <v>46181</v>
      </c>
      <c r="B155" s="130" t="inlineStr">
        <is>
          <t>MARÍA TERESA</t>
        </is>
      </c>
      <c r="C155" s="129" t="inlineStr">
        <is>
          <t>CÁCERES</t>
        </is>
      </c>
      <c r="D155" s="129" t="inlineStr">
        <is>
          <t>88a 1m 24d</t>
        </is>
      </c>
      <c r="E155" s="130" t="inlineStr">
        <is>
          <t>- FACOERESIS EXTRACAPSULAR CON IMPLANTE DE LENTE INTRAOCULAR (NO INCLUYE EL VALOR DE LA PROTESIS)</t>
        </is>
      </c>
      <c r="F155" s="131" t="inlineStr">
        <is>
          <t>UNIDAD DE OFTALMOLOGIA</t>
        </is>
      </c>
      <c r="G155" s="133" t="inlineStr">
        <is>
          <t>OFTALMOLOGIA</t>
        </is>
      </c>
      <c r="H155" s="129" t="inlineStr">
        <is>
          <t>1202064-10</t>
        </is>
      </c>
      <c r="I155" s="19" t="n"/>
      <c r="J155" s="20">
        <f>IF(H155&lt;&gt;"",IFERROR(VLOOKUP(IFERROR(LEFT(H155,FIND("-",H155)-1),H155),'Catalogo MINSAL'!A:E,5,FALSE),""),IF(I155&lt;&gt;"",IFERROR(VLOOKUP(IFERROR(LEFT(I155,FIND("-",I155)-1),I155),'Catalogo MINSAL'!A:E,5,FALSE),""),""))</f>
        <v/>
      </c>
      <c r="K155" s="129" t="inlineStr">
        <is>
          <t>Luz Rojas Nef</t>
        </is>
      </c>
      <c r="L155" s="130" t="inlineStr">
        <is>
          <t>Marco Antonio Soto Sepulveda</t>
        </is>
      </c>
      <c r="M155" s="129" t="inlineStr">
        <is>
          <t>Quirofano 07</t>
        </is>
      </c>
      <c r="N155" s="136" t="inlineStr">
        <is>
          <t>Suspendido</t>
        </is>
      </c>
      <c r="O155" s="15" t="n"/>
      <c r="P155" s="27">
        <f>IFERROR(IF(OR(O155="",A155="",M155=""),"",IF(SUMPRODUCT(($A$4:$A$500=A155)*($M$4:$M$500=M155)*($O$4:$O$500&lt;&gt;"")*(MOD($O$4:$O$500,1)&lt;MOD(O155,1)))=0,IF(MOD(O155,1)&lt;=TIME(8,15,0),"Ingreso adecuado primera hora","Atraso primera hora"),"No aplica")),"")</f>
        <v/>
      </c>
      <c r="Q155" s="129" t="n"/>
      <c r="R155" s="15" t="n"/>
      <c r="S155" s="15" t="n"/>
      <c r="T155" s="15" t="n"/>
      <c r="U155" s="25">
        <f>IFERROR(VLOOKUP(M155,'Horario Pabellones'!$A$4:$D$17,2,FALSE),"")</f>
        <v/>
      </c>
      <c r="V155" s="25">
        <f>IFERROR(VLOOKUP(M155,'Horario Pabellones'!$A$4:$D$17,3,FALSE),"")</f>
        <v/>
      </c>
      <c r="W155" s="99">
        <f>IFERROR(VLOOKUP(M155,'Horario Pabellones'!$A$4:$D$17,4,FALSE),"")</f>
        <v/>
      </c>
      <c r="X155" s="89">
        <f>IFERROR(IF(OR(A155="",M155="",W155=""),"",(((_xludf.AGGREGATE(14,6,MOD($S$4:$S$500,1)/(($A$4:$A$500=A155)*($M$4:$M$500=M155)*($R$4:$R$500&lt;&gt;"")*($S$4:$S$500&lt;&gt;"")),1)-_xludf.AGGREGATE(15,6,MOD($R$4:$R$500,1)/(($A$4:$A$500=A155)*($M$4:$M$500=M155)*($R$4:$R$500&lt;&gt;"")*($S$4:$S$500&lt;&gt;"")),1))*1440)/60)/(W155/60)),"")</f>
        <v/>
      </c>
      <c r="Y155" s="26">
        <f>IFERROR(IF(OR(O155="",A155="",M155=""),"",(IF(ISNUMBER(O155),MOD(O155,1),TIMEVALUE(O155))-LOOKUP(2,1/(($A$4:$A$500=A155)*($M$4:$M$500=M155)*($T$4:$T$500&lt;&gt;"")*($T$4:$T$500&lt;IF(ISNUMBER(O155),MOD(O155,1),TIMEVALUE(O155)))),$T$4:$T$500))*1440),"")</f>
        <v/>
      </c>
      <c r="Z155" s="27">
        <f>IFERROR(IF(Y155="","",IF(ROUND(Y155,0)&lt;=15,"Cumple","No cumple")),"")</f>
        <v/>
      </c>
      <c r="AA155" s="129" t="n"/>
      <c r="AB155" s="26">
        <f>IFERROR(IF(OR(O155="",R155=""),"",IF(IF(ISNUMBER(R155),MOD(R155,1),TIMEVALUE(R155))&gt;=IF(ISNUMBER(O155),MOD(O155,1),TIMEVALUE(O155)),(IF(ISNUMBER(R155),MOD(R155,1),TIMEVALUE(R155))-IF(ISNUMBER(O155),MOD(O155,1),TIMEVALUE(O155)))*1440,(IF(ISNUMBER(R155),MOD(R155,1),TIMEVALUE(R155))+1-IF(ISNUMBER(O155),MOD(O155,1),TIMEVALUE(O155)))*1440)),"")</f>
        <v/>
      </c>
      <c r="AC155" s="28">
        <f>IFERROR(IF(OR(R155="",S155=""),"",IF(IF(ISNUMBER(S155),MOD(S155,1),TIMEVALUE(S155))&gt;=IF(ISNUMBER(R155),MOD(R155,1),TIMEVALUE(R155)),(IF(ISNUMBER(S155),MOD(S155,1),TIMEVALUE(S155))-IF(ISNUMBER(R155),MOD(R155,1),TIMEVALUE(R155)))*1440,(IF(ISNUMBER(S155),MOD(S155,1),TIMEVALUE(S155))+1-IF(ISNUMBER(R155),MOD(R155,1),TIMEVALUE(R155)))*1440)),"")</f>
        <v/>
      </c>
      <c r="AD155" s="129" t="n">
        <v>30</v>
      </c>
      <c r="AE155" s="26">
        <f>IFERROR(IF(OR(AC155="",AD155=""),"",AC155-AD155),"")</f>
        <v/>
      </c>
      <c r="AF155" s="27">
        <f>IFERROR(IF(AE155="","",IF(ROUND(AE155,0)&gt;15,"Subestimacion",IF(ROUND(AE155,0)&lt;-15,"Sobrestimacion","Asertivo"))),"")</f>
        <v/>
      </c>
      <c r="AG155" s="19" t="n"/>
      <c r="AH155" s="19" t="inlineStr">
        <is>
          <t>Rechaza cirugia</t>
        </is>
      </c>
      <c r="AI155" s="19" t="inlineStr">
        <is>
          <t>Rechaza cirugia</t>
        </is>
      </c>
      <c r="AJ155" s="129" t="inlineStr">
        <is>
          <t>Rechaza Cirugia</t>
        </is>
      </c>
      <c r="AK155" s="19" t="n"/>
      <c r="AL155" s="19" t="n"/>
      <c r="AM155" s="19" t="n"/>
      <c r="AN155" s="19" t="n"/>
      <c r="AO155" s="19" t="n"/>
      <c r="AP155" s="127">
        <f>IF(A155="","",A155-WEEKDAY(A155,2)+1)</f>
        <v/>
      </c>
      <c r="AQ155" s="127">
        <f>IF(AO155="","",AO155+6)</f>
        <v/>
      </c>
      <c r="AR155" s="19">
        <f>IF(AO155="","","Semana "&amp;TEXT(AO155,"dd-mm-yyyy")&amp;" al "&amp;TEXT(AP155,"dd-mm-yyyy"))</f>
        <v/>
      </c>
      <c r="AS155" s="19">
        <f>IF(A155="","",TEXT(A155,"mmmm yyyy"))</f>
        <v/>
      </c>
      <c r="AT155" s="19">
        <f>IF(A155="","",TEXT(A155,"dddd"))</f>
        <v/>
      </c>
      <c r="AU155" s="19">
        <f>IF(A155="","","CRR-"&amp;TEXT(A155,"yyyymmdd")&amp;"-"&amp;M155&amp;"-"&amp;TEXT(ROW()-3,"0000"))</f>
        <v/>
      </c>
      <c r="AV155" s="19">
        <f>IF(A155="","",IF(OR(B155="",C155="",E155="",F155="",M155="",N155=""),"Revisar campos obligatorios",IF(AND(P155="Atraso primera hora",Q155=""),"Falta justificación atraso primera hora",IF(AND(Z155="No cumple",AA155=""),"Falta justificación recambio &gt;15 min",IF(AND(ISNUMBER(SEARCH("suspend",N155)),OR(AG155="",AH155="")),"Falta causa/motivo suspensión","OK")))))</f>
        <v/>
      </c>
      <c r="AW155" s="19">
        <f>IF(N155="","",IF(ISNUMBER(SEARCH("suspend",N155)),IF(AND(AG155="",AH155=""),"Sin causa/motivo registrado",IF(AG155="",AH155,IF(AH155="",AG155,AG155&amp;": "&amp;AH155))),""))</f>
        <v/>
      </c>
    </row>
    <row r="156" ht="16" customHeight="1" s="151">
      <c r="A156" s="128" t="n">
        <v>46181</v>
      </c>
      <c r="B156" s="130" t="inlineStr">
        <is>
          <t>BERNARDITA PAZ</t>
        </is>
      </c>
      <c r="C156" s="129" t="inlineStr">
        <is>
          <t>ORTIZ</t>
        </is>
      </c>
      <c r="D156" s="129" t="inlineStr">
        <is>
          <t>3a 1m 19d</t>
        </is>
      </c>
      <c r="E156" s="130" t="inlineStr">
        <is>
          <t>RETIRO DE TORNILLOS, CLAVOS, AGUJAS DE OSTEOSINTESIS O SIMILARES</t>
        </is>
      </c>
      <c r="F156" s="130" t="inlineStr">
        <is>
          <t>SERVICIO DE TRAUMATOLOGIA</t>
        </is>
      </c>
      <c r="G156" s="129" t="inlineStr">
        <is>
          <t>TMT INFANTIL</t>
        </is>
      </c>
      <c r="H156" s="129" t="inlineStr">
        <is>
          <t>2106003-5</t>
        </is>
      </c>
      <c r="I156" s="19" t="n"/>
      <c r="J156" s="20">
        <f>IF(H156&lt;&gt;"",IFERROR(VLOOKUP(IFERROR(LEFT(H156,FIND("-",H156)-1),H156),'Catalogo MINSAL'!A:E,5,FALSE),""),IF(I156&lt;&gt;"",IFERROR(VLOOKUP(IFERROR(LEFT(I156,FIND("-",I156)-1),I156),'Catalogo MINSAL'!A:E,5,FALSE),""),""))</f>
        <v/>
      </c>
      <c r="K156" s="129" t="inlineStr">
        <is>
          <t>Teixeira Da Silva David</t>
        </is>
      </c>
      <c r="L156" s="130" t="inlineStr">
        <is>
          <t>Dr. Isaías Sulantay Oyanedel</t>
        </is>
      </c>
      <c r="M156" s="129" t="inlineStr">
        <is>
          <t>Quirofano 14</t>
        </is>
      </c>
      <c r="N156" s="135" t="inlineStr">
        <is>
          <t>Realizado</t>
        </is>
      </c>
      <c r="O156" s="137" t="n">
        <v>0.3381944444444445</v>
      </c>
      <c r="P156" s="27">
        <f>IFERROR(IF(OR(O156="",A156="",M156=""),"",IF(SUMPRODUCT(($A$4:$A$500=A156)*($M$4:$M$500=M156)*($O$4:$O$500&lt;&gt;"")*(MOD($O$4:$O$500,1)&lt;MOD(O156,1)))=0,IF(MOD(O156,1)&lt;=TIME(8,15,0),"Ingreso adecuado primera hora","Atraso primera hora"),"No aplica")),"")</f>
        <v/>
      </c>
      <c r="Q156" s="15" t="n"/>
      <c r="R156" s="137" t="n">
        <v>0.3597222222222222</v>
      </c>
      <c r="S156" s="137" t="n">
        <v>0.3798611111111111</v>
      </c>
      <c r="T156" s="137" t="n">
        <v>0.3944444444444444</v>
      </c>
      <c r="U156" s="25">
        <f>IFERROR(VLOOKUP(M156,'Horario Pabellones'!$A$4:$D$17,2,FALSE),"")</f>
        <v/>
      </c>
      <c r="V156" s="25">
        <f>IFERROR(VLOOKUP(M156,'Horario Pabellones'!$A$4:$D$17,3,FALSE),"")</f>
        <v/>
      </c>
      <c r="W156" s="99">
        <f>IFERROR(VLOOKUP(M156,'Horario Pabellones'!$A$4:$D$17,4,FALSE),"")</f>
        <v/>
      </c>
      <c r="X156" s="89">
        <f>IFERROR(IF(OR(A156="",M156="",W156=""),"",(((_xludf.AGGREGATE(14,6,MOD($S$4:$S$500,1)/(($A$4:$A$500=A156)*($M$4:$M$500=M156)*($R$4:$R$500&lt;&gt;"")*($S$4:$S$500&lt;&gt;"")),1)-_xludf.AGGREGATE(15,6,MOD($R$4:$R$500,1)/(($A$4:$A$500=A156)*($M$4:$M$500=M156)*($R$4:$R$500&lt;&gt;"")*($S$4:$S$500&lt;&gt;"")),1))*1440)/60)/(W156/60)),"")</f>
        <v/>
      </c>
      <c r="Y156" s="26">
        <f>IFERROR(IF(OR(O156="",A156="",M156=""),"",(IF(ISNUMBER(O156),MOD(O156,1),TIMEVALUE(O156))-LOOKUP(2,1/(($A$4:$A$500=A156)*($M$4:$M$500=M156)*($T$4:$T$500&lt;&gt;"")*($T$4:$T$500&lt;IF(ISNUMBER(O156),MOD(O156,1),TIMEVALUE(O156)))),$T$4:$T$500))*1440),"")</f>
        <v/>
      </c>
      <c r="Z156" s="27">
        <f>IFERROR(IF(Y156="","",IF(ROUND(Y156,0)&lt;=15,"Cumple","No cumple")),"")</f>
        <v/>
      </c>
      <c r="AA156" s="15" t="n"/>
      <c r="AB156" s="26">
        <f>IFERROR(IF(OR(O156="",R156=""),"",IF(IF(ISNUMBER(R156),MOD(R156,1),TIMEVALUE(R156))&gt;=IF(ISNUMBER(O156),MOD(O156,1),TIMEVALUE(O156)),(IF(ISNUMBER(R156),MOD(R156,1),TIMEVALUE(R156))-IF(ISNUMBER(O156),MOD(O156,1),TIMEVALUE(O156)))*1440,(IF(ISNUMBER(R156),MOD(R156,1),TIMEVALUE(R156))+1-IF(ISNUMBER(O156),MOD(O156,1),TIMEVALUE(O156)))*1440)),"")</f>
        <v/>
      </c>
      <c r="AC156" s="28">
        <f>IFERROR(IF(OR(R156="",S156=""),"",IF(IF(ISNUMBER(S156),MOD(S156,1),TIMEVALUE(S156))&gt;=IF(ISNUMBER(R156),MOD(R156,1),TIMEVALUE(R156)),(IF(ISNUMBER(S156),MOD(S156,1),TIMEVALUE(S156))-IF(ISNUMBER(R156),MOD(R156,1),TIMEVALUE(R156)))*1440,(IF(ISNUMBER(S156),MOD(S156,1),TIMEVALUE(S156))+1-IF(ISNUMBER(R156),MOD(R156,1),TIMEVALUE(R156)))*1440)),"")</f>
        <v/>
      </c>
      <c r="AD156" s="129" t="n">
        <v>40</v>
      </c>
      <c r="AE156" s="26">
        <f>IFERROR(IF(OR(AC156="",AD156=""),"",AC156-AD156),"")</f>
        <v/>
      </c>
      <c r="AF156" s="27">
        <f>IFERROR(IF(AE156="","",IF(ROUND(AE156,0)&gt;15,"Subestimacion",IF(ROUND(AE156,0)&lt;-15,"Sobrestimacion","Asertivo"))),"")</f>
        <v/>
      </c>
      <c r="AG156" s="19" t="n"/>
      <c r="AH156" s="19" t="n"/>
      <c r="AI156" s="19" t="n"/>
      <c r="AJ156" s="15" t="n"/>
      <c r="AK156" s="19" t="n"/>
      <c r="AL156" s="19" t="n"/>
      <c r="AM156" s="19" t="n"/>
      <c r="AN156" s="19" t="n"/>
      <c r="AO156" s="19" t="n"/>
      <c r="AP156" s="127">
        <f>IF(A156="","",A156-WEEKDAY(A156,2)+1)</f>
        <v/>
      </c>
      <c r="AQ156" s="127">
        <f>IF(AO156="","",AO156+6)</f>
        <v/>
      </c>
      <c r="AR156" s="19">
        <f>IF(AO156="","","Semana "&amp;TEXT(AO156,"dd-mm-yyyy")&amp;" al "&amp;TEXT(AP156,"dd-mm-yyyy"))</f>
        <v/>
      </c>
      <c r="AS156" s="19">
        <f>IF(A156="","",TEXT(A156,"mmmm yyyy"))</f>
        <v/>
      </c>
      <c r="AT156" s="19">
        <f>IF(A156="","",TEXT(A156,"dddd"))</f>
        <v/>
      </c>
      <c r="AU156" s="19">
        <f>IF(A156="","","CRR-"&amp;TEXT(A156,"yyyymmdd")&amp;"-"&amp;M156&amp;"-"&amp;TEXT(ROW()-3,"0000"))</f>
        <v/>
      </c>
      <c r="AV156" s="19">
        <f>IF(A156="","",IF(OR(B156="",C156="",E156="",F156="",M156="",N156=""),"Revisar campos obligatorios",IF(AND(P156="Atraso primera hora",Q156=""),"Falta justificación atraso primera hora",IF(AND(Z156="No cumple",AA156=""),"Falta justificación recambio &gt;15 min",IF(AND(ISNUMBER(SEARCH("suspend",N156)),OR(AG156="",AH156="")),"Falta causa/motivo suspensión","OK")))))</f>
        <v/>
      </c>
      <c r="AW156" s="19">
        <f>IF(N156="","",IF(ISNUMBER(SEARCH("suspend",N156)),IF(AND(AG156="",AH156=""),"Sin causa/motivo registrado",IF(AG156="",AH156,IF(AH156="",AG156,AG156&amp;": "&amp;AH156))),""))</f>
        <v/>
      </c>
    </row>
    <row r="157" ht="16" customHeight="1" s="151">
      <c r="A157" s="128" t="n">
        <v>46181</v>
      </c>
      <c r="B157" s="130" t="inlineStr">
        <is>
          <t>RODRIGO ANÍBAL</t>
        </is>
      </c>
      <c r="C157" s="129" t="inlineStr">
        <is>
          <t>PÉREZ</t>
        </is>
      </c>
      <c r="D157" s="129" t="inlineStr">
        <is>
          <t>8a 11m 30d</t>
        </is>
      </c>
      <c r="E157" s="130" t="inlineStr">
        <is>
          <t>EPIFISIODESIS (FEMUR Y/O TIBIA)</t>
        </is>
      </c>
      <c r="F157" s="130" t="inlineStr">
        <is>
          <t>SERVICIO DE TRAUMATOLOGIA</t>
        </is>
      </c>
      <c r="G157" s="129" t="inlineStr">
        <is>
          <t>TMT INFANTIL</t>
        </is>
      </c>
      <c r="H157" s="129" t="inlineStr">
        <is>
          <t>2104143-8</t>
        </is>
      </c>
      <c r="I157" s="19" t="n"/>
      <c r="J157" s="20">
        <f>IF(H157&lt;&gt;"",IFERROR(VLOOKUP(IFERROR(LEFT(H157,FIND("-",H157)-1),H157),'Catalogo MINSAL'!A:E,5,FALSE),""),IF(I157&lt;&gt;"",IFERROR(VLOOKUP(IFERROR(LEFT(I157,FIND("-",I157)-1),I157),'Catalogo MINSAL'!A:E,5,FALSE),""),""))</f>
        <v/>
      </c>
      <c r="K157" s="129" t="inlineStr">
        <is>
          <t>Teixeira Da Silva David</t>
        </is>
      </c>
      <c r="L157" s="130" t="inlineStr">
        <is>
          <t>Juan Pablo Sandoval Amado</t>
        </is>
      </c>
      <c r="M157" s="129" t="inlineStr">
        <is>
          <t>Quirofano 14</t>
        </is>
      </c>
      <c r="N157" s="135" t="inlineStr">
        <is>
          <t>Realizado</t>
        </is>
      </c>
      <c r="O157" s="137" t="n">
        <v>0.4055555555555556</v>
      </c>
      <c r="P157" s="27">
        <f>IFERROR(IF(OR(O157="",A157="",M157=""),"",IF(SUMPRODUCT(($A$4:$A$500=A157)*($M$4:$M$500=M157)*($O$4:$O$500&lt;&gt;"")*(MOD($O$4:$O$500,1)&lt;MOD(O157,1)))=0,IF(MOD(O157,1)&lt;=TIME(8,15,0),"Ingreso adecuado primera hora","Atraso primera hora"),"No aplica")),"")</f>
        <v/>
      </c>
      <c r="Q157" s="15" t="n"/>
      <c r="R157" s="137" t="n">
        <v>0.4291666666666666</v>
      </c>
      <c r="S157" s="137" t="n">
        <v>0.4513888888888889</v>
      </c>
      <c r="T157" s="137" t="n">
        <v>0.4770833333333334</v>
      </c>
      <c r="U157" s="25">
        <f>IFERROR(VLOOKUP(M157,'Horario Pabellones'!$A$4:$D$17,2,FALSE),"")</f>
        <v/>
      </c>
      <c r="V157" s="25">
        <f>IFERROR(VLOOKUP(M157,'Horario Pabellones'!$A$4:$D$17,3,FALSE),"")</f>
        <v/>
      </c>
      <c r="W157" s="99">
        <f>IFERROR(VLOOKUP(M157,'Horario Pabellones'!$A$4:$D$17,4,FALSE),"")</f>
        <v/>
      </c>
      <c r="X157" s="89">
        <f>IFERROR(IF(OR(A157="",M157="",W157=""),"",(((_xludf.AGGREGATE(14,6,MOD($S$4:$S$500,1)/(($A$4:$A$500=A157)*($M$4:$M$500=M157)*($R$4:$R$500&lt;&gt;"")*($S$4:$S$500&lt;&gt;"")),1)-_xludf.AGGREGATE(15,6,MOD($R$4:$R$500,1)/(($A$4:$A$500=A157)*($M$4:$M$500=M157)*($R$4:$R$500&lt;&gt;"")*($S$4:$S$500&lt;&gt;"")),1))*1440)/60)/(W157/60)),"")</f>
        <v/>
      </c>
      <c r="Y157" s="26">
        <f>IFERROR(IF(OR(O157="",A157="",M157=""),"",(IF(ISNUMBER(O157),MOD(O157,1),TIMEVALUE(O157))-LOOKUP(2,1/(($A$4:$A$500=A157)*($M$4:$M$500=M157)*($T$4:$T$500&lt;&gt;"")*($T$4:$T$500&lt;IF(ISNUMBER(O157),MOD(O157,1),TIMEVALUE(O157)))),$T$4:$T$500))*1440),"")</f>
        <v/>
      </c>
      <c r="Z157" s="27">
        <f>IFERROR(IF(Y157="","",IF(ROUND(Y157,0)&lt;=15,"Cumple","No cumple")),"")</f>
        <v/>
      </c>
      <c r="AA157" s="15" t="inlineStr">
        <is>
          <t>Revision de cajas</t>
        </is>
      </c>
      <c r="AB157" s="26">
        <f>IFERROR(IF(OR(O157="",R157=""),"",IF(IF(ISNUMBER(R157),MOD(R157,1),TIMEVALUE(R157))&gt;=IF(ISNUMBER(O157),MOD(O157,1),TIMEVALUE(O157)),(IF(ISNUMBER(R157),MOD(R157,1),TIMEVALUE(R157))-IF(ISNUMBER(O157),MOD(O157,1),TIMEVALUE(O157)))*1440,(IF(ISNUMBER(R157),MOD(R157,1),TIMEVALUE(R157))+1-IF(ISNUMBER(O157),MOD(O157,1),TIMEVALUE(O157)))*1440)),"")</f>
        <v/>
      </c>
      <c r="AC157" s="28">
        <f>IFERROR(IF(OR(R157="",S157=""),"",IF(IF(ISNUMBER(S157),MOD(S157,1),TIMEVALUE(S157))&gt;=IF(ISNUMBER(R157),MOD(R157,1),TIMEVALUE(R157)),(IF(ISNUMBER(S157),MOD(S157,1),TIMEVALUE(S157))-IF(ISNUMBER(R157),MOD(R157,1),TIMEVALUE(R157)))*1440,(IF(ISNUMBER(S157),MOD(S157,1),TIMEVALUE(S157))+1-IF(ISNUMBER(R157),MOD(R157,1),TIMEVALUE(R157)))*1440)),"")</f>
        <v/>
      </c>
      <c r="AD157" s="129" t="n">
        <v>40</v>
      </c>
      <c r="AE157" s="26">
        <f>IFERROR(IF(OR(AC157="",AD157=""),"",AC157-AD157),"")</f>
        <v/>
      </c>
      <c r="AF157" s="27">
        <f>IFERROR(IF(AE157="","",IF(ROUND(AE157,0)&gt;15,"Subestimacion",IF(ROUND(AE157,0)&lt;-15,"Sobrestimacion","Asertivo"))),"")</f>
        <v/>
      </c>
      <c r="AG157" s="19" t="n"/>
      <c r="AH157" s="19" t="n"/>
      <c r="AI157" s="19" t="n"/>
      <c r="AJ157" s="15" t="n"/>
      <c r="AK157" s="19" t="n"/>
      <c r="AL157" s="19" t="n"/>
      <c r="AM157" s="19" t="n"/>
      <c r="AN157" s="19" t="n"/>
      <c r="AO157" s="19" t="n"/>
      <c r="AP157" s="127">
        <f>IF(A157="","",A157-WEEKDAY(A157,2)+1)</f>
        <v/>
      </c>
      <c r="AQ157" s="127">
        <f>IF(AO157="","",AO157+6)</f>
        <v/>
      </c>
      <c r="AR157" s="19">
        <f>IF(AO157="","","Semana "&amp;TEXT(AO157,"dd-mm-yyyy")&amp;" al "&amp;TEXT(AP157,"dd-mm-yyyy"))</f>
        <v/>
      </c>
      <c r="AS157" s="19">
        <f>IF(A157="","",TEXT(A157,"mmmm yyyy"))</f>
        <v/>
      </c>
      <c r="AT157" s="19">
        <f>IF(A157="","",TEXT(A157,"dddd"))</f>
        <v/>
      </c>
      <c r="AU157" s="19">
        <f>IF(A157="","","CRR-"&amp;TEXT(A157,"yyyymmdd")&amp;"-"&amp;M157&amp;"-"&amp;TEXT(ROW()-3,"0000"))</f>
        <v/>
      </c>
      <c r="AV157" s="19">
        <f>IF(A157="","",IF(OR(B157="",C157="",E157="",F157="",M157="",N157=""),"Revisar campos obligatorios",IF(AND(P157="Atraso primera hora",Q157=""),"Falta justificación atraso primera hora",IF(AND(Z157="No cumple",AA157=""),"Falta justificación recambio &gt;15 min",IF(AND(ISNUMBER(SEARCH("suspend",N157)),OR(AG157="",AH157="")),"Falta causa/motivo suspensión","OK")))))</f>
        <v/>
      </c>
      <c r="AW157" s="19">
        <f>IF(N157="","",IF(ISNUMBER(SEARCH("suspend",N157)),IF(AND(AG157="",AH157=""),"Sin causa/motivo registrado",IF(AG157="",AH157,IF(AH157="",AG157,AG157&amp;": "&amp;AH157))),""))</f>
        <v/>
      </c>
    </row>
    <row r="158" ht="16" customHeight="1" s="151">
      <c r="A158" s="128" t="n">
        <v>46181</v>
      </c>
      <c r="B158" s="130" t="inlineStr">
        <is>
          <t>FACUNDO IGNACIO</t>
        </is>
      </c>
      <c r="C158" s="129" t="inlineStr">
        <is>
          <t>VENEGAS</t>
        </is>
      </c>
      <c r="D158" s="129" t="inlineStr">
        <is>
          <t>17a 5m 4d</t>
        </is>
      </c>
      <c r="E158" s="130" t="inlineStr">
        <is>
          <t>ARTROSCOPIA DIAGNOSTICA C/S BIOPSIA, C/S SECCION DE BRIDAS, EXTRACCION DE CUERPO EXTRAÑO</t>
        </is>
      </c>
      <c r="F158" s="130" t="inlineStr">
        <is>
          <t>SERVICIO DE TRAUMATOLOGIA</t>
        </is>
      </c>
      <c r="G158" s="129" t="inlineStr">
        <is>
          <t>TMT INFANTIL</t>
        </is>
      </c>
      <c r="H158" s="129" t="inlineStr">
        <is>
          <t>2104001-3</t>
        </is>
      </c>
      <c r="I158" s="19" t="n"/>
      <c r="J158" s="20">
        <f>IF(H158&lt;&gt;"",IFERROR(VLOOKUP(IFERROR(LEFT(H158,FIND("-",H158)-1),H158),'Catalogo MINSAL'!A:E,5,FALSE),""),IF(I158&lt;&gt;"",IFERROR(VLOOKUP(IFERROR(LEFT(I158,FIND("-",I158)-1),I158),'Catalogo MINSAL'!A:E,5,FALSE),""),""))</f>
        <v/>
      </c>
      <c r="K158" s="129" t="inlineStr">
        <is>
          <t>Teixeira Da Silva David</t>
        </is>
      </c>
      <c r="L158" s="130" t="inlineStr">
        <is>
          <t>Dr. Camilo Garcia</t>
        </is>
      </c>
      <c r="M158" s="129" t="inlineStr">
        <is>
          <t>Quirofano 14</t>
        </is>
      </c>
      <c r="N158" s="135" t="inlineStr">
        <is>
          <t>Realizado</t>
        </is>
      </c>
      <c r="O158" s="137" t="n">
        <v>0.4979166666666667</v>
      </c>
      <c r="P158" s="27">
        <f>IFERROR(IF(OR(O158="",A158="",M158=""),"",IF(SUMPRODUCT(($A$4:$A$500=A158)*($M$4:$M$500=M158)*($O$4:$O$500&lt;&gt;"")*(MOD($O$4:$O$500,1)&lt;MOD(O158,1)))=0,IF(MOD(O158,1)&lt;=TIME(8,15,0),"Ingreso adecuado primera hora","Atraso primera hora"),"No aplica")),"")</f>
        <v/>
      </c>
      <c r="Q158" s="15" t="n"/>
      <c r="R158" s="137" t="n">
        <v>0.5277777777777778</v>
      </c>
      <c r="S158" s="137" t="n">
        <v>0.5944444444444444</v>
      </c>
      <c r="T158" s="137" t="n">
        <v>0.60625</v>
      </c>
      <c r="U158" s="25">
        <f>IFERROR(VLOOKUP(M158,'Horario Pabellones'!$A$4:$D$17,2,FALSE),"")</f>
        <v/>
      </c>
      <c r="V158" s="25">
        <f>IFERROR(VLOOKUP(M158,'Horario Pabellones'!$A$4:$D$17,3,FALSE),"")</f>
        <v/>
      </c>
      <c r="W158" s="99">
        <f>IFERROR(VLOOKUP(M158,'Horario Pabellones'!$A$4:$D$17,4,FALSE),"")</f>
        <v/>
      </c>
      <c r="X158" s="89">
        <f>IFERROR(IF(OR(A158="",M158="",W158=""),"",(((_xludf.AGGREGATE(14,6,MOD($S$4:$S$500,1)/(($A$4:$A$500=A158)*($M$4:$M$500=M158)*($R$4:$R$500&lt;&gt;"")*($S$4:$S$500&lt;&gt;"")),1)-_xludf.AGGREGATE(15,6,MOD($R$4:$R$500,1)/(($A$4:$A$500=A158)*($M$4:$M$500=M158)*($R$4:$R$500&lt;&gt;"")*($S$4:$S$500&lt;&gt;"")),1))*1440)/60)/(W158/60)),"")</f>
        <v/>
      </c>
      <c r="Y158" s="26">
        <f>IFERROR(IF(OR(O158="",A158="",M158=""),"",(IF(ISNUMBER(O158),MOD(O158,1),TIMEVALUE(O158))-LOOKUP(2,1/(($A$4:$A$500=A158)*($M$4:$M$500=M158)*($T$4:$T$500&lt;&gt;"")*($T$4:$T$500&lt;IF(ISNUMBER(O158),MOD(O158,1),TIMEVALUE(O158)))),$T$4:$T$500))*1440),"")</f>
        <v/>
      </c>
      <c r="Z158" s="27">
        <f>IFERROR(IF(Y158="","",IF(ROUND(Y158,0)&lt;=15,"Cumple","No cumple")),"")</f>
        <v/>
      </c>
      <c r="AA158" s="15" t="inlineStr">
        <is>
          <t>Revision de cajas</t>
        </is>
      </c>
      <c r="AB158" s="26">
        <f>IFERROR(IF(OR(O158="",R158=""),"",IF(IF(ISNUMBER(R158),MOD(R158,1),TIMEVALUE(R158))&gt;=IF(ISNUMBER(O158),MOD(O158,1),TIMEVALUE(O158)),(IF(ISNUMBER(R158),MOD(R158,1),TIMEVALUE(R158))-IF(ISNUMBER(O158),MOD(O158,1),TIMEVALUE(O158)))*1440,(IF(ISNUMBER(R158),MOD(R158,1),TIMEVALUE(R158))+1-IF(ISNUMBER(O158),MOD(O158,1),TIMEVALUE(O158)))*1440)),"")</f>
        <v/>
      </c>
      <c r="AC158" s="28">
        <f>IFERROR(IF(OR(R158="",S158=""),"",IF(IF(ISNUMBER(S158),MOD(S158,1),TIMEVALUE(S158))&gt;=IF(ISNUMBER(R158),MOD(R158,1),TIMEVALUE(R158)),(IF(ISNUMBER(S158),MOD(S158,1),TIMEVALUE(S158))-IF(ISNUMBER(R158),MOD(R158,1),TIMEVALUE(R158)))*1440,(IF(ISNUMBER(S158),MOD(S158,1),TIMEVALUE(S158))+1-IF(ISNUMBER(R158),MOD(R158,1),TIMEVALUE(R158)))*1440)),"")</f>
        <v/>
      </c>
      <c r="AD158" s="129" t="n">
        <v>120</v>
      </c>
      <c r="AE158" s="26">
        <f>IFERROR(IF(OR(AC158="",AD158=""),"",AC158-AD158),"")</f>
        <v/>
      </c>
      <c r="AF158" s="27">
        <f>IFERROR(IF(AE158="","",IF(ROUND(AE158,0)&gt;15,"Subestimacion",IF(ROUND(AE158,0)&lt;-15,"Sobrestimacion","Asertivo"))),"")</f>
        <v/>
      </c>
      <c r="AG158" s="19" t="n"/>
      <c r="AH158" s="19" t="n"/>
      <c r="AI158" s="19" t="n"/>
      <c r="AJ158" s="15" t="n"/>
      <c r="AK158" s="19" t="n"/>
      <c r="AL158" s="19" t="n"/>
      <c r="AM158" s="19" t="n"/>
      <c r="AN158" s="19" t="n"/>
      <c r="AO158" s="19" t="n"/>
      <c r="AP158" s="127">
        <f>IF(A158="","",A158-WEEKDAY(A158,2)+1)</f>
        <v/>
      </c>
      <c r="AQ158" s="127">
        <f>IF(AO158="","",AO158+6)</f>
        <v/>
      </c>
      <c r="AR158" s="19">
        <f>IF(AO158="","","Semana "&amp;TEXT(AO158,"dd-mm-yyyy")&amp;" al "&amp;TEXT(AP158,"dd-mm-yyyy"))</f>
        <v/>
      </c>
      <c r="AS158" s="19">
        <f>IF(A158="","",TEXT(A158,"mmmm yyyy"))</f>
        <v/>
      </c>
      <c r="AT158" s="19">
        <f>IF(A158="","",TEXT(A158,"dddd"))</f>
        <v/>
      </c>
      <c r="AU158" s="19">
        <f>IF(A158="","","CRR-"&amp;TEXT(A158,"yyyymmdd")&amp;"-"&amp;M158&amp;"-"&amp;TEXT(ROW()-3,"0000"))</f>
        <v/>
      </c>
      <c r="AV158" s="19">
        <f>IF(A158="","",IF(OR(B158="",C158="",E158="",F158="",M158="",N158=""),"Revisar campos obligatorios",IF(AND(P158="Atraso primera hora",Q158=""),"Falta justificación atraso primera hora",IF(AND(Z158="No cumple",AA158=""),"Falta justificación recambio &gt;15 min",IF(AND(ISNUMBER(SEARCH("suspend",N158)),OR(AG158="",AH158="")),"Falta causa/motivo suspensión","OK")))))</f>
        <v/>
      </c>
      <c r="AW158" s="19">
        <f>IF(N158="","",IF(ISNUMBER(SEARCH("suspend",N158)),IF(AND(AG158="",AH158=""),"Sin causa/motivo registrado",IF(AG158="",AH158,IF(AH158="",AG158,AG158&amp;": "&amp;AH158))),""))</f>
        <v/>
      </c>
    </row>
    <row r="159" ht="16" customHeight="1" s="151">
      <c r="A159" s="128" t="n">
        <v>46181</v>
      </c>
      <c r="B159" s="130" t="inlineStr">
        <is>
          <t>FELIPE NICOLÁS</t>
        </is>
      </c>
      <c r="C159" s="129" t="inlineStr">
        <is>
          <t>VILLARONGA</t>
        </is>
      </c>
      <c r="D159" s="129" t="inlineStr">
        <is>
          <t>9a 6m 25d</t>
        </is>
      </c>
      <c r="E159" s="130" t="inlineStr">
        <is>
          <t>OSTEOSINTESIS METACARPIANAS O DE FALANGES, CUALQUIER TECNICA</t>
        </is>
      </c>
      <c r="F159" s="130" t="inlineStr">
        <is>
          <t>SERVICIO DE TRAUMATOLOGIA</t>
        </is>
      </c>
      <c r="G159" s="129" t="inlineStr">
        <is>
          <t>TMT INFANTIL</t>
        </is>
      </c>
      <c r="H159" s="129" t="inlineStr">
        <is>
          <t>2104099-4</t>
        </is>
      </c>
      <c r="I159" s="19" t="n"/>
      <c r="J159" s="20">
        <f>IF(H159&lt;&gt;"",IFERROR(VLOOKUP(IFERROR(LEFT(H159,FIND("-",H159)-1),H159),'Catalogo MINSAL'!A:E,5,FALSE),""),IF(I159&lt;&gt;"",IFERROR(VLOOKUP(IFERROR(LEFT(I159,FIND("-",I159)-1),I159),'Catalogo MINSAL'!A:E,5,FALSE),""),""))</f>
        <v/>
      </c>
      <c r="K159" s="129" t="inlineStr">
        <is>
          <t>Teixeira Da Silva David</t>
        </is>
      </c>
      <c r="L159" s="130" t="inlineStr">
        <is>
          <t>Claudio Gonzalez Pineda</t>
        </is>
      </c>
      <c r="M159" s="129" t="inlineStr">
        <is>
          <t>Quirofano 14</t>
        </is>
      </c>
      <c r="N159" s="135" t="inlineStr">
        <is>
          <t>Realizado</t>
        </is>
      </c>
      <c r="O159" s="137" t="n">
        <v>0.6159722222222223</v>
      </c>
      <c r="P159" s="27">
        <f>IFERROR(IF(OR(O159="",A159="",M159=""),"",IF(SUMPRODUCT(($A$4:$A$500=A159)*($M$4:$M$500=M159)*($O$4:$O$500&lt;&gt;"")*(MOD($O$4:$O$500,1)&lt;MOD(O159,1)))=0,IF(MOD(O159,1)&lt;=TIME(8,15,0),"Ingreso adecuado primera hora","Atraso primera hora"),"No aplica")),"")</f>
        <v/>
      </c>
      <c r="Q159" s="15" t="n"/>
      <c r="R159" s="137" t="n">
        <v>0.6451388888888889</v>
      </c>
      <c r="S159" s="137" t="n">
        <v>0.6701388888888888</v>
      </c>
      <c r="T159" s="137" t="n">
        <v>0.6854166666666667</v>
      </c>
      <c r="U159" s="25">
        <f>IFERROR(VLOOKUP(M159,'Horario Pabellones'!$A$4:$D$17,2,FALSE),"")</f>
        <v/>
      </c>
      <c r="V159" s="25">
        <f>IFERROR(VLOOKUP(M159,'Horario Pabellones'!$A$4:$D$17,3,FALSE),"")</f>
        <v/>
      </c>
      <c r="W159" s="99">
        <f>IFERROR(VLOOKUP(M159,'Horario Pabellones'!$A$4:$D$17,4,FALSE),"")</f>
        <v/>
      </c>
      <c r="X159" s="89">
        <f>IFERROR(IF(OR(A159="",M159="",W159=""),"",(((_xludf.AGGREGATE(14,6,MOD($S$4:$S$500,1)/(($A$4:$A$500=A159)*($M$4:$M$500=M159)*($R$4:$R$500&lt;&gt;"")*($S$4:$S$500&lt;&gt;"")),1)-_xludf.AGGREGATE(15,6,MOD($R$4:$R$500,1)/(($A$4:$A$500=A159)*($M$4:$M$500=M159)*($R$4:$R$500&lt;&gt;"")*($S$4:$S$500&lt;&gt;"")),1))*1440)/60)/(W159/60)),"")</f>
        <v/>
      </c>
      <c r="Y159" s="26">
        <f>IFERROR(IF(OR(O159="",A159="",M159=""),"",(IF(ISNUMBER(O159),MOD(O159,1),TIMEVALUE(O159))-LOOKUP(2,1/(($A$4:$A$500=A159)*($M$4:$M$500=M159)*($T$4:$T$500&lt;&gt;"")*($T$4:$T$500&lt;IF(ISNUMBER(O159),MOD(O159,1),TIMEVALUE(O159)))),$T$4:$T$500))*1440),"")</f>
        <v/>
      </c>
      <c r="Z159" s="27">
        <f>IFERROR(IF(Y159="","",IF(ROUND(Y159,0)&lt;=15,"Cumple","No cumple")),"")</f>
        <v/>
      </c>
      <c r="AA159" s="15" t="n"/>
      <c r="AB159" s="26">
        <f>IFERROR(IF(OR(O159="",R159=""),"",IF(IF(ISNUMBER(R159),MOD(R159,1),TIMEVALUE(R159))&gt;=IF(ISNUMBER(O159),MOD(O159,1),TIMEVALUE(O159)),(IF(ISNUMBER(R159),MOD(R159,1),TIMEVALUE(R159))-IF(ISNUMBER(O159),MOD(O159,1),TIMEVALUE(O159)))*1440,(IF(ISNUMBER(R159),MOD(R159,1),TIMEVALUE(R159))+1-IF(ISNUMBER(O159),MOD(O159,1),TIMEVALUE(O159)))*1440)),"")</f>
        <v/>
      </c>
      <c r="AC159" s="28">
        <f>IFERROR(IF(OR(R159="",S159=""),"",IF(IF(ISNUMBER(S159),MOD(S159,1),TIMEVALUE(S159))&gt;=IF(ISNUMBER(R159),MOD(R159,1),TIMEVALUE(R159)),(IF(ISNUMBER(S159),MOD(S159,1),TIMEVALUE(S159))-IF(ISNUMBER(R159),MOD(R159,1),TIMEVALUE(R159)))*1440,(IF(ISNUMBER(S159),MOD(S159,1),TIMEVALUE(S159))+1-IF(ISNUMBER(R159),MOD(R159,1),TIMEVALUE(R159)))*1440)),"")</f>
        <v/>
      </c>
      <c r="AD159" s="129" t="n">
        <v>60</v>
      </c>
      <c r="AE159" s="26">
        <f>IFERROR(IF(OR(AC159="",AD159=""),"",AC159-AD159),"")</f>
        <v/>
      </c>
      <c r="AF159" s="27">
        <f>IFERROR(IF(AE159="","",IF(ROUND(AE159,0)&gt;15,"Subestimacion",IF(ROUND(AE159,0)&lt;-15,"Sobrestimacion","Asertivo"))),"")</f>
        <v/>
      </c>
      <c r="AG159" s="19" t="n"/>
      <c r="AH159" s="19" t="n"/>
      <c r="AI159" s="19" t="n"/>
      <c r="AJ159" s="15" t="n"/>
      <c r="AK159" s="19" t="n"/>
      <c r="AL159" s="19" t="n"/>
      <c r="AM159" s="19" t="n"/>
      <c r="AN159" s="19" t="n"/>
      <c r="AO159" s="19" t="n"/>
      <c r="AP159" s="127">
        <f>IF(A159="","",A159-WEEKDAY(A159,2)+1)</f>
        <v/>
      </c>
      <c r="AQ159" s="127">
        <f>IF(AO159="","",AO159+6)</f>
        <v/>
      </c>
      <c r="AR159" s="19">
        <f>IF(AO159="","","Semana "&amp;TEXT(AO159,"dd-mm-yyyy")&amp;" al "&amp;TEXT(AP159,"dd-mm-yyyy"))</f>
        <v/>
      </c>
      <c r="AS159" s="19">
        <f>IF(A159="","",TEXT(A159,"mmmm yyyy"))</f>
        <v/>
      </c>
      <c r="AT159" s="19">
        <f>IF(A159="","",TEXT(A159,"dddd"))</f>
        <v/>
      </c>
      <c r="AU159" s="19">
        <f>IF(A159="","","CRR-"&amp;TEXT(A159,"yyyymmdd")&amp;"-"&amp;M159&amp;"-"&amp;TEXT(ROW()-3,"0000"))</f>
        <v/>
      </c>
      <c r="AV159" s="19">
        <f>IF(A159="","",IF(OR(B159="",C159="",E159="",F159="",M159="",N159=""),"Revisar campos obligatorios",IF(AND(P159="Atraso primera hora",Q159=""),"Falta justificación atraso primera hora",IF(AND(Z159="No cumple",AA159=""),"Falta justificación recambio &gt;15 min",IF(AND(ISNUMBER(SEARCH("suspend",N159)),OR(AG159="",AH159="")),"Falta causa/motivo suspensión","OK")))))</f>
        <v/>
      </c>
      <c r="AW159" s="19">
        <f>IF(N159="","",IF(ISNUMBER(SEARCH("suspend",N159)),IF(AND(AG159="",AH159=""),"Sin causa/motivo registrado",IF(AG159="",AH159,IF(AH159="",AG159,AG159&amp;": "&amp;AH159))),""))</f>
        <v/>
      </c>
    </row>
    <row r="160" ht="16" customHeight="1" s="151">
      <c r="A160" s="128" t="n">
        <v>46181</v>
      </c>
      <c r="B160" s="130" t="inlineStr">
        <is>
          <t>ISIDORA ANTONIA</t>
        </is>
      </c>
      <c r="C160" s="129" t="inlineStr">
        <is>
          <t>GUZMAN</t>
        </is>
      </c>
      <c r="D160" s="129" t="inlineStr">
        <is>
          <t>11a 6m 23d</t>
        </is>
      </c>
      <c r="E160" s="130" t="inlineStr">
        <is>
          <t>EPIFISIODESIS (FEMUR Y/O TIBIA)</t>
        </is>
      </c>
      <c r="F160" s="130" t="inlineStr">
        <is>
          <t>SERVICIO DE TRAUMATOLOGIA</t>
        </is>
      </c>
      <c r="G160" s="129" t="inlineStr">
        <is>
          <t>TMT INFANTIL</t>
        </is>
      </c>
      <c r="H160" s="129" t="inlineStr">
        <is>
          <t>2104143-8</t>
        </is>
      </c>
      <c r="I160" s="19" t="n"/>
      <c r="J160" s="20">
        <f>IF(H160&lt;&gt;"",IFERROR(VLOOKUP(IFERROR(LEFT(H160,FIND("-",H160)-1),H160),'Catalogo MINSAL'!A:E,5,FALSE),""),IF(I160&lt;&gt;"",IFERROR(VLOOKUP(IFERROR(LEFT(I160,FIND("-",I160)-1),I160),'Catalogo MINSAL'!A:E,5,FALSE),""),""))</f>
        <v/>
      </c>
      <c r="K160" s="129" t="inlineStr">
        <is>
          <t>Teixeira Da Silva David</t>
        </is>
      </c>
      <c r="L160" s="130" t="inlineStr">
        <is>
          <t>Claudio Gonzalez Pineda</t>
        </is>
      </c>
      <c r="M160" s="129" t="inlineStr">
        <is>
          <t>Quirofano 14</t>
        </is>
      </c>
      <c r="N160" s="135" t="inlineStr">
        <is>
          <t>Realizado</t>
        </is>
      </c>
      <c r="O160" s="137" t="n">
        <v>0.6958333333333333</v>
      </c>
      <c r="P160" s="27">
        <f>IFERROR(IF(OR(O160="",A160="",M160=""),"",IF(SUMPRODUCT(($A$4:$A$500=A160)*($M$4:$M$500=M160)*($O$4:$O$500&lt;&gt;"")*(MOD($O$4:$O$500,1)&lt;MOD(O160,1)))=0,IF(MOD(O160,1)&lt;=TIME(8,15,0),"Ingreso adecuado primera hora","Atraso primera hora"),"No aplica")),"")</f>
        <v/>
      </c>
      <c r="Q160" s="15" t="n"/>
      <c r="R160" s="137" t="n">
        <v>0.7152777777777778</v>
      </c>
      <c r="S160" s="137" t="n">
        <v>0.7777777777777778</v>
      </c>
      <c r="T160" s="137" t="n">
        <v>0.7916666666666666</v>
      </c>
      <c r="U160" s="25">
        <f>IFERROR(VLOOKUP(M160,'Horario Pabellones'!$A$4:$D$17,2,FALSE),"")</f>
        <v/>
      </c>
      <c r="V160" s="25">
        <f>IFERROR(VLOOKUP(M160,'Horario Pabellones'!$A$4:$D$17,3,FALSE),"")</f>
        <v/>
      </c>
      <c r="W160" s="99">
        <f>IFERROR(VLOOKUP(M160,'Horario Pabellones'!$A$4:$D$17,4,FALSE),"")</f>
        <v/>
      </c>
      <c r="X160" s="89">
        <f>IFERROR(IF(OR(A160="",M160="",W160=""),"",(((_xludf.AGGREGATE(14,6,MOD($S$4:$S$500,1)/(($A$4:$A$500=A160)*($M$4:$M$500=M160)*($R$4:$R$500&lt;&gt;"")*($S$4:$S$500&lt;&gt;"")),1)-_xludf.AGGREGATE(15,6,MOD($R$4:$R$500,1)/(($A$4:$A$500=A160)*($M$4:$M$500=M160)*($R$4:$R$500&lt;&gt;"")*($S$4:$S$500&lt;&gt;"")),1))*1440)/60)/(W160/60)),"")</f>
        <v/>
      </c>
      <c r="Y160" s="26">
        <f>IFERROR(IF(OR(O160="",A160="",M160=""),"",(IF(ISNUMBER(O160),MOD(O160,1),TIMEVALUE(O160))-LOOKUP(2,1/(($A$4:$A$500=A160)*($M$4:$M$500=M160)*($T$4:$T$500&lt;&gt;"")*($T$4:$T$500&lt;IF(ISNUMBER(O160),MOD(O160,1),TIMEVALUE(O160)))),$T$4:$T$500))*1440),"")</f>
        <v/>
      </c>
      <c r="Z160" s="27">
        <f>IFERROR(IF(Y160="","",IF(ROUND(Y160,0)&lt;=15,"Cumple","No cumple")),"")</f>
        <v/>
      </c>
      <c r="AA160" s="15" t="n"/>
      <c r="AB160" s="26">
        <f>IFERROR(IF(OR(O160="",R160=""),"",IF(IF(ISNUMBER(R160),MOD(R160,1),TIMEVALUE(R160))&gt;=IF(ISNUMBER(O160),MOD(O160,1),TIMEVALUE(O160)),(IF(ISNUMBER(R160),MOD(R160,1),TIMEVALUE(R160))-IF(ISNUMBER(O160),MOD(O160,1),TIMEVALUE(O160)))*1440,(IF(ISNUMBER(R160),MOD(R160,1),TIMEVALUE(R160))+1-IF(ISNUMBER(O160),MOD(O160,1),TIMEVALUE(O160)))*1440)),"")</f>
        <v/>
      </c>
      <c r="AC160" s="28">
        <f>IFERROR(IF(OR(R160="",S160=""),"",IF(IF(ISNUMBER(S160),MOD(S160,1),TIMEVALUE(S160))&gt;=IF(ISNUMBER(R160),MOD(R160,1),TIMEVALUE(R160)),(IF(ISNUMBER(S160),MOD(S160,1),TIMEVALUE(S160))-IF(ISNUMBER(R160),MOD(R160,1),TIMEVALUE(R160)))*1440,(IF(ISNUMBER(S160),MOD(S160,1),TIMEVALUE(S160))+1-IF(ISNUMBER(R160),MOD(R160,1),TIMEVALUE(R160)))*1440)),"")</f>
        <v/>
      </c>
      <c r="AD160" s="129" t="n">
        <v>90</v>
      </c>
      <c r="AE160" s="26">
        <f>IFERROR(IF(OR(AC160="",AD160=""),"",AC160-AD160),"")</f>
        <v/>
      </c>
      <c r="AF160" s="27">
        <f>IFERROR(IF(AE160="","",IF(ROUND(AE160,0)&gt;15,"Subestimacion",IF(ROUND(AE160,0)&lt;-15,"Sobrestimacion","Asertivo"))),"")</f>
        <v/>
      </c>
      <c r="AG160" s="19" t="n"/>
      <c r="AH160" s="19" t="n"/>
      <c r="AI160" s="19" t="n"/>
      <c r="AJ160" s="15" t="n"/>
      <c r="AK160" s="19" t="n"/>
      <c r="AL160" s="19" t="n"/>
      <c r="AM160" s="19" t="n"/>
      <c r="AN160" s="19" t="n"/>
      <c r="AO160" s="19" t="n"/>
      <c r="AP160" s="127">
        <f>IF(A160="","",A160-WEEKDAY(A160,2)+1)</f>
        <v/>
      </c>
      <c r="AQ160" s="127">
        <f>IF(AO160="","",AO160+6)</f>
        <v/>
      </c>
      <c r="AR160" s="19">
        <f>IF(AO160="","","Semana "&amp;TEXT(AO160,"dd-mm-yyyy")&amp;" al "&amp;TEXT(AP160,"dd-mm-yyyy"))</f>
        <v/>
      </c>
      <c r="AS160" s="19">
        <f>IF(A160="","",TEXT(A160,"mmmm yyyy"))</f>
        <v/>
      </c>
      <c r="AT160" s="19">
        <f>IF(A160="","",TEXT(A160,"dddd"))</f>
        <v/>
      </c>
      <c r="AU160" s="19">
        <f>IF(A160="","","CRR-"&amp;TEXT(A160,"yyyymmdd")&amp;"-"&amp;M160&amp;"-"&amp;TEXT(ROW()-3,"0000"))</f>
        <v/>
      </c>
      <c r="AV160" s="19">
        <f>IF(A160="","",IF(OR(B160="",C160="",E160="",F160="",M160="",N160=""),"Revisar campos obligatorios",IF(AND(P160="Atraso primera hora",Q160=""),"Falta justificación atraso primera hora",IF(AND(Z160="No cumple",AA160=""),"Falta justificación recambio &gt;15 min",IF(AND(ISNUMBER(SEARCH("suspend",N160)),OR(AG160="",AH160="")),"Falta causa/motivo suspensión","OK")))))</f>
        <v/>
      </c>
      <c r="AW160" s="19">
        <f>IF(N160="","",IF(ISNUMBER(SEARCH("suspend",N160)),IF(AND(AG160="",AH160=""),"Sin causa/motivo registrado",IF(AG160="",AH160,IF(AH160="",AG160,AG160&amp;": "&amp;AH160))),""))</f>
        <v/>
      </c>
    </row>
    <row r="161" ht="16" customHeight="1" s="151">
      <c r="A161" s="128" t="n">
        <v>46181</v>
      </c>
      <c r="B161" s="130" t="inlineStr">
        <is>
          <t>ISRAEL SALOMON</t>
        </is>
      </c>
      <c r="C161" s="129" t="inlineStr">
        <is>
          <t>CACERES</t>
        </is>
      </c>
      <c r="D161" s="129" t="inlineStr">
        <is>
          <t>0a 9m 30d</t>
        </is>
      </c>
      <c r="E161" s="130" t="inlineStr">
        <is>
          <t>POLIDACTILIA, EXTIRPACION Y PLASTIA UN LADO</t>
        </is>
      </c>
      <c r="F161" s="130" t="inlineStr">
        <is>
          <t>SERVICIO DE TRAUMATOLOGIA</t>
        </is>
      </c>
      <c r="G161" s="129" t="inlineStr">
        <is>
          <t>TMT INFANTIL</t>
        </is>
      </c>
      <c r="H161" s="129" t="inlineStr">
        <is>
          <t>1502058-5</t>
        </is>
      </c>
      <c r="I161" s="19" t="n"/>
      <c r="J161" s="20">
        <f>IF(H161&lt;&gt;"",IFERROR(VLOOKUP(IFERROR(LEFT(H161,FIND("-",H161)-1),H161),'Catalogo MINSAL'!A:E,5,FALSE),""),IF(I161&lt;&gt;"",IFERROR(VLOOKUP(IFERROR(LEFT(I161,FIND("-",I161)-1),I161),'Catalogo MINSAL'!A:E,5,FALSE),""),""))</f>
        <v/>
      </c>
      <c r="K161" s="129" t="inlineStr">
        <is>
          <t>Teixeira Da Silva David</t>
        </is>
      </c>
      <c r="L161" s="130" t="inlineStr">
        <is>
          <t>Maria Jose Rosen Petersen</t>
        </is>
      </c>
      <c r="M161" s="129" t="inlineStr">
        <is>
          <t>Quirofano 14</t>
        </is>
      </c>
      <c r="N161" s="136" t="inlineStr">
        <is>
          <t>Suspendido</t>
        </is>
      </c>
      <c r="O161" s="15" t="n"/>
      <c r="P161" s="27">
        <f>IFERROR(IF(OR(O161="",A161="",M161=""),"",IF(SUMPRODUCT(($A$4:$A$500=A161)*($M$4:$M$500=M161)*($O$4:$O$500&lt;&gt;"")*(MOD($O$4:$O$500,1)&lt;MOD(O161,1)))=0,IF(MOD(O161,1)&lt;=TIME(8,15,0),"Ingreso adecuado primera hora","Atraso primera hora"),"No aplica")),"")</f>
        <v/>
      </c>
      <c r="Q161" s="15" t="n"/>
      <c r="R161" s="15" t="n"/>
      <c r="S161" s="15" t="n"/>
      <c r="T161" s="15" t="n"/>
      <c r="U161" s="25">
        <f>IFERROR(VLOOKUP(M161,'Horario Pabellones'!$A$4:$D$17,2,FALSE),"")</f>
        <v/>
      </c>
      <c r="V161" s="25">
        <f>IFERROR(VLOOKUP(M161,'Horario Pabellones'!$A$4:$D$17,3,FALSE),"")</f>
        <v/>
      </c>
      <c r="W161" s="99">
        <f>IFERROR(VLOOKUP(M161,'Horario Pabellones'!$A$4:$D$17,4,FALSE),"")</f>
        <v/>
      </c>
      <c r="X161" s="89">
        <f>IFERROR(IF(OR(A161="",M161="",W161=""),"",(((_xludf.AGGREGATE(14,6,MOD($S$4:$S$500,1)/(($A$4:$A$500=A161)*($M$4:$M$500=M161)*($R$4:$R$500&lt;&gt;"")*($S$4:$S$500&lt;&gt;"")),1)-_xludf.AGGREGATE(15,6,MOD($R$4:$R$500,1)/(($A$4:$A$500=A161)*($M$4:$M$500=M161)*($R$4:$R$500&lt;&gt;"")*($S$4:$S$500&lt;&gt;"")),1))*1440)/60)/(W161/60)),"")</f>
        <v/>
      </c>
      <c r="Y161" s="26">
        <f>IFERROR(IF(OR(O161="",A161="",M161=""),"",(IF(ISNUMBER(O161),MOD(O161,1),TIMEVALUE(O161))-LOOKUP(2,1/(($A$4:$A$500=A161)*($M$4:$M$500=M161)*($T$4:$T$500&lt;&gt;"")*($T$4:$T$500&lt;IF(ISNUMBER(O161),MOD(O161,1),TIMEVALUE(O161)))),$T$4:$T$500))*1440),"")</f>
        <v/>
      </c>
      <c r="Z161" s="27">
        <f>IFERROR(IF(Y161="","",IF(ROUND(Y161,0)&lt;=15,"Cumple","No cumple")),"")</f>
        <v/>
      </c>
      <c r="AA161" s="15" t="n"/>
      <c r="AB161" s="26">
        <f>IFERROR(IF(OR(O161="",R161=""),"",IF(IF(ISNUMBER(R161),MOD(R161,1),TIMEVALUE(R161))&gt;=IF(ISNUMBER(O161),MOD(O161,1),TIMEVALUE(O161)),(IF(ISNUMBER(R161),MOD(R161,1),TIMEVALUE(R161))-IF(ISNUMBER(O161),MOD(O161,1),TIMEVALUE(O161)))*1440,(IF(ISNUMBER(R161),MOD(R161,1),TIMEVALUE(R161))+1-IF(ISNUMBER(O161),MOD(O161,1),TIMEVALUE(O161)))*1440)),"")</f>
        <v/>
      </c>
      <c r="AC161" s="28">
        <f>IFERROR(IF(OR(R161="",S161=""),"",IF(IF(ISNUMBER(S161),MOD(S161,1),TIMEVALUE(S161))&gt;=IF(ISNUMBER(R161),MOD(R161,1),TIMEVALUE(R161)),(IF(ISNUMBER(S161),MOD(S161,1),TIMEVALUE(S161))-IF(ISNUMBER(R161),MOD(R161,1),TIMEVALUE(R161)))*1440,(IF(ISNUMBER(S161),MOD(S161,1),TIMEVALUE(S161))+1-IF(ISNUMBER(R161),MOD(R161,1),TIMEVALUE(R161)))*1440)),"")</f>
        <v/>
      </c>
      <c r="AD161" s="15" t="n"/>
      <c r="AE161" s="26">
        <f>IFERROR(IF(OR(AC161="",AD161=""),"",AC161-AD161),"")</f>
        <v/>
      </c>
      <c r="AF161" s="27">
        <f>IFERROR(IF(AE161="","",IF(ROUND(AE161,0)&gt;15,"Subestimacion",IF(ROUND(AE161,0)&lt;-15,"Sobrestimacion","Asertivo"))),"")</f>
        <v/>
      </c>
      <c r="AG161" s="19" t="n"/>
      <c r="AH161" s="19" t="inlineStr">
        <is>
          <t>Patologia aguda</t>
        </is>
      </c>
      <c r="AI161" s="19" t="inlineStr">
        <is>
          <t>Patologia aguda</t>
        </is>
      </c>
      <c r="AJ161" s="15" t="n"/>
      <c r="AK161" s="19" t="n"/>
      <c r="AL161" s="19" t="n"/>
      <c r="AM161" s="19" t="n"/>
      <c r="AN161" s="19" t="n"/>
      <c r="AO161" s="19" t="n"/>
      <c r="AP161" s="127">
        <f>IF(A161="","",A161-WEEKDAY(A161,2)+1)</f>
        <v/>
      </c>
      <c r="AQ161" s="127">
        <f>IF(AO161="","",AO161+6)</f>
        <v/>
      </c>
      <c r="AR161" s="19">
        <f>IF(AO161="","","Semana "&amp;TEXT(AO161,"dd-mm-yyyy")&amp;" al "&amp;TEXT(AP161,"dd-mm-yyyy"))</f>
        <v/>
      </c>
      <c r="AS161" s="19">
        <f>IF(A161="","",TEXT(A161,"mmmm yyyy"))</f>
        <v/>
      </c>
      <c r="AT161" s="19">
        <f>IF(A161="","",TEXT(A161,"dddd"))</f>
        <v/>
      </c>
      <c r="AU161" s="19">
        <f>IF(A161="","","CRR-"&amp;TEXT(A161,"yyyymmdd")&amp;"-"&amp;M161&amp;"-"&amp;TEXT(ROW()-3,"0000"))</f>
        <v/>
      </c>
      <c r="AV161" s="19">
        <f>IF(A161="","",IF(OR(B161="",C161="",E161="",F161="",M161="",N161=""),"Revisar campos obligatorios",IF(AND(P161="Atraso primera hora",Q161=""),"Falta justificación atraso primera hora",IF(AND(Z161="No cumple",AA161=""),"Falta justificación recambio &gt;15 min",IF(AND(ISNUMBER(SEARCH("suspend",N161)),OR(AG161="",AH161="")),"Falta causa/motivo suspensión","OK")))))</f>
        <v/>
      </c>
      <c r="AW161" s="19">
        <f>IF(N161="","",IF(ISNUMBER(SEARCH("suspend",N161)),IF(AND(AG161="",AH161=""),"Sin causa/motivo registrado",IF(AG161="",AH161,IF(AH161="",AG161,AG161&amp;": "&amp;AH161))),""))</f>
        <v/>
      </c>
    </row>
    <row r="162" ht="16" customHeight="1" s="151">
      <c r="A162" s="128" t="n">
        <v>46182</v>
      </c>
      <c r="B162" s="130" t="inlineStr">
        <is>
          <t>MANUEL OMAR</t>
        </is>
      </c>
      <c r="C162" s="129" t="inlineStr">
        <is>
          <t>PEÑALOZA</t>
        </is>
      </c>
      <c r="D162" s="129" t="inlineStr">
        <is>
          <t>76a 10m 29d</t>
        </is>
      </c>
      <c r="E162" s="130" t="inlineStr">
        <is>
          <t>PTERIGION Y/O PSEUDOPTERIGION O SU RECIDIVA, EXTIRPACION</t>
        </is>
      </c>
      <c r="F162" s="131" t="inlineStr">
        <is>
          <t>UNIDAD DE OFTALMOLOGIA</t>
        </is>
      </c>
      <c r="G162" s="133" t="inlineStr">
        <is>
          <t>OFTALMOLOGIA</t>
        </is>
      </c>
      <c r="H162" s="129" t="inlineStr">
        <is>
          <t>1202026-4</t>
        </is>
      </c>
      <c r="I162" s="19" t="n"/>
      <c r="J162" s="20">
        <f>IF(H162&lt;&gt;"",IFERROR(VLOOKUP(IFERROR(LEFT(H162,FIND("-",H162)-1),H162),'Catalogo MINSAL'!A:E,5,FALSE),""),IF(I162&lt;&gt;"",IFERROR(VLOOKUP(IFERROR(LEFT(I162,FIND("-",I162)-1),I162),'Catalogo MINSAL'!A:E,5,FALSE),""),""))</f>
        <v/>
      </c>
      <c r="K162" s="129" t="inlineStr">
        <is>
          <t>Carlos Pinto Pinto Guerrero</t>
        </is>
      </c>
      <c r="L162" s="130" t="inlineStr">
        <is>
          <t>Dr. Arturo Hillerns Eltit</t>
        </is>
      </c>
      <c r="M162" s="129" t="inlineStr">
        <is>
          <t>Quirofano 08</t>
        </is>
      </c>
      <c r="N162" s="135" t="inlineStr">
        <is>
          <t>Realizado</t>
        </is>
      </c>
      <c r="O162" s="137" t="n">
        <v>0.3506944444444444</v>
      </c>
      <c r="P162" s="27">
        <f>IFERROR(IF(OR(O162="",A162="",M162=""),"",IF(SUMPRODUCT(($A$4:$A$500=A162)*($M$4:$M$500=M162)*($O$4:$O$500&lt;&gt;"")*(MOD($O$4:$O$500,1)&lt;MOD(O162,1)))=0,IF(MOD(O162,1)&lt;=TIME(8,15,0),"Ingreso adecuado primera hora","Atraso primera hora"),"No aplica")),"")</f>
        <v/>
      </c>
      <c r="Q162" s="138" t="inlineStr">
        <is>
          <t>Atraso Cirujano</t>
        </is>
      </c>
      <c r="R162" s="137" t="n">
        <v>0.35625</v>
      </c>
      <c r="S162" s="137" t="n">
        <v>0.3694444444444445</v>
      </c>
      <c r="T162" s="137" t="n">
        <v>0.3722222222222222</v>
      </c>
      <c r="U162" s="25">
        <f>IFERROR(VLOOKUP(M162,'Horario Pabellones'!$A$4:$D$17,2,FALSE),"")</f>
        <v/>
      </c>
      <c r="V162" s="25">
        <f>IFERROR(VLOOKUP(M162,'Horario Pabellones'!$A$4:$D$17,3,FALSE),"")</f>
        <v/>
      </c>
      <c r="W162" s="99">
        <f>IFERROR(VLOOKUP(M162,'Horario Pabellones'!$A$4:$D$17,4,FALSE),"")</f>
        <v/>
      </c>
      <c r="X162" s="89">
        <f>IFERROR(IF(OR(A162="",M162="",W162=""),"",(((_xludf.AGGREGATE(14,6,MOD($S$4:$S$500,1)/(($A$4:$A$500=A162)*($M$4:$M$500=M162)*($R$4:$R$500&lt;&gt;"")*($S$4:$S$500&lt;&gt;"")),1)-_xludf.AGGREGATE(15,6,MOD($R$4:$R$500,1)/(($A$4:$A$500=A162)*($M$4:$M$500=M162)*($R$4:$R$500&lt;&gt;"")*($S$4:$S$500&lt;&gt;"")),1))*1440)/60)/(W162/60)),"")</f>
        <v/>
      </c>
      <c r="Y162" s="26">
        <f>IFERROR(IF(OR(O162="",A162="",M162=""),"",(IF(ISNUMBER(O162),MOD(O162,1),TIMEVALUE(O162))-LOOKUP(2,1/(($A$4:$A$500=A162)*($M$4:$M$500=M162)*($T$4:$T$500&lt;&gt;"")*($T$4:$T$500&lt;IF(ISNUMBER(O162),MOD(O162,1),TIMEVALUE(O162)))),$T$4:$T$500))*1440),"")</f>
        <v/>
      </c>
      <c r="Z162" s="27">
        <f>IFERROR(IF(Y162="","",IF(ROUND(Y162,0)&lt;=15,"Cumple","No cumple")),"")</f>
        <v/>
      </c>
      <c r="AA162" s="129" t="n"/>
      <c r="AB162" s="26">
        <f>IFERROR(IF(OR(O162="",R162=""),"",IF(IF(ISNUMBER(R162),MOD(R162,1),TIMEVALUE(R162))&gt;=IF(ISNUMBER(O162),MOD(O162,1),TIMEVALUE(O162)),(IF(ISNUMBER(R162),MOD(R162,1),TIMEVALUE(R162))-IF(ISNUMBER(O162),MOD(O162,1),TIMEVALUE(O162)))*1440,(IF(ISNUMBER(R162),MOD(R162,1),TIMEVALUE(R162))+1-IF(ISNUMBER(O162),MOD(O162,1),TIMEVALUE(O162)))*1440)),"")</f>
        <v/>
      </c>
      <c r="AC162" s="28">
        <f>IFERROR(IF(OR(R162="",S162=""),"",IF(IF(ISNUMBER(S162),MOD(S162,1),TIMEVALUE(S162))&gt;=IF(ISNUMBER(R162),MOD(R162,1),TIMEVALUE(R162)),(IF(ISNUMBER(S162),MOD(S162,1),TIMEVALUE(S162))-IF(ISNUMBER(R162),MOD(R162,1),TIMEVALUE(R162)))*1440,(IF(ISNUMBER(S162),MOD(S162,1),TIMEVALUE(S162))+1-IF(ISNUMBER(R162),MOD(R162,1),TIMEVALUE(R162)))*1440)),"")</f>
        <v/>
      </c>
      <c r="AD162" s="129" t="n">
        <v>30</v>
      </c>
      <c r="AE162" s="26">
        <f>IFERROR(IF(OR(AC162="",AD162=""),"",AC162-AD162),"")</f>
        <v/>
      </c>
      <c r="AF162" s="27">
        <f>IFERROR(IF(AE162="","",IF(ROUND(AE162,0)&gt;15,"Subestimacion",IF(ROUND(AE162,0)&lt;-15,"Sobrestimacion","Asertivo"))),"")</f>
        <v/>
      </c>
      <c r="AG162" s="19" t="n"/>
      <c r="AH162" s="19" t="n"/>
      <c r="AI162" s="19" t="n"/>
      <c r="AJ162" s="129" t="n"/>
      <c r="AK162" s="19" t="n"/>
      <c r="AL162" s="19" t="n"/>
      <c r="AM162" s="19" t="n"/>
      <c r="AN162" s="19" t="n"/>
      <c r="AO162" s="19" t="n"/>
      <c r="AP162" s="127">
        <f>IF(A162="","",A162-WEEKDAY(A162,2)+1)</f>
        <v/>
      </c>
      <c r="AQ162" s="127">
        <f>IF(AO162="","",AO162+6)</f>
        <v/>
      </c>
      <c r="AR162" s="19">
        <f>IF(AO162="","","Semana "&amp;TEXT(AO162,"dd-mm-yyyy")&amp;" al "&amp;TEXT(AP162,"dd-mm-yyyy"))</f>
        <v/>
      </c>
      <c r="AS162" s="19">
        <f>IF(A162="","",TEXT(A162,"mmmm yyyy"))</f>
        <v/>
      </c>
      <c r="AT162" s="19">
        <f>IF(A162="","",TEXT(A162,"dddd"))</f>
        <v/>
      </c>
      <c r="AU162" s="19">
        <f>IF(A162="","","CRR-"&amp;TEXT(A162,"yyyymmdd")&amp;"-"&amp;M162&amp;"-"&amp;TEXT(ROW()-3,"0000"))</f>
        <v/>
      </c>
      <c r="AV162" s="19">
        <f>IF(A162="","",IF(OR(B162="",C162="",E162="",F162="",M162="",N162=""),"Revisar campos obligatorios",IF(AND(P162="Atraso primera hora",Q162=""),"Falta justificación atraso primera hora",IF(AND(Z162="No cumple",AA162=""),"Falta justificación recambio &gt;15 min",IF(AND(ISNUMBER(SEARCH("suspend",N162)),OR(AG162="",AH162="")),"Falta causa/motivo suspensión","OK")))))</f>
        <v/>
      </c>
      <c r="AW162" s="19">
        <f>IF(N162="","",IF(ISNUMBER(SEARCH("suspend",N162)),IF(AND(AG162="",AH162=""),"Sin causa/motivo registrado",IF(AG162="",AH162,IF(AH162="",AG162,AG162&amp;": "&amp;AH162))),""))</f>
        <v/>
      </c>
    </row>
    <row r="163" ht="16" customHeight="1" s="151">
      <c r="A163" s="128" t="n">
        <v>46182</v>
      </c>
      <c r="B163" s="130" t="inlineStr">
        <is>
          <t>JUAN SEBASTIÁN</t>
        </is>
      </c>
      <c r="C163" s="129" t="inlineStr">
        <is>
          <t>LARA</t>
        </is>
      </c>
      <c r="D163" s="129" t="inlineStr">
        <is>
          <t>73a 2m 17d</t>
        </is>
      </c>
      <c r="E163" s="130" t="inlineStr">
        <is>
          <t>- FACOERESIS EXTRACAPSULAR CON IMPLANTE DE LENTE INTRAOCULAR (NO INCLUYE EL VALOR DE LA PROTESIS)</t>
        </is>
      </c>
      <c r="F163" s="131" t="inlineStr">
        <is>
          <t>UNIDAD DE OFTALMOLOGIA</t>
        </is>
      </c>
      <c r="G163" s="133" t="inlineStr">
        <is>
          <t>OFTALMOLOGIA</t>
        </is>
      </c>
      <c r="H163" s="129" t="inlineStr">
        <is>
          <t>1202064-10</t>
        </is>
      </c>
      <c r="I163" s="19" t="n"/>
      <c r="J163" s="20">
        <f>IF(H163&lt;&gt;"",IFERROR(VLOOKUP(IFERROR(LEFT(H163,FIND("-",H163)-1),H163),'Catalogo MINSAL'!A:E,5,FALSE),""),IF(I163&lt;&gt;"",IFERROR(VLOOKUP(IFERROR(LEFT(I163,FIND("-",I163)-1),I163),'Catalogo MINSAL'!A:E,5,FALSE),""),""))</f>
        <v/>
      </c>
      <c r="K163" s="129" t="inlineStr">
        <is>
          <t>Carlos Pinto Pinto Guerrero</t>
        </is>
      </c>
      <c r="L163" s="130" t="inlineStr">
        <is>
          <t>Dr. Arturo Hillerns Eltit</t>
        </is>
      </c>
      <c r="M163" s="129" t="inlineStr">
        <is>
          <t>Quirofano 08</t>
        </is>
      </c>
      <c r="N163" s="135" t="inlineStr">
        <is>
          <t>Realizado</t>
        </is>
      </c>
      <c r="O163" s="137" t="n">
        <v>0.375</v>
      </c>
      <c r="P163" s="27">
        <f>IFERROR(IF(OR(O163="",A163="",M163=""),"",IF(SUMPRODUCT(($A$4:$A$500=A163)*($M$4:$M$500=M163)*($O$4:$O$500&lt;&gt;"")*(MOD($O$4:$O$500,1)&lt;MOD(O163,1)))=0,IF(MOD(O163,1)&lt;=TIME(8,15,0),"Ingreso adecuado primera hora","Atraso primera hora"),"No aplica")),"")</f>
        <v/>
      </c>
      <c r="Q163" s="129" t="n"/>
      <c r="R163" s="137" t="n">
        <v>0.3819444444444444</v>
      </c>
      <c r="S163" s="137" t="n">
        <v>0.3986111111111111</v>
      </c>
      <c r="T163" s="137" t="n">
        <v>0.4006944444444445</v>
      </c>
      <c r="U163" s="25">
        <f>IFERROR(VLOOKUP(M163,'Horario Pabellones'!$A$4:$D$17,2,FALSE),"")</f>
        <v/>
      </c>
      <c r="V163" s="25">
        <f>IFERROR(VLOOKUP(M163,'Horario Pabellones'!$A$4:$D$17,3,FALSE),"")</f>
        <v/>
      </c>
      <c r="W163" s="99">
        <f>IFERROR(VLOOKUP(M163,'Horario Pabellones'!$A$4:$D$17,4,FALSE),"")</f>
        <v/>
      </c>
      <c r="X163" s="89">
        <f>IFERROR(IF(OR(A163="",M163="",W163=""),"",(((_xludf.AGGREGATE(14,6,MOD($S$4:$S$500,1)/(($A$4:$A$500=A163)*($M$4:$M$500=M163)*($R$4:$R$500&lt;&gt;"")*($S$4:$S$500&lt;&gt;"")),1)-_xludf.AGGREGATE(15,6,MOD($R$4:$R$500,1)/(($A$4:$A$500=A163)*($M$4:$M$500=M163)*($R$4:$R$500&lt;&gt;"")*($S$4:$S$500&lt;&gt;"")),1))*1440)/60)/(W163/60)),"")</f>
        <v/>
      </c>
      <c r="Y163" s="26">
        <f>IFERROR(IF(OR(O163="",A163="",M163=""),"",(IF(ISNUMBER(O163),MOD(O163,1),TIMEVALUE(O163))-LOOKUP(2,1/(($A$4:$A$500=A163)*($M$4:$M$500=M163)*($T$4:$T$500&lt;&gt;"")*($T$4:$T$500&lt;IF(ISNUMBER(O163),MOD(O163,1),TIMEVALUE(O163)))),$T$4:$T$500))*1440),"")</f>
        <v/>
      </c>
      <c r="Z163" s="27">
        <f>IFERROR(IF(Y163="","",IF(ROUND(Y163,0)&lt;=15,"Cumple","No cumple")),"")</f>
        <v/>
      </c>
      <c r="AA163" s="15" t="n"/>
      <c r="AB163" s="26">
        <f>IFERROR(IF(OR(O163="",R163=""),"",IF(IF(ISNUMBER(R163),MOD(R163,1),TIMEVALUE(R163))&gt;=IF(ISNUMBER(O163),MOD(O163,1),TIMEVALUE(O163)),(IF(ISNUMBER(R163),MOD(R163,1),TIMEVALUE(R163))-IF(ISNUMBER(O163),MOD(O163,1),TIMEVALUE(O163)))*1440,(IF(ISNUMBER(R163),MOD(R163,1),TIMEVALUE(R163))+1-IF(ISNUMBER(O163),MOD(O163,1),TIMEVALUE(O163)))*1440)),"")</f>
        <v/>
      </c>
      <c r="AC163" s="28">
        <f>IFERROR(IF(OR(R163="",S163=""),"",IF(IF(ISNUMBER(S163),MOD(S163,1),TIMEVALUE(S163))&gt;=IF(ISNUMBER(R163),MOD(R163,1),TIMEVALUE(R163)),(IF(ISNUMBER(S163),MOD(S163,1),TIMEVALUE(S163))-IF(ISNUMBER(R163),MOD(R163,1),TIMEVALUE(R163)))*1440,(IF(ISNUMBER(S163),MOD(S163,1),TIMEVALUE(S163))+1-IF(ISNUMBER(R163),MOD(R163,1),TIMEVALUE(R163)))*1440)),"")</f>
        <v/>
      </c>
      <c r="AD163" s="129" t="n">
        <v>30</v>
      </c>
      <c r="AE163" s="26">
        <f>IFERROR(IF(OR(AC163="",AD163=""),"",AC163-AD163),"")</f>
        <v/>
      </c>
      <c r="AF163" s="27">
        <f>IFERROR(IF(AE163="","",IF(ROUND(AE163,0)&gt;15,"Subestimacion",IF(ROUND(AE163,0)&lt;-15,"Sobrestimacion","Asertivo"))),"")</f>
        <v/>
      </c>
      <c r="AG163" s="19" t="n"/>
      <c r="AH163" s="19" t="n"/>
      <c r="AI163" s="19" t="n"/>
      <c r="AJ163" s="15" t="n"/>
      <c r="AK163" s="19" t="n"/>
      <c r="AL163" s="19" t="n"/>
      <c r="AM163" s="19" t="n"/>
      <c r="AN163" s="19" t="n"/>
      <c r="AO163" s="19" t="n"/>
      <c r="AP163" s="127">
        <f>IF(A163="","",A163-WEEKDAY(A163,2)+1)</f>
        <v/>
      </c>
      <c r="AQ163" s="127">
        <f>IF(AO163="","",AO163+6)</f>
        <v/>
      </c>
      <c r="AR163" s="19">
        <f>IF(AO163="","","Semana "&amp;TEXT(AO163,"dd-mm-yyyy")&amp;" al "&amp;TEXT(AP163,"dd-mm-yyyy"))</f>
        <v/>
      </c>
      <c r="AS163" s="19">
        <f>IF(A163="","",TEXT(A163,"mmmm yyyy"))</f>
        <v/>
      </c>
      <c r="AT163" s="19">
        <f>IF(A163="","",TEXT(A163,"dddd"))</f>
        <v/>
      </c>
      <c r="AU163" s="19">
        <f>IF(A163="","","CRR-"&amp;TEXT(A163,"yyyymmdd")&amp;"-"&amp;M163&amp;"-"&amp;TEXT(ROW()-3,"0000"))</f>
        <v/>
      </c>
      <c r="AV163" s="19">
        <f>IF(A163="","",IF(OR(B163="",C163="",E163="",F163="",M163="",N163=""),"Revisar campos obligatorios",IF(AND(P163="Atraso primera hora",Q163=""),"Falta justificación atraso primera hora",IF(AND(Z163="No cumple",AA163=""),"Falta justificación recambio &gt;15 min",IF(AND(ISNUMBER(SEARCH("suspend",N163)),OR(AG163="",AH163="")),"Falta causa/motivo suspensión","OK")))))</f>
        <v/>
      </c>
      <c r="AW163" s="19">
        <f>IF(N163="","",IF(ISNUMBER(SEARCH("suspend",N163)),IF(AND(AG163="",AH163=""),"Sin causa/motivo registrado",IF(AG163="",AH163,IF(AH163="",AG163,AG163&amp;": "&amp;AH163))),""))</f>
        <v/>
      </c>
    </row>
    <row r="164" ht="16" customHeight="1" s="151">
      <c r="A164" s="128" t="n">
        <v>46182</v>
      </c>
      <c r="B164" s="130" t="inlineStr">
        <is>
          <t>MATILDE AMALIA</t>
        </is>
      </c>
      <c r="C164" s="129" t="inlineStr">
        <is>
          <t>LÓPEZ</t>
        </is>
      </c>
      <c r="D164" s="129" t="inlineStr">
        <is>
          <t>72a 10m 2d</t>
        </is>
      </c>
      <c r="E164" s="130" t="inlineStr">
        <is>
          <t>- FACOERESIS EXTRACAPSULAR CON IMPLANTE DE LENTE INTRAOCULAR (NO INCLUYE EL VALOR DE LA PROTESIS)</t>
        </is>
      </c>
      <c r="F164" s="131" t="inlineStr">
        <is>
          <t>UNIDAD DE OFTALMOLOGIA</t>
        </is>
      </c>
      <c r="G164" s="133" t="inlineStr">
        <is>
          <t>OFTALMOLOGIA</t>
        </is>
      </c>
      <c r="H164" s="129" t="inlineStr">
        <is>
          <t>1202064-10</t>
        </is>
      </c>
      <c r="I164" s="19" t="n"/>
      <c r="J164" s="20">
        <f>IF(H164&lt;&gt;"",IFERROR(VLOOKUP(IFERROR(LEFT(H164,FIND("-",H164)-1),H164),'Catalogo MINSAL'!A:E,5,FALSE),""),IF(I164&lt;&gt;"",IFERROR(VLOOKUP(IFERROR(LEFT(I164,FIND("-",I164)-1),I164),'Catalogo MINSAL'!A:E,5,FALSE),""),""))</f>
        <v/>
      </c>
      <c r="K164" s="129" t="inlineStr">
        <is>
          <t>Carlos Pinto Pinto Guerrero</t>
        </is>
      </c>
      <c r="L164" s="130" t="inlineStr">
        <is>
          <t>Dr. Arturo Hillerns Eltit</t>
        </is>
      </c>
      <c r="M164" s="129" t="inlineStr">
        <is>
          <t>Quirofano 08</t>
        </is>
      </c>
      <c r="N164" s="135" t="inlineStr">
        <is>
          <t>Realizado</t>
        </is>
      </c>
      <c r="O164" s="137" t="n">
        <v>0.4131944444444444</v>
      </c>
      <c r="P164" s="27">
        <f>IFERROR(IF(OR(O164="",A164="",M164=""),"",IF(SUMPRODUCT(($A$4:$A$500=A164)*($M$4:$M$500=M164)*($O$4:$O$500&lt;&gt;"")*(MOD($O$4:$O$500,1)&lt;MOD(O164,1)))=0,IF(MOD(O164,1)&lt;=TIME(8,15,0),"Ingreso adecuado primera hora","Atraso primera hora"),"No aplica")),"")</f>
        <v/>
      </c>
      <c r="Q164" s="129" t="n"/>
      <c r="R164" s="137" t="n">
        <v>0.4201388888888889</v>
      </c>
      <c r="S164" s="137" t="n">
        <v>0.4326388888888889</v>
      </c>
      <c r="T164" s="137" t="n">
        <v>0.4340277777777778</v>
      </c>
      <c r="U164" s="25">
        <f>IFERROR(VLOOKUP(M164,'Horario Pabellones'!$A$4:$D$17,2,FALSE),"")</f>
        <v/>
      </c>
      <c r="V164" s="25">
        <f>IFERROR(VLOOKUP(M164,'Horario Pabellones'!$A$4:$D$17,3,FALSE),"")</f>
        <v/>
      </c>
      <c r="W164" s="99">
        <f>IFERROR(VLOOKUP(M164,'Horario Pabellones'!$A$4:$D$17,4,FALSE),"")</f>
        <v/>
      </c>
      <c r="X164" s="89">
        <f>IFERROR(IF(OR(A164="",M164="",W164=""),"",(((_xludf.AGGREGATE(14,6,MOD($S$4:$S$500,1)/(($A$4:$A$500=A164)*($M$4:$M$500=M164)*($R$4:$R$500&lt;&gt;"")*($S$4:$S$500&lt;&gt;"")),1)-_xludf.AGGREGATE(15,6,MOD($R$4:$R$500,1)/(($A$4:$A$500=A164)*($M$4:$M$500=M164)*($R$4:$R$500&lt;&gt;"")*($S$4:$S$500&lt;&gt;"")),1))*1440)/60)/(W164/60)),"")</f>
        <v/>
      </c>
      <c r="Y164" s="26">
        <f>IFERROR(IF(OR(O164="",A164="",M164=""),"",(IF(ISNUMBER(O164),MOD(O164,1),TIMEVALUE(O164))-LOOKUP(2,1/(($A$4:$A$500=A164)*($M$4:$M$500=M164)*($T$4:$T$500&lt;&gt;"")*($T$4:$T$500&lt;IF(ISNUMBER(O164),MOD(O164,1),TIMEVALUE(O164)))),$T$4:$T$500))*1440),"")</f>
        <v/>
      </c>
      <c r="Z164" s="27">
        <f>IFERROR(IF(Y164="","",IF(ROUND(Y164,0)&lt;=15,"Cumple","No cumple")),"")</f>
        <v/>
      </c>
      <c r="AA164" s="129" t="inlineStr">
        <is>
          <t>Atraso de cirujano</t>
        </is>
      </c>
      <c r="AB164" s="26">
        <f>IFERROR(IF(OR(O164="",R164=""),"",IF(IF(ISNUMBER(R164),MOD(R164,1),TIMEVALUE(R164))&gt;=IF(ISNUMBER(O164),MOD(O164,1),TIMEVALUE(O164)),(IF(ISNUMBER(R164),MOD(R164,1),TIMEVALUE(R164))-IF(ISNUMBER(O164),MOD(O164,1),TIMEVALUE(O164)))*1440,(IF(ISNUMBER(R164),MOD(R164,1),TIMEVALUE(R164))+1-IF(ISNUMBER(O164),MOD(O164,1),TIMEVALUE(O164)))*1440)),"")</f>
        <v/>
      </c>
      <c r="AC164" s="28">
        <f>IFERROR(IF(OR(R164="",S164=""),"",IF(IF(ISNUMBER(S164),MOD(S164,1),TIMEVALUE(S164))&gt;=IF(ISNUMBER(R164),MOD(R164,1),TIMEVALUE(R164)),(IF(ISNUMBER(S164),MOD(S164,1),TIMEVALUE(S164))-IF(ISNUMBER(R164),MOD(R164,1),TIMEVALUE(R164)))*1440,(IF(ISNUMBER(S164),MOD(S164,1),TIMEVALUE(S164))+1-IF(ISNUMBER(R164),MOD(R164,1),TIMEVALUE(R164)))*1440)),"")</f>
        <v/>
      </c>
      <c r="AD164" s="129" t="n">
        <v>30</v>
      </c>
      <c r="AE164" s="26">
        <f>IFERROR(IF(OR(AC164="",AD164=""),"",AC164-AD164),"")</f>
        <v/>
      </c>
      <c r="AF164" s="27">
        <f>IFERROR(IF(AE164="","",IF(ROUND(AE164,0)&gt;15,"Subestimacion",IF(ROUND(AE164,0)&lt;-15,"Sobrestimacion","Asertivo"))),"")</f>
        <v/>
      </c>
      <c r="AG164" s="19" t="n"/>
      <c r="AH164" s="19" t="n"/>
      <c r="AI164" s="19" t="n"/>
      <c r="AJ164" s="129" t="n"/>
      <c r="AK164" s="19" t="n"/>
      <c r="AL164" s="19" t="n"/>
      <c r="AM164" s="19" t="n"/>
      <c r="AN164" s="19" t="n"/>
      <c r="AO164" s="19" t="n"/>
      <c r="AP164" s="127">
        <f>IF(A164="","",A164-WEEKDAY(A164,2)+1)</f>
        <v/>
      </c>
      <c r="AQ164" s="127">
        <f>IF(AO164="","",AO164+6)</f>
        <v/>
      </c>
      <c r="AR164" s="19">
        <f>IF(AO164="","","Semana "&amp;TEXT(AO164,"dd-mm-yyyy")&amp;" al "&amp;TEXT(AP164,"dd-mm-yyyy"))</f>
        <v/>
      </c>
      <c r="AS164" s="19">
        <f>IF(A164="","",TEXT(A164,"mmmm yyyy"))</f>
        <v/>
      </c>
      <c r="AT164" s="19">
        <f>IF(A164="","",TEXT(A164,"dddd"))</f>
        <v/>
      </c>
      <c r="AU164" s="19">
        <f>IF(A164="","","CRR-"&amp;TEXT(A164,"yyyymmdd")&amp;"-"&amp;M164&amp;"-"&amp;TEXT(ROW()-3,"0000"))</f>
        <v/>
      </c>
      <c r="AV164" s="19">
        <f>IF(A164="","",IF(OR(B164="",C164="",E164="",F164="",M164="",N164=""),"Revisar campos obligatorios",IF(AND(P164="Atraso primera hora",Q164=""),"Falta justificación atraso primera hora",IF(AND(Z164="No cumple",AA164=""),"Falta justificación recambio &gt;15 min",IF(AND(ISNUMBER(SEARCH("suspend",N164)),OR(AG164="",AH164="")),"Falta causa/motivo suspensión","OK")))))</f>
        <v/>
      </c>
      <c r="AW164" s="19">
        <f>IF(N164="","",IF(ISNUMBER(SEARCH("suspend",N164)),IF(AND(AG164="",AH164=""),"Sin causa/motivo registrado",IF(AG164="",AH164,IF(AH164="",AG164,AG164&amp;": "&amp;AH164))),""))</f>
        <v/>
      </c>
    </row>
    <row r="165" ht="16" customHeight="1" s="151">
      <c r="A165" s="128" t="n">
        <v>46182</v>
      </c>
      <c r="B165" s="130" t="inlineStr">
        <is>
          <t>ROSA ELVIRA</t>
        </is>
      </c>
      <c r="C165" s="129" t="inlineStr">
        <is>
          <t>RIVAS</t>
        </is>
      </c>
      <c r="D165" s="129" t="inlineStr">
        <is>
          <t>68a 5m 2d</t>
        </is>
      </c>
      <c r="E165" s="130" t="inlineStr">
        <is>
          <t>- FACOERESIS EXTRACAPSULAR CON IMPLANTE DE LENTE INTRAOCULAR (NO INCLUYE EL VALOR DE LA PROTESIS)</t>
        </is>
      </c>
      <c r="F165" s="131" t="inlineStr">
        <is>
          <t>UNIDAD DE OFTALMOLOGIA</t>
        </is>
      </c>
      <c r="G165" s="133" t="inlineStr">
        <is>
          <t>OFTALMOLOGIA</t>
        </is>
      </c>
      <c r="H165" s="129" t="inlineStr">
        <is>
          <t>1202064-10</t>
        </is>
      </c>
      <c r="I165" s="19" t="n"/>
      <c r="J165" s="20">
        <f>IF(H165&lt;&gt;"",IFERROR(VLOOKUP(IFERROR(LEFT(H165,FIND("-",H165)-1),H165),'Catalogo MINSAL'!A:E,5,FALSE),""),IF(I165&lt;&gt;"",IFERROR(VLOOKUP(IFERROR(LEFT(I165,FIND("-",I165)-1),I165),'Catalogo MINSAL'!A:E,5,FALSE),""),""))</f>
        <v/>
      </c>
      <c r="K165" s="129" t="inlineStr">
        <is>
          <t>Carlos Pinto Pinto Guerrero</t>
        </is>
      </c>
      <c r="L165" s="130" t="inlineStr">
        <is>
          <t>Dr. Arturo Hillerns Eltit</t>
        </is>
      </c>
      <c r="M165" s="129" t="inlineStr">
        <is>
          <t>Quirofano 08</t>
        </is>
      </c>
      <c r="N165" s="135" t="inlineStr">
        <is>
          <t>Realizado</t>
        </is>
      </c>
      <c r="O165" s="137" t="n">
        <v>0.4513888888888889</v>
      </c>
      <c r="P165" s="27">
        <f>IFERROR(IF(OR(O165="",A165="",M165=""),"",IF(SUMPRODUCT(($A$4:$A$500=A165)*($M$4:$M$500=M165)*($O$4:$O$500&lt;&gt;"")*(MOD($O$4:$O$500,1)&lt;MOD(O165,1)))=0,IF(MOD(O165,1)&lt;=TIME(8,15,0),"Ingreso adecuado primera hora","Atraso primera hora"),"No aplica")),"")</f>
        <v/>
      </c>
      <c r="Q165" s="129" t="n"/>
      <c r="R165" s="137" t="n">
        <v>0.4583333333333333</v>
      </c>
      <c r="S165" s="137" t="n">
        <v>0.4715277777777778</v>
      </c>
      <c r="T165" s="137" t="n">
        <v>0.4736111111111111</v>
      </c>
      <c r="U165" s="25">
        <f>IFERROR(VLOOKUP(M165,'Horario Pabellones'!$A$4:$D$17,2,FALSE),"")</f>
        <v/>
      </c>
      <c r="V165" s="25">
        <f>IFERROR(VLOOKUP(M165,'Horario Pabellones'!$A$4:$D$17,3,FALSE),"")</f>
        <v/>
      </c>
      <c r="W165" s="99">
        <f>IFERROR(VLOOKUP(M165,'Horario Pabellones'!$A$4:$D$17,4,FALSE),"")</f>
        <v/>
      </c>
      <c r="X165" s="89">
        <f>IFERROR(IF(OR(A165="",M165="",W165=""),"",(((_xludf.AGGREGATE(14,6,MOD($S$4:$S$500,1)/(($A$4:$A$500=A165)*($M$4:$M$500=M165)*($R$4:$R$500&lt;&gt;"")*($S$4:$S$500&lt;&gt;"")),1)-_xludf.AGGREGATE(15,6,MOD($R$4:$R$500,1)/(($A$4:$A$500=A165)*($M$4:$M$500=M165)*($R$4:$R$500&lt;&gt;"")*($S$4:$S$500&lt;&gt;"")),1))*1440)/60)/(W165/60)),"")</f>
        <v/>
      </c>
      <c r="Y165" s="26">
        <f>IFERROR(IF(OR(O165="",A165="",M165=""),"",(IF(ISNUMBER(O165),MOD(O165,1),TIMEVALUE(O165))-LOOKUP(2,1/(($A$4:$A$500=A165)*($M$4:$M$500=M165)*($T$4:$T$500&lt;&gt;"")*($T$4:$T$500&lt;IF(ISNUMBER(O165),MOD(O165,1),TIMEVALUE(O165)))),$T$4:$T$500))*1440),"")</f>
        <v/>
      </c>
      <c r="Z165" s="27">
        <f>IFERROR(IF(Y165="","",IF(ROUND(Y165,0)&lt;=15,"Cumple","No cumple")),"")</f>
        <v/>
      </c>
      <c r="AA165" s="129" t="inlineStr">
        <is>
          <t>Atraso de cirujano</t>
        </is>
      </c>
      <c r="AB165" s="26">
        <f>IFERROR(IF(OR(O165="",R165=""),"",IF(IF(ISNUMBER(R165),MOD(R165,1),TIMEVALUE(R165))&gt;=IF(ISNUMBER(O165),MOD(O165,1),TIMEVALUE(O165)),(IF(ISNUMBER(R165),MOD(R165,1),TIMEVALUE(R165))-IF(ISNUMBER(O165),MOD(O165,1),TIMEVALUE(O165)))*1440,(IF(ISNUMBER(R165),MOD(R165,1),TIMEVALUE(R165))+1-IF(ISNUMBER(O165),MOD(O165,1),TIMEVALUE(O165)))*1440)),"")</f>
        <v/>
      </c>
      <c r="AC165" s="28">
        <f>IFERROR(IF(OR(R165="",S165=""),"",IF(IF(ISNUMBER(S165),MOD(S165,1),TIMEVALUE(S165))&gt;=IF(ISNUMBER(R165),MOD(R165,1),TIMEVALUE(R165)),(IF(ISNUMBER(S165),MOD(S165,1),TIMEVALUE(S165))-IF(ISNUMBER(R165),MOD(R165,1),TIMEVALUE(R165)))*1440,(IF(ISNUMBER(S165),MOD(S165,1),TIMEVALUE(S165))+1-IF(ISNUMBER(R165),MOD(R165,1),TIMEVALUE(R165)))*1440)),"")</f>
        <v/>
      </c>
      <c r="AD165" s="129" t="n">
        <v>30</v>
      </c>
      <c r="AE165" s="26">
        <f>IFERROR(IF(OR(AC165="",AD165=""),"",AC165-AD165),"")</f>
        <v/>
      </c>
      <c r="AF165" s="27">
        <f>IFERROR(IF(AE165="","",IF(ROUND(AE165,0)&gt;15,"Subestimacion",IF(ROUND(AE165,0)&lt;-15,"Sobrestimacion","Asertivo"))),"")</f>
        <v/>
      </c>
      <c r="AG165" s="19" t="n"/>
      <c r="AH165" s="19" t="n"/>
      <c r="AI165" s="19" t="n"/>
      <c r="AJ165" s="129" t="n"/>
      <c r="AK165" s="19" t="n"/>
      <c r="AL165" s="19" t="n"/>
      <c r="AM165" s="19" t="n"/>
      <c r="AN165" s="19" t="n"/>
      <c r="AO165" s="19" t="n"/>
      <c r="AP165" s="127">
        <f>IF(A165="","",A165-WEEKDAY(A165,2)+1)</f>
        <v/>
      </c>
      <c r="AQ165" s="127">
        <f>IF(AO165="","",AO165+6)</f>
        <v/>
      </c>
      <c r="AR165" s="19">
        <f>IF(AO165="","","Semana "&amp;TEXT(AO165,"dd-mm-yyyy")&amp;" al "&amp;TEXT(AP165,"dd-mm-yyyy"))</f>
        <v/>
      </c>
      <c r="AS165" s="19">
        <f>IF(A165="","",TEXT(A165,"mmmm yyyy"))</f>
        <v/>
      </c>
      <c r="AT165" s="19">
        <f>IF(A165="","",TEXT(A165,"dddd"))</f>
        <v/>
      </c>
      <c r="AU165" s="19">
        <f>IF(A165="","","CRR-"&amp;TEXT(A165,"yyyymmdd")&amp;"-"&amp;M165&amp;"-"&amp;TEXT(ROW()-3,"0000"))</f>
        <v/>
      </c>
      <c r="AV165" s="19">
        <f>IF(A165="","",IF(OR(B165="",C165="",E165="",F165="",M165="",N165=""),"Revisar campos obligatorios",IF(AND(P165="Atraso primera hora",Q165=""),"Falta justificación atraso primera hora",IF(AND(Z165="No cumple",AA165=""),"Falta justificación recambio &gt;15 min",IF(AND(ISNUMBER(SEARCH("suspend",N165)),OR(AG165="",AH165="")),"Falta causa/motivo suspensión","OK")))))</f>
        <v/>
      </c>
      <c r="AW165" s="19">
        <f>IF(N165="","",IF(ISNUMBER(SEARCH("suspend",N165)),IF(AND(AG165="",AH165=""),"Sin causa/motivo registrado",IF(AG165="",AH165,IF(AH165="",AG165,AG165&amp;": "&amp;AH165))),""))</f>
        <v/>
      </c>
    </row>
    <row r="166" ht="16" customHeight="1" s="151">
      <c r="A166" s="128" t="n">
        <v>46182</v>
      </c>
      <c r="B166" s="130" t="inlineStr">
        <is>
          <t>MARIANA ISABEL</t>
        </is>
      </c>
      <c r="C166" s="129" t="inlineStr">
        <is>
          <t>BAEZA</t>
        </is>
      </c>
      <c r="D166" s="129" t="inlineStr">
        <is>
          <t>62a 0m 15d</t>
        </is>
      </c>
      <c r="E166" s="130" t="inlineStr">
        <is>
          <t>- FACOERESIS EXTRACAPSULAR CON IMPLANTE DE LENTE INTRAOCULAR (NO INCLUYE EL VALOR DE LA PROTESIS)</t>
        </is>
      </c>
      <c r="F166" s="131" t="inlineStr">
        <is>
          <t>UNIDAD DE OFTALMOLOGIA</t>
        </is>
      </c>
      <c r="G166" s="133" t="inlineStr">
        <is>
          <t>OFTALMOLOGIA</t>
        </is>
      </c>
      <c r="H166" s="129" t="inlineStr">
        <is>
          <t>1202064-10</t>
        </is>
      </c>
      <c r="I166" s="19" t="n"/>
      <c r="J166" s="20">
        <f>IF(H166&lt;&gt;"",IFERROR(VLOOKUP(IFERROR(LEFT(H166,FIND("-",H166)-1),H166),'Catalogo MINSAL'!A:E,5,FALSE),""),IF(I166&lt;&gt;"",IFERROR(VLOOKUP(IFERROR(LEFT(I166,FIND("-",I166)-1),I166),'Catalogo MINSAL'!A:E,5,FALSE),""),""))</f>
        <v/>
      </c>
      <c r="K166" s="129" t="inlineStr">
        <is>
          <t>Carlos Pinto Pinto Guerrero</t>
        </is>
      </c>
      <c r="L166" s="130" t="inlineStr">
        <is>
          <t>Dr. Arturo Hillerns Eltit</t>
        </is>
      </c>
      <c r="M166" s="129" t="inlineStr">
        <is>
          <t>Quirofano 08</t>
        </is>
      </c>
      <c r="N166" s="135" t="inlineStr">
        <is>
          <t>Realizado</t>
        </is>
      </c>
      <c r="O166" s="137" t="n">
        <v>0.4965277777777778</v>
      </c>
      <c r="P166" s="27">
        <f>IFERROR(IF(OR(O166="",A166="",M166=""),"",IF(SUMPRODUCT(($A$4:$A$500=A166)*($M$4:$M$500=M166)*($O$4:$O$500&lt;&gt;"")*(MOD($O$4:$O$500,1)&lt;MOD(O166,1)))=0,IF(MOD(O166,1)&lt;=TIME(8,15,0),"Ingreso adecuado primera hora","Atraso primera hora"),"No aplica")),"")</f>
        <v/>
      </c>
      <c r="Q166" s="129" t="n"/>
      <c r="R166" s="137" t="n">
        <v>0.5020833333333333</v>
      </c>
      <c r="S166" s="137" t="n">
        <v>0.5111111111111111</v>
      </c>
      <c r="T166" s="137" t="n">
        <v>0.5125</v>
      </c>
      <c r="U166" s="25">
        <f>IFERROR(VLOOKUP(M166,'Horario Pabellones'!$A$4:$D$17,2,FALSE),"")</f>
        <v/>
      </c>
      <c r="V166" s="25">
        <f>IFERROR(VLOOKUP(M166,'Horario Pabellones'!$A$4:$D$17,3,FALSE),"")</f>
        <v/>
      </c>
      <c r="W166" s="99">
        <f>IFERROR(VLOOKUP(M166,'Horario Pabellones'!$A$4:$D$17,4,FALSE),"")</f>
        <v/>
      </c>
      <c r="X166" s="89">
        <f>IFERROR(IF(OR(A166="",M166="",W166=""),"",(((_xludf.AGGREGATE(14,6,MOD($S$4:$S$500,1)/(($A$4:$A$500=A166)*($M$4:$M$500=M166)*($R$4:$R$500&lt;&gt;"")*($S$4:$S$500&lt;&gt;"")),1)-_xludf.AGGREGATE(15,6,MOD($R$4:$R$500,1)/(($A$4:$A$500=A166)*($M$4:$M$500=M166)*($R$4:$R$500&lt;&gt;"")*($S$4:$S$500&lt;&gt;"")),1))*1440)/60)/(W166/60)),"")</f>
        <v/>
      </c>
      <c r="Y166" s="26">
        <f>IFERROR(IF(OR(O166="",A166="",M166=""),"",(IF(ISNUMBER(O166),MOD(O166,1),TIMEVALUE(O166))-LOOKUP(2,1/(($A$4:$A$500=A166)*($M$4:$M$500=M166)*($T$4:$T$500&lt;&gt;"")*($T$4:$T$500&lt;IF(ISNUMBER(O166),MOD(O166,1),TIMEVALUE(O166)))),$T$4:$T$500))*1440),"")</f>
        <v/>
      </c>
      <c r="Z166" s="27">
        <f>IFERROR(IF(Y166="","",IF(ROUND(Y166,0)&lt;=15,"Cumple","No cumple")),"")</f>
        <v/>
      </c>
      <c r="AA166" s="129" t="inlineStr">
        <is>
          <t>Atraso de cirujano</t>
        </is>
      </c>
      <c r="AB166" s="26">
        <f>IFERROR(IF(OR(O166="",R166=""),"",IF(IF(ISNUMBER(R166),MOD(R166,1),TIMEVALUE(R166))&gt;=IF(ISNUMBER(O166),MOD(O166,1),TIMEVALUE(O166)),(IF(ISNUMBER(R166),MOD(R166,1),TIMEVALUE(R166))-IF(ISNUMBER(O166),MOD(O166,1),TIMEVALUE(O166)))*1440,(IF(ISNUMBER(R166),MOD(R166,1),TIMEVALUE(R166))+1-IF(ISNUMBER(O166),MOD(O166,1),TIMEVALUE(O166)))*1440)),"")</f>
        <v/>
      </c>
      <c r="AC166" s="28">
        <f>IFERROR(IF(OR(R166="",S166=""),"",IF(IF(ISNUMBER(S166),MOD(S166,1),TIMEVALUE(S166))&gt;=IF(ISNUMBER(R166),MOD(R166,1),TIMEVALUE(R166)),(IF(ISNUMBER(S166),MOD(S166,1),TIMEVALUE(S166))-IF(ISNUMBER(R166),MOD(R166,1),TIMEVALUE(R166)))*1440,(IF(ISNUMBER(S166),MOD(S166,1),TIMEVALUE(S166))+1-IF(ISNUMBER(R166),MOD(R166,1),TIMEVALUE(R166)))*1440)),"")</f>
        <v/>
      </c>
      <c r="AD166" s="129" t="n">
        <v>30</v>
      </c>
      <c r="AE166" s="26">
        <f>IFERROR(IF(OR(AC166="",AD166=""),"",AC166-AD166),"")</f>
        <v/>
      </c>
      <c r="AF166" s="27">
        <f>IFERROR(IF(AE166="","",IF(ROUND(AE166,0)&gt;15,"Subestimacion",IF(ROUND(AE166,0)&lt;-15,"Sobrestimacion","Asertivo"))),"")</f>
        <v/>
      </c>
      <c r="AG166" s="19" t="n"/>
      <c r="AH166" s="19" t="n"/>
      <c r="AI166" s="19" t="n"/>
      <c r="AJ166" s="129" t="n"/>
      <c r="AK166" s="19" t="n"/>
      <c r="AL166" s="19" t="n"/>
      <c r="AM166" s="19" t="n"/>
      <c r="AN166" s="19" t="n"/>
      <c r="AO166" s="19" t="n"/>
      <c r="AP166" s="127">
        <f>IF(A166="","",A166-WEEKDAY(A166,2)+1)</f>
        <v/>
      </c>
      <c r="AQ166" s="127">
        <f>IF(AO166="","",AO166+6)</f>
        <v/>
      </c>
      <c r="AR166" s="19">
        <f>IF(AO166="","","Semana "&amp;TEXT(AO166,"dd-mm-yyyy")&amp;" al "&amp;TEXT(AP166,"dd-mm-yyyy"))</f>
        <v/>
      </c>
      <c r="AS166" s="19">
        <f>IF(A166="","",TEXT(A166,"mmmm yyyy"))</f>
        <v/>
      </c>
      <c r="AT166" s="19">
        <f>IF(A166="","",TEXT(A166,"dddd"))</f>
        <v/>
      </c>
      <c r="AU166" s="19">
        <f>IF(A166="","","CRR-"&amp;TEXT(A166,"yyyymmdd")&amp;"-"&amp;M166&amp;"-"&amp;TEXT(ROW()-3,"0000"))</f>
        <v/>
      </c>
      <c r="AV166" s="19">
        <f>IF(A166="","",IF(OR(B166="",C166="",E166="",F166="",M166="",N166=""),"Revisar campos obligatorios",IF(AND(P166="Atraso primera hora",Q166=""),"Falta justificación atraso primera hora",IF(AND(Z166="No cumple",AA166=""),"Falta justificación recambio &gt;15 min",IF(AND(ISNUMBER(SEARCH("suspend",N166)),OR(AG166="",AH166="")),"Falta causa/motivo suspensión","OK")))))</f>
        <v/>
      </c>
      <c r="AW166" s="19">
        <f>IF(N166="","",IF(ISNUMBER(SEARCH("suspend",N166)),IF(AND(AG166="",AH166=""),"Sin causa/motivo registrado",IF(AG166="",AH166,IF(AH166="",AG166,AG166&amp;": "&amp;AH166))),""))</f>
        <v/>
      </c>
    </row>
    <row r="167" ht="16" customHeight="1" s="151">
      <c r="A167" s="128" t="n">
        <v>46182</v>
      </c>
      <c r="B167" s="130" t="inlineStr">
        <is>
          <t>HUGO AGUSTÍN</t>
        </is>
      </c>
      <c r="C167" s="129" t="inlineStr">
        <is>
          <t>CÁCERES</t>
        </is>
      </c>
      <c r="D167" s="129" t="inlineStr">
        <is>
          <t>69a 10m 4d</t>
        </is>
      </c>
      <c r="E167" s="130" t="inlineStr">
        <is>
          <t>- FACOERESIS EXTRACAPSULAR CON IMPLANTE DE LENTE INTRAOCULAR (NO INCLUYE EL VALOR DE LA PROTESIS)</t>
        </is>
      </c>
      <c r="F167" s="131" t="inlineStr">
        <is>
          <t>UNIDAD DE OFTALMOLOGIA</t>
        </is>
      </c>
      <c r="G167" s="133" t="inlineStr">
        <is>
          <t>OFTALMOLOGIA</t>
        </is>
      </c>
      <c r="H167" s="129" t="inlineStr">
        <is>
          <t>1202064-10</t>
        </is>
      </c>
      <c r="I167" s="19" t="n"/>
      <c r="J167" s="20">
        <f>IF(H167&lt;&gt;"",IFERROR(VLOOKUP(IFERROR(LEFT(H167,FIND("-",H167)-1),H167),'Catalogo MINSAL'!A:E,5,FALSE),""),IF(I167&lt;&gt;"",IFERROR(VLOOKUP(IFERROR(LEFT(I167,FIND("-",I167)-1),I167),'Catalogo MINSAL'!A:E,5,FALSE),""),""))</f>
        <v/>
      </c>
      <c r="K167" s="129" t="inlineStr">
        <is>
          <t>Carlos Pinto Pinto Guerrero</t>
        </is>
      </c>
      <c r="L167" s="130" t="inlineStr">
        <is>
          <t>Dr. Arturo Hillerns Eltit</t>
        </is>
      </c>
      <c r="M167" s="129" t="inlineStr">
        <is>
          <t>Quirofano 08</t>
        </is>
      </c>
      <c r="N167" s="135" t="inlineStr">
        <is>
          <t>Realizado</t>
        </is>
      </c>
      <c r="O167" s="137" t="n">
        <v>0.5145833333333333</v>
      </c>
      <c r="P167" s="27">
        <f>IFERROR(IF(OR(O167="",A167="",M167=""),"",IF(SUMPRODUCT(($A$4:$A$500=A167)*($M$4:$M$500=M167)*($O$4:$O$500&lt;&gt;"")*(MOD($O$4:$O$500,1)&lt;MOD(O167,1)))=0,IF(MOD(O167,1)&lt;=TIME(8,15,0),"Ingreso adecuado primera hora","Atraso primera hora"),"No aplica")),"")</f>
        <v/>
      </c>
      <c r="Q167" s="129" t="n"/>
      <c r="R167" s="137" t="n">
        <v>0.5208333333333334</v>
      </c>
      <c r="S167" s="137" t="n">
        <v>0.5263888888888889</v>
      </c>
      <c r="T167" s="137" t="n">
        <v>0.5284722222222222</v>
      </c>
      <c r="U167" s="25">
        <f>IFERROR(VLOOKUP(M167,'Horario Pabellones'!$A$4:$D$17,2,FALSE),"")</f>
        <v/>
      </c>
      <c r="V167" s="25">
        <f>IFERROR(VLOOKUP(M167,'Horario Pabellones'!$A$4:$D$17,3,FALSE),"")</f>
        <v/>
      </c>
      <c r="W167" s="99">
        <f>IFERROR(VLOOKUP(M167,'Horario Pabellones'!$A$4:$D$17,4,FALSE),"")</f>
        <v/>
      </c>
      <c r="X167" s="89">
        <f>IFERROR(IF(OR(A167="",M167="",W167=""),"",(((_xludf.AGGREGATE(14,6,MOD($S$4:$S$500,1)/(($A$4:$A$500=A167)*($M$4:$M$500=M167)*($R$4:$R$500&lt;&gt;"")*($S$4:$S$500&lt;&gt;"")),1)-_xludf.AGGREGATE(15,6,MOD($R$4:$R$500,1)/(($A$4:$A$500=A167)*($M$4:$M$500=M167)*($R$4:$R$500&lt;&gt;"")*($S$4:$S$500&lt;&gt;"")),1))*1440)/60)/(W167/60)),"")</f>
        <v/>
      </c>
      <c r="Y167" s="26">
        <f>IFERROR(IF(OR(O167="",A167="",M167=""),"",(IF(ISNUMBER(O167),MOD(O167,1),TIMEVALUE(O167))-LOOKUP(2,1/(($A$4:$A$500=A167)*($M$4:$M$500=M167)*($T$4:$T$500&lt;&gt;"")*($T$4:$T$500&lt;IF(ISNUMBER(O167),MOD(O167,1),TIMEVALUE(O167)))),$T$4:$T$500))*1440),"")</f>
        <v/>
      </c>
      <c r="Z167" s="27">
        <f>IFERROR(IF(Y167="","",IF(ROUND(Y167,0)&lt;=15,"Cumple","No cumple")),"")</f>
        <v/>
      </c>
      <c r="AA167" s="15" t="n"/>
      <c r="AB167" s="26">
        <f>IFERROR(IF(OR(O167="",R167=""),"",IF(IF(ISNUMBER(R167),MOD(R167,1),TIMEVALUE(R167))&gt;=IF(ISNUMBER(O167),MOD(O167,1),TIMEVALUE(O167)),(IF(ISNUMBER(R167),MOD(R167,1),TIMEVALUE(R167))-IF(ISNUMBER(O167),MOD(O167,1),TIMEVALUE(O167)))*1440,(IF(ISNUMBER(R167),MOD(R167,1),TIMEVALUE(R167))+1-IF(ISNUMBER(O167),MOD(O167,1),TIMEVALUE(O167)))*1440)),"")</f>
        <v/>
      </c>
      <c r="AC167" s="28">
        <f>IFERROR(IF(OR(R167="",S167=""),"",IF(IF(ISNUMBER(S167),MOD(S167,1),TIMEVALUE(S167))&gt;=IF(ISNUMBER(R167),MOD(R167,1),TIMEVALUE(R167)),(IF(ISNUMBER(S167),MOD(S167,1),TIMEVALUE(S167))-IF(ISNUMBER(R167),MOD(R167,1),TIMEVALUE(R167)))*1440,(IF(ISNUMBER(S167),MOD(S167,1),TIMEVALUE(S167))+1-IF(ISNUMBER(R167),MOD(R167,1),TIMEVALUE(R167)))*1440)),"")</f>
        <v/>
      </c>
      <c r="AD167" s="129" t="n">
        <v>30</v>
      </c>
      <c r="AE167" s="26">
        <f>IFERROR(IF(OR(AC167="",AD167=""),"",AC167-AD167),"")</f>
        <v/>
      </c>
      <c r="AF167" s="27">
        <f>IFERROR(IF(AE167="","",IF(ROUND(AE167,0)&gt;15,"Subestimacion",IF(ROUND(AE167,0)&lt;-15,"Sobrestimacion","Asertivo"))),"")</f>
        <v/>
      </c>
      <c r="AG167" s="19" t="n"/>
      <c r="AH167" s="19" t="n"/>
      <c r="AI167" s="19" t="n"/>
      <c r="AJ167" s="15" t="n"/>
      <c r="AK167" s="19" t="n"/>
      <c r="AL167" s="19" t="n"/>
      <c r="AM167" s="19" t="n"/>
      <c r="AN167" s="19" t="n"/>
      <c r="AO167" s="19" t="n"/>
      <c r="AP167" s="127">
        <f>IF(A167="","",A167-WEEKDAY(A167,2)+1)</f>
        <v/>
      </c>
      <c r="AQ167" s="127">
        <f>IF(AO167="","",AO167+6)</f>
        <v/>
      </c>
      <c r="AR167" s="19">
        <f>IF(AO167="","","Semana "&amp;TEXT(AO167,"dd-mm-yyyy")&amp;" al "&amp;TEXT(AP167,"dd-mm-yyyy"))</f>
        <v/>
      </c>
      <c r="AS167" s="19">
        <f>IF(A167="","",TEXT(A167,"mmmm yyyy"))</f>
        <v/>
      </c>
      <c r="AT167" s="19">
        <f>IF(A167="","",TEXT(A167,"dddd"))</f>
        <v/>
      </c>
      <c r="AU167" s="19">
        <f>IF(A167="","","CRR-"&amp;TEXT(A167,"yyyymmdd")&amp;"-"&amp;M167&amp;"-"&amp;TEXT(ROW()-3,"0000"))</f>
        <v/>
      </c>
      <c r="AV167" s="19">
        <f>IF(A167="","",IF(OR(B167="",C167="",E167="",F167="",M167="",N167=""),"Revisar campos obligatorios",IF(AND(P167="Atraso primera hora",Q167=""),"Falta justificación atraso primera hora",IF(AND(Z167="No cumple",AA167=""),"Falta justificación recambio &gt;15 min",IF(AND(ISNUMBER(SEARCH("suspend",N167)),OR(AG167="",AH167="")),"Falta causa/motivo suspensión","OK")))))</f>
        <v/>
      </c>
      <c r="AW167" s="19">
        <f>IF(N167="","",IF(ISNUMBER(SEARCH("suspend",N167)),IF(AND(AG167="",AH167=""),"Sin causa/motivo registrado",IF(AG167="",AH167,IF(AH167="",AG167,AG167&amp;": "&amp;AH167))),""))</f>
        <v/>
      </c>
    </row>
    <row r="168" ht="16" customHeight="1" s="151">
      <c r="A168" s="128" t="n">
        <v>46182</v>
      </c>
      <c r="B168" s="130" t="inlineStr">
        <is>
          <t>GLORIA ANGÉLICA</t>
        </is>
      </c>
      <c r="C168" s="129" t="inlineStr">
        <is>
          <t>COSTA</t>
        </is>
      </c>
      <c r="D168" s="129" t="inlineStr">
        <is>
          <t>64a 7m 18d</t>
        </is>
      </c>
      <c r="E168" s="130" t="inlineStr">
        <is>
          <t>- FACOERESIS EXTRACAPSULAR CON IMPLANTE DE LENTE INTRAOCULAR (NO INCLUYE EL VALOR DE LA PROTESIS)</t>
        </is>
      </c>
      <c r="F168" s="131" t="inlineStr">
        <is>
          <t>UNIDAD DE OFTALMOLOGIA</t>
        </is>
      </c>
      <c r="G168" s="133" t="inlineStr">
        <is>
          <t>OFTALMOLOGIA</t>
        </is>
      </c>
      <c r="H168" s="129" t="inlineStr">
        <is>
          <t>1202064-10</t>
        </is>
      </c>
      <c r="I168" s="19" t="n"/>
      <c r="J168" s="20">
        <f>IF(H168&lt;&gt;"",IFERROR(VLOOKUP(IFERROR(LEFT(H168,FIND("-",H168)-1),H168),'Catalogo MINSAL'!A:E,5,FALSE),""),IF(I168&lt;&gt;"",IFERROR(VLOOKUP(IFERROR(LEFT(I168,FIND("-",I168)-1),I168),'Catalogo MINSAL'!A:E,5,FALSE),""),""))</f>
        <v/>
      </c>
      <c r="K168" s="129" t="inlineStr">
        <is>
          <t>Carlos Pinto Pinto Guerrero</t>
        </is>
      </c>
      <c r="L168" s="130" t="inlineStr">
        <is>
          <t>Dr. Arturo Hillerns Eltit</t>
        </is>
      </c>
      <c r="M168" s="129" t="inlineStr">
        <is>
          <t>Quirofano 08</t>
        </is>
      </c>
      <c r="N168" s="135" t="inlineStr">
        <is>
          <t>Realizado</t>
        </is>
      </c>
      <c r="O168" s="137" t="n">
        <v>0.5319444444444444</v>
      </c>
      <c r="P168" s="27">
        <f>IFERROR(IF(OR(O168="",A168="",M168=""),"",IF(SUMPRODUCT(($A$4:$A$500=A168)*($M$4:$M$500=M168)*($O$4:$O$500&lt;&gt;"")*(MOD($O$4:$O$500,1)&lt;MOD(O168,1)))=0,IF(MOD(O168,1)&lt;=TIME(8,15,0),"Ingreso adecuado primera hora","Atraso primera hora"),"No aplica")),"")</f>
        <v/>
      </c>
      <c r="Q168" s="129" t="n"/>
      <c r="R168" s="137" t="n">
        <v>0.5347222222222222</v>
      </c>
      <c r="S168" s="137" t="n">
        <v>0.5409722222222222</v>
      </c>
      <c r="T168" s="137" t="n">
        <v>0.5430555555555555</v>
      </c>
      <c r="U168" s="25">
        <f>IFERROR(VLOOKUP(M168,'Horario Pabellones'!$A$4:$D$17,2,FALSE),"")</f>
        <v/>
      </c>
      <c r="V168" s="25">
        <f>IFERROR(VLOOKUP(M168,'Horario Pabellones'!$A$4:$D$17,3,FALSE),"")</f>
        <v/>
      </c>
      <c r="W168" s="99">
        <f>IFERROR(VLOOKUP(M168,'Horario Pabellones'!$A$4:$D$17,4,FALSE),"")</f>
        <v/>
      </c>
      <c r="X168" s="89">
        <f>IFERROR(IF(OR(A168="",M168="",W168=""),"",(((_xludf.AGGREGATE(14,6,MOD($S$4:$S$500,1)/(($A$4:$A$500=A168)*($M$4:$M$500=M168)*($R$4:$R$500&lt;&gt;"")*($S$4:$S$500&lt;&gt;"")),1)-_xludf.AGGREGATE(15,6,MOD($R$4:$R$500,1)/(($A$4:$A$500=A168)*($M$4:$M$500=M168)*($R$4:$R$500&lt;&gt;"")*($S$4:$S$500&lt;&gt;"")),1))*1440)/60)/(W168/60)),"")</f>
        <v/>
      </c>
      <c r="Y168" s="26">
        <f>IFERROR(IF(OR(O168="",A168="",M168=""),"",(IF(ISNUMBER(O168),MOD(O168,1),TIMEVALUE(O168))-LOOKUP(2,1/(($A$4:$A$500=A168)*($M$4:$M$500=M168)*($T$4:$T$500&lt;&gt;"")*($T$4:$T$500&lt;IF(ISNUMBER(O168),MOD(O168,1),TIMEVALUE(O168)))),$T$4:$T$500))*1440),"")</f>
        <v/>
      </c>
      <c r="Z168" s="27">
        <f>IFERROR(IF(Y168="","",IF(ROUND(Y168,0)&lt;=15,"Cumple","No cumple")),"")</f>
        <v/>
      </c>
      <c r="AA168" s="15" t="n"/>
      <c r="AB168" s="26">
        <f>IFERROR(IF(OR(O168="",R168=""),"",IF(IF(ISNUMBER(R168),MOD(R168,1),TIMEVALUE(R168))&gt;=IF(ISNUMBER(O168),MOD(O168,1),TIMEVALUE(O168)),(IF(ISNUMBER(R168),MOD(R168,1),TIMEVALUE(R168))-IF(ISNUMBER(O168),MOD(O168,1),TIMEVALUE(O168)))*1440,(IF(ISNUMBER(R168),MOD(R168,1),TIMEVALUE(R168))+1-IF(ISNUMBER(O168),MOD(O168,1),TIMEVALUE(O168)))*1440)),"")</f>
        <v/>
      </c>
      <c r="AC168" s="28">
        <f>IFERROR(IF(OR(R168="",S168=""),"",IF(IF(ISNUMBER(S168),MOD(S168,1),TIMEVALUE(S168))&gt;=IF(ISNUMBER(R168),MOD(R168,1),TIMEVALUE(R168)),(IF(ISNUMBER(S168),MOD(S168,1),TIMEVALUE(S168))-IF(ISNUMBER(R168),MOD(R168,1),TIMEVALUE(R168)))*1440,(IF(ISNUMBER(S168),MOD(S168,1),TIMEVALUE(S168))+1-IF(ISNUMBER(R168),MOD(R168,1),TIMEVALUE(R168)))*1440)),"")</f>
        <v/>
      </c>
      <c r="AD168" s="129" t="n">
        <v>30</v>
      </c>
      <c r="AE168" s="26">
        <f>IFERROR(IF(OR(AC168="",AD168=""),"",AC168-AD168),"")</f>
        <v/>
      </c>
      <c r="AF168" s="27">
        <f>IFERROR(IF(AE168="","",IF(ROUND(AE168,0)&gt;15,"Subestimacion",IF(ROUND(AE168,0)&lt;-15,"Sobrestimacion","Asertivo"))),"")</f>
        <v/>
      </c>
      <c r="AG168" s="19" t="n"/>
      <c r="AH168" s="19" t="n"/>
      <c r="AI168" s="19" t="n"/>
      <c r="AJ168" s="15" t="n"/>
      <c r="AK168" s="19" t="n"/>
      <c r="AL168" s="19" t="n"/>
      <c r="AM168" s="19" t="n"/>
      <c r="AN168" s="19" t="n"/>
      <c r="AO168" s="19" t="n"/>
      <c r="AP168" s="127">
        <f>IF(A168="","",A168-WEEKDAY(A168,2)+1)</f>
        <v/>
      </c>
      <c r="AQ168" s="127">
        <f>IF(AO168="","",AO168+6)</f>
        <v/>
      </c>
      <c r="AR168" s="19">
        <f>IF(AO168="","","Semana "&amp;TEXT(AO168,"dd-mm-yyyy")&amp;" al "&amp;TEXT(AP168,"dd-mm-yyyy"))</f>
        <v/>
      </c>
      <c r="AS168" s="19">
        <f>IF(A168="","",TEXT(A168,"mmmm yyyy"))</f>
        <v/>
      </c>
      <c r="AT168" s="19">
        <f>IF(A168="","",TEXT(A168,"dddd"))</f>
        <v/>
      </c>
      <c r="AU168" s="19">
        <f>IF(A168="","","CRR-"&amp;TEXT(A168,"yyyymmdd")&amp;"-"&amp;M168&amp;"-"&amp;TEXT(ROW()-3,"0000"))</f>
        <v/>
      </c>
      <c r="AV168" s="19">
        <f>IF(A168="","",IF(OR(B168="",C168="",E168="",F168="",M168="",N168=""),"Revisar campos obligatorios",IF(AND(P168="Atraso primera hora",Q168=""),"Falta justificación atraso primera hora",IF(AND(Z168="No cumple",AA168=""),"Falta justificación recambio &gt;15 min",IF(AND(ISNUMBER(SEARCH("suspend",N168)),OR(AG168="",AH168="")),"Falta causa/motivo suspensión","OK")))))</f>
        <v/>
      </c>
      <c r="AW168" s="19">
        <f>IF(N168="","",IF(ISNUMBER(SEARCH("suspend",N168)),IF(AND(AG168="",AH168=""),"Sin causa/motivo registrado",IF(AG168="",AH168,IF(AH168="",AG168,AG168&amp;": "&amp;AH168))),""))</f>
        <v/>
      </c>
    </row>
    <row r="169" ht="16" customHeight="1" s="151">
      <c r="A169" s="128" t="n">
        <v>46182</v>
      </c>
      <c r="B169" s="130" t="inlineStr">
        <is>
          <t>MARCO ANTONIO</t>
        </is>
      </c>
      <c r="C169" s="129" t="inlineStr">
        <is>
          <t>BARRERA</t>
        </is>
      </c>
      <c r="D169" s="129" t="inlineStr">
        <is>
          <t>57a 4m 4d</t>
        </is>
      </c>
      <c r="E169" s="130" t="inlineStr">
        <is>
          <t>- FACOERESIS EXTRACAPSULAR CON IMPLANTE DE LENTE INTRAOCULAR (NO INCLUYE EL VALOR DE LA PROTESIS)</t>
        </is>
      </c>
      <c r="F169" s="131" t="inlineStr">
        <is>
          <t>UNIDAD DE OFTALMOLOGIA</t>
        </is>
      </c>
      <c r="G169" s="133" t="inlineStr">
        <is>
          <t>OFTALMOLOGIA</t>
        </is>
      </c>
      <c r="H169" s="129" t="inlineStr">
        <is>
          <t>1202064-10</t>
        </is>
      </c>
      <c r="I169" s="19" t="n"/>
      <c r="J169" s="20">
        <f>IF(H169&lt;&gt;"",IFERROR(VLOOKUP(IFERROR(LEFT(H169,FIND("-",H169)-1),H169),'Catalogo MINSAL'!A:E,5,FALSE),""),IF(I169&lt;&gt;"",IFERROR(VLOOKUP(IFERROR(LEFT(I169,FIND("-",I169)-1),I169),'Catalogo MINSAL'!A:E,5,FALSE),""),""))</f>
        <v/>
      </c>
      <c r="K169" s="129" t="inlineStr">
        <is>
          <t>Carlos Pinto Pinto Guerrero</t>
        </is>
      </c>
      <c r="L169" s="130" t="inlineStr">
        <is>
          <t>Dr. Arturo Hillerns Eltit</t>
        </is>
      </c>
      <c r="M169" s="129" t="inlineStr">
        <is>
          <t>Quirofano 08</t>
        </is>
      </c>
      <c r="N169" s="135" t="inlineStr">
        <is>
          <t>Realizado</t>
        </is>
      </c>
      <c r="O169" s="137" t="n">
        <v>0.5972222222222222</v>
      </c>
      <c r="P169" s="27">
        <f>IFERROR(IF(OR(O169="",A169="",M169=""),"",IF(SUMPRODUCT(($A$4:$A$500=A169)*($M$4:$M$500=M169)*($O$4:$O$500&lt;&gt;"")*(MOD($O$4:$O$500,1)&lt;MOD(O169,1)))=0,IF(MOD(O169,1)&lt;=TIME(8,15,0),"Ingreso adecuado primera hora","Atraso primera hora"),"No aplica")),"")</f>
        <v/>
      </c>
      <c r="Q169" s="129" t="n"/>
      <c r="R169" s="137" t="n">
        <v>0.6097222222222223</v>
      </c>
      <c r="S169" s="137" t="n">
        <v>0.625</v>
      </c>
      <c r="T169" s="137" t="n">
        <v>0.6263888888888889</v>
      </c>
      <c r="U169" s="25">
        <f>IFERROR(VLOOKUP(M169,'Horario Pabellones'!$A$4:$D$17,2,FALSE),"")</f>
        <v/>
      </c>
      <c r="V169" s="25">
        <f>IFERROR(VLOOKUP(M169,'Horario Pabellones'!$A$4:$D$17,3,FALSE),"")</f>
        <v/>
      </c>
      <c r="W169" s="99">
        <f>IFERROR(VLOOKUP(M169,'Horario Pabellones'!$A$4:$D$17,4,FALSE),"")</f>
        <v/>
      </c>
      <c r="X169" s="89">
        <f>IFERROR(IF(OR(A169="",M169="",W169=""),"",(((_xludf.AGGREGATE(14,6,MOD($S$4:$S$500,1)/(($A$4:$A$500=A169)*($M$4:$M$500=M169)*($R$4:$R$500&lt;&gt;"")*($S$4:$S$500&lt;&gt;"")),1)-_xludf.AGGREGATE(15,6,MOD($R$4:$R$500,1)/(($A$4:$A$500=A169)*($M$4:$M$500=M169)*($R$4:$R$500&lt;&gt;"")*($S$4:$S$500&lt;&gt;"")),1))*1440)/60)/(W169/60)),"")</f>
        <v/>
      </c>
      <c r="Y169" s="26">
        <f>IFERROR(IF(OR(O169="",A169="",M169=""),"",(IF(ISNUMBER(O169),MOD(O169,1),TIMEVALUE(O169))-LOOKUP(2,1/(($A$4:$A$500=A169)*($M$4:$M$500=M169)*($T$4:$T$500&lt;&gt;"")*($T$4:$T$500&lt;IF(ISNUMBER(O169),MOD(O169,1),TIMEVALUE(O169)))),$T$4:$T$500))*1440),"")</f>
        <v/>
      </c>
      <c r="Z169" s="27">
        <f>IFERROR(IF(Y169="","",IF(ROUND(Y169,0)&lt;=15,"Cumple","No cumple")),"")</f>
        <v/>
      </c>
      <c r="AA169" s="15" t="n"/>
      <c r="AB169" s="26">
        <f>IFERROR(IF(OR(O169="",R169=""),"",IF(IF(ISNUMBER(R169),MOD(R169,1),TIMEVALUE(R169))&gt;=IF(ISNUMBER(O169),MOD(O169,1),TIMEVALUE(O169)),(IF(ISNUMBER(R169),MOD(R169,1),TIMEVALUE(R169))-IF(ISNUMBER(O169),MOD(O169,1),TIMEVALUE(O169)))*1440,(IF(ISNUMBER(R169),MOD(R169,1),TIMEVALUE(R169))+1-IF(ISNUMBER(O169),MOD(O169,1),TIMEVALUE(O169)))*1440)),"")</f>
        <v/>
      </c>
      <c r="AC169" s="28">
        <f>IFERROR(IF(OR(R169="",S169=""),"",IF(IF(ISNUMBER(S169),MOD(S169,1),TIMEVALUE(S169))&gt;=IF(ISNUMBER(R169),MOD(R169,1),TIMEVALUE(R169)),(IF(ISNUMBER(S169),MOD(S169,1),TIMEVALUE(S169))-IF(ISNUMBER(R169),MOD(R169,1),TIMEVALUE(R169)))*1440,(IF(ISNUMBER(S169),MOD(S169,1),TIMEVALUE(S169))+1-IF(ISNUMBER(R169),MOD(R169,1),TIMEVALUE(R169)))*1440)),"")</f>
        <v/>
      </c>
      <c r="AD169" s="129" t="n">
        <v>30</v>
      </c>
      <c r="AE169" s="26">
        <f>IFERROR(IF(OR(AC169="",AD169=""),"",AC169-AD169),"")</f>
        <v/>
      </c>
      <c r="AF169" s="27">
        <f>IFERROR(IF(AE169="","",IF(ROUND(AE169,0)&gt;15,"Subestimacion",IF(ROUND(AE169,0)&lt;-15,"Sobrestimacion","Asertivo"))),"")</f>
        <v/>
      </c>
      <c r="AG169" s="19" t="n"/>
      <c r="AH169" s="19" t="n"/>
      <c r="AI169" s="19" t="n"/>
      <c r="AJ169" s="15" t="n"/>
      <c r="AK169" s="19" t="n"/>
      <c r="AL169" s="19" t="n"/>
      <c r="AM169" s="19" t="n"/>
      <c r="AN169" s="19" t="n"/>
      <c r="AO169" s="19" t="n"/>
      <c r="AP169" s="127">
        <f>IF(A169="","",A169-WEEKDAY(A169,2)+1)</f>
        <v/>
      </c>
      <c r="AQ169" s="127">
        <f>IF(AO169="","",AO169+6)</f>
        <v/>
      </c>
      <c r="AR169" s="19">
        <f>IF(AO169="","","Semana "&amp;TEXT(AO169,"dd-mm-yyyy")&amp;" al "&amp;TEXT(AP169,"dd-mm-yyyy"))</f>
        <v/>
      </c>
      <c r="AS169" s="19">
        <f>IF(A169="","",TEXT(A169,"mmmm yyyy"))</f>
        <v/>
      </c>
      <c r="AT169" s="19">
        <f>IF(A169="","",TEXT(A169,"dddd"))</f>
        <v/>
      </c>
      <c r="AU169" s="19">
        <f>IF(A169="","","CRR-"&amp;TEXT(A169,"yyyymmdd")&amp;"-"&amp;M169&amp;"-"&amp;TEXT(ROW()-3,"0000"))</f>
        <v/>
      </c>
      <c r="AV169" s="19">
        <f>IF(A169="","",IF(OR(B169="",C169="",E169="",F169="",M169="",N169=""),"Revisar campos obligatorios",IF(AND(P169="Atraso primera hora",Q169=""),"Falta justificación atraso primera hora",IF(AND(Z169="No cumple",AA169=""),"Falta justificación recambio &gt;15 min",IF(AND(ISNUMBER(SEARCH("suspend",N169)),OR(AG169="",AH169="")),"Falta causa/motivo suspensión","OK")))))</f>
        <v/>
      </c>
      <c r="AW169" s="19">
        <f>IF(N169="","",IF(ISNUMBER(SEARCH("suspend",N169)),IF(AND(AG169="",AH169=""),"Sin causa/motivo registrado",IF(AG169="",AH169,IF(AH169="",AG169,AG169&amp;": "&amp;AH169))),""))</f>
        <v/>
      </c>
    </row>
    <row r="170" ht="16" customHeight="1" s="151">
      <c r="A170" s="128" t="n">
        <v>46182</v>
      </c>
      <c r="B170" s="130" t="inlineStr">
        <is>
          <t>AMALIA ELENA</t>
        </is>
      </c>
      <c r="C170" s="129" t="inlineStr">
        <is>
          <t>ARAYA</t>
        </is>
      </c>
      <c r="D170" s="129" t="inlineStr">
        <is>
          <t>69a 2m 13d</t>
        </is>
      </c>
      <c r="E170" s="130" t="inlineStr">
        <is>
          <t>- FACOERESIS EXTRACAPSULAR CON IMPLANTE DE LENTE INTRAOCULAR (NO INCLUYE EL VALOR DE LA PROTESIS)</t>
        </is>
      </c>
      <c r="F170" s="131" t="inlineStr">
        <is>
          <t>UNIDAD DE OFTALMOLOGIA</t>
        </is>
      </c>
      <c r="G170" s="133" t="inlineStr">
        <is>
          <t>OFTALMOLOGIA</t>
        </is>
      </c>
      <c r="H170" s="129" t="inlineStr">
        <is>
          <t>1202064-10</t>
        </is>
      </c>
      <c r="I170" s="19" t="n"/>
      <c r="J170" s="20">
        <f>IF(H170&lt;&gt;"",IFERROR(VLOOKUP(IFERROR(LEFT(H170,FIND("-",H170)-1),H170),'Catalogo MINSAL'!A:E,5,FALSE),""),IF(I170&lt;&gt;"",IFERROR(VLOOKUP(IFERROR(LEFT(I170,FIND("-",I170)-1),I170),'Catalogo MINSAL'!A:E,5,FALSE),""),""))</f>
        <v/>
      </c>
      <c r="K170" s="129" t="inlineStr">
        <is>
          <t>Carlos Pinto Pinto Guerrero</t>
        </is>
      </c>
      <c r="L170" s="130" t="inlineStr">
        <is>
          <t>Dr. Arturo Hillerns Eltit</t>
        </is>
      </c>
      <c r="M170" s="129" t="inlineStr">
        <is>
          <t>Quirofano 08</t>
        </is>
      </c>
      <c r="N170" s="135" t="inlineStr">
        <is>
          <t>Realizado</t>
        </is>
      </c>
      <c r="O170" s="137" t="n">
        <v>0.6284722222222222</v>
      </c>
      <c r="P170" s="27">
        <f>IFERROR(IF(OR(O170="",A170="",M170=""),"",IF(SUMPRODUCT(($A$4:$A$500=A170)*($M$4:$M$500=M170)*($O$4:$O$500&lt;&gt;"")*(MOD($O$4:$O$500,1)&lt;MOD(O170,1)))=0,IF(MOD(O170,1)&lt;=TIME(8,15,0),"Ingreso adecuado primera hora","Atraso primera hora"),"No aplica")),"")</f>
        <v/>
      </c>
      <c r="Q170" s="129" t="n"/>
      <c r="R170" s="137" t="n">
        <v>0.6347222222222222</v>
      </c>
      <c r="S170" s="137" t="n">
        <v>0.6548611111111111</v>
      </c>
      <c r="T170" s="137" t="n">
        <v>0.65625</v>
      </c>
      <c r="U170" s="25">
        <f>IFERROR(VLOOKUP(M170,'Horario Pabellones'!$A$4:$D$17,2,FALSE),"")</f>
        <v/>
      </c>
      <c r="V170" s="25">
        <f>IFERROR(VLOOKUP(M170,'Horario Pabellones'!$A$4:$D$17,3,FALSE),"")</f>
        <v/>
      </c>
      <c r="W170" s="99">
        <f>IFERROR(VLOOKUP(M170,'Horario Pabellones'!$A$4:$D$17,4,FALSE),"")</f>
        <v/>
      </c>
      <c r="X170" s="89">
        <f>IFERROR(IF(OR(A170="",M170="",W170=""),"",(((_xludf.AGGREGATE(14,6,MOD($S$4:$S$500,1)/(($A$4:$A$500=A170)*($M$4:$M$500=M170)*($R$4:$R$500&lt;&gt;"")*($S$4:$S$500&lt;&gt;"")),1)-_xludf.AGGREGATE(15,6,MOD($R$4:$R$500,1)/(($A$4:$A$500=A170)*($M$4:$M$500=M170)*($R$4:$R$500&lt;&gt;"")*($S$4:$S$500&lt;&gt;"")),1))*1440)/60)/(W170/60)),"")</f>
        <v/>
      </c>
      <c r="Y170" s="26">
        <f>IFERROR(IF(OR(O170="",A170="",M170=""),"",(IF(ISNUMBER(O170),MOD(O170,1),TIMEVALUE(O170))-LOOKUP(2,1/(($A$4:$A$500=A170)*($M$4:$M$500=M170)*($T$4:$T$500&lt;&gt;"")*($T$4:$T$500&lt;IF(ISNUMBER(O170),MOD(O170,1),TIMEVALUE(O170)))),$T$4:$T$500))*1440),"")</f>
        <v/>
      </c>
      <c r="Z170" s="27">
        <f>IFERROR(IF(Y170="","",IF(ROUND(Y170,0)&lt;=15,"Cumple","No cumple")),"")</f>
        <v/>
      </c>
      <c r="AA170" s="15" t="n"/>
      <c r="AB170" s="26">
        <f>IFERROR(IF(OR(O170="",R170=""),"",IF(IF(ISNUMBER(R170),MOD(R170,1),TIMEVALUE(R170))&gt;=IF(ISNUMBER(O170),MOD(O170,1),TIMEVALUE(O170)),(IF(ISNUMBER(R170),MOD(R170,1),TIMEVALUE(R170))-IF(ISNUMBER(O170),MOD(O170,1),TIMEVALUE(O170)))*1440,(IF(ISNUMBER(R170),MOD(R170,1),TIMEVALUE(R170))+1-IF(ISNUMBER(O170),MOD(O170,1),TIMEVALUE(O170)))*1440)),"")</f>
        <v/>
      </c>
      <c r="AC170" s="28">
        <f>IFERROR(IF(OR(R170="",S170=""),"",IF(IF(ISNUMBER(S170),MOD(S170,1),TIMEVALUE(S170))&gt;=IF(ISNUMBER(R170),MOD(R170,1),TIMEVALUE(R170)),(IF(ISNUMBER(S170),MOD(S170,1),TIMEVALUE(S170))-IF(ISNUMBER(R170),MOD(R170,1),TIMEVALUE(R170)))*1440,(IF(ISNUMBER(S170),MOD(S170,1),TIMEVALUE(S170))+1-IF(ISNUMBER(R170),MOD(R170,1),TIMEVALUE(R170)))*1440)),"")</f>
        <v/>
      </c>
      <c r="AD170" s="129" t="n">
        <v>30</v>
      </c>
      <c r="AE170" s="26">
        <f>IFERROR(IF(OR(AC170="",AD170=""),"",AC170-AD170),"")</f>
        <v/>
      </c>
      <c r="AF170" s="27">
        <f>IFERROR(IF(AE170="","",IF(ROUND(AE170,0)&gt;15,"Subestimacion",IF(ROUND(AE170,0)&lt;-15,"Sobrestimacion","Asertivo"))),"")</f>
        <v/>
      </c>
      <c r="AG170" s="19" t="n"/>
      <c r="AH170" s="19" t="n"/>
      <c r="AI170" s="19" t="n"/>
      <c r="AJ170" s="15" t="n"/>
      <c r="AK170" s="19" t="n"/>
      <c r="AL170" s="19" t="n"/>
      <c r="AM170" s="19" t="n"/>
      <c r="AN170" s="19" t="n"/>
      <c r="AO170" s="19" t="n"/>
      <c r="AP170" s="127">
        <f>IF(A170="","",A170-WEEKDAY(A170,2)+1)</f>
        <v/>
      </c>
      <c r="AQ170" s="127">
        <f>IF(AO170="","",AO170+6)</f>
        <v/>
      </c>
      <c r="AR170" s="19">
        <f>IF(AO170="","","Semana "&amp;TEXT(AO170,"dd-mm-yyyy")&amp;" al "&amp;TEXT(AP170,"dd-mm-yyyy"))</f>
        <v/>
      </c>
      <c r="AS170" s="19">
        <f>IF(A170="","",TEXT(A170,"mmmm yyyy"))</f>
        <v/>
      </c>
      <c r="AT170" s="19">
        <f>IF(A170="","",TEXT(A170,"dddd"))</f>
        <v/>
      </c>
      <c r="AU170" s="19">
        <f>IF(A170="","","CRR-"&amp;TEXT(A170,"yyyymmdd")&amp;"-"&amp;M170&amp;"-"&amp;TEXT(ROW()-3,"0000"))</f>
        <v/>
      </c>
      <c r="AV170" s="19">
        <f>IF(A170="","",IF(OR(B170="",C170="",E170="",F170="",M170="",N170=""),"Revisar campos obligatorios",IF(AND(P170="Atraso primera hora",Q170=""),"Falta justificación atraso primera hora",IF(AND(Z170="No cumple",AA170=""),"Falta justificación recambio &gt;15 min",IF(AND(ISNUMBER(SEARCH("suspend",N170)),OR(AG170="",AH170="")),"Falta causa/motivo suspensión","OK")))))</f>
        <v/>
      </c>
      <c r="AW170" s="19">
        <f>IF(N170="","",IF(ISNUMBER(SEARCH("suspend",N170)),IF(AND(AG170="",AH170=""),"Sin causa/motivo registrado",IF(AG170="",AH170,IF(AH170="",AG170,AG170&amp;": "&amp;AH170))),""))</f>
        <v/>
      </c>
    </row>
    <row r="171" ht="16" customHeight="1" s="151">
      <c r="A171" s="128" t="n">
        <v>46182</v>
      </c>
      <c r="B171" s="130" t="inlineStr">
        <is>
          <t>SOLEDAD DEL CARMEN</t>
        </is>
      </c>
      <c r="C171" s="129" t="inlineStr">
        <is>
          <t>TERÁN</t>
        </is>
      </c>
      <c r="D171" s="129" t="inlineStr">
        <is>
          <t>66a 7m 27d</t>
        </is>
      </c>
      <c r="E171" s="130" t="inlineStr">
        <is>
          <t>- FACOERESIS EXTRACAPSULAR CON IMPLANTE DE LENTE INTRAOCULAR (NO INCLUYE EL VALOR DE LA PROTESIS)</t>
        </is>
      </c>
      <c r="F171" s="131" t="inlineStr">
        <is>
          <t>UNIDAD DE OFTALMOLOGIA</t>
        </is>
      </c>
      <c r="G171" s="133" t="inlineStr">
        <is>
          <t>OFTALMOLOGIA</t>
        </is>
      </c>
      <c r="H171" s="129" t="inlineStr">
        <is>
          <t>1202064-10</t>
        </is>
      </c>
      <c r="I171" s="19" t="n"/>
      <c r="J171" s="20">
        <f>IF(H171&lt;&gt;"",IFERROR(VLOOKUP(IFERROR(LEFT(H171,FIND("-",H171)-1),H171),'Catalogo MINSAL'!A:E,5,FALSE),""),IF(I171&lt;&gt;"",IFERROR(VLOOKUP(IFERROR(LEFT(I171,FIND("-",I171)-1),I171),'Catalogo MINSAL'!A:E,5,FALSE),""),""))</f>
        <v/>
      </c>
      <c r="K171" s="129" t="inlineStr">
        <is>
          <t>Carlos Pinto Pinto Guerrero</t>
        </is>
      </c>
      <c r="L171" s="130" t="inlineStr">
        <is>
          <t>Dr. Arturo Hillerns Eltit</t>
        </is>
      </c>
      <c r="M171" s="129" t="inlineStr">
        <is>
          <t>Quirofano 08</t>
        </is>
      </c>
      <c r="N171" s="135" t="inlineStr">
        <is>
          <t>Realizado</t>
        </is>
      </c>
      <c r="O171" s="137" t="n">
        <v>0.65625</v>
      </c>
      <c r="P171" s="27">
        <f>IFERROR(IF(OR(O171="",A171="",M171=""),"",IF(SUMPRODUCT(($A$4:$A$500=A171)*($M$4:$M$500=M171)*($O$4:$O$500&lt;&gt;"")*(MOD($O$4:$O$500,1)&lt;MOD(O171,1)))=0,IF(MOD(O171,1)&lt;=TIME(8,15,0),"Ingreso adecuado primera hora","Atraso primera hora"),"No aplica")),"")</f>
        <v/>
      </c>
      <c r="Q171" s="129" t="n"/>
      <c r="R171" s="137" t="n">
        <v>0.6631944444444444</v>
      </c>
      <c r="S171" s="137" t="n">
        <v>0.6833333333333333</v>
      </c>
      <c r="T171" s="137" t="n">
        <v>0.6854166666666667</v>
      </c>
      <c r="U171" s="25">
        <f>IFERROR(VLOOKUP(M171,'Horario Pabellones'!$A$4:$D$17,2,FALSE),"")</f>
        <v/>
      </c>
      <c r="V171" s="25">
        <f>IFERROR(VLOOKUP(M171,'Horario Pabellones'!$A$4:$D$17,3,FALSE),"")</f>
        <v/>
      </c>
      <c r="W171" s="99">
        <f>IFERROR(VLOOKUP(M171,'Horario Pabellones'!$A$4:$D$17,4,FALSE),"")</f>
        <v/>
      </c>
      <c r="X171" s="89">
        <f>IFERROR(IF(OR(A171="",M171="",W171=""),"",(((_xludf.AGGREGATE(14,6,MOD($S$4:$S$500,1)/(($A$4:$A$500=A171)*($M$4:$M$500=M171)*($R$4:$R$500&lt;&gt;"")*($S$4:$S$500&lt;&gt;"")),1)-_xludf.AGGREGATE(15,6,MOD($R$4:$R$500,1)/(($A$4:$A$500=A171)*($M$4:$M$500=M171)*($R$4:$R$500&lt;&gt;"")*($S$4:$S$500&lt;&gt;"")),1))*1440)/60)/(W171/60)),"")</f>
        <v/>
      </c>
      <c r="Y171" s="26">
        <f>IFERROR(IF(OR(O171="",A171="",M171=""),"",(IF(ISNUMBER(O171),MOD(O171,1),TIMEVALUE(O171))-LOOKUP(2,1/(($A$4:$A$500=A171)*($M$4:$M$500=M171)*($T$4:$T$500&lt;&gt;"")*($T$4:$T$500&lt;IF(ISNUMBER(O171),MOD(O171,1),TIMEVALUE(O171)))),$T$4:$T$500))*1440),"")</f>
        <v/>
      </c>
      <c r="Z171" s="27">
        <f>IFERROR(IF(Y171="","",IF(ROUND(Y171,0)&lt;=15,"Cumple","No cumple")),"")</f>
        <v/>
      </c>
      <c r="AA171" s="15" t="n"/>
      <c r="AB171" s="26">
        <f>IFERROR(IF(OR(O171="",R171=""),"",IF(IF(ISNUMBER(R171),MOD(R171,1),TIMEVALUE(R171))&gt;=IF(ISNUMBER(O171),MOD(O171,1),TIMEVALUE(O171)),(IF(ISNUMBER(R171),MOD(R171,1),TIMEVALUE(R171))-IF(ISNUMBER(O171),MOD(O171,1),TIMEVALUE(O171)))*1440,(IF(ISNUMBER(R171),MOD(R171,1),TIMEVALUE(R171))+1-IF(ISNUMBER(O171),MOD(O171,1),TIMEVALUE(O171)))*1440)),"")</f>
        <v/>
      </c>
      <c r="AC171" s="28">
        <f>IFERROR(IF(OR(R171="",S171=""),"",IF(IF(ISNUMBER(S171),MOD(S171,1),TIMEVALUE(S171))&gt;=IF(ISNUMBER(R171),MOD(R171,1),TIMEVALUE(R171)),(IF(ISNUMBER(S171),MOD(S171,1),TIMEVALUE(S171))-IF(ISNUMBER(R171),MOD(R171,1),TIMEVALUE(R171)))*1440,(IF(ISNUMBER(S171),MOD(S171,1),TIMEVALUE(S171))+1-IF(ISNUMBER(R171),MOD(R171,1),TIMEVALUE(R171)))*1440)),"")</f>
        <v/>
      </c>
      <c r="AD171" s="129" t="n">
        <v>30</v>
      </c>
      <c r="AE171" s="26">
        <f>IFERROR(IF(OR(AC171="",AD171=""),"",AC171-AD171),"")</f>
        <v/>
      </c>
      <c r="AF171" s="27">
        <f>IFERROR(IF(AE171="","",IF(ROUND(AE171,0)&gt;15,"Subestimacion",IF(ROUND(AE171,0)&lt;-15,"Sobrestimacion","Asertivo"))),"")</f>
        <v/>
      </c>
      <c r="AG171" s="19" t="n"/>
      <c r="AH171" s="19" t="n"/>
      <c r="AI171" s="19" t="n"/>
      <c r="AJ171" s="15" t="n"/>
      <c r="AK171" s="19" t="n"/>
      <c r="AL171" s="19" t="n"/>
      <c r="AM171" s="19" t="n"/>
      <c r="AN171" s="19" t="n"/>
      <c r="AO171" s="19" t="n"/>
      <c r="AP171" s="127">
        <f>IF(A171="","",A171-WEEKDAY(A171,2)+1)</f>
        <v/>
      </c>
      <c r="AQ171" s="127">
        <f>IF(AO171="","",AO171+6)</f>
        <v/>
      </c>
      <c r="AR171" s="19">
        <f>IF(AO171="","","Semana "&amp;TEXT(AO171,"dd-mm-yyyy")&amp;" al "&amp;TEXT(AP171,"dd-mm-yyyy"))</f>
        <v/>
      </c>
      <c r="AS171" s="19">
        <f>IF(A171="","",TEXT(A171,"mmmm yyyy"))</f>
        <v/>
      </c>
      <c r="AT171" s="19">
        <f>IF(A171="","",TEXT(A171,"dddd"))</f>
        <v/>
      </c>
      <c r="AU171" s="19">
        <f>IF(A171="","","CRR-"&amp;TEXT(A171,"yyyymmdd")&amp;"-"&amp;M171&amp;"-"&amp;TEXT(ROW()-3,"0000"))</f>
        <v/>
      </c>
      <c r="AV171" s="19">
        <f>IF(A171="","",IF(OR(B171="",C171="",E171="",F171="",M171="",N171=""),"Revisar campos obligatorios",IF(AND(P171="Atraso primera hora",Q171=""),"Falta justificación atraso primera hora",IF(AND(Z171="No cumple",AA171=""),"Falta justificación recambio &gt;15 min",IF(AND(ISNUMBER(SEARCH("suspend",N171)),OR(AG171="",AH171="")),"Falta causa/motivo suspensión","OK")))))</f>
        <v/>
      </c>
      <c r="AW171" s="19">
        <f>IF(N171="","",IF(ISNUMBER(SEARCH("suspend",N171)),IF(AND(AG171="",AH171=""),"Sin causa/motivo registrado",IF(AG171="",AH171,IF(AH171="",AG171,AG171&amp;": "&amp;AH171))),""))</f>
        <v/>
      </c>
    </row>
    <row r="172" ht="16" customHeight="1" s="151">
      <c r="A172" s="128" t="n">
        <v>46182</v>
      </c>
      <c r="B172" s="130" t="inlineStr">
        <is>
          <t>ROMINA PAZ</t>
        </is>
      </c>
      <c r="C172" s="129" t="inlineStr">
        <is>
          <t>TEJERINA</t>
        </is>
      </c>
      <c r="D172" s="129" t="inlineStr">
        <is>
          <t>38a 11m 7d</t>
        </is>
      </c>
      <c r="E172" s="130" t="inlineStr">
        <is>
          <t>COLECISTECTOMIA POR VIDEOLAPAROSCOPIA, PROC. COMPLETO</t>
        </is>
      </c>
      <c r="F172" s="132" t="inlineStr">
        <is>
          <t>SERVICIO DE CIRUGIA ADULTO</t>
        </is>
      </c>
      <c r="G172" s="134" t="inlineStr">
        <is>
          <t>C. GENERAL</t>
        </is>
      </c>
      <c r="H172" s="129" t="inlineStr">
        <is>
          <t>1802081-10</t>
        </is>
      </c>
      <c r="I172" s="19" t="n"/>
      <c r="J172" s="20">
        <f>IF(H172&lt;&gt;"",IFERROR(VLOOKUP(IFERROR(LEFT(H172,FIND("-",H172)-1),H172),'Catalogo MINSAL'!A:E,5,FALSE),""),IF(I172&lt;&gt;"",IFERROR(VLOOKUP(IFERROR(LEFT(I172,FIND("-",I172)-1),I172),'Catalogo MINSAL'!A:E,5,FALSE),""),""))</f>
        <v/>
      </c>
      <c r="K172" s="129" t="inlineStr">
        <is>
          <t>Marcela Verónica Ortiz Acheritogaray</t>
        </is>
      </c>
      <c r="L172" s="130" t="inlineStr">
        <is>
          <t>Emilly Osse Mejias</t>
        </is>
      </c>
      <c r="M172" s="129" t="inlineStr">
        <is>
          <t>Quirofano 11</t>
        </is>
      </c>
      <c r="N172" s="135" t="inlineStr">
        <is>
          <t>Realizado</t>
        </is>
      </c>
      <c r="O172" s="137" t="n">
        <v>0.34375</v>
      </c>
      <c r="P172" s="27">
        <f>IFERROR(IF(OR(O172="",A172="",M172=""),"",IF(SUMPRODUCT(($A$4:$A$500=A172)*($M$4:$M$500=M172)*($O$4:$O$500&lt;&gt;"")*(MOD($O$4:$O$500,1)&lt;MOD(O172,1)))=0,IF(MOD(O172,1)&lt;=TIME(8,15,0),"Ingreso adecuado primera hora","Atraso primera hora"),"No aplica")),"")</f>
        <v/>
      </c>
      <c r="Q172" s="129" t="n"/>
      <c r="R172" s="137" t="n">
        <v>0.3763888888888889</v>
      </c>
      <c r="S172" s="137" t="n">
        <v>0.4097222222222222</v>
      </c>
      <c r="T172" s="137" t="n">
        <v>0.4229166666666667</v>
      </c>
      <c r="U172" s="25">
        <f>IFERROR(VLOOKUP(M172,'Horario Pabellones'!$A$4:$D$17,2,FALSE),"")</f>
        <v/>
      </c>
      <c r="V172" s="25">
        <f>IFERROR(VLOOKUP(M172,'Horario Pabellones'!$A$4:$D$17,3,FALSE),"")</f>
        <v/>
      </c>
      <c r="W172" s="99">
        <f>IFERROR(VLOOKUP(M172,'Horario Pabellones'!$A$4:$D$17,4,FALSE),"")</f>
        <v/>
      </c>
      <c r="X172" s="89">
        <f>IFERROR(IF(OR(A172="",M172="",W172=""),"",(((_xludf.AGGREGATE(14,6,MOD($S$4:$S$500,1)/(($A$4:$A$500=A172)*($M$4:$M$500=M172)*($R$4:$R$500&lt;&gt;"")*($S$4:$S$500&lt;&gt;"")),1)-_xludf.AGGREGATE(15,6,MOD($R$4:$R$500,1)/(($A$4:$A$500=A172)*($M$4:$M$500=M172)*($R$4:$R$500&lt;&gt;"")*($S$4:$S$500&lt;&gt;"")),1))*1440)/60)/(W172/60)),"")</f>
        <v/>
      </c>
      <c r="Y172" s="26">
        <f>IFERROR(IF(OR(O172="",A172="",M172=""),"",(IF(ISNUMBER(O172),MOD(O172,1),TIMEVALUE(O172))-LOOKUP(2,1/(($A$4:$A$500=A172)*($M$4:$M$500=M172)*($T$4:$T$500&lt;&gt;"")*($T$4:$T$500&lt;IF(ISNUMBER(O172),MOD(O172,1),TIMEVALUE(O172)))),$T$4:$T$500))*1440),"")</f>
        <v/>
      </c>
      <c r="Z172" s="27">
        <f>IFERROR(IF(Y172="","",IF(ROUND(Y172,0)&lt;=15,"Cumple","No cumple")),"")</f>
        <v/>
      </c>
      <c r="AA172" s="15" t="n"/>
      <c r="AB172" s="26">
        <f>IFERROR(IF(OR(O172="",R172=""),"",IF(IF(ISNUMBER(R172),MOD(R172,1),TIMEVALUE(R172))&gt;=IF(ISNUMBER(O172),MOD(O172,1),TIMEVALUE(O172)),(IF(ISNUMBER(R172),MOD(R172,1),TIMEVALUE(R172))-IF(ISNUMBER(O172),MOD(O172,1),TIMEVALUE(O172)))*1440,(IF(ISNUMBER(R172),MOD(R172,1),TIMEVALUE(R172))+1-IF(ISNUMBER(O172),MOD(O172,1),TIMEVALUE(O172)))*1440)),"")</f>
        <v/>
      </c>
      <c r="AC172" s="28">
        <f>IFERROR(IF(OR(R172="",S172=""),"",IF(IF(ISNUMBER(S172),MOD(S172,1),TIMEVALUE(S172))&gt;=IF(ISNUMBER(R172),MOD(R172,1),TIMEVALUE(R172)),(IF(ISNUMBER(S172),MOD(S172,1),TIMEVALUE(S172))-IF(ISNUMBER(R172),MOD(R172,1),TIMEVALUE(R172)))*1440,(IF(ISNUMBER(S172),MOD(S172,1),TIMEVALUE(S172))+1-IF(ISNUMBER(R172),MOD(R172,1),TIMEVALUE(R172)))*1440)),"")</f>
        <v/>
      </c>
      <c r="AD172" s="129" t="n">
        <v>60</v>
      </c>
      <c r="AE172" s="26">
        <f>IFERROR(IF(OR(AC172="",AD172=""),"",AC172-AD172),"")</f>
        <v/>
      </c>
      <c r="AF172" s="27">
        <f>IFERROR(IF(AE172="","",IF(ROUND(AE172,0)&gt;15,"Subestimacion",IF(ROUND(AE172,0)&lt;-15,"Sobrestimacion","Asertivo"))),"")</f>
        <v/>
      </c>
      <c r="AG172" s="19" t="n"/>
      <c r="AH172" s="19" t="n"/>
      <c r="AI172" s="19" t="n"/>
      <c r="AJ172" s="15" t="n"/>
      <c r="AK172" s="19" t="n"/>
      <c r="AL172" s="19" t="n"/>
      <c r="AM172" s="19" t="n"/>
      <c r="AN172" s="19" t="n"/>
      <c r="AO172" s="19" t="n"/>
      <c r="AP172" s="127">
        <f>IF(A172="","",A172-WEEKDAY(A172,2)+1)</f>
        <v/>
      </c>
      <c r="AQ172" s="127">
        <f>IF(AO172="","",AO172+6)</f>
        <v/>
      </c>
      <c r="AR172" s="19">
        <f>IF(AO172="","","Semana "&amp;TEXT(AO172,"dd-mm-yyyy")&amp;" al "&amp;TEXT(AP172,"dd-mm-yyyy"))</f>
        <v/>
      </c>
      <c r="AS172" s="19">
        <f>IF(A172="","",TEXT(A172,"mmmm yyyy"))</f>
        <v/>
      </c>
      <c r="AT172" s="19">
        <f>IF(A172="","",TEXT(A172,"dddd"))</f>
        <v/>
      </c>
      <c r="AU172" s="19">
        <f>IF(A172="","","CRR-"&amp;TEXT(A172,"yyyymmdd")&amp;"-"&amp;M172&amp;"-"&amp;TEXT(ROW()-3,"0000"))</f>
        <v/>
      </c>
      <c r="AV172" s="19">
        <f>IF(A172="","",IF(OR(B172="",C172="",E172="",F172="",M172="",N172=""),"Revisar campos obligatorios",IF(AND(P172="Atraso primera hora",Q172=""),"Falta justificación atraso primera hora",IF(AND(Z172="No cumple",AA172=""),"Falta justificación recambio &gt;15 min",IF(AND(ISNUMBER(SEARCH("suspend",N172)),OR(AG172="",AH172="")),"Falta causa/motivo suspensión","OK")))))</f>
        <v/>
      </c>
      <c r="AW172" s="19">
        <f>IF(N172="","",IF(ISNUMBER(SEARCH("suspend",N172)),IF(AND(AG172="",AH172=""),"Sin causa/motivo registrado",IF(AG172="",AH172,IF(AH172="",AG172,AG172&amp;": "&amp;AH172))),""))</f>
        <v/>
      </c>
    </row>
    <row r="173" ht="16" customHeight="1" s="151">
      <c r="A173" s="128" t="n">
        <v>46182</v>
      </c>
      <c r="B173" s="130" t="inlineStr">
        <is>
          <t>FRESIA JACQUELINE</t>
        </is>
      </c>
      <c r="C173" s="129" t="inlineStr">
        <is>
          <t>GÓMEZ</t>
        </is>
      </c>
      <c r="D173" s="129" t="inlineStr">
        <is>
          <t>39a 1m 29d</t>
        </is>
      </c>
      <c r="E173" s="130" t="inlineStr">
        <is>
          <t>COLECISTECTOMIA POR VIDEOLAPAROSCOPIA, PROC. COMPLETO</t>
        </is>
      </c>
      <c r="F173" s="132" t="inlineStr">
        <is>
          <t>SERVICIO DE CIRUGIA ADULTO</t>
        </is>
      </c>
      <c r="G173" s="134" t="inlineStr">
        <is>
          <t>C. GENERAL</t>
        </is>
      </c>
      <c r="H173" s="129" t="inlineStr">
        <is>
          <t>1802081-10</t>
        </is>
      </c>
      <c r="I173" s="19" t="n"/>
      <c r="J173" s="20">
        <f>IF(H173&lt;&gt;"",IFERROR(VLOOKUP(IFERROR(LEFT(H173,FIND("-",H173)-1),H173),'Catalogo MINSAL'!A:E,5,FALSE),""),IF(I173&lt;&gt;"",IFERROR(VLOOKUP(IFERROR(LEFT(I173,FIND("-",I173)-1),I173),'Catalogo MINSAL'!A:E,5,FALSE),""),""))</f>
        <v/>
      </c>
      <c r="K173" s="129" t="inlineStr">
        <is>
          <t>Marcela Verónica Ortiz Acheritogaray</t>
        </is>
      </c>
      <c r="L173" s="130" t="inlineStr">
        <is>
          <t>Jose Antonio Terán Fuenmayor</t>
        </is>
      </c>
      <c r="M173" s="129" t="inlineStr">
        <is>
          <t>Quirofano 11</t>
        </is>
      </c>
      <c r="N173" s="135" t="inlineStr">
        <is>
          <t>Realizado</t>
        </is>
      </c>
      <c r="O173" s="137" t="n">
        <v>0.4305555555555556</v>
      </c>
      <c r="P173" s="27">
        <f>IFERROR(IF(OR(O173="",A173="",M173=""),"",IF(SUMPRODUCT(($A$4:$A$500=A173)*($M$4:$M$500=M173)*($O$4:$O$500&lt;&gt;"")*(MOD($O$4:$O$500,1)&lt;MOD(O173,1)))=0,IF(MOD(O173,1)&lt;=TIME(8,15,0),"Ingreso adecuado primera hora","Atraso primera hora"),"No aplica")),"")</f>
        <v/>
      </c>
      <c r="Q173" s="129" t="n"/>
      <c r="R173" s="137" t="n">
        <v>0.4513888888888889</v>
      </c>
      <c r="S173" s="137" t="n">
        <v>0.4722222222222222</v>
      </c>
      <c r="T173" s="137" t="n">
        <v>0.4888888888888889</v>
      </c>
      <c r="U173" s="25">
        <f>IFERROR(VLOOKUP(M173,'Horario Pabellones'!$A$4:$D$17,2,FALSE),"")</f>
        <v/>
      </c>
      <c r="V173" s="25">
        <f>IFERROR(VLOOKUP(M173,'Horario Pabellones'!$A$4:$D$17,3,FALSE),"")</f>
        <v/>
      </c>
      <c r="W173" s="99">
        <f>IFERROR(VLOOKUP(M173,'Horario Pabellones'!$A$4:$D$17,4,FALSE),"")</f>
        <v/>
      </c>
      <c r="X173" s="89">
        <f>IFERROR(IF(OR(A173="",M173="",W173=""),"",(((_xludf.AGGREGATE(14,6,MOD($S$4:$S$500,1)/(($A$4:$A$500=A173)*($M$4:$M$500=M173)*($R$4:$R$500&lt;&gt;"")*($S$4:$S$500&lt;&gt;"")),1)-_xludf.AGGREGATE(15,6,MOD($R$4:$R$500,1)/(($A$4:$A$500=A173)*($M$4:$M$500=M173)*($R$4:$R$500&lt;&gt;"")*($S$4:$S$500&lt;&gt;"")),1))*1440)/60)/(W173/60)),"")</f>
        <v/>
      </c>
      <c r="Y173" s="26">
        <f>IFERROR(IF(OR(O173="",A173="",M173=""),"",(IF(ISNUMBER(O173),MOD(O173,1),TIMEVALUE(O173))-LOOKUP(2,1/(($A$4:$A$500=A173)*($M$4:$M$500=M173)*($T$4:$T$500&lt;&gt;"")*($T$4:$T$500&lt;IF(ISNUMBER(O173),MOD(O173,1),TIMEVALUE(O173)))),$T$4:$T$500))*1440),"")</f>
        <v/>
      </c>
      <c r="Z173" s="27">
        <f>IFERROR(IF(Y173="","",IF(ROUND(Y173,0)&lt;=15,"Cumple","No cumple")),"")</f>
        <v/>
      </c>
      <c r="AA173" s="15" t="n"/>
      <c r="AB173" s="26">
        <f>IFERROR(IF(OR(O173="",R173=""),"",IF(IF(ISNUMBER(R173),MOD(R173,1),TIMEVALUE(R173))&gt;=IF(ISNUMBER(O173),MOD(O173,1),TIMEVALUE(O173)),(IF(ISNUMBER(R173),MOD(R173,1),TIMEVALUE(R173))-IF(ISNUMBER(O173),MOD(O173,1),TIMEVALUE(O173)))*1440,(IF(ISNUMBER(R173),MOD(R173,1),TIMEVALUE(R173))+1-IF(ISNUMBER(O173),MOD(O173,1),TIMEVALUE(O173)))*1440)),"")</f>
        <v/>
      </c>
      <c r="AC173" s="28">
        <f>IFERROR(IF(OR(R173="",S173=""),"",IF(IF(ISNUMBER(S173),MOD(S173,1),TIMEVALUE(S173))&gt;=IF(ISNUMBER(R173),MOD(R173,1),TIMEVALUE(R173)),(IF(ISNUMBER(S173),MOD(S173,1),TIMEVALUE(S173))-IF(ISNUMBER(R173),MOD(R173,1),TIMEVALUE(R173)))*1440,(IF(ISNUMBER(S173),MOD(S173,1),TIMEVALUE(S173))+1-IF(ISNUMBER(R173),MOD(R173,1),TIMEVALUE(R173)))*1440)),"")</f>
        <v/>
      </c>
      <c r="AD173" s="129" t="n">
        <v>60</v>
      </c>
      <c r="AE173" s="26">
        <f>IFERROR(IF(OR(AC173="",AD173=""),"",AC173-AD173),"")</f>
        <v/>
      </c>
      <c r="AF173" s="27">
        <f>IFERROR(IF(AE173="","",IF(ROUND(AE173,0)&gt;15,"Subestimacion",IF(ROUND(AE173,0)&lt;-15,"Sobrestimacion","Asertivo"))),"")</f>
        <v/>
      </c>
      <c r="AG173" s="19" t="n"/>
      <c r="AH173" s="19" t="n"/>
      <c r="AI173" s="19" t="n"/>
      <c r="AJ173" s="15" t="n"/>
      <c r="AK173" s="19" t="n"/>
      <c r="AL173" s="19" t="n"/>
      <c r="AM173" s="19" t="n"/>
      <c r="AN173" s="19" t="n"/>
      <c r="AO173" s="19" t="n"/>
      <c r="AP173" s="127">
        <f>IF(A173="","",A173-WEEKDAY(A173,2)+1)</f>
        <v/>
      </c>
      <c r="AQ173" s="127">
        <f>IF(AO173="","",AO173+6)</f>
        <v/>
      </c>
      <c r="AR173" s="19">
        <f>IF(AO173="","","Semana "&amp;TEXT(AO173,"dd-mm-yyyy")&amp;" al "&amp;TEXT(AP173,"dd-mm-yyyy"))</f>
        <v/>
      </c>
      <c r="AS173" s="19">
        <f>IF(A173="","",TEXT(A173,"mmmm yyyy"))</f>
        <v/>
      </c>
      <c r="AT173" s="19">
        <f>IF(A173="","",TEXT(A173,"dddd"))</f>
        <v/>
      </c>
      <c r="AU173" s="19">
        <f>IF(A173="","","CRR-"&amp;TEXT(A173,"yyyymmdd")&amp;"-"&amp;M173&amp;"-"&amp;TEXT(ROW()-3,"0000"))</f>
        <v/>
      </c>
      <c r="AV173" s="19">
        <f>IF(A173="","",IF(OR(B173="",C173="",E173="",F173="",M173="",N173=""),"Revisar campos obligatorios",IF(AND(P173="Atraso primera hora",Q173=""),"Falta justificación atraso primera hora",IF(AND(Z173="No cumple",AA173=""),"Falta justificación recambio &gt;15 min",IF(AND(ISNUMBER(SEARCH("suspend",N173)),OR(AG173="",AH173="")),"Falta causa/motivo suspensión","OK")))))</f>
        <v/>
      </c>
      <c r="AW173" s="19">
        <f>IF(N173="","",IF(ISNUMBER(SEARCH("suspend",N173)),IF(AND(AG173="",AH173=""),"Sin causa/motivo registrado",IF(AG173="",AH173,IF(AH173="",AG173,AG173&amp;": "&amp;AH173))),""))</f>
        <v/>
      </c>
    </row>
    <row r="174" ht="16" customHeight="1" s="151">
      <c r="A174" s="128" t="n">
        <v>46182</v>
      </c>
      <c r="B174" s="130" t="inlineStr">
        <is>
          <t>FRESIA PATRICIA</t>
        </is>
      </c>
      <c r="C174" s="129" t="inlineStr">
        <is>
          <t>SALAZAR</t>
        </is>
      </c>
      <c r="D174" s="129" t="inlineStr">
        <is>
          <t>48a 5m 25d</t>
        </is>
      </c>
      <c r="E174" s="130" t="inlineStr">
        <is>
          <t>COLECISTECTOMIA POR VIDEOLAPAROSCOPIA, PROC. COMPLETO</t>
        </is>
      </c>
      <c r="F174" s="132" t="inlineStr">
        <is>
          <t>SERVICIO DE CIRUGIA ADULTO</t>
        </is>
      </c>
      <c r="G174" s="134" t="inlineStr">
        <is>
          <t>C. GENERAL</t>
        </is>
      </c>
      <c r="H174" s="129" t="inlineStr">
        <is>
          <t>1802081-10</t>
        </is>
      </c>
      <c r="I174" s="19" t="n"/>
      <c r="J174" s="20">
        <f>IF(H174&lt;&gt;"",IFERROR(VLOOKUP(IFERROR(LEFT(H174,FIND("-",H174)-1),H174),'Catalogo MINSAL'!A:E,5,FALSE),""),IF(I174&lt;&gt;"",IFERROR(VLOOKUP(IFERROR(LEFT(I174,FIND("-",I174)-1),I174),'Catalogo MINSAL'!A:E,5,FALSE),""),""))</f>
        <v/>
      </c>
      <c r="K174" s="129" t="inlineStr">
        <is>
          <t>Marcela Verónica Ortiz Acheritogaray</t>
        </is>
      </c>
      <c r="L174" s="130" t="inlineStr">
        <is>
          <t>Felicia Meza Maldonado</t>
        </is>
      </c>
      <c r="M174" s="129" t="inlineStr">
        <is>
          <t>Quirofano 11</t>
        </is>
      </c>
      <c r="N174" s="135" t="inlineStr">
        <is>
          <t>Realizado</t>
        </is>
      </c>
      <c r="O174" s="137" t="n">
        <v>0.5076388888888889</v>
      </c>
      <c r="P174" s="27">
        <f>IFERROR(IF(OR(O174="",A174="",M174=""),"",IF(SUMPRODUCT(($A$4:$A$500=A174)*($M$4:$M$500=M174)*($O$4:$O$500&lt;&gt;"")*(MOD($O$4:$O$500,1)&lt;MOD(O174,1)))=0,IF(MOD(O174,1)&lt;=TIME(8,15,0),"Ingreso adecuado primera hora","Atraso primera hora"),"No aplica")),"")</f>
        <v/>
      </c>
      <c r="Q174" s="129" t="n"/>
      <c r="R174" s="137" t="n">
        <v>0.5326388888888889</v>
      </c>
      <c r="S174" s="137" t="n">
        <v>0.5930555555555556</v>
      </c>
      <c r="T174" s="137" t="n">
        <v>0.6055555555555555</v>
      </c>
      <c r="U174" s="25">
        <f>IFERROR(VLOOKUP(M174,'Horario Pabellones'!$A$4:$D$17,2,FALSE),"")</f>
        <v/>
      </c>
      <c r="V174" s="25">
        <f>IFERROR(VLOOKUP(M174,'Horario Pabellones'!$A$4:$D$17,3,FALSE),"")</f>
        <v/>
      </c>
      <c r="W174" s="99">
        <f>IFERROR(VLOOKUP(M174,'Horario Pabellones'!$A$4:$D$17,4,FALSE),"")</f>
        <v/>
      </c>
      <c r="X174" s="89">
        <f>IFERROR(IF(OR(A174="",M174="",W174=""),"",(((_xludf.AGGREGATE(14,6,MOD($S$4:$S$500,1)/(($A$4:$A$500=A174)*($M$4:$M$500=M174)*($R$4:$R$500&lt;&gt;"")*($S$4:$S$500&lt;&gt;"")),1)-_xludf.AGGREGATE(15,6,MOD($R$4:$R$500,1)/(($A$4:$A$500=A174)*($M$4:$M$500=M174)*($R$4:$R$500&lt;&gt;"")*($S$4:$S$500&lt;&gt;"")),1))*1440)/60)/(W174/60)),"")</f>
        <v/>
      </c>
      <c r="Y174" s="26">
        <f>IFERROR(IF(OR(O174="",A174="",M174=""),"",(IF(ISNUMBER(O174),MOD(O174,1),TIMEVALUE(O174))-LOOKUP(2,1/(($A$4:$A$500=A174)*($M$4:$M$500=M174)*($T$4:$T$500&lt;&gt;"")*($T$4:$T$500&lt;IF(ISNUMBER(O174),MOD(O174,1),TIMEVALUE(O174)))),$T$4:$T$500))*1440),"")</f>
        <v/>
      </c>
      <c r="Z174" s="27">
        <f>IFERROR(IF(Y174="","",IF(ROUND(Y174,0)&lt;=15,"Cumple","No cumple")),"")</f>
        <v/>
      </c>
      <c r="AA174" s="15" t="inlineStr">
        <is>
          <t>Piso humedo y evaluacion de anestesia</t>
        </is>
      </c>
      <c r="AB174" s="26">
        <f>IFERROR(IF(OR(O174="",R174=""),"",IF(IF(ISNUMBER(R174),MOD(R174,1),TIMEVALUE(R174))&gt;=IF(ISNUMBER(O174),MOD(O174,1),TIMEVALUE(O174)),(IF(ISNUMBER(R174),MOD(R174,1),TIMEVALUE(R174))-IF(ISNUMBER(O174),MOD(O174,1),TIMEVALUE(O174)))*1440,(IF(ISNUMBER(R174),MOD(R174,1),TIMEVALUE(R174))+1-IF(ISNUMBER(O174),MOD(O174,1),TIMEVALUE(O174)))*1440)),"")</f>
        <v/>
      </c>
      <c r="AC174" s="28">
        <f>IFERROR(IF(OR(R174="",S174=""),"",IF(IF(ISNUMBER(S174),MOD(S174,1),TIMEVALUE(S174))&gt;=IF(ISNUMBER(R174),MOD(R174,1),TIMEVALUE(R174)),(IF(ISNUMBER(S174),MOD(S174,1),TIMEVALUE(S174))-IF(ISNUMBER(R174),MOD(R174,1),TIMEVALUE(R174)))*1440,(IF(ISNUMBER(S174),MOD(S174,1),TIMEVALUE(S174))+1-IF(ISNUMBER(R174),MOD(R174,1),TIMEVALUE(R174)))*1440)),"")</f>
        <v/>
      </c>
      <c r="AD174" s="129" t="n">
        <v>60</v>
      </c>
      <c r="AE174" s="26">
        <f>IFERROR(IF(OR(AC174="",AD174=""),"",AC174-AD174),"")</f>
        <v/>
      </c>
      <c r="AF174" s="27">
        <f>IFERROR(IF(AE174="","",IF(ROUND(AE174,0)&gt;15,"Subestimacion",IF(ROUND(AE174,0)&lt;-15,"Sobrestimacion","Asertivo"))),"")</f>
        <v/>
      </c>
      <c r="AG174" s="19" t="n"/>
      <c r="AH174" s="19" t="n"/>
      <c r="AI174" s="19" t="n"/>
      <c r="AJ174" s="15" t="n"/>
      <c r="AK174" s="19" t="n"/>
      <c r="AL174" s="19" t="n"/>
      <c r="AM174" s="19" t="n"/>
      <c r="AN174" s="19" t="n"/>
      <c r="AO174" s="19" t="n"/>
      <c r="AP174" s="127">
        <f>IF(A174="","",A174-WEEKDAY(A174,2)+1)</f>
        <v/>
      </c>
      <c r="AQ174" s="127">
        <f>IF(AO174="","",AO174+6)</f>
        <v/>
      </c>
      <c r="AR174" s="19">
        <f>IF(AO174="","","Semana "&amp;TEXT(AO174,"dd-mm-yyyy")&amp;" al "&amp;TEXT(AP174,"dd-mm-yyyy"))</f>
        <v/>
      </c>
      <c r="AS174" s="19">
        <f>IF(A174="","",TEXT(A174,"mmmm yyyy"))</f>
        <v/>
      </c>
      <c r="AT174" s="19">
        <f>IF(A174="","",TEXT(A174,"dddd"))</f>
        <v/>
      </c>
      <c r="AU174" s="19">
        <f>IF(A174="","","CRR-"&amp;TEXT(A174,"yyyymmdd")&amp;"-"&amp;M174&amp;"-"&amp;TEXT(ROW()-3,"0000"))</f>
        <v/>
      </c>
      <c r="AV174" s="19">
        <f>IF(A174="","",IF(OR(B174="",C174="",E174="",F174="",M174="",N174=""),"Revisar campos obligatorios",IF(AND(P174="Atraso primera hora",Q174=""),"Falta justificación atraso primera hora",IF(AND(Z174="No cumple",AA174=""),"Falta justificación recambio &gt;15 min",IF(AND(ISNUMBER(SEARCH("suspend",N174)),OR(AG174="",AH174="")),"Falta causa/motivo suspensión","OK")))))</f>
        <v/>
      </c>
      <c r="AW174" s="19">
        <f>IF(N174="","",IF(ISNUMBER(SEARCH("suspend",N174)),IF(AND(AG174="",AH174=""),"Sin causa/motivo registrado",IF(AG174="",AH174,IF(AH174="",AG174,AG174&amp;": "&amp;AH174))),""))</f>
        <v/>
      </c>
    </row>
    <row r="175" ht="16" customHeight="1" s="151">
      <c r="A175" s="128" t="n">
        <v>46182</v>
      </c>
      <c r="B175" s="130" t="inlineStr">
        <is>
          <t>VALESKA ALEJANDRA</t>
        </is>
      </c>
      <c r="C175" s="129" t="inlineStr">
        <is>
          <t>RAMOS</t>
        </is>
      </c>
      <c r="D175" s="129" t="inlineStr">
        <is>
          <t>38a 10m 26d</t>
        </is>
      </c>
      <c r="E175" s="130" t="inlineStr">
        <is>
          <t>COLECISTECTOMIA POR VIDEOLAPAROSCOPIA, PROC. COMPLETO</t>
        </is>
      </c>
      <c r="F175" s="132" t="inlineStr">
        <is>
          <t>SERVICIO DE CIRUGIA ADULTO</t>
        </is>
      </c>
      <c r="G175" s="134" t="inlineStr">
        <is>
          <t>C. GENERAL</t>
        </is>
      </c>
      <c r="H175" s="129" t="inlineStr">
        <is>
          <t>1802081-10</t>
        </is>
      </c>
      <c r="I175" s="19" t="n"/>
      <c r="J175" s="20">
        <f>IF(H175&lt;&gt;"",IFERROR(VLOOKUP(IFERROR(LEFT(H175,FIND("-",H175)-1),H175),'Catalogo MINSAL'!A:E,5,FALSE),""),IF(I175&lt;&gt;"",IFERROR(VLOOKUP(IFERROR(LEFT(I175,FIND("-",I175)-1),I175),'Catalogo MINSAL'!A:E,5,FALSE),""),""))</f>
        <v/>
      </c>
      <c r="K175" s="129" t="inlineStr">
        <is>
          <t>Marcela Verónica Ortiz Acheritogaray</t>
        </is>
      </c>
      <c r="L175" s="130" t="inlineStr">
        <is>
          <t>Gonzalo Godoy Moya</t>
        </is>
      </c>
      <c r="M175" s="129" t="inlineStr">
        <is>
          <t>Quirofano 11</t>
        </is>
      </c>
      <c r="N175" s="135" t="inlineStr">
        <is>
          <t>Realizado</t>
        </is>
      </c>
      <c r="O175" s="137" t="n">
        <v>0.6173611111111111</v>
      </c>
      <c r="P175" s="27">
        <f>IFERROR(IF(OR(O175="",A175="",M175=""),"",IF(SUMPRODUCT(($A$4:$A$500=A175)*($M$4:$M$500=M175)*($O$4:$O$500&lt;&gt;"")*(MOD($O$4:$O$500,1)&lt;MOD(O175,1)))=0,IF(MOD(O175,1)&lt;=TIME(8,15,0),"Ingreso adecuado primera hora","Atraso primera hora"),"No aplica")),"")</f>
        <v/>
      </c>
      <c r="Q175" s="129" t="n"/>
      <c r="R175" s="137" t="n">
        <v>0.6423611111111112</v>
      </c>
      <c r="S175" s="137" t="n">
        <v>0.6805555555555556</v>
      </c>
      <c r="T175" s="137" t="n">
        <v>0.6916666666666667</v>
      </c>
      <c r="U175" s="25">
        <f>IFERROR(VLOOKUP(M175,'Horario Pabellones'!$A$4:$D$17,2,FALSE),"")</f>
        <v/>
      </c>
      <c r="V175" s="25">
        <f>IFERROR(VLOOKUP(M175,'Horario Pabellones'!$A$4:$D$17,3,FALSE),"")</f>
        <v/>
      </c>
      <c r="W175" s="99">
        <f>IFERROR(VLOOKUP(M175,'Horario Pabellones'!$A$4:$D$17,4,FALSE),"")</f>
        <v/>
      </c>
      <c r="X175" s="89">
        <f>IFERROR(IF(OR(A175="",M175="",W175=""),"",(((_xludf.AGGREGATE(14,6,MOD($S$4:$S$500,1)/(($A$4:$A$500=A175)*($M$4:$M$500=M175)*($R$4:$R$500&lt;&gt;"")*($S$4:$S$500&lt;&gt;"")),1)-_xludf.AGGREGATE(15,6,MOD($R$4:$R$500,1)/(($A$4:$A$500=A175)*($M$4:$M$500=M175)*($R$4:$R$500&lt;&gt;"")*($S$4:$S$500&lt;&gt;"")),1))*1440)/60)/(W175/60)),"")</f>
        <v/>
      </c>
      <c r="Y175" s="26">
        <f>IFERROR(IF(OR(O175="",A175="",M175=""),"",(IF(ISNUMBER(O175),MOD(O175,1),TIMEVALUE(O175))-LOOKUP(2,1/(($A$4:$A$500=A175)*($M$4:$M$500=M175)*($T$4:$T$500&lt;&gt;"")*($T$4:$T$500&lt;IF(ISNUMBER(O175),MOD(O175,1),TIMEVALUE(O175)))),$T$4:$T$500))*1440),"")</f>
        <v/>
      </c>
      <c r="Z175" s="27">
        <f>IFERROR(IF(Y175="","",IF(ROUND(Y175,0)&lt;=15,"Cumple","No cumple")),"")</f>
        <v/>
      </c>
      <c r="AA175" s="15" t="inlineStr">
        <is>
          <t>Piso humedo y evaluacion de anestesia</t>
        </is>
      </c>
      <c r="AB175" s="26">
        <f>IFERROR(IF(OR(O175="",R175=""),"",IF(IF(ISNUMBER(R175),MOD(R175,1),TIMEVALUE(R175))&gt;=IF(ISNUMBER(O175),MOD(O175,1),TIMEVALUE(O175)),(IF(ISNUMBER(R175),MOD(R175,1),TIMEVALUE(R175))-IF(ISNUMBER(O175),MOD(O175,1),TIMEVALUE(O175)))*1440,(IF(ISNUMBER(R175),MOD(R175,1),TIMEVALUE(R175))+1-IF(ISNUMBER(O175),MOD(O175,1),TIMEVALUE(O175)))*1440)),"")</f>
        <v/>
      </c>
      <c r="AC175" s="28">
        <f>IFERROR(IF(OR(R175="",S175=""),"",IF(IF(ISNUMBER(S175),MOD(S175,1),TIMEVALUE(S175))&gt;=IF(ISNUMBER(R175),MOD(R175,1),TIMEVALUE(R175)),(IF(ISNUMBER(S175),MOD(S175,1),TIMEVALUE(S175))-IF(ISNUMBER(R175),MOD(R175,1),TIMEVALUE(R175)))*1440,(IF(ISNUMBER(S175),MOD(S175,1),TIMEVALUE(S175))+1-IF(ISNUMBER(R175),MOD(R175,1),TIMEVALUE(R175)))*1440)),"")</f>
        <v/>
      </c>
      <c r="AD175" s="129" t="n">
        <v>60</v>
      </c>
      <c r="AE175" s="26">
        <f>IFERROR(IF(OR(AC175="",AD175=""),"",AC175-AD175),"")</f>
        <v/>
      </c>
      <c r="AF175" s="27">
        <f>IFERROR(IF(AE175="","",IF(ROUND(AE175,0)&gt;15,"Subestimacion",IF(ROUND(AE175,0)&lt;-15,"Sobrestimacion","Asertivo"))),"")</f>
        <v/>
      </c>
      <c r="AG175" s="19" t="n"/>
      <c r="AH175" s="19" t="n"/>
      <c r="AI175" s="19" t="n"/>
      <c r="AJ175" s="15" t="n"/>
      <c r="AK175" s="19" t="n"/>
      <c r="AL175" s="19" t="n"/>
      <c r="AM175" s="19" t="n"/>
      <c r="AN175" s="19" t="n"/>
      <c r="AO175" s="19" t="n"/>
      <c r="AP175" s="127">
        <f>IF(A175="","",A175-WEEKDAY(A175,2)+1)</f>
        <v/>
      </c>
      <c r="AQ175" s="127">
        <f>IF(AO175="","",AO175+6)</f>
        <v/>
      </c>
      <c r="AR175" s="19">
        <f>IF(AO175="","","Semana "&amp;TEXT(AO175,"dd-mm-yyyy")&amp;" al "&amp;TEXT(AP175,"dd-mm-yyyy"))</f>
        <v/>
      </c>
      <c r="AS175" s="19">
        <f>IF(A175="","",TEXT(A175,"mmmm yyyy"))</f>
        <v/>
      </c>
      <c r="AT175" s="19">
        <f>IF(A175="","",TEXT(A175,"dddd"))</f>
        <v/>
      </c>
      <c r="AU175" s="19">
        <f>IF(A175="","","CRR-"&amp;TEXT(A175,"yyyymmdd")&amp;"-"&amp;M175&amp;"-"&amp;TEXT(ROW()-3,"0000"))</f>
        <v/>
      </c>
      <c r="AV175" s="19">
        <f>IF(A175="","",IF(OR(B175="",C175="",E175="",F175="",M175="",N175=""),"Revisar campos obligatorios",IF(AND(P175="Atraso primera hora",Q175=""),"Falta justificación atraso primera hora",IF(AND(Z175="No cumple",AA175=""),"Falta justificación recambio &gt;15 min",IF(AND(ISNUMBER(SEARCH("suspend",N175)),OR(AG175="",AH175="")),"Falta causa/motivo suspensión","OK")))))</f>
        <v/>
      </c>
      <c r="AW175" s="19">
        <f>IF(N175="","",IF(ISNUMBER(SEARCH("suspend",N175)),IF(AND(AG175="",AH175=""),"Sin causa/motivo registrado",IF(AG175="",AH175,IF(AH175="",AG175,AG175&amp;": "&amp;AH175))),""))</f>
        <v/>
      </c>
    </row>
    <row r="176" ht="16" customHeight="1" s="151">
      <c r="A176" s="128" t="n">
        <v>46182</v>
      </c>
      <c r="B176" s="130" t="inlineStr">
        <is>
          <t>ELIZABETH DEL CARMEN</t>
        </is>
      </c>
      <c r="C176" s="129" t="inlineStr">
        <is>
          <t>ULLOA</t>
        </is>
      </c>
      <c r="D176" s="129" t="inlineStr">
        <is>
          <t>48a 8m 18d</t>
        </is>
      </c>
      <c r="E176" s="130" t="inlineStr">
        <is>
          <t>COLECISTECTOMIA POR VIDEOLAPAROSCOPIA, PROC. COMPLETO</t>
        </is>
      </c>
      <c r="F176" s="132" t="inlineStr">
        <is>
          <t>SERVICIO DE CIRUGIA ADULTO</t>
        </is>
      </c>
      <c r="G176" s="134" t="inlineStr">
        <is>
          <t>C. GENERAL</t>
        </is>
      </c>
      <c r="H176" s="129" t="inlineStr">
        <is>
          <t>1802081-10</t>
        </is>
      </c>
      <c r="I176" s="19" t="n"/>
      <c r="J176" s="20">
        <f>IF(H176&lt;&gt;"",IFERROR(VLOOKUP(IFERROR(LEFT(H176,FIND("-",H176)-1),H176),'Catalogo MINSAL'!A:E,5,FALSE),""),IF(I176&lt;&gt;"",IFERROR(VLOOKUP(IFERROR(LEFT(I176,FIND("-",I176)-1),I176),'Catalogo MINSAL'!A:E,5,FALSE),""),""))</f>
        <v/>
      </c>
      <c r="K176" s="129" t="inlineStr">
        <is>
          <t>Marcela Verónica Ortiz Acheritogaray</t>
        </is>
      </c>
      <c r="L176" s="130" t="inlineStr">
        <is>
          <t>Jose Antonio Terán Fuenmayor</t>
        </is>
      </c>
      <c r="M176" s="129" t="inlineStr">
        <is>
          <t>Quirofano 11</t>
        </is>
      </c>
      <c r="N176" s="135" t="inlineStr">
        <is>
          <t>Realizado</t>
        </is>
      </c>
      <c r="O176" s="137" t="n">
        <v>0.6993055555555555</v>
      </c>
      <c r="P176" s="27">
        <f>IFERROR(IF(OR(O176="",A176="",M176=""),"",IF(SUMPRODUCT(($A$4:$A$500=A176)*($M$4:$M$500=M176)*($O$4:$O$500&lt;&gt;"")*(MOD($O$4:$O$500,1)&lt;MOD(O176,1)))=0,IF(MOD(O176,1)&lt;=TIME(8,15,0),"Ingreso adecuado primera hora","Atraso primera hora"),"No aplica")),"")</f>
        <v/>
      </c>
      <c r="Q176" s="129" t="n"/>
      <c r="R176" s="137" t="n">
        <v>0.7222222222222222</v>
      </c>
      <c r="S176" s="137" t="n">
        <v>0.7361111111111112</v>
      </c>
      <c r="T176" s="137" t="n">
        <v>0.7520833333333333</v>
      </c>
      <c r="U176" s="25">
        <f>IFERROR(VLOOKUP(M176,'Horario Pabellones'!$A$4:$D$17,2,FALSE),"")</f>
        <v/>
      </c>
      <c r="V176" s="25">
        <f>IFERROR(VLOOKUP(M176,'Horario Pabellones'!$A$4:$D$17,3,FALSE),"")</f>
        <v/>
      </c>
      <c r="W176" s="99">
        <f>IFERROR(VLOOKUP(M176,'Horario Pabellones'!$A$4:$D$17,4,FALSE),"")</f>
        <v/>
      </c>
      <c r="X176" s="89">
        <f>IFERROR(IF(OR(A176="",M176="",W176=""),"",(((_xludf.AGGREGATE(14,6,MOD($S$4:$S$500,1)/(($A$4:$A$500=A176)*($M$4:$M$500=M176)*($R$4:$R$500&lt;&gt;"")*($S$4:$S$500&lt;&gt;"")),1)-_xludf.AGGREGATE(15,6,MOD($R$4:$R$500,1)/(($A$4:$A$500=A176)*($M$4:$M$500=M176)*($R$4:$R$500&lt;&gt;"")*($S$4:$S$500&lt;&gt;"")),1))*1440)/60)/(W176/60)),"")</f>
        <v/>
      </c>
      <c r="Y176" s="26">
        <f>IFERROR(IF(OR(O176="",A176="",M176=""),"",(IF(ISNUMBER(O176),MOD(O176,1),TIMEVALUE(O176))-LOOKUP(2,1/(($A$4:$A$500=A176)*($M$4:$M$500=M176)*($T$4:$T$500&lt;&gt;"")*($T$4:$T$500&lt;IF(ISNUMBER(O176),MOD(O176,1),TIMEVALUE(O176)))),$T$4:$T$500))*1440),"")</f>
        <v/>
      </c>
      <c r="Z176" s="27">
        <f>IFERROR(IF(Y176="","",IF(ROUND(Y176,0)&lt;=15,"Cumple","No cumple")),"")</f>
        <v/>
      </c>
      <c r="AA176" s="15" t="n"/>
      <c r="AB176" s="26">
        <f>IFERROR(IF(OR(O176="",R176=""),"",IF(IF(ISNUMBER(R176),MOD(R176,1),TIMEVALUE(R176))&gt;=IF(ISNUMBER(O176),MOD(O176,1),TIMEVALUE(O176)),(IF(ISNUMBER(R176),MOD(R176,1),TIMEVALUE(R176))-IF(ISNUMBER(O176),MOD(O176,1),TIMEVALUE(O176)))*1440,(IF(ISNUMBER(R176),MOD(R176,1),TIMEVALUE(R176))+1-IF(ISNUMBER(O176),MOD(O176,1),TIMEVALUE(O176)))*1440)),"")</f>
        <v/>
      </c>
      <c r="AC176" s="28">
        <f>IFERROR(IF(OR(R176="",S176=""),"",IF(IF(ISNUMBER(S176),MOD(S176,1),TIMEVALUE(S176))&gt;=IF(ISNUMBER(R176),MOD(R176,1),TIMEVALUE(R176)),(IF(ISNUMBER(S176),MOD(S176,1),TIMEVALUE(S176))-IF(ISNUMBER(R176),MOD(R176,1),TIMEVALUE(R176)))*1440,(IF(ISNUMBER(S176),MOD(S176,1),TIMEVALUE(S176))+1-IF(ISNUMBER(R176),MOD(R176,1),TIMEVALUE(R176)))*1440)),"")</f>
        <v/>
      </c>
      <c r="AD176" s="129" t="n">
        <v>60</v>
      </c>
      <c r="AE176" s="26">
        <f>IFERROR(IF(OR(AC176="",AD176=""),"",AC176-AD176),"")</f>
        <v/>
      </c>
      <c r="AF176" s="27">
        <f>IFERROR(IF(AE176="","",IF(ROUND(AE176,0)&gt;15,"Subestimacion",IF(ROUND(AE176,0)&lt;-15,"Sobrestimacion","Asertivo"))),"")</f>
        <v/>
      </c>
      <c r="AG176" s="19" t="n"/>
      <c r="AH176" s="19" t="n"/>
      <c r="AI176" s="19" t="n"/>
      <c r="AJ176" s="15" t="n"/>
      <c r="AK176" s="19" t="n"/>
      <c r="AL176" s="19" t="n"/>
      <c r="AM176" s="19" t="n"/>
      <c r="AN176" s="19" t="n"/>
      <c r="AO176" s="19" t="n"/>
      <c r="AP176" s="127">
        <f>IF(A176="","",A176-WEEKDAY(A176,2)+1)</f>
        <v/>
      </c>
      <c r="AQ176" s="127">
        <f>IF(AO176="","",AO176+6)</f>
        <v/>
      </c>
      <c r="AR176" s="19">
        <f>IF(AO176="","","Semana "&amp;TEXT(AO176,"dd-mm-yyyy")&amp;" al "&amp;TEXT(AP176,"dd-mm-yyyy"))</f>
        <v/>
      </c>
      <c r="AS176" s="19">
        <f>IF(A176="","",TEXT(A176,"mmmm yyyy"))</f>
        <v/>
      </c>
      <c r="AT176" s="19">
        <f>IF(A176="","",TEXT(A176,"dddd"))</f>
        <v/>
      </c>
      <c r="AU176" s="19">
        <f>IF(A176="","","CRR-"&amp;TEXT(A176,"yyyymmdd")&amp;"-"&amp;M176&amp;"-"&amp;TEXT(ROW()-3,"0000"))</f>
        <v/>
      </c>
      <c r="AV176" s="19">
        <f>IF(A176="","",IF(OR(B176="",C176="",E176="",F176="",M176="",N176=""),"Revisar campos obligatorios",IF(AND(P176="Atraso primera hora",Q176=""),"Falta justificación atraso primera hora",IF(AND(Z176="No cumple",AA176=""),"Falta justificación recambio &gt;15 min",IF(AND(ISNUMBER(SEARCH("suspend",N176)),OR(AG176="",AH176="")),"Falta causa/motivo suspensión","OK")))))</f>
        <v/>
      </c>
      <c r="AW176" s="19">
        <f>IF(N176="","",IF(ISNUMBER(SEARCH("suspend",N176)),IF(AND(AG176="",AH176=""),"Sin causa/motivo registrado",IF(AG176="",AH176,IF(AH176="",AG176,AG176&amp;": "&amp;AH176))),""))</f>
        <v/>
      </c>
    </row>
    <row r="177" ht="16" customHeight="1" s="151">
      <c r="A177" s="128" t="n">
        <v>46182</v>
      </c>
      <c r="B177" s="130" t="inlineStr">
        <is>
          <t>NICOLE ANDREA</t>
        </is>
      </c>
      <c r="C177" s="129" t="inlineStr">
        <is>
          <t>PINO</t>
        </is>
      </c>
      <c r="D177" s="129" t="inlineStr">
        <is>
          <t>38a 2m 26d</t>
        </is>
      </c>
      <c r="E177" s="130" t="inlineStr">
        <is>
          <t>COLECISTECTOMIA POR VIDEOLAPAROSCOPIA, PROC. COMPLETO</t>
        </is>
      </c>
      <c r="F177" s="132" t="inlineStr">
        <is>
          <t>SERVICIO DE CIRUGIA ADULTO</t>
        </is>
      </c>
      <c r="G177" s="134" t="inlineStr">
        <is>
          <t>C. GENERAL</t>
        </is>
      </c>
      <c r="H177" s="129" t="inlineStr">
        <is>
          <t>1802081-10</t>
        </is>
      </c>
      <c r="I177" s="19" t="n"/>
      <c r="J177" s="20">
        <f>IF(H177&lt;&gt;"",IFERROR(VLOOKUP(IFERROR(LEFT(H177,FIND("-",H177)-1),H177),'Catalogo MINSAL'!A:E,5,FALSE),""),IF(I177&lt;&gt;"",IFERROR(VLOOKUP(IFERROR(LEFT(I177,FIND("-",I177)-1),I177),'Catalogo MINSAL'!A:E,5,FALSE),""),""))</f>
        <v/>
      </c>
      <c r="K177" s="129" t="inlineStr">
        <is>
          <t>Marcela Verónica Ortiz Acheritogaray</t>
        </is>
      </c>
      <c r="L177" s="130" t="inlineStr">
        <is>
          <t>Felicia Meza Maldonado</t>
        </is>
      </c>
      <c r="M177" s="129" t="inlineStr">
        <is>
          <t>Quirofano 11</t>
        </is>
      </c>
      <c r="N177" s="136" t="inlineStr">
        <is>
          <t>Suspendido</t>
        </is>
      </c>
      <c r="O177" s="15" t="n"/>
      <c r="P177" s="27">
        <f>IFERROR(IF(OR(O177="",A177="",M177=""),"",IF(SUMPRODUCT(($A$4:$A$500=A177)*($M$4:$M$500=M177)*($O$4:$O$500&lt;&gt;"")*(MOD($O$4:$O$500,1)&lt;MOD(O177,1)))=0,IF(MOD(O177,1)&lt;=TIME(8,15,0),"Ingreso adecuado primera hora","Atraso primera hora"),"No aplica")),"")</f>
        <v/>
      </c>
      <c r="Q177" s="129" t="n"/>
      <c r="R177" s="15" t="n"/>
      <c r="S177" s="15" t="n"/>
      <c r="T177" s="15" t="n"/>
      <c r="U177" s="25">
        <f>IFERROR(VLOOKUP(M177,'Horario Pabellones'!$A$4:$D$17,2,FALSE),"")</f>
        <v/>
      </c>
      <c r="V177" s="25">
        <f>IFERROR(VLOOKUP(M177,'Horario Pabellones'!$A$4:$D$17,3,FALSE),"")</f>
        <v/>
      </c>
      <c r="W177" s="99">
        <f>IFERROR(VLOOKUP(M177,'Horario Pabellones'!$A$4:$D$17,4,FALSE),"")</f>
        <v/>
      </c>
      <c r="X177" s="89">
        <f>IFERROR(IF(OR(A177="",M177="",W177=""),"",(((_xludf.AGGREGATE(14,6,MOD($S$4:$S$500,1)/(($A$4:$A$500=A177)*($M$4:$M$500=M177)*($R$4:$R$500&lt;&gt;"")*($S$4:$S$500&lt;&gt;"")),1)-_xludf.AGGREGATE(15,6,MOD($R$4:$R$500,1)/(($A$4:$A$500=A177)*($M$4:$M$500=M177)*($R$4:$R$500&lt;&gt;"")*($S$4:$S$500&lt;&gt;"")),1))*1440)/60)/(W177/60)),"")</f>
        <v/>
      </c>
      <c r="Y177" s="26">
        <f>IFERROR(IF(OR(O177="",A177="",M177=""),"",(IF(ISNUMBER(O177),MOD(O177,1),TIMEVALUE(O177))-LOOKUP(2,1/(($A$4:$A$500=A177)*($M$4:$M$500=M177)*($T$4:$T$500&lt;&gt;"")*($T$4:$T$500&lt;IF(ISNUMBER(O177),MOD(O177,1),TIMEVALUE(O177)))),$T$4:$T$500))*1440),"")</f>
        <v/>
      </c>
      <c r="Z177" s="27">
        <f>IFERROR(IF(Y177="","",IF(ROUND(Y177,0)&lt;=15,"Cumple","No cumple")),"")</f>
        <v/>
      </c>
      <c r="AA177" s="129" t="n"/>
      <c r="AB177" s="26">
        <f>IFERROR(IF(OR(O177="",R177=""),"",IF(IF(ISNUMBER(R177),MOD(R177,1),TIMEVALUE(R177))&gt;=IF(ISNUMBER(O177),MOD(O177,1),TIMEVALUE(O177)),(IF(ISNUMBER(R177),MOD(R177,1),TIMEVALUE(R177))-IF(ISNUMBER(O177),MOD(O177,1),TIMEVALUE(O177)))*1440,(IF(ISNUMBER(R177),MOD(R177,1),TIMEVALUE(R177))+1-IF(ISNUMBER(O177),MOD(O177,1),TIMEVALUE(O177)))*1440)),"")</f>
        <v/>
      </c>
      <c r="AC177" s="28">
        <f>IFERROR(IF(OR(R177="",S177=""),"",IF(IF(ISNUMBER(S177),MOD(S177,1),TIMEVALUE(S177))&gt;=IF(ISNUMBER(R177),MOD(R177,1),TIMEVALUE(R177)),(IF(ISNUMBER(S177),MOD(S177,1),TIMEVALUE(S177))-IF(ISNUMBER(R177),MOD(R177,1),TIMEVALUE(R177)))*1440,(IF(ISNUMBER(S177),MOD(S177,1),TIMEVALUE(S177))+1-IF(ISNUMBER(R177),MOD(R177,1),TIMEVALUE(R177)))*1440)),"")</f>
        <v/>
      </c>
      <c r="AD177" s="129" t="n">
        <v>60</v>
      </c>
      <c r="AE177" s="26">
        <f>IFERROR(IF(OR(AC177="",AD177=""),"",AC177-AD177),"")</f>
        <v/>
      </c>
      <c r="AF177" s="27">
        <f>IFERROR(IF(AE177="","",IF(ROUND(AE177,0)&gt;15,"Subestimacion",IF(ROUND(AE177,0)&lt;-15,"Sobrestimacion","Asertivo"))),"")</f>
        <v/>
      </c>
      <c r="AG177" s="19" t="n"/>
      <c r="AH177" s="19" t="inlineStr">
        <is>
          <t>Patologia aguda</t>
        </is>
      </c>
      <c r="AI177" s="19" t="inlineStr">
        <is>
          <t>Patologia aguda</t>
        </is>
      </c>
      <c r="AJ177" s="129" t="inlineStr">
        <is>
          <t>Patologia aguda</t>
        </is>
      </c>
      <c r="AK177" s="19" t="n"/>
      <c r="AL177" s="19" t="n"/>
      <c r="AM177" s="19" t="n"/>
      <c r="AN177" s="19" t="n"/>
      <c r="AO177" s="19" t="n"/>
      <c r="AP177" s="127">
        <f>IF(A177="","",A177-WEEKDAY(A177,2)+1)</f>
        <v/>
      </c>
      <c r="AQ177" s="127">
        <f>IF(AO177="","",AO177+6)</f>
        <v/>
      </c>
      <c r="AR177" s="19">
        <f>IF(AO177="","","Semana "&amp;TEXT(AO177,"dd-mm-yyyy")&amp;" al "&amp;TEXT(AP177,"dd-mm-yyyy"))</f>
        <v/>
      </c>
      <c r="AS177" s="19">
        <f>IF(A177="","",TEXT(A177,"mmmm yyyy"))</f>
        <v/>
      </c>
      <c r="AT177" s="19">
        <f>IF(A177="","",TEXT(A177,"dddd"))</f>
        <v/>
      </c>
      <c r="AU177" s="19">
        <f>IF(A177="","","CRR-"&amp;TEXT(A177,"yyyymmdd")&amp;"-"&amp;M177&amp;"-"&amp;TEXT(ROW()-3,"0000"))</f>
        <v/>
      </c>
      <c r="AV177" s="19">
        <f>IF(A177="","",IF(OR(B177="",C177="",E177="",F177="",M177="",N177=""),"Revisar campos obligatorios",IF(AND(P177="Atraso primera hora",Q177=""),"Falta justificación atraso primera hora",IF(AND(Z177="No cumple",AA177=""),"Falta justificación recambio &gt;15 min",IF(AND(ISNUMBER(SEARCH("suspend",N177)),OR(AG177="",AH177="")),"Falta causa/motivo suspensión","OK")))))</f>
        <v/>
      </c>
      <c r="AW177" s="19">
        <f>IF(N177="","",IF(ISNUMBER(SEARCH("suspend",N177)),IF(AND(AG177="",AH177=""),"Sin causa/motivo registrado",IF(AG177="",AH177,IF(AH177="",AG177,AG177&amp;": "&amp;AH177))),""))</f>
        <v/>
      </c>
    </row>
    <row r="178" ht="16" customHeight="1" s="151">
      <c r="A178" s="139" t="n">
        <v>46183</v>
      </c>
      <c r="B178" s="140" t="inlineStr">
        <is>
          <t>CAMILO FRANCISCO</t>
        </is>
      </c>
      <c r="C178" s="140" t="inlineStr">
        <is>
          <t>ALARCÓN</t>
        </is>
      </c>
      <c r="D178" s="140" t="inlineStr">
        <is>
          <t>8a 6m 3d</t>
        </is>
      </c>
      <c r="E178" s="141" t="inlineStr">
        <is>
          <t>CIRCUNCISION (INCLUYE SECCION DE FRENILLO, Y/O DE SINEQUIAS BALANO-PREPUCIALES, Y/O INCISION DORSAL C/S MEATOTOMIA)</t>
        </is>
      </c>
      <c r="F178" s="142" t="inlineStr">
        <is>
          <t>SERVICIO DE CIRUGIA INFANTIL</t>
        </is>
      </c>
      <c r="G178" s="143" t="inlineStr">
        <is>
          <t>CIRUGIA INFANTIL</t>
        </is>
      </c>
      <c r="H178" s="144" t="inlineStr">
        <is>
          <t>1902082-5</t>
        </is>
      </c>
      <c r="I178" s="19" t="n"/>
      <c r="J178" s="20">
        <f>IF(H178&lt;&gt;"",IFERROR(VLOOKUP(IFERROR(LEFT(H178,FIND("-",H178)-1),H178),'Catalogo MINSAL'!A:E,5,FALSE),""),IF(I178&lt;&gt;"",IFERROR(VLOOKUP(IFERROR(LEFT(I178,FIND("-",I178)-1),I178),'Catalogo MINSAL'!A:E,5,FALSE),""),""))</f>
        <v/>
      </c>
      <c r="K178" s="144" t="inlineStr">
        <is>
          <t>Maximo Sepulveda Pizarro</t>
        </is>
      </c>
      <c r="L178" s="145" t="inlineStr">
        <is>
          <t>Amine Beatriz Fercovic Musre</t>
        </is>
      </c>
      <c r="M178" s="140" t="inlineStr">
        <is>
          <t>Quirofano 07</t>
        </is>
      </c>
      <c r="N178" s="146" t="inlineStr">
        <is>
          <t>Realizado</t>
        </is>
      </c>
      <c r="O178" s="148" t="n">
        <v>0.3611111111111111</v>
      </c>
      <c r="P178" s="27">
        <f>IFERROR(IF(OR(O178="",A178="",M178=""),"",IF(SUMPRODUCT(($A$4:$A$500=A178)*($M$4:$M$500=M178)*($O$4:$O$500&lt;&gt;"")*(MOD($O$4:$O$500,1)&lt;MOD(O178,1)))=0,IF(MOD(O178,1)&lt;=TIME(8,15,0),"Ingreso adecuado primera hora","Atraso primera hora"),"No aplica")),"")</f>
        <v/>
      </c>
      <c r="Q178" s="145" t="inlineStr">
        <is>
          <t>Preparación quirófano, Equipamiento de anestesia con falla, Cambio de paciente</t>
        </is>
      </c>
      <c r="R178" s="148" t="n">
        <v>0.3680555555555556</v>
      </c>
      <c r="S178" s="148" t="n">
        <v>0.3958333333333333</v>
      </c>
      <c r="T178" s="148" t="n">
        <v>0.4159722222222222</v>
      </c>
      <c r="U178" s="25">
        <f>IFERROR(VLOOKUP(M178,'Horario Pabellones'!$A$4:$D$17,2,FALSE),"")</f>
        <v/>
      </c>
      <c r="V178" s="25">
        <f>IFERROR(VLOOKUP(M178,'Horario Pabellones'!$A$4:$D$17,3,FALSE),"")</f>
        <v/>
      </c>
      <c r="W178" s="99">
        <f>IFERROR(VLOOKUP(M178,'Horario Pabellones'!$A$4:$D$17,4,FALSE),"")</f>
        <v/>
      </c>
      <c r="X178" s="89">
        <f>IFERROR(IF(OR(A178="",M178="",W178=""),"",(((_xludf.AGGREGATE(14,6,MOD($S$4:$S$500,1)/(($A$4:$A$500=A178)*($M$4:$M$500=M178)*($R$4:$R$500&lt;&gt;"")*($S$4:$S$500&lt;&gt;"")),1)-_xludf.AGGREGATE(15,6,MOD($R$4:$R$500,1)/(($A$4:$A$500=A178)*($M$4:$M$500=M178)*($R$4:$R$500&lt;&gt;"")*($S$4:$S$500&lt;&gt;"")),1))*1440)/60)/(W178/60)),"")</f>
        <v/>
      </c>
      <c r="Y178" s="26">
        <f>IFERROR(IF(OR(O178="",A178="",M178=""),"",(IF(ISNUMBER(O178),MOD(O178,1),TIMEVALUE(O178))-LOOKUP(2,1/(($A$4:$A$500=A178)*($M$4:$M$500=M178)*($T$4:$T$500&lt;&gt;"")*($T$4:$T$500&lt;IF(ISNUMBER(O178),MOD(O178,1),TIMEVALUE(O178)))),$T$4:$T$500))*1440),"")</f>
        <v/>
      </c>
      <c r="Z178" s="27">
        <f>IFERROR(IF(Y178="","",IF(ROUND(Y178,0)&lt;=15,"Cumple","No cumple")),"")</f>
        <v/>
      </c>
      <c r="AA178" s="144" t="n"/>
      <c r="AB178" s="26">
        <f>IFERROR(IF(OR(O178="",R178=""),"",IF(IF(ISNUMBER(R178),MOD(R178,1),TIMEVALUE(R178))&gt;=IF(ISNUMBER(O178),MOD(O178,1),TIMEVALUE(O178)),(IF(ISNUMBER(R178),MOD(R178,1),TIMEVALUE(R178))-IF(ISNUMBER(O178),MOD(O178,1),TIMEVALUE(O178)))*1440,(IF(ISNUMBER(R178),MOD(R178,1),TIMEVALUE(R178))+1-IF(ISNUMBER(O178),MOD(O178,1),TIMEVALUE(O178)))*1440)),"")</f>
        <v/>
      </c>
      <c r="AC178" s="28">
        <f>IFERROR(IF(OR(R178="",S178=""),"",IF(IF(ISNUMBER(S178),MOD(S178,1),TIMEVALUE(S178))&gt;=IF(ISNUMBER(R178),MOD(R178,1),TIMEVALUE(R178)),(IF(ISNUMBER(S178),MOD(S178,1),TIMEVALUE(S178))-IF(ISNUMBER(R178),MOD(R178,1),TIMEVALUE(R178)))*1440,(IF(ISNUMBER(S178),MOD(S178,1),TIMEVALUE(S178))+1-IF(ISNUMBER(R178),MOD(R178,1),TIMEVALUE(R178)))*1440)),"")</f>
        <v/>
      </c>
      <c r="AD178" s="144" t="n">
        <v>60</v>
      </c>
      <c r="AE178" s="26">
        <f>IFERROR(IF(OR(AC178="",AD178=""),"",AC178-AD178),"")</f>
        <v/>
      </c>
      <c r="AF178" s="27">
        <f>IFERROR(IF(AE178="","",IF(ROUND(AE178,0)&gt;15,"Subestimacion",IF(ROUND(AE178,0)&lt;-15,"Sobrestimacion","Asertivo"))),"")</f>
        <v/>
      </c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27">
        <f>IF(A178="","",A178-WEEKDAY(A178,2)+1)</f>
        <v/>
      </c>
      <c r="AQ178" s="127">
        <f>IF(AO178="","",AO178+6)</f>
        <v/>
      </c>
      <c r="AR178" s="19">
        <f>IF(AO178="","","Semana "&amp;TEXT(AO178,"dd-mm-yyyy")&amp;" al "&amp;TEXT(AP178,"dd-mm-yyyy"))</f>
        <v/>
      </c>
      <c r="AS178" s="19">
        <f>IF(A178="","",TEXT(A178,"mmmm yyyy"))</f>
        <v/>
      </c>
      <c r="AT178" s="19">
        <f>IF(A178="","",TEXT(A178,"dddd"))</f>
        <v/>
      </c>
      <c r="AU178" s="19">
        <f>IF(A178="","","CRR-"&amp;TEXT(A178,"yyyymmdd")&amp;"-"&amp;M178&amp;"-"&amp;TEXT(ROW()-3,"0000"))</f>
        <v/>
      </c>
      <c r="AV178" s="19">
        <f>IF(A178="","",IF(OR(B178="",C178="",E178="",F178="",M178="",N178=""),"Revisar campos obligatorios",IF(AND(P178="Atraso primera hora",Q178=""),"Falta justificación atraso primera hora",IF(AND(Z178="No cumple",AA178=""),"Falta justificación recambio &gt;15 min",IF(AND(ISNUMBER(SEARCH("suspend",N178)),OR(AG178="",AH178="")),"Falta causa/motivo suspensión","OK")))))</f>
        <v/>
      </c>
      <c r="AW178" s="19">
        <f>IF(N178="","",IF(ISNUMBER(SEARCH("suspend",N178)),IF(AND(AG178="",AH178=""),"Sin causa/motivo registrado",IF(AG178="",AH178,IF(AH178="",AG178,AG178&amp;": "&amp;AH178))),""))</f>
        <v/>
      </c>
    </row>
    <row r="179" ht="16" customHeight="1" s="151">
      <c r="A179" s="139" t="n">
        <v>46183</v>
      </c>
      <c r="B179" s="140" t="inlineStr">
        <is>
          <t>DANIEL ESTEBAN</t>
        </is>
      </c>
      <c r="C179" s="140" t="inlineStr">
        <is>
          <t>GOMEZ</t>
        </is>
      </c>
      <c r="D179" s="140" t="inlineStr">
        <is>
          <t>1a 3m 28d</t>
        </is>
      </c>
      <c r="E179" s="141" t="inlineStr">
        <is>
          <t>CIRCUNCISION (INCLUYE SECCION DE FRENILLO, Y/O DE SINEQUIAS BALANO-PREPUCIALES, Y/O INCISION DORSAL C/S MEATOTOMIA)</t>
        </is>
      </c>
      <c r="F179" s="142" t="inlineStr">
        <is>
          <t>SERVICIO DE CIRUGIA INFANTIL</t>
        </is>
      </c>
      <c r="G179" s="143" t="inlineStr">
        <is>
          <t>CIRUGIA INFANTIL</t>
        </is>
      </c>
      <c r="H179" s="144" t="inlineStr">
        <is>
          <t>1902082-5</t>
        </is>
      </c>
      <c r="I179" s="19" t="n"/>
      <c r="J179" s="20">
        <f>IF(H179&lt;&gt;"",IFERROR(VLOOKUP(IFERROR(LEFT(H179,FIND("-",H179)-1),H179),'Catalogo MINSAL'!A:E,5,FALSE),""),IF(I179&lt;&gt;"",IFERROR(VLOOKUP(IFERROR(LEFT(I179,FIND("-",I179)-1),I179),'Catalogo MINSAL'!A:E,5,FALSE),""),""))</f>
        <v/>
      </c>
      <c r="K179" s="144" t="inlineStr">
        <is>
          <t>Maximo Sepulveda Pizarro</t>
        </is>
      </c>
      <c r="L179" s="145" t="inlineStr">
        <is>
          <t>Amine Beatriz Fercovic Musre</t>
        </is>
      </c>
      <c r="M179" s="140" t="inlineStr">
        <is>
          <t>Quirofano 07</t>
        </is>
      </c>
      <c r="N179" s="146" t="inlineStr">
        <is>
          <t>Realizado</t>
        </is>
      </c>
      <c r="O179" s="148" t="n">
        <v>0.4256944444444444</v>
      </c>
      <c r="P179" s="27">
        <f>IFERROR(IF(OR(O179="",A179="",M179=""),"",IF(SUMPRODUCT(($A$4:$A$500=A179)*($M$4:$M$500=M179)*($O$4:$O$500&lt;&gt;"")*(MOD($O$4:$O$500,1)&lt;MOD(O179,1)))=0,IF(MOD(O179,1)&lt;=TIME(8,15,0),"Ingreso adecuado primera hora","Atraso primera hora"),"No aplica")),"")</f>
        <v/>
      </c>
      <c r="Q179" s="27" t="n"/>
      <c r="R179" s="148" t="n">
        <v>0.4722222222222222</v>
      </c>
      <c r="S179" s="148" t="n">
        <v>0.4895833333333333</v>
      </c>
      <c r="T179" s="148" t="n">
        <v>0.4993055555555556</v>
      </c>
      <c r="U179" s="25">
        <f>IFERROR(VLOOKUP(M179,'Horario Pabellones'!$A$4:$D$17,2,FALSE),"")</f>
        <v/>
      </c>
      <c r="V179" s="25">
        <f>IFERROR(VLOOKUP(M179,'Horario Pabellones'!$A$4:$D$17,3,FALSE),"")</f>
        <v/>
      </c>
      <c r="W179" s="99">
        <f>IFERROR(VLOOKUP(M179,'Horario Pabellones'!$A$4:$D$17,4,FALSE),"")</f>
        <v/>
      </c>
      <c r="X179" s="89">
        <f>IFERROR(IF(OR(A179="",M179="",W179=""),"",(((_xludf.AGGREGATE(14,6,MOD($S$4:$S$500,1)/(($A$4:$A$500=A179)*($M$4:$M$500=M179)*($R$4:$R$500&lt;&gt;"")*($S$4:$S$500&lt;&gt;"")),1)-_xludf.AGGREGATE(15,6,MOD($R$4:$R$500,1)/(($A$4:$A$500=A179)*($M$4:$M$500=M179)*($R$4:$R$500&lt;&gt;"")*($S$4:$S$500&lt;&gt;"")),1))*1440)/60)/(W179/60)),"")</f>
        <v/>
      </c>
      <c r="Y179" s="26">
        <f>IFERROR(IF(OR(O179="",A179="",M179=""),"",(IF(ISNUMBER(O179),MOD(O179,1),TIMEVALUE(O179))-LOOKUP(2,1/(($A$4:$A$500=A179)*($M$4:$M$500=M179)*($T$4:$T$500&lt;&gt;"")*($T$4:$T$500&lt;IF(ISNUMBER(O179),MOD(O179,1),TIMEVALUE(O179)))),$T$4:$T$500))*1440),"")</f>
        <v/>
      </c>
      <c r="Z179" s="27">
        <f>IFERROR(IF(Y179="","",IF(ROUND(Y179,0)&lt;=15,"Cumple","No cumple")),"")</f>
        <v/>
      </c>
      <c r="AA179" s="144" t="n"/>
      <c r="AB179" s="26">
        <f>IFERROR(IF(OR(O179="",R179=""),"",IF(IF(ISNUMBER(R179),MOD(R179,1),TIMEVALUE(R179))&gt;=IF(ISNUMBER(O179),MOD(O179,1),TIMEVALUE(O179)),(IF(ISNUMBER(R179),MOD(R179,1),TIMEVALUE(R179))-IF(ISNUMBER(O179),MOD(O179,1),TIMEVALUE(O179)))*1440,(IF(ISNUMBER(R179),MOD(R179,1),TIMEVALUE(R179))+1-IF(ISNUMBER(O179),MOD(O179,1),TIMEVALUE(O179)))*1440)),"")</f>
        <v/>
      </c>
      <c r="AC179" s="28">
        <f>IFERROR(IF(OR(R179="",S179=""),"",IF(IF(ISNUMBER(S179),MOD(S179,1),TIMEVALUE(S179))&gt;=IF(ISNUMBER(R179),MOD(R179,1),TIMEVALUE(R179)),(IF(ISNUMBER(S179),MOD(S179,1),TIMEVALUE(S179))-IF(ISNUMBER(R179),MOD(R179,1),TIMEVALUE(R179)))*1440,(IF(ISNUMBER(S179),MOD(S179,1),TIMEVALUE(S179))+1-IF(ISNUMBER(R179),MOD(R179,1),TIMEVALUE(R179)))*1440)),"")</f>
        <v/>
      </c>
      <c r="AD179" s="144" t="n">
        <v>60</v>
      </c>
      <c r="AE179" s="26">
        <f>IFERROR(IF(OR(AC179="",AD179=""),"",AC179-AD179),"")</f>
        <v/>
      </c>
      <c r="AF179" s="27">
        <f>IFERROR(IF(AE179="","",IF(ROUND(AE179,0)&gt;15,"Subestimacion",IF(ROUND(AE179,0)&lt;-15,"Sobrestimacion","Asertivo"))),"")</f>
        <v/>
      </c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27">
        <f>IF(A179="","",A179-WEEKDAY(A179,2)+1)</f>
        <v/>
      </c>
      <c r="AQ179" s="127">
        <f>IF(AO179="","",AO179+6)</f>
        <v/>
      </c>
      <c r="AR179" s="19">
        <f>IF(AO179="","","Semana "&amp;TEXT(AO179,"dd-mm-yyyy")&amp;" al "&amp;TEXT(AP179,"dd-mm-yyyy"))</f>
        <v/>
      </c>
      <c r="AS179" s="19">
        <f>IF(A179="","",TEXT(A179,"mmmm yyyy"))</f>
        <v/>
      </c>
      <c r="AT179" s="19">
        <f>IF(A179="","",TEXT(A179,"dddd"))</f>
        <v/>
      </c>
      <c r="AU179" s="19">
        <f>IF(A179="","","CRR-"&amp;TEXT(A179,"yyyymmdd")&amp;"-"&amp;M179&amp;"-"&amp;TEXT(ROW()-3,"0000"))</f>
        <v/>
      </c>
      <c r="AV179" s="19">
        <f>IF(A179="","",IF(OR(B179="",C179="",E179="",F179="",M179="",N179=""),"Revisar campos obligatorios",IF(AND(P179="Atraso primera hora",Q179=""),"Falta justificación atraso primera hora",IF(AND(Z179="No cumple",AA179=""),"Falta justificación recambio &gt;15 min",IF(AND(ISNUMBER(SEARCH("suspend",N179)),OR(AG179="",AH179="")),"Falta causa/motivo suspensión","OK")))))</f>
        <v/>
      </c>
      <c r="AW179" s="19">
        <f>IF(N179="","",IF(ISNUMBER(SEARCH("suspend",N179)),IF(AND(AG179="",AH179=""),"Sin causa/motivo registrado",IF(AG179="",AH179,IF(AH179="",AG179,AG179&amp;": "&amp;AH179))),""))</f>
        <v/>
      </c>
    </row>
    <row r="180" ht="16" customHeight="1" s="151">
      <c r="A180" s="139" t="n">
        <v>46183</v>
      </c>
      <c r="B180" s="140" t="inlineStr">
        <is>
          <t>JOSE AGUSTIN</t>
        </is>
      </c>
      <c r="C180" s="140" t="inlineStr">
        <is>
          <t>ROBLES</t>
        </is>
      </c>
      <c r="D180" s="140" t="inlineStr">
        <is>
          <t>6a 1m 24d</t>
        </is>
      </c>
      <c r="E180" s="141" t="inlineStr">
        <is>
          <t>DESCENSO TESTICULO INGUINAL C/S HERNIOPLASTIA</t>
        </is>
      </c>
      <c r="F180" s="142" t="inlineStr">
        <is>
          <t>SERVICIO DE CIRUGIA INFANTIL</t>
        </is>
      </c>
      <c r="G180" s="143" t="inlineStr">
        <is>
          <t>CIRUGIA INFANTIL</t>
        </is>
      </c>
      <c r="H180" s="144" t="inlineStr">
        <is>
          <t>1902061-5</t>
        </is>
      </c>
      <c r="I180" s="19" t="n"/>
      <c r="J180" s="20">
        <f>IF(H180&lt;&gt;"",IFERROR(VLOOKUP(IFERROR(LEFT(H180,FIND("-",H180)-1),H180),'Catalogo MINSAL'!A:E,5,FALSE),""),IF(I180&lt;&gt;"",IFERROR(VLOOKUP(IFERROR(LEFT(I180,FIND("-",I180)-1),I180),'Catalogo MINSAL'!A:E,5,FALSE),""),""))</f>
        <v/>
      </c>
      <c r="K180" s="144" t="inlineStr">
        <is>
          <t>Maximo Sepulveda Pizarro</t>
        </is>
      </c>
      <c r="L180" s="145" t="inlineStr">
        <is>
          <t>Amine Beatriz Fercovic Musre</t>
        </is>
      </c>
      <c r="M180" s="140" t="inlineStr">
        <is>
          <t>Quirofano 07</t>
        </is>
      </c>
      <c r="N180" s="146" t="inlineStr">
        <is>
          <t>Realizado</t>
        </is>
      </c>
      <c r="O180" s="148" t="n">
        <v>0.5208333333333334</v>
      </c>
      <c r="P180" s="27">
        <f>IFERROR(IF(OR(O180="",A180="",M180=""),"",IF(SUMPRODUCT(($A$4:$A$500=A180)*($M$4:$M$500=M180)*($O$4:$O$500&lt;&gt;"")*(MOD($O$4:$O$500,1)&lt;MOD(O180,1)))=0,IF(MOD(O180,1)&lt;=TIME(8,15,0),"Ingreso adecuado primera hora","Atraso primera hora"),"No aplica")),"")</f>
        <v/>
      </c>
      <c r="Q180" s="27" t="n"/>
      <c r="R180" s="148" t="n">
        <v>0.5347222222222222</v>
      </c>
      <c r="S180" s="148" t="n">
        <v>0.5763888888888888</v>
      </c>
      <c r="T180" s="148" t="n">
        <v>0.5965277777777778</v>
      </c>
      <c r="U180" s="25">
        <f>IFERROR(VLOOKUP(M180,'Horario Pabellones'!$A$4:$D$17,2,FALSE),"")</f>
        <v/>
      </c>
      <c r="V180" s="25">
        <f>IFERROR(VLOOKUP(M180,'Horario Pabellones'!$A$4:$D$17,3,FALSE),"")</f>
        <v/>
      </c>
      <c r="W180" s="99">
        <f>IFERROR(VLOOKUP(M180,'Horario Pabellones'!$A$4:$D$17,4,FALSE),"")</f>
        <v/>
      </c>
      <c r="X180" s="89">
        <f>IFERROR(IF(OR(A180="",M180="",W180=""),"",(((_xludf.AGGREGATE(14,6,MOD($S$4:$S$500,1)/(($A$4:$A$500=A180)*($M$4:$M$500=M180)*($R$4:$R$500&lt;&gt;"")*($S$4:$S$500&lt;&gt;"")),1)-_xludf.AGGREGATE(15,6,MOD($R$4:$R$500,1)/(($A$4:$A$500=A180)*($M$4:$M$500=M180)*($R$4:$R$500&lt;&gt;"")*($S$4:$S$500&lt;&gt;"")),1))*1440)/60)/(W180/60)),"")</f>
        <v/>
      </c>
      <c r="Y180" s="26">
        <f>IFERROR(IF(OR(O180="",A180="",M180=""),"",(IF(ISNUMBER(O180),MOD(O180,1),TIMEVALUE(O180))-LOOKUP(2,1/(($A$4:$A$500=A180)*($M$4:$M$500=M180)*($T$4:$T$500&lt;&gt;"")*($T$4:$T$500&lt;IF(ISNUMBER(O180),MOD(O180,1),TIMEVALUE(O180)))),$T$4:$T$500))*1440),"")</f>
        <v/>
      </c>
      <c r="Z180" s="27">
        <f>IFERROR(IF(Y180="","",IF(ROUND(Y180,0)&lt;=15,"Cumple","No cumple")),"")</f>
        <v/>
      </c>
      <c r="AA180" s="147" t="inlineStr">
        <is>
          <t>Pendiente documentos (C.I)</t>
        </is>
      </c>
      <c r="AB180" s="26">
        <f>IFERROR(IF(OR(O180="",R180=""),"",IF(IF(ISNUMBER(R180),MOD(R180,1),TIMEVALUE(R180))&gt;=IF(ISNUMBER(O180),MOD(O180,1),TIMEVALUE(O180)),(IF(ISNUMBER(R180),MOD(R180,1),TIMEVALUE(R180))-IF(ISNUMBER(O180),MOD(O180,1),TIMEVALUE(O180)))*1440,(IF(ISNUMBER(R180),MOD(R180,1),TIMEVALUE(R180))+1-IF(ISNUMBER(O180),MOD(O180,1),TIMEVALUE(O180)))*1440)),"")</f>
        <v/>
      </c>
      <c r="AC180" s="28">
        <f>IFERROR(IF(OR(R180="",S180=""),"",IF(IF(ISNUMBER(S180),MOD(S180,1),TIMEVALUE(S180))&gt;=IF(ISNUMBER(R180),MOD(R180,1),TIMEVALUE(R180)),(IF(ISNUMBER(S180),MOD(S180,1),TIMEVALUE(S180))-IF(ISNUMBER(R180),MOD(R180,1),TIMEVALUE(R180)))*1440,(IF(ISNUMBER(S180),MOD(S180,1),TIMEVALUE(S180))+1-IF(ISNUMBER(R180),MOD(R180,1),TIMEVALUE(R180)))*1440)),"")</f>
        <v/>
      </c>
      <c r="AD180" s="144" t="n">
        <v>60</v>
      </c>
      <c r="AE180" s="26">
        <f>IFERROR(IF(OR(AC180="",AD180=""),"",AC180-AD180),"")</f>
        <v/>
      </c>
      <c r="AF180" s="27">
        <f>IFERROR(IF(AE180="","",IF(ROUND(AE180,0)&gt;15,"Subestimacion",IF(ROUND(AE180,0)&lt;-15,"Sobrestimacion","Asertivo"))),"")</f>
        <v/>
      </c>
      <c r="AG180" s="19" t="n"/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27">
        <f>IF(A180="","",A180-WEEKDAY(A180,2)+1)</f>
        <v/>
      </c>
      <c r="AQ180" s="127">
        <f>IF(AO180="","",AO180+6)</f>
        <v/>
      </c>
      <c r="AR180" s="19">
        <f>IF(AO180="","","Semana "&amp;TEXT(AO180,"dd-mm-yyyy")&amp;" al "&amp;TEXT(AP180,"dd-mm-yyyy"))</f>
        <v/>
      </c>
      <c r="AS180" s="19">
        <f>IF(A180="","",TEXT(A180,"mmmm yyyy"))</f>
        <v/>
      </c>
      <c r="AT180" s="19">
        <f>IF(A180="","",TEXT(A180,"dddd"))</f>
        <v/>
      </c>
      <c r="AU180" s="19">
        <f>IF(A180="","","CRR-"&amp;TEXT(A180,"yyyymmdd")&amp;"-"&amp;M180&amp;"-"&amp;TEXT(ROW()-3,"0000"))</f>
        <v/>
      </c>
      <c r="AV180" s="19">
        <f>IF(A180="","",IF(OR(B180="",C180="",E180="",F180="",M180="",N180=""),"Revisar campos obligatorios",IF(AND(P180="Atraso primera hora",Q180=""),"Falta justificación atraso primera hora",IF(AND(Z180="No cumple",AA180=""),"Falta justificación recambio &gt;15 min",IF(AND(ISNUMBER(SEARCH("suspend",N180)),OR(AG180="",AH180="")),"Falta causa/motivo suspensión","OK")))))</f>
        <v/>
      </c>
      <c r="AW180" s="19">
        <f>IF(N180="","",IF(ISNUMBER(SEARCH("suspend",N180)),IF(AND(AG180="",AH180=""),"Sin causa/motivo registrado",IF(AG180="",AH180,IF(AH180="",AG180,AG180&amp;": "&amp;AH180))),""))</f>
        <v/>
      </c>
    </row>
    <row r="181" ht="16" customHeight="1" s="151">
      <c r="A181" s="139" t="n">
        <v>46183</v>
      </c>
      <c r="B181" s="140" t="inlineStr">
        <is>
          <t>MATÍAS IVAN</t>
        </is>
      </c>
      <c r="C181" s="140" t="inlineStr">
        <is>
          <t>VICTORIANO</t>
        </is>
      </c>
      <c r="D181" s="140" t="inlineStr">
        <is>
          <t>9a 11m 30d</t>
        </is>
      </c>
      <c r="E181" s="141" t="inlineStr">
        <is>
          <t>CIRCUNCISION (INCLUYE SECCION DE FRENILLO, Y/O DE SINEQUIAS BALANO-PREPUCIALES, Y/O INCISION DORSAL C/S MEATOTOMIA)</t>
        </is>
      </c>
      <c r="F181" s="142" t="inlineStr">
        <is>
          <t>SERVICIO DE CIRUGIA INFANTIL</t>
        </is>
      </c>
      <c r="G181" s="143" t="inlineStr">
        <is>
          <t>CIRUGIA INFANTIL</t>
        </is>
      </c>
      <c r="H181" s="144" t="inlineStr">
        <is>
          <t>1902082-5</t>
        </is>
      </c>
      <c r="I181" s="19" t="n"/>
      <c r="J181" s="20">
        <f>IF(H181&lt;&gt;"",IFERROR(VLOOKUP(IFERROR(LEFT(H181,FIND("-",H181)-1),H181),'Catalogo MINSAL'!A:E,5,FALSE),""),IF(I181&lt;&gt;"",IFERROR(VLOOKUP(IFERROR(LEFT(I181,FIND("-",I181)-1),I181),'Catalogo MINSAL'!A:E,5,FALSE),""),""))</f>
        <v/>
      </c>
      <c r="K181" s="144" t="inlineStr">
        <is>
          <t>Maximo Sepulveda Pizarro</t>
        </is>
      </c>
      <c r="L181" s="145" t="inlineStr">
        <is>
          <t>Amine Beatriz Fercovic Musre</t>
        </is>
      </c>
      <c r="M181" s="140" t="inlineStr">
        <is>
          <t>Quirofano 07</t>
        </is>
      </c>
      <c r="N181" s="146" t="inlineStr">
        <is>
          <t>Realizado</t>
        </is>
      </c>
      <c r="O181" s="148" t="n">
        <v>0.6104166666666667</v>
      </c>
      <c r="P181" s="27">
        <f>IFERROR(IF(OR(O181="",A181="",M181=""),"",IF(SUMPRODUCT(($A$4:$A$500=A181)*($M$4:$M$500=M181)*($O$4:$O$500&lt;&gt;"")*(MOD($O$4:$O$500,1)&lt;MOD(O181,1)))=0,IF(MOD(O181,1)&lt;=TIME(8,15,0),"Ingreso adecuado primera hora","Atraso primera hora"),"No aplica")),"")</f>
        <v/>
      </c>
      <c r="Q181" s="27" t="n"/>
      <c r="R181" s="148" t="n">
        <v>0.6388888888888888</v>
      </c>
      <c r="S181" s="148" t="n">
        <v>0.6666666666666666</v>
      </c>
      <c r="T181" s="148" t="n">
        <v>0.6715277777777777</v>
      </c>
      <c r="U181" s="25">
        <f>IFERROR(VLOOKUP(M181,'Horario Pabellones'!$A$4:$D$17,2,FALSE),"")</f>
        <v/>
      </c>
      <c r="V181" s="25">
        <f>IFERROR(VLOOKUP(M181,'Horario Pabellones'!$A$4:$D$17,3,FALSE),"")</f>
        <v/>
      </c>
      <c r="W181" s="99">
        <f>IFERROR(VLOOKUP(M181,'Horario Pabellones'!$A$4:$D$17,4,FALSE),"")</f>
        <v/>
      </c>
      <c r="X181" s="89">
        <f>IFERROR(IF(OR(A181="",M181="",W181=""),"",(((_xludf.AGGREGATE(14,6,MOD($S$4:$S$500,1)/(($A$4:$A$500=A181)*($M$4:$M$500=M181)*($R$4:$R$500&lt;&gt;"")*($S$4:$S$500&lt;&gt;"")),1)-_xludf.AGGREGATE(15,6,MOD($R$4:$R$500,1)/(($A$4:$A$500=A181)*($M$4:$M$500=M181)*($R$4:$R$500&lt;&gt;"")*($S$4:$S$500&lt;&gt;"")),1))*1440)/60)/(W181/60)),"")</f>
        <v/>
      </c>
      <c r="Y181" s="26">
        <f>IFERROR(IF(OR(O181="",A181="",M181=""),"",(IF(ISNUMBER(O181),MOD(O181,1),TIMEVALUE(O181))-LOOKUP(2,1/(($A$4:$A$500=A181)*($M$4:$M$500=M181)*($T$4:$T$500&lt;&gt;"")*($T$4:$T$500&lt;IF(ISNUMBER(O181),MOD(O181,1),TIMEVALUE(O181)))),$T$4:$T$500))*1440),"")</f>
        <v/>
      </c>
      <c r="Z181" s="27">
        <f>IFERROR(IF(Y181="","",IF(ROUND(Y181,0)&lt;=15,"Cumple","No cumple")),"")</f>
        <v/>
      </c>
      <c r="AA181" s="147" t="inlineStr">
        <is>
          <t>Pendiente documentos (C.I)</t>
        </is>
      </c>
      <c r="AB181" s="26">
        <f>IFERROR(IF(OR(O181="",R181=""),"",IF(IF(ISNUMBER(R181),MOD(R181,1),TIMEVALUE(R181))&gt;=IF(ISNUMBER(O181),MOD(O181,1),TIMEVALUE(O181)),(IF(ISNUMBER(R181),MOD(R181,1),TIMEVALUE(R181))-IF(ISNUMBER(O181),MOD(O181,1),TIMEVALUE(O181)))*1440,(IF(ISNUMBER(R181),MOD(R181,1),TIMEVALUE(R181))+1-IF(ISNUMBER(O181),MOD(O181,1),TIMEVALUE(O181)))*1440)),"")</f>
        <v/>
      </c>
      <c r="AC181" s="28">
        <f>IFERROR(IF(OR(R181="",S181=""),"",IF(IF(ISNUMBER(S181),MOD(S181,1),TIMEVALUE(S181))&gt;=IF(ISNUMBER(R181),MOD(R181,1),TIMEVALUE(R181)),(IF(ISNUMBER(S181),MOD(S181,1),TIMEVALUE(S181))-IF(ISNUMBER(R181),MOD(R181,1),TIMEVALUE(R181)))*1440,(IF(ISNUMBER(S181),MOD(S181,1),TIMEVALUE(S181))+1-IF(ISNUMBER(R181),MOD(R181,1),TIMEVALUE(R181)))*1440)),"")</f>
        <v/>
      </c>
      <c r="AD181" s="144" t="n">
        <v>60</v>
      </c>
      <c r="AE181" s="26">
        <f>IFERROR(IF(OR(AC181="",AD181=""),"",AC181-AD181),"")</f>
        <v/>
      </c>
      <c r="AF181" s="27">
        <f>IFERROR(IF(AE181="","",IF(ROUND(AE181,0)&gt;15,"Subestimacion",IF(ROUND(AE181,0)&lt;-15,"Sobrestimacion","Asertivo"))),"")</f>
        <v/>
      </c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27">
        <f>IF(A181="","",A181-WEEKDAY(A181,2)+1)</f>
        <v/>
      </c>
      <c r="AQ181" s="127">
        <f>IF(AO181="","",AO181+6)</f>
        <v/>
      </c>
      <c r="AR181" s="19">
        <f>IF(AO181="","","Semana "&amp;TEXT(AO181,"dd-mm-yyyy")&amp;" al "&amp;TEXT(AP181,"dd-mm-yyyy"))</f>
        <v/>
      </c>
      <c r="AS181" s="19">
        <f>IF(A181="","",TEXT(A181,"mmmm yyyy"))</f>
        <v/>
      </c>
      <c r="AT181" s="19">
        <f>IF(A181="","",TEXT(A181,"dddd"))</f>
        <v/>
      </c>
      <c r="AU181" s="19">
        <f>IF(A181="","","CRR-"&amp;TEXT(A181,"yyyymmdd")&amp;"-"&amp;M181&amp;"-"&amp;TEXT(ROW()-3,"0000"))</f>
        <v/>
      </c>
      <c r="AV181" s="19">
        <f>IF(A181="","",IF(OR(B181="",C181="",E181="",F181="",M181="",N181=""),"Revisar campos obligatorios",IF(AND(P181="Atraso primera hora",Q181=""),"Falta justificación atraso primera hora",IF(AND(Z181="No cumple",AA181=""),"Falta justificación recambio &gt;15 min",IF(AND(ISNUMBER(SEARCH("suspend",N181)),OR(AG181="",AH181="")),"Falta causa/motivo suspensión","OK")))))</f>
        <v/>
      </c>
      <c r="AW181" s="19">
        <f>IF(N181="","",IF(ISNUMBER(SEARCH("suspend",N181)),IF(AND(AG181="",AH181=""),"Sin causa/motivo registrado",IF(AG181="",AH181,IF(AH181="",AG181,AG181&amp;": "&amp;AH181))),""))</f>
        <v/>
      </c>
    </row>
    <row r="182" ht="16" customHeight="1" s="151">
      <c r="A182" s="139" t="n">
        <v>46183</v>
      </c>
      <c r="B182" s="140" t="inlineStr">
        <is>
          <t>JULIÁN TOMÁS</t>
        </is>
      </c>
      <c r="C182" s="140" t="inlineStr">
        <is>
          <t>OPAZO</t>
        </is>
      </c>
      <c r="D182" s="140" t="inlineStr">
        <is>
          <t>5a 9m 6d</t>
        </is>
      </c>
      <c r="E182" s="141" t="inlineStr">
        <is>
          <t>CIRCUNCISION (INCLUYE SECCION DE FRENILLO, Y/O DE SINEQUIAS BALANO-PREPUCIALES, Y/O INCISION DORSAL C/S MEATOTOMIA)</t>
        </is>
      </c>
      <c r="F182" s="142" t="inlineStr">
        <is>
          <t>SERVICIO DE CIRUGIA INFANTIL</t>
        </is>
      </c>
      <c r="G182" s="143" t="inlineStr">
        <is>
          <t>CIRUGIA INFANTIL</t>
        </is>
      </c>
      <c r="H182" s="144" t="inlineStr">
        <is>
          <t>1902082-5</t>
        </is>
      </c>
      <c r="I182" s="19" t="n"/>
      <c r="J182" s="20">
        <f>IF(H182&lt;&gt;"",IFERROR(VLOOKUP(IFERROR(LEFT(H182,FIND("-",H182)-1),H182),'Catalogo MINSAL'!A:E,5,FALSE),""),IF(I182&lt;&gt;"",IFERROR(VLOOKUP(IFERROR(LEFT(I182,FIND("-",I182)-1),I182),'Catalogo MINSAL'!A:E,5,FALSE),""),""))</f>
        <v/>
      </c>
      <c r="K182" s="144" t="inlineStr">
        <is>
          <t>Maximo Sepulveda Pizarro</t>
        </is>
      </c>
      <c r="L182" s="145" t="inlineStr">
        <is>
          <t>Amine Beatriz Fercovic Musre</t>
        </is>
      </c>
      <c r="M182" s="140" t="inlineStr">
        <is>
          <t>Quirofano 07</t>
        </is>
      </c>
      <c r="N182" s="146" t="inlineStr">
        <is>
          <t>Realizado</t>
        </is>
      </c>
      <c r="O182" s="148" t="n">
        <v>0.6875</v>
      </c>
      <c r="P182" s="27">
        <f>IFERROR(IF(OR(O182="",A182="",M182=""),"",IF(SUMPRODUCT(($A$4:$A$500=A182)*($M$4:$M$500=M182)*($O$4:$O$500&lt;&gt;"")*(MOD($O$4:$O$500,1)&lt;MOD(O182,1)))=0,IF(MOD(O182,1)&lt;=TIME(8,15,0),"Ingreso adecuado primera hora","Atraso primera hora"),"No aplica")),"")</f>
        <v/>
      </c>
      <c r="Q182" s="27" t="n"/>
      <c r="R182" s="148" t="n">
        <v>0.7083333333333334</v>
      </c>
      <c r="S182" s="148" t="n">
        <v>0.7083333333333334</v>
      </c>
      <c r="T182" s="148" t="n">
        <v>0.7361111111111112</v>
      </c>
      <c r="U182" s="25">
        <f>IFERROR(VLOOKUP(M182,'Horario Pabellones'!$A$4:$D$17,2,FALSE),"")</f>
        <v/>
      </c>
      <c r="V182" s="25">
        <f>IFERROR(VLOOKUP(M182,'Horario Pabellones'!$A$4:$D$17,3,FALSE),"")</f>
        <v/>
      </c>
      <c r="W182" s="99">
        <f>IFERROR(VLOOKUP(M182,'Horario Pabellones'!$A$4:$D$17,4,FALSE),"")</f>
        <v/>
      </c>
      <c r="X182" s="89">
        <f>IFERROR(IF(OR(A182="",M182="",W182=""),"",(((_xludf.AGGREGATE(14,6,MOD($S$4:$S$500,1)/(($A$4:$A$500=A182)*($M$4:$M$500=M182)*($R$4:$R$500&lt;&gt;"")*($S$4:$S$500&lt;&gt;"")),1)-_xludf.AGGREGATE(15,6,MOD($R$4:$R$500,1)/(($A$4:$A$500=A182)*($M$4:$M$500=M182)*($R$4:$R$500&lt;&gt;"")*($S$4:$S$500&lt;&gt;"")),1))*1440)/60)/(W182/60)),"")</f>
        <v/>
      </c>
      <c r="Y182" s="26">
        <f>IFERROR(IF(OR(O182="",A182="",M182=""),"",(IF(ISNUMBER(O182),MOD(O182,1),TIMEVALUE(O182))-LOOKUP(2,1/(($A$4:$A$500=A182)*($M$4:$M$500=M182)*($T$4:$T$500&lt;&gt;"")*($T$4:$T$500&lt;IF(ISNUMBER(O182),MOD(O182,1),TIMEVALUE(O182)))),$T$4:$T$500))*1440),"")</f>
        <v/>
      </c>
      <c r="Z182" s="27">
        <f>IFERROR(IF(Y182="","",IF(ROUND(Y182,0)&lt;=15,"Cumple","No cumple")),"")</f>
        <v/>
      </c>
      <c r="AA182" s="146" t="inlineStr">
        <is>
          <t>Retraso en aseo</t>
        </is>
      </c>
      <c r="AB182" s="26">
        <f>IFERROR(IF(OR(O182="",R182=""),"",IF(IF(ISNUMBER(R182),MOD(R182,1),TIMEVALUE(R182))&gt;=IF(ISNUMBER(O182),MOD(O182,1),TIMEVALUE(O182)),(IF(ISNUMBER(R182),MOD(R182,1),TIMEVALUE(R182))-IF(ISNUMBER(O182),MOD(O182,1),TIMEVALUE(O182)))*1440,(IF(ISNUMBER(R182),MOD(R182,1),TIMEVALUE(R182))+1-IF(ISNUMBER(O182),MOD(O182,1),TIMEVALUE(O182)))*1440)),"")</f>
        <v/>
      </c>
      <c r="AC182" s="28">
        <f>IFERROR(IF(OR(R182="",S182=""),"",IF(IF(ISNUMBER(S182),MOD(S182,1),TIMEVALUE(S182))&gt;=IF(ISNUMBER(R182),MOD(R182,1),TIMEVALUE(R182)),(IF(ISNUMBER(S182),MOD(S182,1),TIMEVALUE(S182))-IF(ISNUMBER(R182),MOD(R182,1),TIMEVALUE(R182)))*1440,(IF(ISNUMBER(S182),MOD(S182,1),TIMEVALUE(S182))+1-IF(ISNUMBER(R182),MOD(R182,1),TIMEVALUE(R182)))*1440)),"")</f>
        <v/>
      </c>
      <c r="AD182" s="144" t="n">
        <v>60</v>
      </c>
      <c r="AE182" s="26">
        <f>IFERROR(IF(OR(AC182="",AD182=""),"",AC182-AD182),"")</f>
        <v/>
      </c>
      <c r="AF182" s="27">
        <f>IFERROR(IF(AE182="","",IF(ROUND(AE182,0)&gt;15,"Subestimacion",IF(ROUND(AE182,0)&lt;-15,"Sobrestimacion","Asertivo"))),"")</f>
        <v/>
      </c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27">
        <f>IF(A182="","",A182-WEEKDAY(A182,2)+1)</f>
        <v/>
      </c>
      <c r="AQ182" s="127">
        <f>IF(AO182="","",AO182+6)</f>
        <v/>
      </c>
      <c r="AR182" s="19">
        <f>IF(AO182="","","Semana "&amp;TEXT(AO182,"dd-mm-yyyy")&amp;" al "&amp;TEXT(AP182,"dd-mm-yyyy"))</f>
        <v/>
      </c>
      <c r="AS182" s="19">
        <f>IF(A182="","",TEXT(A182,"mmmm yyyy"))</f>
        <v/>
      </c>
      <c r="AT182" s="19">
        <f>IF(A182="","",TEXT(A182,"dddd"))</f>
        <v/>
      </c>
      <c r="AU182" s="19">
        <f>IF(A182="","","CRR-"&amp;TEXT(A182,"yyyymmdd")&amp;"-"&amp;M182&amp;"-"&amp;TEXT(ROW()-3,"0000"))</f>
        <v/>
      </c>
      <c r="AV182" s="19">
        <f>IF(A182="","",IF(OR(B182="",C182="",E182="",F182="",M182="",N182=""),"Revisar campos obligatorios",IF(AND(P182="Atraso primera hora",Q182=""),"Falta justificación atraso primera hora",IF(AND(Z182="No cumple",AA182=""),"Falta justificación recambio &gt;15 min",IF(AND(ISNUMBER(SEARCH("suspend",N182)),OR(AG182="",AH182="")),"Falta causa/motivo suspensión","OK")))))</f>
        <v/>
      </c>
      <c r="AW182" s="19">
        <f>IF(N182="","",IF(ISNUMBER(SEARCH("suspend",N182)),IF(AND(AG182="",AH182=""),"Sin causa/motivo registrado",IF(AG182="",AH182,IF(AH182="",AG182,AG182&amp;": "&amp;AH182))),""))</f>
        <v/>
      </c>
    </row>
    <row r="183" ht="16" customHeight="1" s="151">
      <c r="A183" s="139" t="n">
        <v>46183</v>
      </c>
      <c r="B183" s="140" t="inlineStr">
        <is>
          <t>MAYLEN AGUSTINA</t>
        </is>
      </c>
      <c r="C183" s="140" t="inlineStr">
        <is>
          <t>MELLA</t>
        </is>
      </c>
      <c r="D183" s="140" t="inlineStr">
        <is>
          <t>3a 4m 7d</t>
        </is>
      </c>
      <c r="E183" s="141" t="inlineStr">
        <is>
          <t>Hernia sin malla por vía anterior, con acceso abierto.</t>
        </is>
      </c>
      <c r="F183" s="142" t="inlineStr">
        <is>
          <t>SERVICIO DE CIRUGIA INFANTIL</t>
        </is>
      </c>
      <c r="G183" s="143" t="inlineStr">
        <is>
          <t>CIRUGIA INFANTIL</t>
        </is>
      </c>
      <c r="H183" s="140" t="inlineStr">
        <is>
          <t>1802153-6</t>
        </is>
      </c>
      <c r="I183" s="19" t="n"/>
      <c r="J183" s="20" t="inlineStr">
        <is>
          <t>Cirugía Mayor</t>
        </is>
      </c>
      <c r="K183" s="144" t="inlineStr">
        <is>
          <t>Maximo Sepulveda Pizarro</t>
        </is>
      </c>
      <c r="L183" s="145" t="inlineStr">
        <is>
          <t>Amine Beatriz Fercovic Musre</t>
        </is>
      </c>
      <c r="M183" s="140" t="inlineStr">
        <is>
          <t>Quirofano 07</t>
        </is>
      </c>
      <c r="N183" s="147" t="inlineStr">
        <is>
          <t>Suspendido</t>
        </is>
      </c>
      <c r="O183" s="15" t="n"/>
      <c r="P183" s="27">
        <f>IFERROR(IF(OR(O183="",A183="",M183=""),"",IF(SUMPRODUCT(($A$4:$A$500=A183)*($M$4:$M$500=M183)*($O$4:$O$500&lt;&gt;"")*(MOD($O$4:$O$500,1)&lt;MOD(O183,1)))=0,IF(MOD(O183,1)&lt;=TIME(8,15,0),"Ingreso adecuado primera hora","Atraso primera hora"),"No aplica")),"")</f>
        <v/>
      </c>
      <c r="Q183" s="27" t="n"/>
      <c r="R183" s="15" t="n"/>
      <c r="S183" s="15" t="n"/>
      <c r="T183" s="15" t="n"/>
      <c r="U183" s="25">
        <f>IFERROR(VLOOKUP(M183,'Horario Pabellones'!$A$4:$D$17,2,FALSE),"")</f>
        <v/>
      </c>
      <c r="V183" s="25">
        <f>IFERROR(VLOOKUP(M183,'Horario Pabellones'!$A$4:$D$17,3,FALSE),"")</f>
        <v/>
      </c>
      <c r="W183" s="99">
        <f>IFERROR(VLOOKUP(M183,'Horario Pabellones'!$A$4:$D$17,4,FALSE),"")</f>
        <v/>
      </c>
      <c r="X183" s="89">
        <f>IFERROR(IF(OR(A183="",M183="",W183=""),"",(((_xludf.AGGREGATE(14,6,MOD($S$4:$S$500,1)/(($A$4:$A$500=A183)*($M$4:$M$500=M183)*($R$4:$R$500&lt;&gt;"")*($S$4:$S$500&lt;&gt;"")),1)-_xludf.AGGREGATE(15,6,MOD($R$4:$R$500,1)/(($A$4:$A$500=A183)*($M$4:$M$500=M183)*($R$4:$R$500&lt;&gt;"")*($S$4:$S$500&lt;&gt;"")),1))*1440)/60)/(W183/60)),"")</f>
        <v/>
      </c>
      <c r="Y183" s="26">
        <f>IFERROR(IF(OR(O183="",A183="",M183=""),"",(IF(ISNUMBER(O183),MOD(O183,1),TIMEVALUE(O183))-LOOKUP(2,1/(($A$4:$A$500=A183)*($M$4:$M$500=M183)*($T$4:$T$500&lt;&gt;"")*($T$4:$T$500&lt;IF(ISNUMBER(O183),MOD(O183,1),TIMEVALUE(O183)))),$T$4:$T$500))*1440),"")</f>
        <v/>
      </c>
      <c r="Z183" s="27">
        <f>IFERROR(IF(Y183="","",IF(ROUND(Y183,0)&lt;=15,"Cumple","No cumple")),"")</f>
        <v/>
      </c>
      <c r="AA183" s="147" t="n"/>
      <c r="AB183" s="26">
        <f>IFERROR(IF(OR(O183="",R183=""),"",IF(IF(ISNUMBER(R183),MOD(R183,1),TIMEVALUE(R183))&gt;=IF(ISNUMBER(O183),MOD(O183,1),TIMEVALUE(O183)),(IF(ISNUMBER(R183),MOD(R183,1),TIMEVALUE(R183))-IF(ISNUMBER(O183),MOD(O183,1),TIMEVALUE(O183)))*1440,(IF(ISNUMBER(R183),MOD(R183,1),TIMEVALUE(R183))+1-IF(ISNUMBER(O183),MOD(O183,1),TIMEVALUE(O183)))*1440)),"")</f>
        <v/>
      </c>
      <c r="AC183" s="28">
        <f>IFERROR(IF(OR(R183="",S183=""),"",IF(IF(ISNUMBER(S183),MOD(S183,1),TIMEVALUE(S183))&gt;=IF(ISNUMBER(R183),MOD(R183,1),TIMEVALUE(R183)),(IF(ISNUMBER(S183),MOD(S183,1),TIMEVALUE(S183))-IF(ISNUMBER(R183),MOD(R183,1),TIMEVALUE(R183)))*1440,(IF(ISNUMBER(S183),MOD(S183,1),TIMEVALUE(S183))+1-IF(ISNUMBER(R183),MOD(R183,1),TIMEVALUE(R183)))*1440)),"")</f>
        <v/>
      </c>
      <c r="AD183" s="144" t="n">
        <v>60</v>
      </c>
      <c r="AE183" s="26">
        <f>IFERROR(IF(OR(AC183="",AD183=""),"",AC183-AD183),"")</f>
        <v/>
      </c>
      <c r="AF183" s="27">
        <f>IFERROR(IF(AE183="","",IF(ROUND(AE183,0)&gt;15,"Subestimacion",IF(ROUND(AE183,0)&lt;-15,"Sobrestimacion","Asertivo"))),"")</f>
        <v/>
      </c>
      <c r="AG183" s="19" t="n"/>
      <c r="AH183" s="19" t="inlineStr">
        <is>
          <t>Patologia aguda</t>
        </is>
      </c>
      <c r="AI183" s="19" t="inlineStr">
        <is>
          <t>Patologia aguda</t>
        </is>
      </c>
      <c r="AJ183" s="19" t="n"/>
      <c r="AK183" s="19" t="n"/>
      <c r="AL183" s="19" t="n"/>
      <c r="AM183" s="19" t="n"/>
      <c r="AN183" s="19" t="n"/>
      <c r="AO183" s="19" t="n"/>
      <c r="AP183" s="127">
        <f>IF(A183="","",A183-WEEKDAY(A183,2)+1)</f>
        <v/>
      </c>
      <c r="AQ183" s="127">
        <f>IF(AO183="","",AO183+6)</f>
        <v/>
      </c>
      <c r="AR183" s="19">
        <f>IF(AO183="","","Semana "&amp;TEXT(AO183,"dd-mm-yyyy")&amp;" al "&amp;TEXT(AP183,"dd-mm-yyyy"))</f>
        <v/>
      </c>
      <c r="AS183" s="19">
        <f>IF(A183="","",TEXT(A183,"mmmm yyyy"))</f>
        <v/>
      </c>
      <c r="AT183" s="19">
        <f>IF(A183="","",TEXT(A183,"dddd"))</f>
        <v/>
      </c>
      <c r="AU183" s="19">
        <f>IF(A183="","","CRR-"&amp;TEXT(A183,"yyyymmdd")&amp;"-"&amp;M183&amp;"-"&amp;TEXT(ROW()-3,"0000"))</f>
        <v/>
      </c>
      <c r="AV183" s="19">
        <f>IF(A183="","",IF(OR(B183="",C183="",E183="",F183="",M183="",N183=""),"Revisar campos obligatorios",IF(AND(P183="Atraso primera hora",Q183=""),"Falta justificación atraso primera hora",IF(AND(Z183="No cumple",AA183=""),"Falta justificación recambio &gt;15 min",IF(AND(ISNUMBER(SEARCH("suspend",N183)),OR(AG183="",AH183="")),"Falta causa/motivo suspensión","OK")))))</f>
        <v/>
      </c>
      <c r="AW183" s="19">
        <f>IF(N183="","",IF(ISNUMBER(SEARCH("suspend",N183)),IF(AND(AG183="",AH183=""),"Sin causa/motivo registrado",IF(AG183="",AH183,IF(AH183="",AG183,AG183&amp;": "&amp;AH183))),""))</f>
        <v/>
      </c>
    </row>
    <row r="184" ht="16" customHeight="1" s="151">
      <c r="A184" s="139" t="n">
        <v>46183</v>
      </c>
      <c r="B184" s="140" t="inlineStr">
        <is>
          <t>PAULA VICTORIA</t>
        </is>
      </c>
      <c r="C184" s="140" t="inlineStr">
        <is>
          <t>QUIROGA</t>
        </is>
      </c>
      <c r="D184" s="140" t="inlineStr">
        <is>
          <t>32a 8m 20d</t>
        </is>
      </c>
      <c r="E184" s="141" t="inlineStr">
        <is>
          <t>CONIZACION Y/O AMPUTACION DEL CUELLO, DIAGNOSTICA Y/O TERAPEUTICA C/S BIOPSIA</t>
        </is>
      </c>
      <c r="F184" s="142" t="inlineStr">
        <is>
          <t>SERVICIO DE GINECOLOGIA</t>
        </is>
      </c>
      <c r="G184" s="143" t="inlineStr">
        <is>
          <t>ONCOGINE</t>
        </is>
      </c>
      <c r="H184" s="140" t="inlineStr">
        <is>
          <t>2003012-5</t>
        </is>
      </c>
      <c r="I184" s="19" t="n"/>
      <c r="J184" s="20">
        <f>IF(H184&lt;&gt;"",IFERROR(VLOOKUP(IFERROR(LEFT(H184,FIND("-",H184)-1),H184),'Catalogo MINSAL'!A:E,5,FALSE),""),IF(I184&lt;&gt;"",IFERROR(VLOOKUP(IFERROR(LEFT(I184,FIND("-",I184)-1),I184),'Catalogo MINSAL'!A:E,5,FALSE),""),""))</f>
        <v/>
      </c>
      <c r="K184" s="15" t="n"/>
      <c r="L184" s="141" t="inlineStr">
        <is>
          <t>Paula Andrea Borda Silva</t>
        </is>
      </c>
      <c r="M184" s="140" t="inlineStr">
        <is>
          <t>Quirofano 08</t>
        </is>
      </c>
      <c r="N184" s="146" t="inlineStr">
        <is>
          <t>Realizado</t>
        </is>
      </c>
      <c r="O184" s="148" t="n">
        <v>0.3263888888888889</v>
      </c>
      <c r="P184" s="27">
        <f>IFERROR(IF(OR(O184="",A184="",M184=""),"",IF(SUMPRODUCT(($A$4:$A$500=A184)*($M$4:$M$500=M184)*($O$4:$O$500&lt;&gt;"")*(MOD($O$4:$O$500,1)&lt;MOD(O184,1)))=0,IF(MOD(O184,1)&lt;=TIME(8,15,0),"Ingreso adecuado primera hora","Atraso primera hora"),"No aplica")),"")</f>
        <v/>
      </c>
      <c r="Q184" s="27" t="n"/>
      <c r="R184" s="148" t="n">
        <v>0.3263888888888889</v>
      </c>
      <c r="S184" s="148" t="n">
        <v>0.3645833333333333</v>
      </c>
      <c r="T184" s="148" t="n">
        <v>0.3645833333333333</v>
      </c>
      <c r="U184" s="25">
        <f>IFERROR(VLOOKUP(M184,'Horario Pabellones'!$A$4:$D$17,2,FALSE),"")</f>
        <v/>
      </c>
      <c r="V184" s="25">
        <f>IFERROR(VLOOKUP(M184,'Horario Pabellones'!$A$4:$D$17,3,FALSE),"")</f>
        <v/>
      </c>
      <c r="W184" s="99">
        <f>IFERROR(VLOOKUP(M184,'Horario Pabellones'!$A$4:$D$17,4,FALSE),"")</f>
        <v/>
      </c>
      <c r="X184" s="89">
        <f>IFERROR(IF(OR(A184="",M184="",W184=""),"",(((_xludf.AGGREGATE(14,6,MOD($S$4:$S$500,1)/(($A$4:$A$500=A184)*($M$4:$M$500=M184)*($R$4:$R$500&lt;&gt;"")*($S$4:$S$500&lt;&gt;"")),1)-_xludf.AGGREGATE(15,6,MOD($R$4:$R$500,1)/(($A$4:$A$500=A184)*($M$4:$M$500=M184)*($R$4:$R$500&lt;&gt;"")*($S$4:$S$500&lt;&gt;"")),1))*1440)/60)/(W184/60)),"")</f>
        <v/>
      </c>
      <c r="Y184" s="26">
        <f>IFERROR(IF(OR(O184="",A184="",M184=""),"",(IF(ISNUMBER(O184),MOD(O184,1),TIMEVALUE(O184))-LOOKUP(2,1/(($A$4:$A$500=A184)*($M$4:$M$500=M184)*($T$4:$T$500&lt;&gt;"")*($T$4:$T$500&lt;IF(ISNUMBER(O184),MOD(O184,1),TIMEVALUE(O184)))),$T$4:$T$500))*1440),"")</f>
        <v/>
      </c>
      <c r="Z184" s="27">
        <f>IFERROR(IF(Y184="","",IF(ROUND(Y184,0)&lt;=15,"Cumple","No cumple")),"")</f>
        <v/>
      </c>
      <c r="AA184" s="144" t="n"/>
      <c r="AB184" s="26">
        <f>IFERROR(IF(OR(O184="",R184=""),"",IF(IF(ISNUMBER(R184),MOD(R184,1),TIMEVALUE(R184))&gt;=IF(ISNUMBER(O184),MOD(O184,1),TIMEVALUE(O184)),(IF(ISNUMBER(R184),MOD(R184,1),TIMEVALUE(R184))-IF(ISNUMBER(O184),MOD(O184,1),TIMEVALUE(O184)))*1440,(IF(ISNUMBER(R184),MOD(R184,1),TIMEVALUE(R184))+1-IF(ISNUMBER(O184),MOD(O184,1),TIMEVALUE(O184)))*1440)),"")</f>
        <v/>
      </c>
      <c r="AC184" s="28">
        <f>IFERROR(IF(OR(R184="",S184=""),"",IF(IF(ISNUMBER(S184),MOD(S184,1),TIMEVALUE(S184))&gt;=IF(ISNUMBER(R184),MOD(R184,1),TIMEVALUE(R184)),(IF(ISNUMBER(S184),MOD(S184,1),TIMEVALUE(S184))-IF(ISNUMBER(R184),MOD(R184,1),TIMEVALUE(R184)))*1440,(IF(ISNUMBER(S184),MOD(S184,1),TIMEVALUE(S184))+1-IF(ISNUMBER(R184),MOD(R184,1),TIMEVALUE(R184)))*1440)),"")</f>
        <v/>
      </c>
      <c r="AD184" s="144" t="n">
        <v>60</v>
      </c>
      <c r="AE184" s="26">
        <f>IFERROR(IF(OR(AC184="",AD184=""),"",AC184-AD184),"")</f>
        <v/>
      </c>
      <c r="AF184" s="27">
        <f>IFERROR(IF(AE184="","",IF(ROUND(AE184,0)&gt;15,"Subestimacion",IF(ROUND(AE184,0)&lt;-15,"Sobrestimacion","Asertivo"))),"")</f>
        <v/>
      </c>
      <c r="AG184" s="19" t="n"/>
      <c r="AH184" s="19" t="n"/>
      <c r="AI184" s="19" t="n"/>
      <c r="AJ184" s="19" t="n"/>
      <c r="AK184" s="19" t="n"/>
      <c r="AL184" s="19" t="n"/>
      <c r="AM184" s="19" t="n"/>
      <c r="AN184" s="19" t="n"/>
      <c r="AO184" s="19" t="n"/>
      <c r="AP184" s="127">
        <f>IF(A184="","",A184-WEEKDAY(A184,2)+1)</f>
        <v/>
      </c>
      <c r="AQ184" s="127">
        <f>IF(AO184="","",AO184+6)</f>
        <v/>
      </c>
      <c r="AR184" s="19">
        <f>IF(AO184="","","Semana "&amp;TEXT(AO184,"dd-mm-yyyy")&amp;" al "&amp;TEXT(AP184,"dd-mm-yyyy"))</f>
        <v/>
      </c>
      <c r="AS184" s="19">
        <f>IF(A184="","",TEXT(A184,"mmmm yyyy"))</f>
        <v/>
      </c>
      <c r="AT184" s="19">
        <f>IF(A184="","",TEXT(A184,"dddd"))</f>
        <v/>
      </c>
      <c r="AU184" s="19">
        <f>IF(A184="","","CRR-"&amp;TEXT(A184,"yyyymmdd")&amp;"-"&amp;M184&amp;"-"&amp;TEXT(ROW()-3,"0000"))</f>
        <v/>
      </c>
      <c r="AV184" s="19">
        <f>IF(A184="","",IF(OR(B184="",C184="",E184="",F184="",M184="",N184=""),"Revisar campos obligatorios",IF(AND(P184="Atraso primera hora",Q184=""),"Falta justificación atraso primera hora",IF(AND(Z184="No cumple",AA184=""),"Falta justificación recambio &gt;15 min",IF(AND(ISNUMBER(SEARCH("suspend",N184)),OR(AG184="",AH184="")),"Falta causa/motivo suspensión","OK")))))</f>
        <v/>
      </c>
      <c r="AW184" s="19">
        <f>IF(N184="","",IF(ISNUMBER(SEARCH("suspend",N184)),IF(AND(AG184="",AH184=""),"Sin causa/motivo registrado",IF(AG184="",AH184,IF(AH184="",AG184,AG184&amp;": "&amp;AH184))),""))</f>
        <v/>
      </c>
    </row>
    <row r="185" ht="16" customHeight="1" s="151">
      <c r="A185" s="139" t="n">
        <v>46183</v>
      </c>
      <c r="B185" s="140" t="inlineStr">
        <is>
          <t>KARLA SUHEY</t>
        </is>
      </c>
      <c r="C185" s="140" t="inlineStr">
        <is>
          <t>BRITO</t>
        </is>
      </c>
      <c r="D185" s="140" t="inlineStr">
        <is>
          <t>28a 1m 20d</t>
        </is>
      </c>
      <c r="E185" s="141" t="inlineStr">
        <is>
          <t>CONIZACION Y/O AMPUTACION DEL CUELLO, DIAGNOSTICA Y/O TERAPEUTICA C/S BIOPSIA</t>
        </is>
      </c>
      <c r="F185" s="142" t="inlineStr">
        <is>
          <t>SERVICIO DE GINECOLOGIA</t>
        </is>
      </c>
      <c r="G185" s="143" t="inlineStr">
        <is>
          <t>ONCOGINE</t>
        </is>
      </c>
      <c r="H185" s="140" t="inlineStr">
        <is>
          <t>2003012-5</t>
        </is>
      </c>
      <c r="I185" s="19" t="n"/>
      <c r="J185" s="20">
        <f>IF(H185&lt;&gt;"",IFERROR(VLOOKUP(IFERROR(LEFT(H185,FIND("-",H185)-1),H185),'Catalogo MINSAL'!A:E,5,FALSE),""),IF(I185&lt;&gt;"",IFERROR(VLOOKUP(IFERROR(LEFT(I185,FIND("-",I185)-1),I185),'Catalogo MINSAL'!A:E,5,FALSE),""),""))</f>
        <v/>
      </c>
      <c r="K185" s="15" t="n"/>
      <c r="L185" s="141" t="inlineStr">
        <is>
          <t>Paula Andrea Borda Silva</t>
        </is>
      </c>
      <c r="M185" s="140" t="inlineStr">
        <is>
          <t>Quirofano 08</t>
        </is>
      </c>
      <c r="N185" s="146" t="inlineStr">
        <is>
          <t>Realizado</t>
        </is>
      </c>
      <c r="O185" s="148" t="n">
        <v>0.3680555555555556</v>
      </c>
      <c r="P185" s="27">
        <f>IFERROR(IF(OR(O185="",A185="",M185=""),"",IF(SUMPRODUCT(($A$4:$A$500=A185)*($M$4:$M$500=M185)*($O$4:$O$500&lt;&gt;"")*(MOD($O$4:$O$500,1)&lt;MOD(O185,1)))=0,IF(MOD(O185,1)&lt;=TIME(8,15,0),"Ingreso adecuado primera hora","Atraso primera hora"),"No aplica")),"")</f>
        <v/>
      </c>
      <c r="Q185" s="27" t="n"/>
      <c r="R185" s="148" t="n">
        <v>0.3680555555555556</v>
      </c>
      <c r="S185" s="148" t="n">
        <v>0.3923611111111111</v>
      </c>
      <c r="T185" s="148" t="n">
        <v>0.3923611111111111</v>
      </c>
      <c r="U185" s="25">
        <f>IFERROR(VLOOKUP(M185,'Horario Pabellones'!$A$4:$D$17,2,FALSE),"")</f>
        <v/>
      </c>
      <c r="V185" s="25">
        <f>IFERROR(VLOOKUP(M185,'Horario Pabellones'!$A$4:$D$17,3,FALSE),"")</f>
        <v/>
      </c>
      <c r="W185" s="99">
        <f>IFERROR(VLOOKUP(M185,'Horario Pabellones'!$A$4:$D$17,4,FALSE),"")</f>
        <v/>
      </c>
      <c r="X185" s="89">
        <f>IFERROR(IF(OR(A185="",M185="",W185=""),"",(((_xludf.AGGREGATE(14,6,MOD($S$4:$S$500,1)/(($A$4:$A$500=A185)*($M$4:$M$500=M185)*($R$4:$R$500&lt;&gt;"")*($S$4:$S$500&lt;&gt;"")),1)-_xludf.AGGREGATE(15,6,MOD($R$4:$R$500,1)/(($A$4:$A$500=A185)*($M$4:$M$500=M185)*($R$4:$R$500&lt;&gt;"")*($S$4:$S$500&lt;&gt;"")),1))*1440)/60)/(W185/60)),"")</f>
        <v/>
      </c>
      <c r="Y185" s="26">
        <f>IFERROR(IF(OR(O185="",A185="",M185=""),"",(IF(ISNUMBER(O185),MOD(O185,1),TIMEVALUE(O185))-LOOKUP(2,1/(($A$4:$A$500=A185)*($M$4:$M$500=M185)*($T$4:$T$500&lt;&gt;"")*($T$4:$T$500&lt;IF(ISNUMBER(O185),MOD(O185,1),TIMEVALUE(O185)))),$T$4:$T$500))*1440),"")</f>
        <v/>
      </c>
      <c r="Z185" s="27">
        <f>IFERROR(IF(Y185="","",IF(ROUND(Y185,0)&lt;=15,"Cumple","No cumple")),"")</f>
        <v/>
      </c>
      <c r="AA185" s="144" t="n"/>
      <c r="AB185" s="26">
        <f>IFERROR(IF(OR(O185="",R185=""),"",IF(IF(ISNUMBER(R185),MOD(R185,1),TIMEVALUE(R185))&gt;=IF(ISNUMBER(O185),MOD(O185,1),TIMEVALUE(O185)),(IF(ISNUMBER(R185),MOD(R185,1),TIMEVALUE(R185))-IF(ISNUMBER(O185),MOD(O185,1),TIMEVALUE(O185)))*1440,(IF(ISNUMBER(R185),MOD(R185,1),TIMEVALUE(R185))+1-IF(ISNUMBER(O185),MOD(O185,1),TIMEVALUE(O185)))*1440)),"")</f>
        <v/>
      </c>
      <c r="AC185" s="28">
        <f>IFERROR(IF(OR(R185="",S185=""),"",IF(IF(ISNUMBER(S185),MOD(S185,1),TIMEVALUE(S185))&gt;=IF(ISNUMBER(R185),MOD(R185,1),TIMEVALUE(R185)),(IF(ISNUMBER(S185),MOD(S185,1),TIMEVALUE(S185))-IF(ISNUMBER(R185),MOD(R185,1),TIMEVALUE(R185)))*1440,(IF(ISNUMBER(S185),MOD(S185,1),TIMEVALUE(S185))+1-IF(ISNUMBER(R185),MOD(R185,1),TIMEVALUE(R185)))*1440)),"")</f>
        <v/>
      </c>
      <c r="AD185" s="144" t="n">
        <v>60</v>
      </c>
      <c r="AE185" s="26">
        <f>IFERROR(IF(OR(AC185="",AD185=""),"",AC185-AD185),"")</f>
        <v/>
      </c>
      <c r="AF185" s="27">
        <f>IFERROR(IF(AE185="","",IF(ROUND(AE185,0)&gt;15,"Subestimacion",IF(ROUND(AE185,0)&lt;-15,"Sobrestimacion","Asertivo"))),"")</f>
        <v/>
      </c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27">
        <f>IF(A185="","",A185-WEEKDAY(A185,2)+1)</f>
        <v/>
      </c>
      <c r="AQ185" s="127">
        <f>IF(AO185="","",AO185+6)</f>
        <v/>
      </c>
      <c r="AR185" s="19">
        <f>IF(AO185="","","Semana "&amp;TEXT(AO185,"dd-mm-yyyy")&amp;" al "&amp;TEXT(AP185,"dd-mm-yyyy"))</f>
        <v/>
      </c>
      <c r="AS185" s="19">
        <f>IF(A185="","",TEXT(A185,"mmmm yyyy"))</f>
        <v/>
      </c>
      <c r="AT185" s="19">
        <f>IF(A185="","",TEXT(A185,"dddd"))</f>
        <v/>
      </c>
      <c r="AU185" s="19">
        <f>IF(A185="","","CRR-"&amp;TEXT(A185,"yyyymmdd")&amp;"-"&amp;M185&amp;"-"&amp;TEXT(ROW()-3,"0000"))</f>
        <v/>
      </c>
      <c r="AV185" s="19">
        <f>IF(A185="","",IF(OR(B185="",C185="",E185="",F185="",M185="",N185=""),"Revisar campos obligatorios",IF(AND(P185="Atraso primera hora",Q185=""),"Falta justificación atraso primera hora",IF(AND(Z185="No cumple",AA185=""),"Falta justificación recambio &gt;15 min",IF(AND(ISNUMBER(SEARCH("suspend",N185)),OR(AG185="",AH185="")),"Falta causa/motivo suspensión","OK")))))</f>
        <v/>
      </c>
      <c r="AW185" s="19">
        <f>IF(N185="","",IF(ISNUMBER(SEARCH("suspend",N185)),IF(AND(AG185="",AH185=""),"Sin causa/motivo registrado",IF(AG185="",AH185,IF(AH185="",AG185,AG185&amp;": "&amp;AH185))),""))</f>
        <v/>
      </c>
    </row>
    <row r="186" ht="16" customHeight="1" s="151">
      <c r="A186" s="139" t="n">
        <v>46183</v>
      </c>
      <c r="B186" s="140" t="inlineStr">
        <is>
          <t>DANIELA ALEJANDRA</t>
        </is>
      </c>
      <c r="C186" s="140" t="inlineStr">
        <is>
          <t>GÁLVEZ</t>
        </is>
      </c>
      <c r="D186" s="140" t="inlineStr">
        <is>
          <t>46a 0m 9d</t>
        </is>
      </c>
      <c r="E186" s="141" t="inlineStr">
        <is>
          <t>CONIZACION Y/O AMPUTACION DEL CUELLO, DIAGNOSTICA Y/O TERAPEUTICA C/S BIOPSIA</t>
        </is>
      </c>
      <c r="F186" s="142" t="inlineStr">
        <is>
          <t>SERVICIO DE GINECOLOGIA</t>
        </is>
      </c>
      <c r="G186" s="143" t="inlineStr">
        <is>
          <t>ONCOGINE</t>
        </is>
      </c>
      <c r="H186" s="140" t="inlineStr">
        <is>
          <t>2003012-5</t>
        </is>
      </c>
      <c r="I186" s="19" t="n"/>
      <c r="J186" s="20">
        <f>IF(H186&lt;&gt;"",IFERROR(VLOOKUP(IFERROR(LEFT(H186,FIND("-",H186)-1),H186),'Catalogo MINSAL'!A:E,5,FALSE),""),IF(I186&lt;&gt;"",IFERROR(VLOOKUP(IFERROR(LEFT(I186,FIND("-",I186)-1),I186),'Catalogo MINSAL'!A:E,5,FALSE),""),""))</f>
        <v/>
      </c>
      <c r="K186" s="15" t="n"/>
      <c r="L186" s="141" t="inlineStr">
        <is>
          <t>Paula Andrea Borda Silva</t>
        </is>
      </c>
      <c r="M186" s="140" t="inlineStr">
        <is>
          <t>Quirofano 08</t>
        </is>
      </c>
      <c r="N186" s="146" t="inlineStr">
        <is>
          <t>Realizado</t>
        </is>
      </c>
      <c r="O186" s="148" t="n">
        <v>0.3854166666666667</v>
      </c>
      <c r="P186" s="27">
        <f>IFERROR(IF(OR(O186="",A186="",M186=""),"",IF(SUMPRODUCT(($A$4:$A$500=A186)*($M$4:$M$500=M186)*($O$4:$O$500&lt;&gt;"")*(MOD($O$4:$O$500,1)&lt;MOD(O186,1)))=0,IF(MOD(O186,1)&lt;=TIME(8,15,0),"Ingreso adecuado primera hora","Atraso primera hora"),"No aplica")),"")</f>
        <v/>
      </c>
      <c r="Q186" s="27" t="n"/>
      <c r="R186" s="148" t="n">
        <v>0.3854166666666667</v>
      </c>
      <c r="S186" s="148" t="n">
        <v>0.4208333333333333</v>
      </c>
      <c r="T186" s="148" t="n">
        <v>0.4208333333333333</v>
      </c>
      <c r="U186" s="25">
        <f>IFERROR(VLOOKUP(M186,'Horario Pabellones'!$A$4:$D$17,2,FALSE),"")</f>
        <v/>
      </c>
      <c r="V186" s="25">
        <f>IFERROR(VLOOKUP(M186,'Horario Pabellones'!$A$4:$D$17,3,FALSE),"")</f>
        <v/>
      </c>
      <c r="W186" s="99">
        <f>IFERROR(VLOOKUP(M186,'Horario Pabellones'!$A$4:$D$17,4,FALSE),"")</f>
        <v/>
      </c>
      <c r="X186" s="89">
        <f>IFERROR(IF(OR(A186="",M186="",W186=""),"",(((_xludf.AGGREGATE(14,6,MOD($S$4:$S$500,1)/(($A$4:$A$500=A186)*($M$4:$M$500=M186)*($R$4:$R$500&lt;&gt;"")*($S$4:$S$500&lt;&gt;"")),1)-_xludf.AGGREGATE(15,6,MOD($R$4:$R$500,1)/(($A$4:$A$500=A186)*($M$4:$M$500=M186)*($R$4:$R$500&lt;&gt;"")*($S$4:$S$500&lt;&gt;"")),1))*1440)/60)/(W186/60)),"")</f>
        <v/>
      </c>
      <c r="Y186" s="26">
        <f>IFERROR(IF(OR(O186="",A186="",M186=""),"",(IF(ISNUMBER(O186),MOD(O186,1),TIMEVALUE(O186))-LOOKUP(2,1/(($A$4:$A$500=A186)*($M$4:$M$500=M186)*($T$4:$T$500&lt;&gt;"")*($T$4:$T$500&lt;IF(ISNUMBER(O186),MOD(O186,1),TIMEVALUE(O186)))),$T$4:$T$500))*1440),"")</f>
        <v/>
      </c>
      <c r="Z186" s="27" t="inlineStr">
        <is>
          <t>Cumple</t>
        </is>
      </c>
      <c r="AA186" s="144" t="n"/>
      <c r="AB186" s="26">
        <f>IFERROR(IF(OR(O186="",R186=""),"",IF(IF(ISNUMBER(R186),MOD(R186,1),TIMEVALUE(R186))&gt;=IF(ISNUMBER(O186),MOD(O186,1),TIMEVALUE(O186)),(IF(ISNUMBER(R186),MOD(R186,1),TIMEVALUE(R186))-IF(ISNUMBER(O186),MOD(O186,1),TIMEVALUE(O186)))*1440,(IF(ISNUMBER(R186),MOD(R186,1),TIMEVALUE(R186))+1-IF(ISNUMBER(O186),MOD(O186,1),TIMEVALUE(O186)))*1440)),"")</f>
        <v/>
      </c>
      <c r="AC186" s="28">
        <f>IFERROR(IF(OR(R186="",S186=""),"",IF(IF(ISNUMBER(S186),MOD(S186,1),TIMEVALUE(S186))&gt;=IF(ISNUMBER(R186),MOD(R186,1),TIMEVALUE(R186)),(IF(ISNUMBER(S186),MOD(S186,1),TIMEVALUE(S186))-IF(ISNUMBER(R186),MOD(R186,1),TIMEVALUE(R186)))*1440,(IF(ISNUMBER(S186),MOD(S186,1),TIMEVALUE(S186))+1-IF(ISNUMBER(R186),MOD(R186,1),TIMEVALUE(R186)))*1440)),"")</f>
        <v/>
      </c>
      <c r="AD186" s="144" t="n">
        <v>60</v>
      </c>
      <c r="AE186" s="26">
        <f>IFERROR(IF(OR(AC186="",AD186=""),"",AC186-AD186),"")</f>
        <v/>
      </c>
      <c r="AF186" s="27">
        <f>IFERROR(IF(AE186="","",IF(ROUND(AE186,0)&gt;15,"Subestimacion",IF(ROUND(AE186,0)&lt;-15,"Sobrestimacion","Asertivo"))),"")</f>
        <v/>
      </c>
      <c r="AG186" s="19" t="n"/>
      <c r="AH186" s="19" t="n"/>
      <c r="AI186" s="19" t="n"/>
      <c r="AJ186" s="19" t="n"/>
      <c r="AK186" s="19" t="n"/>
      <c r="AL186" s="19" t="n"/>
      <c r="AM186" s="19" t="n"/>
      <c r="AN186" s="19" t="n"/>
      <c r="AO186" s="19" t="n"/>
      <c r="AP186" s="127">
        <f>IF(A186="","",A186-WEEKDAY(A186,2)+1)</f>
        <v/>
      </c>
      <c r="AQ186" s="127">
        <f>IF(AO186="","",AO186+6)</f>
        <v/>
      </c>
      <c r="AR186" s="19">
        <f>IF(AO186="","","Semana "&amp;TEXT(AO186,"dd-mm-yyyy")&amp;" al "&amp;TEXT(AP186,"dd-mm-yyyy"))</f>
        <v/>
      </c>
      <c r="AS186" s="19">
        <f>IF(A186="","",TEXT(A186,"mmmm yyyy"))</f>
        <v/>
      </c>
      <c r="AT186" s="19">
        <f>IF(A186="","",TEXT(A186,"dddd"))</f>
        <v/>
      </c>
      <c r="AU186" s="19">
        <f>IF(A186="","","CRR-"&amp;TEXT(A186,"yyyymmdd")&amp;"-"&amp;M186&amp;"-"&amp;TEXT(ROW()-3,"0000"))</f>
        <v/>
      </c>
      <c r="AV186" s="19">
        <f>IF(A186="","",IF(OR(B186="",C186="",E186="",F186="",M186="",N186=""),"Revisar campos obligatorios",IF(AND(P186="Atraso primera hora",Q186=""),"Falta justificación atraso primera hora",IF(AND(Z186="No cumple",AA186=""),"Falta justificación recambio &gt;15 min",IF(AND(ISNUMBER(SEARCH("suspend",N186)),OR(AG186="",AH186="")),"Falta causa/motivo suspensión","OK")))))</f>
        <v/>
      </c>
      <c r="AW186" s="19">
        <f>IF(N186="","",IF(ISNUMBER(SEARCH("suspend",N186)),IF(AND(AG186="",AH186=""),"Sin causa/motivo registrado",IF(AG186="",AH186,IF(AH186="",AG186,AG186&amp;": "&amp;AH186))),""))</f>
        <v/>
      </c>
    </row>
    <row r="187" ht="16" customHeight="1" s="151">
      <c r="A187" s="139" t="n">
        <v>46183</v>
      </c>
      <c r="B187" s="140" t="inlineStr">
        <is>
          <t>ROSE-LANDE</t>
        </is>
      </c>
      <c r="C187" s="140" t="inlineStr">
        <is>
          <t>DELICAT</t>
        </is>
      </c>
      <c r="D187" s="140" t="inlineStr">
        <is>
          <t>39a 11m 15d</t>
        </is>
      </c>
      <c r="E187" s="141" t="inlineStr">
        <is>
          <t>CONIZACION Y/O AMPUTACION DEL CUELLO, DIAGNOSTICA Y/O TERAPEUTICA C/S BIOPSIA</t>
        </is>
      </c>
      <c r="F187" s="142" t="inlineStr">
        <is>
          <t>SERVICIO DE GINECOLOGIA</t>
        </is>
      </c>
      <c r="G187" s="143" t="inlineStr">
        <is>
          <t>ONCOGINE</t>
        </is>
      </c>
      <c r="H187" s="140" t="inlineStr">
        <is>
          <t>2003012-5</t>
        </is>
      </c>
      <c r="I187" s="19" t="n"/>
      <c r="J187" s="20">
        <f>IF(H187&lt;&gt;"",IFERROR(VLOOKUP(IFERROR(LEFT(H187,FIND("-",H187)-1),H187),'Catalogo MINSAL'!A:E,5,FALSE),""),IF(I187&lt;&gt;"",IFERROR(VLOOKUP(IFERROR(LEFT(I187,FIND("-",I187)-1),I187),'Catalogo MINSAL'!A:E,5,FALSE),""),""))</f>
        <v/>
      </c>
      <c r="K187" s="15" t="n"/>
      <c r="L187" s="141" t="inlineStr">
        <is>
          <t>Paula Andrea Borda Silva</t>
        </is>
      </c>
      <c r="M187" s="140" t="inlineStr">
        <is>
          <t>Quirofano 08</t>
        </is>
      </c>
      <c r="N187" s="146" t="inlineStr">
        <is>
          <t>Realizado</t>
        </is>
      </c>
      <c r="O187" s="148" t="n">
        <v>0.4236111111111111</v>
      </c>
      <c r="P187" s="27">
        <f>IFERROR(IF(OR(O187="",A187="",M187=""),"",IF(SUMPRODUCT(($A$4:$A$500=A187)*($M$4:$M$500=M187)*($O$4:$O$500&lt;&gt;"")*(MOD($O$4:$O$500,1)&lt;MOD(O187,1)))=0,IF(MOD(O187,1)&lt;=TIME(8,15,0),"Ingreso adecuado primera hora","Atraso primera hora"),"No aplica")),"")</f>
        <v/>
      </c>
      <c r="Q187" s="27" t="n"/>
      <c r="R187" s="148" t="n">
        <v>0.4236111111111111</v>
      </c>
      <c r="S187" s="148" t="n">
        <v>0.4506944444444445</v>
      </c>
      <c r="T187" s="148" t="n">
        <v>0.4506944444444445</v>
      </c>
      <c r="U187" s="25">
        <f>IFERROR(VLOOKUP(M187,'Horario Pabellones'!$A$4:$D$17,2,FALSE),"")</f>
        <v/>
      </c>
      <c r="V187" s="25">
        <f>IFERROR(VLOOKUP(M187,'Horario Pabellones'!$A$4:$D$17,3,FALSE),"")</f>
        <v/>
      </c>
      <c r="W187" s="99">
        <f>IFERROR(VLOOKUP(M187,'Horario Pabellones'!$A$4:$D$17,4,FALSE),"")</f>
        <v/>
      </c>
      <c r="X187" s="89">
        <f>IFERROR(IF(OR(A187="",M187="",W187=""),"",(((_xludf.AGGREGATE(14,6,MOD($S$4:$S$500,1)/(($A$4:$A$500=A187)*($M$4:$M$500=M187)*($R$4:$R$500&lt;&gt;"")*($S$4:$S$500&lt;&gt;"")),1)-_xludf.AGGREGATE(15,6,MOD($R$4:$R$500,1)/(($A$4:$A$500=A187)*($M$4:$M$500=M187)*($R$4:$R$500&lt;&gt;"")*($S$4:$S$500&lt;&gt;"")),1))*1440)/60)/(W187/60)),"")</f>
        <v/>
      </c>
      <c r="Y187" s="26">
        <f>IFERROR(IF(OR(O187="",A187="",M187=""),"",(IF(ISNUMBER(O187),MOD(O187,1),TIMEVALUE(O187))-LOOKUP(2,1/(($A$4:$A$500=A187)*($M$4:$M$500=M187)*($T$4:$T$500&lt;&gt;"")*($T$4:$T$500&lt;IF(ISNUMBER(O187),MOD(O187,1),TIMEVALUE(O187)))),$T$4:$T$500))*1440),"")</f>
        <v/>
      </c>
      <c r="Z187" s="27">
        <f>IFERROR(IF(Y187="","",IF(ROUND(Y187,0)&lt;=15,"Cumple","No cumple")),"")</f>
        <v/>
      </c>
      <c r="AA187" s="144" t="n"/>
      <c r="AB187" s="26">
        <f>IFERROR(IF(OR(O187="",R187=""),"",IF(IF(ISNUMBER(R187),MOD(R187,1),TIMEVALUE(R187))&gt;=IF(ISNUMBER(O187),MOD(O187,1),TIMEVALUE(O187)),(IF(ISNUMBER(R187),MOD(R187,1),TIMEVALUE(R187))-IF(ISNUMBER(O187),MOD(O187,1),TIMEVALUE(O187)))*1440,(IF(ISNUMBER(R187),MOD(R187,1),TIMEVALUE(R187))+1-IF(ISNUMBER(O187),MOD(O187,1),TIMEVALUE(O187)))*1440)),"")</f>
        <v/>
      </c>
      <c r="AC187" s="28">
        <f>IFERROR(IF(OR(R187="",S187=""),"",IF(IF(ISNUMBER(S187),MOD(S187,1),TIMEVALUE(S187))&gt;=IF(ISNUMBER(R187),MOD(R187,1),TIMEVALUE(R187)),(IF(ISNUMBER(S187),MOD(S187,1),TIMEVALUE(S187))-IF(ISNUMBER(R187),MOD(R187,1),TIMEVALUE(R187)))*1440,(IF(ISNUMBER(S187),MOD(S187,1),TIMEVALUE(S187))+1-IF(ISNUMBER(R187),MOD(R187,1),TIMEVALUE(R187)))*1440)),"")</f>
        <v/>
      </c>
      <c r="AD187" s="144" t="n">
        <v>60</v>
      </c>
      <c r="AE187" s="26">
        <f>IFERROR(IF(OR(AC187="",AD187=""),"",AC187-AD187),"")</f>
        <v/>
      </c>
      <c r="AF187" s="27">
        <f>IFERROR(IF(AE187="","",IF(ROUND(AE187,0)&gt;15,"Subestimacion",IF(ROUND(AE187,0)&lt;-15,"Sobrestimacion","Asertivo"))),"")</f>
        <v/>
      </c>
      <c r="AG187" s="19" t="n"/>
      <c r="AH187" s="19" t="n"/>
      <c r="AI187" s="19" t="n"/>
      <c r="AJ187" s="19" t="n"/>
      <c r="AK187" s="19" t="n"/>
      <c r="AL187" s="19" t="n"/>
      <c r="AM187" s="19" t="n"/>
      <c r="AN187" s="19" t="n"/>
      <c r="AO187" s="19" t="n"/>
      <c r="AP187" s="127">
        <f>IF(A187="","",A187-WEEKDAY(A187,2)+1)</f>
        <v/>
      </c>
      <c r="AQ187" s="127">
        <f>IF(AO187="","",AO187+6)</f>
        <v/>
      </c>
      <c r="AR187" s="19">
        <f>IF(AO187="","","Semana "&amp;TEXT(AO187,"dd-mm-yyyy")&amp;" al "&amp;TEXT(AP187,"dd-mm-yyyy"))</f>
        <v/>
      </c>
      <c r="AS187" s="19">
        <f>IF(A187="","",TEXT(A187,"mmmm yyyy"))</f>
        <v/>
      </c>
      <c r="AT187" s="19">
        <f>IF(A187="","",TEXT(A187,"dddd"))</f>
        <v/>
      </c>
      <c r="AU187" s="19">
        <f>IF(A187="","","CRR-"&amp;TEXT(A187,"yyyymmdd")&amp;"-"&amp;M187&amp;"-"&amp;TEXT(ROW()-3,"0000"))</f>
        <v/>
      </c>
      <c r="AV187" s="19">
        <f>IF(A187="","",IF(OR(B187="",C187="",E187="",F187="",M187="",N187=""),"Revisar campos obligatorios",IF(AND(P187="Atraso primera hora",Q187=""),"Falta justificación atraso primera hora",IF(AND(Z187="No cumple",AA187=""),"Falta justificación recambio &gt;15 min",IF(AND(ISNUMBER(SEARCH("suspend",N187)),OR(AG187="",AH187="")),"Falta causa/motivo suspensión","OK")))))</f>
        <v/>
      </c>
      <c r="AW187" s="19">
        <f>IF(N187="","",IF(ISNUMBER(SEARCH("suspend",N187)),IF(AND(AG187="",AH187=""),"Sin causa/motivo registrado",IF(AG187="",AH187,IF(AH187="",AG187,AG187&amp;": "&amp;AH187))),""))</f>
        <v/>
      </c>
    </row>
    <row r="188" ht="16" customHeight="1" s="151">
      <c r="A188" s="139" t="n">
        <v>46183</v>
      </c>
      <c r="B188" s="140" t="inlineStr">
        <is>
          <t>CRISTINA DEL CARMEN</t>
        </is>
      </c>
      <c r="C188" s="140" t="inlineStr">
        <is>
          <t>MADUEÑO</t>
        </is>
      </c>
      <c r="D188" s="140" t="inlineStr">
        <is>
          <t>37a 11m 6d</t>
        </is>
      </c>
      <c r="E188" s="141" t="inlineStr">
        <is>
          <t>CONIZACION Y/O AMPUTACION DEL CUELLO, DIAGNOSTICA Y/O TERAPEUTICA C/S BIOPSIA</t>
        </is>
      </c>
      <c r="F188" s="142" t="inlineStr">
        <is>
          <t>SERVICIO DE GINECOLOGIA</t>
        </is>
      </c>
      <c r="G188" s="143" t="inlineStr">
        <is>
          <t>ONCOGINE</t>
        </is>
      </c>
      <c r="H188" s="140" t="inlineStr">
        <is>
          <t>2003012-5</t>
        </is>
      </c>
      <c r="I188" s="19" t="n"/>
      <c r="J188" s="20">
        <f>IF(H188&lt;&gt;"",IFERROR(VLOOKUP(IFERROR(LEFT(H188,FIND("-",H188)-1),H188),'Catalogo MINSAL'!A:E,5,FALSE),""),IF(I188&lt;&gt;"",IFERROR(VLOOKUP(IFERROR(LEFT(I188,FIND("-",I188)-1),I188),'Catalogo MINSAL'!A:E,5,FALSE),""),""))</f>
        <v/>
      </c>
      <c r="K188" s="15" t="n"/>
      <c r="L188" s="141" t="inlineStr">
        <is>
          <t>Paula Andrea Borda Silva</t>
        </is>
      </c>
      <c r="M188" s="140" t="inlineStr">
        <is>
          <t>Quirofano 08</t>
        </is>
      </c>
      <c r="N188" s="146" t="inlineStr">
        <is>
          <t>Realizado</t>
        </is>
      </c>
      <c r="O188" s="148" t="n">
        <v>0.4583333333333333</v>
      </c>
      <c r="P188" s="27">
        <f>IFERROR(IF(OR(O188="",A188="",M188=""),"",IF(SUMPRODUCT(($A$4:$A$500=A188)*($M$4:$M$500=M188)*($O$4:$O$500&lt;&gt;"")*(MOD($O$4:$O$500,1)&lt;MOD(O188,1)))=0,IF(MOD(O188,1)&lt;=TIME(8,15,0),"Ingreso adecuado primera hora","Atraso primera hora"),"No aplica")),"")</f>
        <v/>
      </c>
      <c r="Q188" s="27" t="n"/>
      <c r="R188" s="148" t="n">
        <v>0.4583333333333333</v>
      </c>
      <c r="S188" s="148" t="n">
        <v>0.4875</v>
      </c>
      <c r="T188" s="148" t="n">
        <v>0.4875</v>
      </c>
      <c r="U188" s="25">
        <f>IFERROR(VLOOKUP(M188,'Horario Pabellones'!$A$4:$D$17,2,FALSE),"")</f>
        <v/>
      </c>
      <c r="V188" s="25">
        <f>IFERROR(VLOOKUP(M188,'Horario Pabellones'!$A$4:$D$17,3,FALSE),"")</f>
        <v/>
      </c>
      <c r="W188" s="99">
        <f>IFERROR(VLOOKUP(M188,'Horario Pabellones'!$A$4:$D$17,4,FALSE),"")</f>
        <v/>
      </c>
      <c r="X188" s="89">
        <f>IFERROR(IF(OR(A188="",M188="",W188=""),"",(((_xludf.AGGREGATE(14,6,MOD($S$4:$S$500,1)/(($A$4:$A$500=A188)*($M$4:$M$500=M188)*($R$4:$R$500&lt;&gt;"")*($S$4:$S$500&lt;&gt;"")),1)-_xludf.AGGREGATE(15,6,MOD($R$4:$R$500,1)/(($A$4:$A$500=A188)*($M$4:$M$500=M188)*($R$4:$R$500&lt;&gt;"")*($S$4:$S$500&lt;&gt;"")),1))*1440)/60)/(W188/60)),"")</f>
        <v/>
      </c>
      <c r="Y188" s="26">
        <f>IFERROR(IF(OR(O188="",A188="",M188=""),"",(IF(ISNUMBER(O188),MOD(O188,1),TIMEVALUE(O188))-LOOKUP(2,1/(($A$4:$A$500=A188)*($M$4:$M$500=M188)*($T$4:$T$500&lt;&gt;"")*($T$4:$T$500&lt;IF(ISNUMBER(O188),MOD(O188,1),TIMEVALUE(O188)))),$T$4:$T$500))*1440),"")</f>
        <v/>
      </c>
      <c r="Z188" s="27">
        <f>IFERROR(IF(Y188="","",IF(ROUND(Y188,0)&lt;=15,"Cumple","No cumple")),"")</f>
        <v/>
      </c>
      <c r="AA188" s="144" t="n"/>
      <c r="AB188" s="26">
        <f>IFERROR(IF(OR(O188="",R188=""),"",IF(IF(ISNUMBER(R188),MOD(R188,1),TIMEVALUE(R188))&gt;=IF(ISNUMBER(O188),MOD(O188,1),TIMEVALUE(O188)),(IF(ISNUMBER(R188),MOD(R188,1),TIMEVALUE(R188))-IF(ISNUMBER(O188),MOD(O188,1),TIMEVALUE(O188)))*1440,(IF(ISNUMBER(R188),MOD(R188,1),TIMEVALUE(R188))+1-IF(ISNUMBER(O188),MOD(O188,1),TIMEVALUE(O188)))*1440)),"")</f>
        <v/>
      </c>
      <c r="AC188" s="28">
        <f>IFERROR(IF(OR(R188="",S188=""),"",IF(IF(ISNUMBER(S188),MOD(S188,1),TIMEVALUE(S188))&gt;=IF(ISNUMBER(R188),MOD(R188,1),TIMEVALUE(R188)),(IF(ISNUMBER(S188),MOD(S188,1),TIMEVALUE(S188))-IF(ISNUMBER(R188),MOD(R188,1),TIMEVALUE(R188)))*1440,(IF(ISNUMBER(S188),MOD(S188,1),TIMEVALUE(S188))+1-IF(ISNUMBER(R188),MOD(R188,1),TIMEVALUE(R188)))*1440)),"")</f>
        <v/>
      </c>
      <c r="AD188" s="144" t="n">
        <v>60</v>
      </c>
      <c r="AE188" s="26">
        <f>IFERROR(IF(OR(AC188="",AD188=""),"",AC188-AD188),"")</f>
        <v/>
      </c>
      <c r="AF188" s="27">
        <f>IFERROR(IF(AE188="","",IF(ROUND(AE188,0)&gt;15,"Subestimacion",IF(ROUND(AE188,0)&lt;-15,"Sobrestimacion","Asertivo"))),"")</f>
        <v/>
      </c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27">
        <f>IF(A188="","",A188-WEEKDAY(A188,2)+1)</f>
        <v/>
      </c>
      <c r="AQ188" s="127">
        <f>IF(AO188="","",AO188+6)</f>
        <v/>
      </c>
      <c r="AR188" s="19">
        <f>IF(AO188="","","Semana "&amp;TEXT(AO188,"dd-mm-yyyy")&amp;" al "&amp;TEXT(AP188,"dd-mm-yyyy"))</f>
        <v/>
      </c>
      <c r="AS188" s="19">
        <f>IF(A188="","",TEXT(A188,"mmmm yyyy"))</f>
        <v/>
      </c>
      <c r="AT188" s="19">
        <f>IF(A188="","",TEXT(A188,"dddd"))</f>
        <v/>
      </c>
      <c r="AU188" s="19">
        <f>IF(A188="","","CRR-"&amp;TEXT(A188,"yyyymmdd")&amp;"-"&amp;M188&amp;"-"&amp;TEXT(ROW()-3,"0000"))</f>
        <v/>
      </c>
      <c r="AV188" s="19">
        <f>IF(A188="","",IF(OR(B188="",C188="",E188="",F188="",M188="",N188=""),"Revisar campos obligatorios",IF(AND(P188="Atraso primera hora",Q188=""),"Falta justificación atraso primera hora",IF(AND(Z188="No cumple",AA188=""),"Falta justificación recambio &gt;15 min",IF(AND(ISNUMBER(SEARCH("suspend",N188)),OR(AG188="",AH188="")),"Falta causa/motivo suspensión","OK")))))</f>
        <v/>
      </c>
      <c r="AW188" s="19">
        <f>IF(N188="","",IF(ISNUMBER(SEARCH("suspend",N188)),IF(AND(AG188="",AH188=""),"Sin causa/motivo registrado",IF(AG188="",AH188,IF(AH188="",AG188,AG188&amp;": "&amp;AH188))),""))</f>
        <v/>
      </c>
    </row>
    <row r="189" ht="16" customFormat="1" customHeight="1" s="165">
      <c r="A189" s="167" t="n">
        <v>46183</v>
      </c>
      <c r="B189" s="162" t="inlineStr">
        <is>
          <t>GABRIEL ANDRÉS</t>
        </is>
      </c>
      <c r="C189" s="163" t="inlineStr">
        <is>
          <t>TRONCOSO</t>
        </is>
      </c>
      <c r="D189" s="163" t="inlineStr">
        <is>
          <t>43a 9m 13d</t>
        </is>
      </c>
      <c r="E189" s="162" t="inlineStr">
        <is>
          <t>RETIRO DE TORNILLOS, CLAVOS, AGUJAS DE OSTEOSINTESIS O SIMILARES</t>
        </is>
      </c>
      <c r="F189" s="163" t="inlineStr">
        <is>
          <t>SERVICIO DE TRAUMATOLOGIA</t>
        </is>
      </c>
      <c r="G189" s="163" t="inlineStr">
        <is>
          <t>TMT RODILLA</t>
        </is>
      </c>
      <c r="H189" s="163" t="inlineStr">
        <is>
          <t>2106003-5</t>
        </is>
      </c>
      <c r="I189" s="166" t="n"/>
      <c r="J189" s="179">
        <f>IF(H189&lt;&gt;"",IFERROR(VLOOKUP(IFERROR(LEFT(H189,FIND("-",H189)-1),H189),'Catalogo MINSAL'!A:E,5,FALSE),""),IF(I189&lt;&gt;"",IFERROR(VLOOKUP(IFERROR(LEFT(I189,FIND("-",I189)-1),I189),'Catalogo MINSAL'!A:E,5,FALSE),""),""))</f>
        <v/>
      </c>
      <c r="K189" s="164" t="inlineStr">
        <is>
          <t xml:space="preserve">Maria Elvira DE FEREIRA Acosta de Fereira </t>
        </is>
      </c>
      <c r="L189" s="164" t="inlineStr">
        <is>
          <t>Osman Gabilan Gonzalez</t>
        </is>
      </c>
      <c r="M189" s="165" t="inlineStr">
        <is>
          <t>Quirofano 08</t>
        </is>
      </c>
      <c r="N189" s="166" t="inlineStr">
        <is>
          <t>Realizado</t>
        </is>
      </c>
      <c r="O189" s="168" t="n">
        <v>0.5486111111111112</v>
      </c>
      <c r="P189" s="169">
        <f>IFERROR(IF(OR(O189="",A189="",M189=""),"",IF(SUMPRODUCT(($A$4:$A$500=A189)*($M$4:$M$500=M189)*($O$4:$O$500&lt;&gt;"")*(MOD($O$4:$O$500,1)&lt;MOD(O189,1)))=0,IF(MOD(O189,1)&lt;=TIME(8,15,0),"Ingreso adecuado primera hora","Atraso primera hora"),"No aplica")),"")</f>
        <v/>
      </c>
      <c r="Q189" s="170" t="n"/>
      <c r="R189" s="168" t="n">
        <v>0.5763888888888888</v>
      </c>
      <c r="S189" s="168" t="n">
        <v>0.6458333333333334</v>
      </c>
      <c r="T189" s="168" t="n">
        <v>0.6631944444444444</v>
      </c>
      <c r="U189" s="171">
        <f>IFERROR(VLOOKUP(M189,'Horario Pabellones'!$A$4:$D$17,2,FALSE),"")</f>
        <v/>
      </c>
      <c r="V189" s="171">
        <f>IFERROR(VLOOKUP(M189,'Horario Pabellones'!$A$4:$D$17,3,FALSE),"")</f>
        <v/>
      </c>
      <c r="W189" s="172">
        <f>IFERROR(VLOOKUP(M189,'Horario Pabellones'!$A$4:$D$17,4,FALSE),"")</f>
        <v/>
      </c>
      <c r="X189" s="173">
        <f>IFERROR(IF(OR(A189="",M189="",W189=""),"",(((_xludf.AGGREGATE(14,6,MOD($S$4:$S$500,1)/(($A$4:$A$500=A189)*($M$4:$M$500=M189)*($R$4:$R$500&lt;&gt;"")*($S$4:$S$500&lt;&gt;"")),1)-_xludf.AGGREGATE(15,6,MOD($R$4:$R$500,1)/(($A$4:$A$500=A189)*($M$4:$M$500=M189)*($R$4:$R$500&lt;&gt;"")*($S$4:$S$500&lt;&gt;"")),1))*1440)/60)/(W189/60)),"")</f>
        <v/>
      </c>
      <c r="Y189" s="174">
        <f>IFERROR(IF(OR(O189="",A189="",M189=""),"",(IF(ISNUMBER(O189),MOD(O189,1),TIMEVALUE(O189))-LOOKUP(2,1/(($A$4:$A$500=A189)*($M$4:$M$500=M189)*($T$4:$T$500&lt;&gt;"")*($T$4:$T$500&lt;IF(ISNUMBER(O189),MOD(O189,1),TIMEVALUE(O189)))),$T$4:$T$500))*1440),"")</f>
        <v/>
      </c>
      <c r="Z189" s="169">
        <f>IFERROR(IF(Y189="","",IF(ROUND(Y189,0)&lt;=15,"Cumple","No cumple")),"")</f>
        <v/>
      </c>
      <c r="AA189" s="175" t="inlineStr">
        <is>
          <t>Revisión de cajas, llegada del paciente, Preparación quirófano, Pendiente documentos (C.I), Pendiente evaluación anestesica</t>
        </is>
      </c>
      <c r="AB189" s="174">
        <f>IFERROR(IF(OR(O189="",R189=""),"",IF(IF(ISNUMBER(R189),MOD(R189,1),TIMEVALUE(R189))&gt;=IF(ISNUMBER(O189),MOD(O189,1),TIMEVALUE(O189)),(IF(ISNUMBER(R189),MOD(R189,1),TIMEVALUE(R189))-IF(ISNUMBER(O189),MOD(O189,1),TIMEVALUE(O189)))*1440,(IF(ISNUMBER(R189),MOD(R189,1),TIMEVALUE(R189))+1-IF(ISNUMBER(O189),MOD(O189,1),TIMEVALUE(O189)))*1440)),"")</f>
        <v/>
      </c>
      <c r="AC189" s="176">
        <f>IFERROR(IF(OR(R189="",S189=""),"",IF(IF(ISNUMBER(S189),MOD(S189,1),TIMEVALUE(S189))&gt;=IF(ISNUMBER(R189),MOD(R189,1),TIMEVALUE(R189)),(IF(ISNUMBER(S189),MOD(S189,1),TIMEVALUE(S189))-IF(ISNUMBER(R189),MOD(R189,1),TIMEVALUE(R189)))*1440,(IF(ISNUMBER(S189),MOD(S189,1),TIMEVALUE(S189))+1-IF(ISNUMBER(R189),MOD(R189,1),TIMEVALUE(R189)))*1440)),"")</f>
        <v/>
      </c>
      <c r="AD189" s="177" t="n">
        <v>90</v>
      </c>
      <c r="AE189" s="174">
        <f>IFERROR(IF(OR(AC189="",AD189=""),"",AC189-AD189),"")</f>
        <v/>
      </c>
      <c r="AF189" s="169">
        <f>IFERROR(IF(AE189="","",IF(ROUND(AE189,0)&gt;15,"Subestimacion",IF(ROUND(AE189,0)&lt;-15,"Sobrestimacion","Asertivo"))),"")</f>
        <v/>
      </c>
      <c r="AG189" s="166" t="n"/>
      <c r="AH189" s="166" t="n"/>
      <c r="AI189" s="166" t="n"/>
      <c r="AJ189" s="166" t="n"/>
      <c r="AK189" s="166" t="n"/>
      <c r="AL189" s="166" t="n"/>
      <c r="AM189" s="166" t="n"/>
      <c r="AN189" s="166" t="n"/>
      <c r="AO189" s="166" t="n"/>
      <c r="AP189" s="178">
        <f>IF(A189="","",A189-WEEKDAY(A189,2)+1)</f>
        <v/>
      </c>
      <c r="AQ189" s="178">
        <f>IF(AO189="","",AO189+6)</f>
        <v/>
      </c>
      <c r="AR189" s="166">
        <f>IF(AO189="","","Semana "&amp;TEXT(AO189,"dd-mm-yyyy")&amp;" al "&amp;TEXT(AP189,"dd-mm-yyyy"))</f>
        <v/>
      </c>
      <c r="AS189" s="166">
        <f>IF(A189="","",TEXT(A189,"mmmm yyyy"))</f>
        <v/>
      </c>
      <c r="AT189" s="166">
        <f>IF(A189="","",TEXT(A189,"dddd"))</f>
        <v/>
      </c>
      <c r="AU189" s="166">
        <f>IF(A189="","","CRR-"&amp;TEXT(A189,"yyyymmdd")&amp;"-"&amp;M189&amp;"-"&amp;TEXT(ROW()-3,"0000"))</f>
        <v/>
      </c>
      <c r="AV189" s="166">
        <f>IF(A189="","",IF(OR(B189="",C189="",E189="",F189="",M189="",N189=""),"Revisar campos obligatorios",IF(AND(P189="Atraso primera hora",Q189=""),"Falta justificación atraso primera hora",IF(AND(Z189="No cumple",AA189=""),"Falta justificación recambio &gt;15 min",IF(AND(ISNUMBER(SEARCH("suspend",N189)),OR(AG189="",AH189="")),"Falta causa/motivo suspensión","OK")))))</f>
        <v/>
      </c>
      <c r="AW189" s="166">
        <f>IF(N189="","",IF(ISNUMBER(SEARCH("suspend",N189)),IF(AND(AG189="",AH189=""),"Sin causa/motivo registrado",IF(AG189="",AH189,IF(AH189="",AG189,AG189&amp;": "&amp;AH189))),""))</f>
        <v/>
      </c>
    </row>
    <row r="190" ht="16" customHeight="1" s="151">
      <c r="A190" s="139" t="n">
        <v>46184</v>
      </c>
      <c r="B190" s="144" t="inlineStr">
        <is>
          <t>RUTH JACQUELINE</t>
        </is>
      </c>
      <c r="C190" s="144" t="inlineStr">
        <is>
          <t>ALONSO</t>
        </is>
      </c>
      <c r="D190" s="144" t="inlineStr">
        <is>
          <t>54a 0m 27d</t>
        </is>
      </c>
      <c r="E190" s="145" t="inlineStr">
        <is>
          <t>PIE LUXACIONES, LUXOFRACTURAS, FRACTURAS, REDUCCION CRUENTA</t>
        </is>
      </c>
      <c r="F190" s="144" t="inlineStr">
        <is>
          <t>SERVICIO DE TRAUMATOLOGIA</t>
        </is>
      </c>
      <c r="G190" s="144" t="inlineStr">
        <is>
          <t>TMT TOBILLO/PIE</t>
        </is>
      </c>
      <c r="H190" s="144" t="inlineStr">
        <is>
          <t>2104191-6</t>
        </is>
      </c>
      <c r="I190" s="19" t="n"/>
      <c r="J190" s="20">
        <f>IF(H190&lt;&gt;"",IFERROR(VLOOKUP(IFERROR(LEFT(H190,FIND("-",H190)-1),H190),'Catalogo MINSAL'!A:E,5,FALSE),""),IF(I190&lt;&gt;"",IFERROR(VLOOKUP(IFERROR(LEFT(I190,FIND("-",I190)-1),I190),'Catalogo MINSAL'!A:E,5,FALSE),""),""))</f>
        <v/>
      </c>
      <c r="K190" s="145" t="inlineStr">
        <is>
          <t>Marcela Verónica Ortiz Acheritogaray</t>
        </is>
      </c>
      <c r="L190" s="145" t="inlineStr">
        <is>
          <t>Miguel Salgado Sanhueza</t>
        </is>
      </c>
      <c r="M190" s="144" t="inlineStr">
        <is>
          <t>Quirofano 08</t>
        </is>
      </c>
      <c r="N190" s="146" t="inlineStr">
        <is>
          <t>Realizado</t>
        </is>
      </c>
      <c r="O190" s="149" t="n">
        <v>0.3423611111111111</v>
      </c>
      <c r="P190" s="27">
        <f>IFERROR(IF(OR(O190="",A190="",M190=""),"",IF(SUMPRODUCT(($A$4:$A$500=A190)*($M$4:$M$500=M190)*($O$4:$O$500&lt;&gt;"")*(MOD($O$4:$O$500,1)&lt;MOD(O190,1)))=0,IF(MOD(O190,1)&lt;=TIME(8,15,0),"Ingreso adecuado primera hora","Atraso primera hora"),"No aplica")),"")</f>
        <v/>
      </c>
      <c r="Q190" s="27" t="n"/>
      <c r="R190" s="149" t="n">
        <v>0.3819444444444444</v>
      </c>
      <c r="S190" s="149" t="n">
        <v>0.4618055555555556</v>
      </c>
      <c r="T190" s="149" t="n">
        <v>0.4722222222222222</v>
      </c>
      <c r="U190" s="25">
        <f>IFERROR(VLOOKUP(M190,'Horario Pabellones'!$A$4:$D$17,2,FALSE),"")</f>
        <v/>
      </c>
      <c r="V190" s="25">
        <f>IFERROR(VLOOKUP(M190,'Horario Pabellones'!$A$4:$D$17,3,FALSE),"")</f>
        <v/>
      </c>
      <c r="W190" s="99">
        <f>IFERROR(VLOOKUP(M190,'Horario Pabellones'!$A$4:$D$17,4,FALSE),"")</f>
        <v/>
      </c>
      <c r="X190" s="89">
        <f>IFERROR(IF(OR(A190="",M190="",W190=""),"",(((_xludf.AGGREGATE(14,6,MOD($S$4:$S$500,1)/(($A$4:$A$500=A190)*($M$4:$M$500=M190)*($R$4:$R$500&lt;&gt;"")*($S$4:$S$500&lt;&gt;"")),1)-_xludf.AGGREGATE(15,6,MOD($R$4:$R$500,1)/(($A$4:$A$500=A190)*($M$4:$M$500=M190)*($R$4:$R$500&lt;&gt;"")*($S$4:$S$500&lt;&gt;"")),1))*1440)/60)/(W190/60)),"")</f>
        <v/>
      </c>
      <c r="Y190" s="26">
        <f>IFERROR(IF(OR(O190="",A190="",M190=""),"",(IF(ISNUMBER(O190),MOD(O190,1),TIMEVALUE(O190))-LOOKUP(2,1/(($A$4:$A$500=A190)*($M$4:$M$500=M190)*($T$4:$T$500&lt;&gt;"")*($T$4:$T$500&lt;IF(ISNUMBER(O190),MOD(O190,1),TIMEVALUE(O190)))),$T$4:$T$500))*1440),"")</f>
        <v/>
      </c>
      <c r="Z190" s="27">
        <f>IFERROR(IF(Y190="","",IF(ROUND(Y190,0)&lt;=15,"Cumple","No cumple")),"")</f>
        <v/>
      </c>
      <c r="AA190" s="15" t="n"/>
      <c r="AB190" s="26">
        <f>IFERROR(IF(OR(O190="",R190=""),"",IF(IF(ISNUMBER(R190),MOD(R190,1),TIMEVALUE(R190))&gt;=IF(ISNUMBER(O190),MOD(O190,1),TIMEVALUE(O190)),(IF(ISNUMBER(R190),MOD(R190,1),TIMEVALUE(R190))-IF(ISNUMBER(O190),MOD(O190,1),TIMEVALUE(O190)))*1440,(IF(ISNUMBER(R190),MOD(R190,1),TIMEVALUE(R190))+1-IF(ISNUMBER(O190),MOD(O190,1),TIMEVALUE(O190)))*1440)),"")</f>
        <v/>
      </c>
      <c r="AC190" s="28">
        <f>IFERROR(IF(OR(R190="",S190=""),"",IF(IF(ISNUMBER(S190),MOD(S190,1),TIMEVALUE(S190))&gt;=IF(ISNUMBER(R190),MOD(R190,1),TIMEVALUE(R190)),(IF(ISNUMBER(S190),MOD(S190,1),TIMEVALUE(S190))-IF(ISNUMBER(R190),MOD(R190,1),TIMEVALUE(R190)))*1440,(IF(ISNUMBER(S190),MOD(S190,1),TIMEVALUE(S190))+1-IF(ISNUMBER(R190),MOD(R190,1),TIMEVALUE(R190)))*1440)),"")</f>
        <v/>
      </c>
      <c r="AD190" s="144" t="n">
        <v>90</v>
      </c>
      <c r="AE190" s="26">
        <f>IFERROR(IF(OR(AC190="",AD190=""),"",AC190-AD190),"")</f>
        <v/>
      </c>
      <c r="AF190" s="27">
        <f>IFERROR(IF(AE190="","",IF(ROUND(AE190,0)&gt;15,"Subestimacion",IF(ROUND(AE190,0)&lt;-15,"Sobrestimacion","Asertivo"))),"")</f>
        <v/>
      </c>
      <c r="AG190" s="19" t="n"/>
      <c r="AH190" s="19" t="n"/>
      <c r="AI190" s="19" t="n"/>
      <c r="AJ190" s="19" t="n"/>
      <c r="AK190" s="19" t="n"/>
      <c r="AL190" s="19" t="n"/>
      <c r="AM190" s="19" t="n"/>
      <c r="AN190" s="19" t="n"/>
      <c r="AO190" s="19" t="n"/>
      <c r="AP190" s="127">
        <f>IF(A190="","",A190-WEEKDAY(A190,2)+1)</f>
        <v/>
      </c>
      <c r="AQ190" s="127">
        <f>IF(AO190="","",AO190+6)</f>
        <v/>
      </c>
      <c r="AR190" s="19">
        <f>IF(AO190="","","Semana "&amp;TEXT(AO190,"dd-mm-yyyy")&amp;" al "&amp;TEXT(AP190,"dd-mm-yyyy"))</f>
        <v/>
      </c>
      <c r="AS190" s="19">
        <f>IF(A190="","",TEXT(A190,"mmmm yyyy"))</f>
        <v/>
      </c>
      <c r="AT190" s="19">
        <f>IF(A190="","",TEXT(A190,"dddd"))</f>
        <v/>
      </c>
      <c r="AU190" s="19">
        <f>IF(A190="","","CRR-"&amp;TEXT(A190,"yyyymmdd")&amp;"-"&amp;M190&amp;"-"&amp;TEXT(ROW()-3,"0000"))</f>
        <v/>
      </c>
      <c r="AV190" s="19">
        <f>IF(A190="","",IF(OR(B190="",C190="",E190="",F190="",M190="",N190=""),"Revisar campos obligatorios",IF(AND(P190="Atraso primera hora",Q190=""),"Falta justificación atraso primera hora",IF(AND(Z190="No cumple",AA190=""),"Falta justificación recambio &gt;15 min",IF(AND(ISNUMBER(SEARCH("suspend",N190)),OR(AG190="",AH190="")),"Falta causa/motivo suspensión","OK")))))</f>
        <v/>
      </c>
      <c r="AW190" s="19">
        <f>IF(N190="","",IF(ISNUMBER(SEARCH("suspend",N190)),IF(AND(AG190="",AH190=""),"Sin causa/motivo registrado",IF(AG190="",AH190,IF(AH190="",AG190,AG190&amp;": "&amp;AH190))),""))</f>
        <v/>
      </c>
    </row>
    <row r="191" ht="16" customHeight="1" s="151">
      <c r="A191" s="139" t="n">
        <v>46184</v>
      </c>
      <c r="B191" s="144" t="inlineStr">
        <is>
          <t>ELÍAS ANTONIO</t>
        </is>
      </c>
      <c r="C191" s="144" t="inlineStr">
        <is>
          <t>CÁCERES</t>
        </is>
      </c>
      <c r="D191" s="144" t="inlineStr">
        <is>
          <t>49a 0m 10d</t>
        </is>
      </c>
      <c r="E191" s="145" t="inlineStr">
        <is>
          <t>FRACTURA ASTRAGALO Y/O CALCANEO, OSTEOSINTESIS (CUALQ. TECN.)</t>
        </is>
      </c>
      <c r="F191" s="144" t="inlineStr">
        <is>
          <t>SERVICIO DE TRAUMATOLOGIA</t>
        </is>
      </c>
      <c r="G191" s="144" t="inlineStr">
        <is>
          <t>TMT TOBILLO/PIE</t>
        </is>
      </c>
      <c r="H191" s="144" t="inlineStr">
        <is>
          <t>2104176-7</t>
        </is>
      </c>
      <c r="I191" s="19" t="n"/>
      <c r="J191" s="20">
        <f>IF(H191&lt;&gt;"",IFERROR(VLOOKUP(IFERROR(LEFT(H191,FIND("-",H191)-1),H191),'Catalogo MINSAL'!A:E,5,FALSE),""),IF(I191&lt;&gt;"",IFERROR(VLOOKUP(IFERROR(LEFT(I191,FIND("-",I191)-1),I191),'Catalogo MINSAL'!A:E,5,FALSE),""),""))</f>
        <v/>
      </c>
      <c r="K191" s="145" t="inlineStr">
        <is>
          <t>Marcela Verónica Ortiz Acheritogaray</t>
        </is>
      </c>
      <c r="L191" s="145" t="inlineStr">
        <is>
          <t>Miguel Salgado Sanhueza</t>
        </is>
      </c>
      <c r="M191" s="144" t="inlineStr">
        <is>
          <t>Quirofano 08</t>
        </is>
      </c>
      <c r="N191" s="146" t="inlineStr">
        <is>
          <t>Realizado</t>
        </is>
      </c>
      <c r="O191" s="149" t="n">
        <v>0.4875</v>
      </c>
      <c r="P191" s="27">
        <f>IFERROR(IF(OR(O191="",A191="",M191=""),"",IF(SUMPRODUCT(($A$4:$A$500=A191)*($M$4:$M$500=M191)*($O$4:$O$500&lt;&gt;"")*(MOD($O$4:$O$500,1)&lt;MOD(O191,1)))=0,IF(MOD(O191,1)&lt;=TIME(8,15,0),"Ingreso adecuado primera hora","Atraso primera hora"),"No aplica")),"")</f>
        <v/>
      </c>
      <c r="Q191" s="27" t="n"/>
      <c r="R191" s="149" t="n">
        <v>0.5416666666666666</v>
      </c>
      <c r="S191" s="149" t="n">
        <v>0.65625</v>
      </c>
      <c r="T191" s="149" t="n">
        <v>0.6597222222222222</v>
      </c>
      <c r="U191" s="25">
        <f>IFERROR(VLOOKUP(M191,'Horario Pabellones'!$A$4:$D$17,2,FALSE),"")</f>
        <v/>
      </c>
      <c r="V191" s="25">
        <f>IFERROR(VLOOKUP(M191,'Horario Pabellones'!$A$4:$D$17,3,FALSE),"")</f>
        <v/>
      </c>
      <c r="W191" s="99">
        <f>IFERROR(VLOOKUP(M191,'Horario Pabellones'!$A$4:$D$17,4,FALSE),"")</f>
        <v/>
      </c>
      <c r="X191" s="89">
        <f>IFERROR(IF(OR(A191="",M191="",W191=""),"",(((_xludf.AGGREGATE(14,6,MOD($S$4:$S$500,1)/(($A$4:$A$500=A191)*($M$4:$M$500=M191)*($R$4:$R$500&lt;&gt;"")*($S$4:$S$500&lt;&gt;"")),1)-_xludf.AGGREGATE(15,6,MOD($R$4:$R$500,1)/(($A$4:$A$500=A191)*($M$4:$M$500=M191)*($R$4:$R$500&lt;&gt;"")*($S$4:$S$500&lt;&gt;"")),1))*1440)/60)/(W191/60)),"")</f>
        <v/>
      </c>
      <c r="Y191" s="26">
        <f>IFERROR(IF(OR(O191="",A191="",M191=""),"",(IF(ISNUMBER(O191),MOD(O191,1),TIMEVALUE(O191))-LOOKUP(2,1/(($A$4:$A$500=A191)*($M$4:$M$500=M191)*($T$4:$T$500&lt;&gt;"")*($T$4:$T$500&lt;IF(ISNUMBER(O191),MOD(O191,1),TIMEVALUE(O191)))),$T$4:$T$500))*1440),"")</f>
        <v/>
      </c>
      <c r="Z191" s="27">
        <f>IFERROR(IF(Y191="","",IF(ROUND(Y191,0)&lt;=15,"Cumple","No cumple")),"")</f>
        <v/>
      </c>
      <c r="AA191" s="144" t="inlineStr">
        <is>
          <t>Revision de cajas</t>
        </is>
      </c>
      <c r="AB191" s="26">
        <f>IFERROR(IF(OR(O191="",R191=""),"",IF(IF(ISNUMBER(R191),MOD(R191,1),TIMEVALUE(R191))&gt;=IF(ISNUMBER(O191),MOD(O191,1),TIMEVALUE(O191)),(IF(ISNUMBER(R191),MOD(R191,1),TIMEVALUE(R191))-IF(ISNUMBER(O191),MOD(O191,1),TIMEVALUE(O191)))*1440,(IF(ISNUMBER(R191),MOD(R191,1),TIMEVALUE(R191))+1-IF(ISNUMBER(O191),MOD(O191,1),TIMEVALUE(O191)))*1440)),"")</f>
        <v/>
      </c>
      <c r="AC191" s="28">
        <f>IFERROR(IF(OR(R191="",S191=""),"",IF(IF(ISNUMBER(S191),MOD(S191,1),TIMEVALUE(S191))&gt;=IF(ISNUMBER(R191),MOD(R191,1),TIMEVALUE(R191)),(IF(ISNUMBER(S191),MOD(S191,1),TIMEVALUE(S191))-IF(ISNUMBER(R191),MOD(R191,1),TIMEVALUE(R191)))*1440,(IF(ISNUMBER(S191),MOD(S191,1),TIMEVALUE(S191))+1-IF(ISNUMBER(R191),MOD(R191,1),TIMEVALUE(R191)))*1440)),"")</f>
        <v/>
      </c>
      <c r="AD191" s="144" t="n">
        <v>120</v>
      </c>
      <c r="AE191" s="26">
        <f>IFERROR(IF(OR(AC191="",AD191=""),"",AC191-AD191),"")</f>
        <v/>
      </c>
      <c r="AF191" s="27">
        <f>IFERROR(IF(AE191="","",IF(ROUND(AE191,0)&gt;15,"Subestimacion",IF(ROUND(AE191,0)&lt;-15,"Sobrestimacion","Asertivo"))),"")</f>
        <v/>
      </c>
      <c r="AG191" s="19" t="n"/>
      <c r="AH191" s="19" t="n"/>
      <c r="AI191" s="19" t="n"/>
      <c r="AJ191" s="19" t="n"/>
      <c r="AK191" s="19" t="n"/>
      <c r="AL191" s="19" t="n"/>
      <c r="AM191" s="19" t="n"/>
      <c r="AN191" s="19" t="n"/>
      <c r="AO191" s="19" t="n"/>
      <c r="AP191" s="127">
        <f>IF(A191="","",A191-WEEKDAY(A191,2)+1)</f>
        <v/>
      </c>
      <c r="AQ191" s="127">
        <f>IF(AO191="","",AO191+6)</f>
        <v/>
      </c>
      <c r="AR191" s="19">
        <f>IF(AO191="","","Semana "&amp;TEXT(AO191,"dd-mm-yyyy")&amp;" al "&amp;TEXT(AP191,"dd-mm-yyyy"))</f>
        <v/>
      </c>
      <c r="AS191" s="19">
        <f>IF(A191="","",TEXT(A191,"mmmm yyyy"))</f>
        <v/>
      </c>
      <c r="AT191" s="19">
        <f>IF(A191="","",TEXT(A191,"dddd"))</f>
        <v/>
      </c>
      <c r="AU191" s="19">
        <f>IF(A191="","","CRR-"&amp;TEXT(A191,"yyyymmdd")&amp;"-"&amp;M191&amp;"-"&amp;TEXT(ROW()-3,"0000"))</f>
        <v/>
      </c>
      <c r="AV191" s="19">
        <f>IF(A191="","",IF(OR(B191="",C191="",E191="",F191="",M191="",N191=""),"Revisar campos obligatorios",IF(AND(P191="Atraso primera hora",Q191=""),"Falta justificación atraso primera hora",IF(AND(Z191="No cumple",AA191=""),"Falta justificación recambio &gt;15 min",IF(AND(ISNUMBER(SEARCH("suspend",N191)),OR(AG191="",AH191="")),"Falta causa/motivo suspensión","OK")))))</f>
        <v/>
      </c>
      <c r="AW191" s="19">
        <f>IF(N191="","",IF(ISNUMBER(SEARCH("suspend",N191)),IF(AND(AG191="",AH191=""),"Sin causa/motivo registrado",IF(AG191="",AH191,IF(AH191="",AG191,AG191&amp;": "&amp;AH191))),""))</f>
        <v/>
      </c>
    </row>
    <row r="192" ht="16" customHeight="1" s="151">
      <c r="A192" s="139" t="n">
        <v>46184</v>
      </c>
      <c r="B192" s="144" t="inlineStr">
        <is>
          <t>PATRICIO SEBASTIÁN</t>
        </is>
      </c>
      <c r="C192" s="144" t="inlineStr">
        <is>
          <t>ÁLVAREZ</t>
        </is>
      </c>
      <c r="D192" s="144" t="inlineStr">
        <is>
          <t>32a 1m 21d</t>
        </is>
      </c>
      <c r="E192" s="145" t="inlineStr">
        <is>
          <t>FRACTURA ASTRAGALO Y/O CALCANEO, OSTEOSINTESIS (CUALQ. TECN.)</t>
        </is>
      </c>
      <c r="F192" s="144" t="inlineStr">
        <is>
          <t>SERVICIO DE TRAUMATOLOGIA</t>
        </is>
      </c>
      <c r="G192" s="144" t="inlineStr">
        <is>
          <t>TMT TOBILLO/PIE</t>
        </is>
      </c>
      <c r="H192" s="144" t="inlineStr">
        <is>
          <t>2104176-7</t>
        </is>
      </c>
      <c r="I192" s="19" t="n"/>
      <c r="J192" s="20">
        <f>IF(H192&lt;&gt;"",IFERROR(VLOOKUP(IFERROR(LEFT(H192,FIND("-",H192)-1),H192),'Catalogo MINSAL'!A:E,5,FALSE),""),IF(I192&lt;&gt;"",IFERROR(VLOOKUP(IFERROR(LEFT(I192,FIND("-",I192)-1),I192),'Catalogo MINSAL'!A:E,5,FALSE),""),""))</f>
        <v/>
      </c>
      <c r="K192" s="145" t="inlineStr">
        <is>
          <t>Marcela Verónica Ortiz Acheritogaray</t>
        </is>
      </c>
      <c r="L192" s="145" t="inlineStr">
        <is>
          <t>Jafet Massri Pugin</t>
        </is>
      </c>
      <c r="M192" s="144" t="inlineStr">
        <is>
          <t>Quirofano 08</t>
        </is>
      </c>
      <c r="N192" s="147" t="inlineStr">
        <is>
          <t>Suspendido</t>
        </is>
      </c>
      <c r="O192" s="15" t="n"/>
      <c r="P192" s="27">
        <f>IFERROR(IF(OR(O192="",A192="",M192=""),"",IF(SUMPRODUCT(($A$4:$A$500=A192)*($M$4:$M$500=M192)*($O$4:$O$500&lt;&gt;"")*(MOD($O$4:$O$500,1)&lt;MOD(O192,1)))=0,IF(MOD(O192,1)&lt;=TIME(8,15,0),"Ingreso adecuado primera hora","Atraso primera hora"),"No aplica")),"")</f>
        <v/>
      </c>
      <c r="Q192" s="27" t="n"/>
      <c r="R192" s="15" t="n"/>
      <c r="S192" s="15" t="n"/>
      <c r="T192" s="15" t="n"/>
      <c r="U192" s="25">
        <f>IFERROR(VLOOKUP(M192,'Horario Pabellones'!$A$4:$D$17,2,FALSE),"")</f>
        <v/>
      </c>
      <c r="V192" s="25">
        <f>IFERROR(VLOOKUP(M192,'Horario Pabellones'!$A$4:$D$17,3,FALSE),"")</f>
        <v/>
      </c>
      <c r="W192" s="99">
        <f>IFERROR(VLOOKUP(M192,'Horario Pabellones'!$A$4:$D$17,4,FALSE),"")</f>
        <v/>
      </c>
      <c r="X192" s="89">
        <f>IFERROR(IF(OR(A192="",M192="",W192=""),"",(((_xludf.AGGREGATE(14,6,MOD($S$4:$S$500,1)/(($A$4:$A$500=A192)*($M$4:$M$500=M192)*($R$4:$R$500&lt;&gt;"")*($S$4:$S$500&lt;&gt;"")),1)-_xludf.AGGREGATE(15,6,MOD($R$4:$R$500,1)/(($A$4:$A$500=A192)*($M$4:$M$500=M192)*($R$4:$R$500&lt;&gt;"")*($S$4:$S$500&lt;&gt;"")),1))*1440)/60)/(W192/60)),"")</f>
        <v/>
      </c>
      <c r="Y192" s="26">
        <f>IFERROR(IF(OR(O192="",A192="",M192=""),"",(IF(ISNUMBER(O192),MOD(O192,1),TIMEVALUE(O192))-LOOKUP(2,1/(($A$4:$A$500=A192)*($M$4:$M$500=M192)*($T$4:$T$500&lt;&gt;"")*($T$4:$T$500&lt;IF(ISNUMBER(O192),MOD(O192,1),TIMEVALUE(O192)))),$T$4:$T$500))*1440),"")</f>
        <v/>
      </c>
      <c r="Z192" s="27">
        <f>IFERROR(IF(Y192="","",IF(ROUND(Y192,0)&lt;=15,"Cumple","No cumple")),"")</f>
        <v/>
      </c>
      <c r="AA192" s="15" t="n"/>
      <c r="AB192" s="26">
        <f>IFERROR(IF(OR(O192="",R192=""),"",IF(IF(ISNUMBER(R192),MOD(R192,1),TIMEVALUE(R192))&gt;=IF(ISNUMBER(O192),MOD(O192,1),TIMEVALUE(O192)),(IF(ISNUMBER(R192),MOD(R192,1),TIMEVALUE(R192))-IF(ISNUMBER(O192),MOD(O192,1),TIMEVALUE(O192)))*1440,(IF(ISNUMBER(R192),MOD(R192,1),TIMEVALUE(R192))+1-IF(ISNUMBER(O192),MOD(O192,1),TIMEVALUE(O192)))*1440)),"")</f>
        <v/>
      </c>
      <c r="AC192" s="28">
        <f>IFERROR(IF(OR(R192="",S192=""),"",IF(IF(ISNUMBER(S192),MOD(S192,1),TIMEVALUE(S192))&gt;=IF(ISNUMBER(R192),MOD(R192,1),TIMEVALUE(R192)),(IF(ISNUMBER(S192),MOD(S192,1),TIMEVALUE(S192))-IF(ISNUMBER(R192),MOD(R192,1),TIMEVALUE(R192)))*1440,(IF(ISNUMBER(S192),MOD(S192,1),TIMEVALUE(S192))+1-IF(ISNUMBER(R192),MOD(R192,1),TIMEVALUE(R192)))*1440)),"")</f>
        <v/>
      </c>
      <c r="AD192" s="144" t="n">
        <v>120</v>
      </c>
      <c r="AE192" s="26">
        <f>IFERROR(IF(OR(AC192="",AD192=""),"",AC192-AD192),"")</f>
        <v/>
      </c>
      <c r="AF192" s="27">
        <f>IFERROR(IF(AE192="","",IF(ROUND(AE192,0)&gt;15,"Subestimacion",IF(ROUND(AE192,0)&lt;-15,"Sobrestimacion","Asertivo"))),"")</f>
        <v/>
      </c>
      <c r="AG192" s="19" t="n"/>
      <c r="AH192" s="19" t="inlineStr">
        <is>
          <t>Exámenes alterados no corregidos</t>
        </is>
      </c>
      <c r="AI192" s="161" t="inlineStr">
        <is>
          <t>Exámenes alterados no corregidos</t>
        </is>
      </c>
      <c r="AJ192" s="19" t="n"/>
      <c r="AK192" s="19" t="n"/>
      <c r="AL192" s="19" t="n"/>
      <c r="AM192" s="19" t="n"/>
      <c r="AN192" s="19" t="n"/>
      <c r="AO192" s="19" t="n"/>
      <c r="AP192" s="127">
        <f>IF(A192="","",A192-WEEKDAY(A192,2)+1)</f>
        <v/>
      </c>
      <c r="AQ192" s="127">
        <f>IF(AO192="","",AO192+6)</f>
        <v/>
      </c>
      <c r="AR192" s="19">
        <f>IF(AO192="","","Semana "&amp;TEXT(AO192,"dd-mm-yyyy")&amp;" al "&amp;TEXT(AP192,"dd-mm-yyyy"))</f>
        <v/>
      </c>
      <c r="AS192" s="19">
        <f>IF(A192="","",TEXT(A192,"mmmm yyyy"))</f>
        <v/>
      </c>
      <c r="AT192" s="19">
        <f>IF(A192="","",TEXT(A192,"dddd"))</f>
        <v/>
      </c>
      <c r="AU192" s="19">
        <f>IF(A192="","","CRR-"&amp;TEXT(A192,"yyyymmdd")&amp;"-"&amp;M192&amp;"-"&amp;TEXT(ROW()-3,"0000"))</f>
        <v/>
      </c>
      <c r="AV192" s="19">
        <f>IF(A192="","",IF(OR(B192="",C192="",E192="",F192="",M192="",N192=""),"Revisar campos obligatorios",IF(AND(P192="Atraso primera hora",Q192=""),"Falta justificación atraso primera hora",IF(AND(Z192="No cumple",AA192=""),"Falta justificación recambio &gt;15 min",IF(AND(ISNUMBER(SEARCH("suspend",N192)),OR(AG192="",AH192="")),"Falta causa/motivo suspensión","OK")))))</f>
        <v/>
      </c>
      <c r="AW192" s="19">
        <f>IF(N192="","",IF(ISNUMBER(SEARCH("suspend",N192)),IF(AND(AG192="",AH192=""),"Sin causa/motivo registrado",IF(AG192="",AH192,IF(AH192="",AG192,AG192&amp;": "&amp;AH192))),""))</f>
        <v/>
      </c>
    </row>
    <row r="193" ht="16" customHeight="1" s="151">
      <c r="A193" s="139" t="n">
        <v>46184</v>
      </c>
      <c r="B193" s="144" t="inlineStr">
        <is>
          <t>JAVIERA FERNANDA</t>
        </is>
      </c>
      <c r="C193" s="144" t="inlineStr">
        <is>
          <t>ROJAS</t>
        </is>
      </c>
      <c r="D193" s="144" t="inlineStr">
        <is>
          <t>31a 10m 23d</t>
        </is>
      </c>
      <c r="E193" s="145" t="inlineStr">
        <is>
          <t>COLECISTECTOMIA POR VIDEOLAPAROSCOPIA, PROC. COMPLETO</t>
        </is>
      </c>
      <c r="F193" s="158" t="inlineStr">
        <is>
          <t>SERVICIO DE CIRUGIA ADULTO</t>
        </is>
      </c>
      <c r="G193" s="159" t="inlineStr">
        <is>
          <t>C. DIGESTIVA</t>
        </is>
      </c>
      <c r="H193" s="144" t="inlineStr">
        <is>
          <t>1802081-10</t>
        </is>
      </c>
      <c r="I193" s="19" t="n"/>
      <c r="J193" s="20">
        <f>IF(H193&lt;&gt;"",IFERROR(VLOOKUP(IFERROR(LEFT(H193,FIND("-",H193)-1),H193),'Catalogo MINSAL'!A:E,5,FALSE),""),IF(I193&lt;&gt;"",IFERROR(VLOOKUP(IFERROR(LEFT(I193,FIND("-",I193)-1),I193),'Catalogo MINSAL'!A:E,5,FALSE),""),""))</f>
        <v/>
      </c>
      <c r="K193" s="145" t="inlineStr">
        <is>
          <t>Rodrigo Alejandro Villegas Lugo</t>
        </is>
      </c>
      <c r="L193" s="145" t="inlineStr">
        <is>
          <t>Becado Dr. Jose Calles</t>
        </is>
      </c>
      <c r="M193" s="144" t="inlineStr">
        <is>
          <t>Quirofano 13</t>
        </is>
      </c>
      <c r="N193" s="146" t="inlineStr">
        <is>
          <t>Realizado</t>
        </is>
      </c>
      <c r="O193" s="149" t="n">
        <v>0.3555555555555556</v>
      </c>
      <c r="P193" s="27">
        <f>IFERROR(IF(OR(O193="",A193="",M193=""),"",IF(SUMPRODUCT(($A$4:$A$500=A193)*($M$4:$M$500=M193)*($O$4:$O$500&lt;&gt;"")*(MOD($O$4:$O$500,1)&lt;MOD(O193,1)))=0,IF(MOD(O193,1)&lt;=TIME(8,15,0),"Ingreso adecuado primera hora","Atraso primera hora"),"No aplica")),"")</f>
        <v/>
      </c>
      <c r="Q193" s="160" t="inlineStr">
        <is>
          <t>Atraso Anestesista</t>
        </is>
      </c>
      <c r="R193" s="149" t="n">
        <v>0.3777777777777778</v>
      </c>
      <c r="S193" s="149" t="n">
        <v>0.4479166666666667</v>
      </c>
      <c r="T193" s="149" t="n">
        <v>0.4708333333333333</v>
      </c>
      <c r="U193" s="25">
        <f>IFERROR(VLOOKUP(M193,'Horario Pabellones'!$A$4:$D$17,2,FALSE),"")</f>
        <v/>
      </c>
      <c r="V193" s="25">
        <f>IFERROR(VLOOKUP(M193,'Horario Pabellones'!$A$4:$D$17,3,FALSE),"")</f>
        <v/>
      </c>
      <c r="W193" s="99">
        <f>IFERROR(VLOOKUP(M193,'Horario Pabellones'!$A$4:$D$17,4,FALSE),"")</f>
        <v/>
      </c>
      <c r="X193" s="89">
        <f>IFERROR(IF(OR(A193="",M193="",W193=""),"",(((_xludf.AGGREGATE(14,6,MOD($S$4:$S$500,1)/(($A$4:$A$500=A193)*($M$4:$M$500=M193)*($R$4:$R$500&lt;&gt;"")*($S$4:$S$500&lt;&gt;"")),1)-_xludf.AGGREGATE(15,6,MOD($R$4:$R$500,1)/(($A$4:$A$500=A193)*($M$4:$M$500=M193)*($R$4:$R$500&lt;&gt;"")*($S$4:$S$500&lt;&gt;"")),1))*1440)/60)/(W193/60)),"")</f>
        <v/>
      </c>
      <c r="Y193" s="26">
        <f>IFERROR(IF(OR(O193="",A193="",M193=""),"",(IF(ISNUMBER(O193),MOD(O193,1),TIMEVALUE(O193))-LOOKUP(2,1/(($A$4:$A$500=A193)*($M$4:$M$500=M193)*($T$4:$T$500&lt;&gt;"")*($T$4:$T$500&lt;IF(ISNUMBER(O193),MOD(O193,1),TIMEVALUE(O193)))),$T$4:$T$500))*1440),"")</f>
        <v/>
      </c>
      <c r="Z193" s="27">
        <f>IFERROR(IF(Y193="","",IF(ROUND(Y193,0)&lt;=15,"Cumple","No cumple")),"")</f>
        <v/>
      </c>
      <c r="AA193" s="144" t="n"/>
      <c r="AB193" s="26">
        <f>IFERROR(IF(OR(O193="",R193=""),"",IF(IF(ISNUMBER(R193),MOD(R193,1),TIMEVALUE(R193))&gt;=IF(ISNUMBER(O193),MOD(O193,1),TIMEVALUE(O193)),(IF(ISNUMBER(R193),MOD(R193,1),TIMEVALUE(R193))-IF(ISNUMBER(O193),MOD(O193,1),TIMEVALUE(O193)))*1440,(IF(ISNUMBER(R193),MOD(R193,1),TIMEVALUE(R193))+1-IF(ISNUMBER(O193),MOD(O193,1),TIMEVALUE(O193)))*1440)),"")</f>
        <v/>
      </c>
      <c r="AC193" s="28">
        <f>IFERROR(IF(OR(R193="",S193=""),"",IF(IF(ISNUMBER(S193),MOD(S193,1),TIMEVALUE(S193))&gt;=IF(ISNUMBER(R193),MOD(R193,1),TIMEVALUE(R193)),(IF(ISNUMBER(S193),MOD(S193,1),TIMEVALUE(S193))-IF(ISNUMBER(R193),MOD(R193,1),TIMEVALUE(R193)))*1440,(IF(ISNUMBER(S193),MOD(S193,1),TIMEVALUE(S193))+1-IF(ISNUMBER(R193),MOD(R193,1),TIMEVALUE(R193)))*1440)),"")</f>
        <v/>
      </c>
      <c r="AD193" s="144" t="n">
        <v>90</v>
      </c>
      <c r="AE193" s="26">
        <f>IFERROR(IF(OR(AC193="",AD193=""),"",AC193-AD193),"")</f>
        <v/>
      </c>
      <c r="AF193" s="27">
        <f>IFERROR(IF(AE193="","",IF(ROUND(AE193,0)&gt;15,"Subestimacion",IF(ROUND(AE193,0)&lt;-15,"Sobrestimacion","Asertivo"))),"")</f>
        <v/>
      </c>
      <c r="AG193" s="19" t="n"/>
      <c r="AH193" s="19" t="n"/>
      <c r="AI193" s="19" t="n"/>
      <c r="AJ193" s="19" t="n"/>
      <c r="AK193" s="19" t="n"/>
      <c r="AL193" s="19" t="n"/>
      <c r="AM193" s="19" t="n"/>
      <c r="AN193" s="19" t="n"/>
      <c r="AO193" s="19" t="n"/>
      <c r="AP193" s="127">
        <f>IF(A193="","",A193-WEEKDAY(A193,2)+1)</f>
        <v/>
      </c>
      <c r="AQ193" s="127">
        <f>IF(AO193="","",AO193+6)</f>
        <v/>
      </c>
      <c r="AR193" s="19">
        <f>IF(AO193="","","Semana "&amp;TEXT(AO193,"dd-mm-yyyy")&amp;" al "&amp;TEXT(AP193,"dd-mm-yyyy"))</f>
        <v/>
      </c>
      <c r="AS193" s="19">
        <f>IF(A193="","",TEXT(A193,"mmmm yyyy"))</f>
        <v/>
      </c>
      <c r="AT193" s="19">
        <f>IF(A193="","",TEXT(A193,"dddd"))</f>
        <v/>
      </c>
      <c r="AU193" s="19">
        <f>IF(A193="","","CRR-"&amp;TEXT(A193,"yyyymmdd")&amp;"-"&amp;M193&amp;"-"&amp;TEXT(ROW()-3,"0000"))</f>
        <v/>
      </c>
      <c r="AV193" s="19">
        <f>IF(A193="","",IF(OR(B193="",C193="",E193="",F193="",M193="",N193=""),"Revisar campos obligatorios",IF(AND(P193="Atraso primera hora",Q193=""),"Falta justificación atraso primera hora",IF(AND(Z193="No cumple",AA193=""),"Falta justificación recambio &gt;15 min",IF(AND(ISNUMBER(SEARCH("suspend",N193)),OR(AG193="",AH193="")),"Falta causa/motivo suspensión","OK")))))</f>
        <v/>
      </c>
      <c r="AW193" s="19">
        <f>IF(N193="","",IF(ISNUMBER(SEARCH("suspend",N193)),IF(AND(AG193="",AH193=""),"Sin causa/motivo registrado",IF(AG193="",AH193,IF(AH193="",AG193,AG193&amp;": "&amp;AH193))),""))</f>
        <v/>
      </c>
    </row>
    <row r="194" ht="16" customHeight="1" s="151">
      <c r="A194" s="139" t="n">
        <v>46184</v>
      </c>
      <c r="B194" s="144" t="inlineStr">
        <is>
          <t>VIVIANA PAOLA</t>
        </is>
      </c>
      <c r="C194" s="144" t="inlineStr">
        <is>
          <t>OLMOS</t>
        </is>
      </c>
      <c r="D194" s="144" t="inlineStr">
        <is>
          <t>56a 3m 0d</t>
        </is>
      </c>
      <c r="E194" s="145" t="inlineStr">
        <is>
          <t>COLECISTECTOMIA POR VIDEOLAPAROSCOPIA, PROC. COMPLETO</t>
        </is>
      </c>
      <c r="F194" s="158" t="inlineStr">
        <is>
          <t>SERVICIO DE CIRUGIA ADULTO</t>
        </is>
      </c>
      <c r="G194" s="159" t="inlineStr">
        <is>
          <t>C. DIGESTIVA</t>
        </is>
      </c>
      <c r="H194" s="144" t="inlineStr">
        <is>
          <t>1802081-10</t>
        </is>
      </c>
      <c r="I194" s="19" t="n"/>
      <c r="J194" s="20">
        <f>IF(H194&lt;&gt;"",IFERROR(VLOOKUP(IFERROR(LEFT(H194,FIND("-",H194)-1),H194),'Catalogo MINSAL'!A:E,5,FALSE),""),IF(I194&lt;&gt;"",IFERROR(VLOOKUP(IFERROR(LEFT(I194,FIND("-",I194)-1),I194),'Catalogo MINSAL'!A:E,5,FALSE),""),""))</f>
        <v/>
      </c>
      <c r="K194" s="145" t="inlineStr">
        <is>
          <t>Rodrigo Alejandro Villegas Lugo</t>
        </is>
      </c>
      <c r="L194" s="145" t="inlineStr">
        <is>
          <t>Dr. Edgar Trujillo Valbuena</t>
        </is>
      </c>
      <c r="M194" s="144" t="inlineStr">
        <is>
          <t>Quirofano 13</t>
        </is>
      </c>
      <c r="N194" s="146" t="inlineStr">
        <is>
          <t>Realizado</t>
        </is>
      </c>
      <c r="O194" s="149" t="n">
        <v>0.4847222222222222</v>
      </c>
      <c r="P194" s="27">
        <f>IFERROR(IF(OR(O194="",A194="",M194=""),"",IF(SUMPRODUCT(($A$4:$A$500=A194)*($M$4:$M$500=M194)*($O$4:$O$500&lt;&gt;"")*(MOD($O$4:$O$500,1)&lt;MOD(O194,1)))=0,IF(MOD(O194,1)&lt;=TIME(8,15,0),"Ingreso adecuado primera hora","Atraso primera hora"),"No aplica")),"")</f>
        <v/>
      </c>
      <c r="Q194" s="27" t="n"/>
      <c r="R194" s="149" t="n">
        <v>0.5041666666666667</v>
      </c>
      <c r="S194" s="149" t="n">
        <v>0.54375</v>
      </c>
      <c r="T194" s="149" t="n">
        <v>0.5680555555555555</v>
      </c>
      <c r="U194" s="25">
        <f>IFERROR(VLOOKUP(M194,'Horario Pabellones'!$A$4:$D$17,2,FALSE),"")</f>
        <v/>
      </c>
      <c r="V194" s="25">
        <f>IFERROR(VLOOKUP(M194,'Horario Pabellones'!$A$4:$D$17,3,FALSE),"")</f>
        <v/>
      </c>
      <c r="W194" s="99">
        <f>IFERROR(VLOOKUP(M194,'Horario Pabellones'!$A$4:$D$17,4,FALSE),"")</f>
        <v/>
      </c>
      <c r="X194" s="89">
        <f>IFERROR(IF(OR(A194="",M194="",W194=""),"",(((_xludf.AGGREGATE(14,6,MOD($S$4:$S$500,1)/(($A$4:$A$500=A194)*($M$4:$M$500=M194)*($R$4:$R$500&lt;&gt;"")*($S$4:$S$500&lt;&gt;"")),1)-_xludf.AGGREGATE(15,6,MOD($R$4:$R$500,1)/(($A$4:$A$500=A194)*($M$4:$M$500=M194)*($R$4:$R$500&lt;&gt;"")*($S$4:$S$500&lt;&gt;"")),1))*1440)/60)/(W194/60)),"")</f>
        <v/>
      </c>
      <c r="Y194" s="26">
        <f>IFERROR(IF(OR(O194="",A194="",M194=""),"",(IF(ISNUMBER(O194),MOD(O194,1),TIMEVALUE(O194))-LOOKUP(2,1/(($A$4:$A$500=A194)*($M$4:$M$500=M194)*($T$4:$T$500&lt;&gt;"")*($T$4:$T$500&lt;IF(ISNUMBER(O194),MOD(O194,1),TIMEVALUE(O194)))),$T$4:$T$500))*1440),"")</f>
        <v/>
      </c>
      <c r="Z194" s="27">
        <f>IFERROR(IF(Y194="","",IF(ROUND(Y194,0)&lt;=15,"Cumple","No cumple")),"")</f>
        <v/>
      </c>
      <c r="AA194" s="144" t="inlineStr">
        <is>
          <t>Pendiente consentimiento de cirugia</t>
        </is>
      </c>
      <c r="AB194" s="26">
        <f>IFERROR(IF(OR(O194="",R194=""),"",IF(IF(ISNUMBER(R194),MOD(R194,1),TIMEVALUE(R194))&gt;=IF(ISNUMBER(O194),MOD(O194,1),TIMEVALUE(O194)),(IF(ISNUMBER(R194),MOD(R194,1),TIMEVALUE(R194))-IF(ISNUMBER(O194),MOD(O194,1),TIMEVALUE(O194)))*1440,(IF(ISNUMBER(R194),MOD(R194,1),TIMEVALUE(R194))+1-IF(ISNUMBER(O194),MOD(O194,1),TIMEVALUE(O194)))*1440)),"")</f>
        <v/>
      </c>
      <c r="AC194" s="28">
        <f>IFERROR(IF(OR(R194="",S194=""),"",IF(IF(ISNUMBER(S194),MOD(S194,1),TIMEVALUE(S194))&gt;=IF(ISNUMBER(R194),MOD(R194,1),TIMEVALUE(R194)),(IF(ISNUMBER(S194),MOD(S194,1),TIMEVALUE(S194))-IF(ISNUMBER(R194),MOD(R194,1),TIMEVALUE(R194)))*1440,(IF(ISNUMBER(S194),MOD(S194,1),TIMEVALUE(S194))+1-IF(ISNUMBER(R194),MOD(R194,1),TIMEVALUE(R194)))*1440)),"")</f>
        <v/>
      </c>
      <c r="AD194" s="144" t="n">
        <v>90</v>
      </c>
      <c r="AE194" s="26">
        <f>IFERROR(IF(OR(AC194="",AD194=""),"",AC194-AD194),"")</f>
        <v/>
      </c>
      <c r="AF194" s="27">
        <f>IFERROR(IF(AE194="","",IF(ROUND(AE194,0)&gt;15,"Subestimacion",IF(ROUND(AE194,0)&lt;-15,"Sobrestimacion","Asertivo"))),"")</f>
        <v/>
      </c>
      <c r="AG194" s="19" t="n"/>
      <c r="AH194" s="19" t="n"/>
      <c r="AI194" s="19" t="n"/>
      <c r="AJ194" s="19" t="n"/>
      <c r="AK194" s="19" t="n"/>
      <c r="AL194" s="19" t="n"/>
      <c r="AM194" s="19" t="n"/>
      <c r="AN194" s="19" t="n"/>
      <c r="AO194" s="19" t="n"/>
      <c r="AP194" s="127">
        <f>IF(A194="","",A194-WEEKDAY(A194,2)+1)</f>
        <v/>
      </c>
      <c r="AQ194" s="127">
        <f>IF(AO194="","",AO194+6)</f>
        <v/>
      </c>
      <c r="AR194" s="19">
        <f>IF(AO194="","","Semana "&amp;TEXT(AO194,"dd-mm-yyyy")&amp;" al "&amp;TEXT(AP194,"dd-mm-yyyy"))</f>
        <v/>
      </c>
      <c r="AS194" s="19">
        <f>IF(A194="","",TEXT(A194,"mmmm yyyy"))</f>
        <v/>
      </c>
      <c r="AT194" s="19">
        <f>IF(A194="","",TEXT(A194,"dddd"))</f>
        <v/>
      </c>
      <c r="AU194" s="19">
        <f>IF(A194="","","CRR-"&amp;TEXT(A194,"yyyymmdd")&amp;"-"&amp;M194&amp;"-"&amp;TEXT(ROW()-3,"0000"))</f>
        <v/>
      </c>
      <c r="AV194" s="19">
        <f>IF(A194="","",IF(OR(B194="",C194="",E194="",F194="",M194="",N194=""),"Revisar campos obligatorios",IF(AND(P194="Atraso primera hora",Q194=""),"Falta justificación atraso primera hora",IF(AND(Z194="No cumple",AA194=""),"Falta justificación recambio &gt;15 min",IF(AND(ISNUMBER(SEARCH("suspend",N194)),OR(AG194="",AH194="")),"Falta causa/motivo suspensión","OK")))))</f>
        <v/>
      </c>
      <c r="AW194" s="19">
        <f>IF(N194="","",IF(ISNUMBER(SEARCH("suspend",N194)),IF(AND(AG194="",AH194=""),"Sin causa/motivo registrado",IF(AG194="",AH194,IF(AH194="",AG194,AG194&amp;": "&amp;AH194))),""))</f>
        <v/>
      </c>
    </row>
    <row r="195" ht="16" customHeight="1" s="151">
      <c r="A195" s="62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20">
        <f>IF(H195&lt;&gt;"",IFERROR(VLOOKUP(IFERROR(LEFT(H195,FIND("-",H195)-1),H195),'Catalogo MINSAL'!A:E,5,FALSE),""),IF(I195&lt;&gt;"",IFERROR(VLOOKUP(IFERROR(LEFT(I195,FIND("-",I195)-1),I195),'Catalogo MINSAL'!A:E,5,FALSE),""),""))</f>
        <v/>
      </c>
      <c r="K195" s="19" t="n"/>
      <c r="L195" s="19" t="n"/>
      <c r="M195" s="19" t="n"/>
      <c r="N195" s="19" t="n"/>
      <c r="O195" s="25" t="n"/>
      <c r="P195" s="27">
        <f>IFERROR(IF(OR(O195="",A195="",M195=""),"",IF(SUMPRODUCT(($A$4:$A$500=A195)*($M$4:$M$500=M195)*($O$4:$O$500&lt;&gt;"")*(MOD($O$4:$O$500,1)&lt;MOD(O195,1)))=0,IF(MOD(O195,1)&lt;=TIME(8,15,0),"Ingreso adecuado primera hora","Atraso primera hora"),"No aplica")),"")</f>
        <v/>
      </c>
      <c r="Q195" s="27" t="n"/>
      <c r="R195" s="25" t="n"/>
      <c r="S195" s="25" t="n"/>
      <c r="T195" s="25" t="n"/>
      <c r="U195" s="25">
        <f>IFERROR(VLOOKUP(M195,'Horario Pabellones'!$A$4:$D$17,2,FALSE),"")</f>
        <v/>
      </c>
      <c r="V195" s="25">
        <f>IFERROR(VLOOKUP(M195,'Horario Pabellones'!$A$4:$D$17,3,FALSE),"")</f>
        <v/>
      </c>
      <c r="W195" s="99">
        <f>IFERROR(VLOOKUP(M195,'Horario Pabellones'!$A$4:$D$17,4,FALSE),"")</f>
        <v/>
      </c>
      <c r="X195" s="89">
        <f>IFERROR(IF(OR(A195="",M195="",W195=""),"",(((_xludf.AGGREGATE(14,6,MOD($S$4:$S$500,1)/(($A$4:$A$500=A195)*($M$4:$M$500=M195)*($R$4:$R$500&lt;&gt;"")*($S$4:$S$500&lt;&gt;"")),1)-_xludf.AGGREGATE(15,6,MOD($R$4:$R$500,1)/(($A$4:$A$500=A195)*($M$4:$M$500=M195)*($R$4:$R$500&lt;&gt;"")*($S$4:$S$500&lt;&gt;"")),1))*1440)/60)/(W195/60)),"")</f>
        <v/>
      </c>
      <c r="Y195" s="26">
        <f>IFERROR(IF(OR(O195="",A195="",M195=""),"",(IF(ISNUMBER(O195),MOD(O195,1),TIMEVALUE(O195))-LOOKUP(2,1/(($A$4:$A$500=A195)*($M$4:$M$500=M195)*($T$4:$T$500&lt;&gt;"")*($T$4:$T$500&lt;IF(ISNUMBER(O195),MOD(O195,1),TIMEVALUE(O195)))),$T$4:$T$500))*1440),"")</f>
        <v/>
      </c>
      <c r="Z195" s="27">
        <f>IFERROR(IF(Y195="","",IF(ROUND(Y195,0)&lt;=15,"Cumple","No cumple")),"")</f>
        <v/>
      </c>
      <c r="AA195" s="27" t="n"/>
      <c r="AB195" s="26">
        <f>IFERROR(IF(OR(O195="",R195=""),"",IF(IF(ISNUMBER(R195),MOD(R195,1),TIMEVALUE(R195))&gt;=IF(ISNUMBER(O195),MOD(O195,1),TIMEVALUE(O195)),(IF(ISNUMBER(R195),MOD(R195,1),TIMEVALUE(R195))-IF(ISNUMBER(O195),MOD(O195,1),TIMEVALUE(O195)))*1440,(IF(ISNUMBER(R195),MOD(R195,1),TIMEVALUE(R195))+1-IF(ISNUMBER(O195),MOD(O195,1),TIMEVALUE(O195)))*1440)),"")</f>
        <v/>
      </c>
      <c r="AC195" s="28">
        <f>IFERROR(IF(OR(R195="",S195=""),"",IF(IF(ISNUMBER(S195),MOD(S195,1),TIMEVALUE(S195))&gt;=IF(ISNUMBER(R195),MOD(R195,1),TIMEVALUE(R195)),(IF(ISNUMBER(S195),MOD(S195,1),TIMEVALUE(S195))-IF(ISNUMBER(R195),MOD(R195,1),TIMEVALUE(R195)))*1440,(IF(ISNUMBER(S195),MOD(S195,1),TIMEVALUE(S195))+1-IF(ISNUMBER(R195),MOD(R195,1),TIMEVALUE(R195)))*1440)),"")</f>
        <v/>
      </c>
      <c r="AD195" s="29" t="n"/>
      <c r="AE195" s="26">
        <f>IFERROR(IF(OR(AC195="",AD195=""),"",AC195-AD195),"")</f>
        <v/>
      </c>
      <c r="AF195" s="27">
        <f>IFERROR(IF(AE195="","",IF(ROUND(AE195,0)&gt;15,"Subestimacion",IF(ROUND(AE195,0)&lt;-15,"Sobrestimacion","Asertivo"))),"")</f>
        <v/>
      </c>
      <c r="AG195" s="19" t="n"/>
      <c r="AH195" s="19" t="n"/>
      <c r="AI195" s="19" t="n"/>
      <c r="AJ195" s="19" t="n"/>
      <c r="AK195" s="19" t="n"/>
      <c r="AL195" s="19" t="n"/>
      <c r="AM195" s="19" t="n"/>
      <c r="AN195" s="19" t="n"/>
      <c r="AO195" s="19" t="n"/>
      <c r="AP195" s="127">
        <f>IF(A195="","",A195-WEEKDAY(A195,2)+1)</f>
        <v/>
      </c>
      <c r="AQ195" s="127">
        <f>IF(AO195="","",AO195+6)</f>
        <v/>
      </c>
      <c r="AR195" s="19">
        <f>IF(AO195="","","Semana "&amp;TEXT(AO195,"dd-mm-yyyy")&amp;" al "&amp;TEXT(AP195,"dd-mm-yyyy"))</f>
        <v/>
      </c>
      <c r="AS195" s="19">
        <f>IF(A195="","",TEXT(A195,"mmmm yyyy"))</f>
        <v/>
      </c>
      <c r="AT195" s="19">
        <f>IF(A195="","",TEXT(A195,"dddd"))</f>
        <v/>
      </c>
      <c r="AU195" s="19">
        <f>IF(A195="","","CRR-"&amp;TEXT(A195,"yyyymmdd")&amp;"-"&amp;M195&amp;"-"&amp;TEXT(ROW()-3,"0000"))</f>
        <v/>
      </c>
      <c r="AV195" s="19">
        <f>IF(A195="","",IF(OR(B195="",C195="",E195="",F195="",M195="",N195=""),"Revisar campos obligatorios",IF(AND(P195="Atraso primera hora",Q195=""),"Falta justificación atraso primera hora",IF(AND(Z195="No cumple",AA195=""),"Falta justificación recambio &gt;15 min",IF(AND(ISNUMBER(SEARCH("suspend",N195)),OR(AG195="",AH195="")),"Falta causa/motivo suspensión","OK")))))</f>
        <v/>
      </c>
      <c r="AW195" s="19">
        <f>IF(N195="","",IF(ISNUMBER(SEARCH("suspend",N195)),IF(AND(AG195="",AH195=""),"Sin causa/motivo registrado",IF(AG195="",AH195,IF(AH195="",AG195,AG195&amp;": "&amp;AH195))),""))</f>
        <v/>
      </c>
    </row>
    <row r="196" ht="16" customHeight="1" s="151">
      <c r="A196" s="62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20">
        <f>IF(H196&lt;&gt;"",IFERROR(VLOOKUP(IFERROR(LEFT(H196,FIND("-",H196)-1),H196),'Catalogo MINSAL'!A:E,5,FALSE),""),IF(I196&lt;&gt;"",IFERROR(VLOOKUP(IFERROR(LEFT(I196,FIND("-",I196)-1),I196),'Catalogo MINSAL'!A:E,5,FALSE),""),""))</f>
        <v/>
      </c>
      <c r="K196" s="19" t="n"/>
      <c r="L196" s="19" t="n"/>
      <c r="M196" s="19" t="n"/>
      <c r="N196" s="19" t="n"/>
      <c r="O196" s="25" t="n"/>
      <c r="P196" s="27">
        <f>IFERROR(IF(OR(O196="",A196="",M196=""),"",IF(SUMPRODUCT(($A$4:$A$500=A196)*($M$4:$M$500=M196)*($O$4:$O$500&lt;&gt;"")*(MOD($O$4:$O$500,1)&lt;MOD(O196,1)))=0,IF(MOD(O196,1)&lt;=TIME(8,15,0),"Ingreso adecuado primera hora","Atraso primera hora"),"No aplica")),"")</f>
        <v/>
      </c>
      <c r="Q196" s="27" t="n"/>
      <c r="R196" s="25" t="n"/>
      <c r="S196" s="25" t="n"/>
      <c r="T196" s="25" t="n"/>
      <c r="U196" s="25">
        <f>IFERROR(VLOOKUP(M196,'Horario Pabellones'!$A$4:$D$17,2,FALSE),"")</f>
        <v/>
      </c>
      <c r="V196" s="25">
        <f>IFERROR(VLOOKUP(M196,'Horario Pabellones'!$A$4:$D$17,3,FALSE),"")</f>
        <v/>
      </c>
      <c r="W196" s="99">
        <f>IFERROR(VLOOKUP(M196,'Horario Pabellones'!$A$4:$D$17,4,FALSE),"")</f>
        <v/>
      </c>
      <c r="X196" s="89">
        <f>IFERROR(IF(OR(A196="",M196="",W196=""),"",(((_xludf.AGGREGATE(14,6,MOD($S$4:$S$500,1)/(($A$4:$A$500=A196)*($M$4:$M$500=M196)*($R$4:$R$500&lt;&gt;"")*($S$4:$S$500&lt;&gt;"")),1)-_xludf.AGGREGATE(15,6,MOD($R$4:$R$500,1)/(($A$4:$A$500=A196)*($M$4:$M$500=M196)*($R$4:$R$500&lt;&gt;"")*($S$4:$S$500&lt;&gt;"")),1))*1440)/60)/(W196/60)),"")</f>
        <v/>
      </c>
      <c r="Y196" s="26">
        <f>IFERROR(IF(OR(O196="",A196="",M196=""),"",(IF(ISNUMBER(O196),MOD(O196,1),TIMEVALUE(O196))-LOOKUP(2,1/(($A$4:$A$500=A196)*($M$4:$M$500=M196)*($T$4:$T$500&lt;&gt;"")*($T$4:$T$500&lt;IF(ISNUMBER(O196),MOD(O196,1),TIMEVALUE(O196)))),$T$4:$T$500))*1440),"")</f>
        <v/>
      </c>
      <c r="Z196" s="27">
        <f>IFERROR(IF(Y196="","",IF(ROUND(Y196,0)&lt;=15,"Cumple","No cumple")),"")</f>
        <v/>
      </c>
      <c r="AA196" s="27" t="n"/>
      <c r="AB196" s="26">
        <f>IFERROR(IF(OR(O196="",R196=""),"",IF(IF(ISNUMBER(R196),MOD(R196,1),TIMEVALUE(R196))&gt;=IF(ISNUMBER(O196),MOD(O196,1),TIMEVALUE(O196)),(IF(ISNUMBER(R196),MOD(R196,1),TIMEVALUE(R196))-IF(ISNUMBER(O196),MOD(O196,1),TIMEVALUE(O196)))*1440,(IF(ISNUMBER(R196),MOD(R196,1),TIMEVALUE(R196))+1-IF(ISNUMBER(O196),MOD(O196,1),TIMEVALUE(O196)))*1440)),"")</f>
        <v/>
      </c>
      <c r="AC196" s="28">
        <f>IFERROR(IF(OR(R196="",S196=""),"",IF(IF(ISNUMBER(S196),MOD(S196,1),TIMEVALUE(S196))&gt;=IF(ISNUMBER(R196),MOD(R196,1),TIMEVALUE(R196)),(IF(ISNUMBER(S196),MOD(S196,1),TIMEVALUE(S196))-IF(ISNUMBER(R196),MOD(R196,1),TIMEVALUE(R196)))*1440,(IF(ISNUMBER(S196),MOD(S196,1),TIMEVALUE(S196))+1-IF(ISNUMBER(R196),MOD(R196,1),TIMEVALUE(R196)))*1440)),"")</f>
        <v/>
      </c>
      <c r="AD196" s="29" t="n"/>
      <c r="AE196" s="26">
        <f>IFERROR(IF(OR(AC196="",AD196=""),"",AC196-AD196),"")</f>
        <v/>
      </c>
      <c r="AF196" s="27">
        <f>IFERROR(IF(AE196="","",IF(ROUND(AE196,0)&gt;15,"Subestimacion",IF(ROUND(AE196,0)&lt;-15,"Sobrestimacion","Asertivo"))),"")</f>
        <v/>
      </c>
      <c r="AG196" s="19" t="n"/>
      <c r="AH196" s="19" t="n"/>
      <c r="AI196" s="19" t="n"/>
      <c r="AJ196" s="19" t="n"/>
      <c r="AK196" s="19" t="n"/>
      <c r="AL196" s="19" t="n"/>
      <c r="AM196" s="19" t="n"/>
      <c r="AN196" s="19" t="n"/>
      <c r="AO196" s="19" t="n"/>
      <c r="AP196" s="127">
        <f>IF(A196="","",A196-WEEKDAY(A196,2)+1)</f>
        <v/>
      </c>
      <c r="AQ196" s="127">
        <f>IF(AO196="","",AO196+6)</f>
        <v/>
      </c>
      <c r="AR196" s="19">
        <f>IF(AO196="","","Semana "&amp;TEXT(AO196,"dd-mm-yyyy")&amp;" al "&amp;TEXT(AP196,"dd-mm-yyyy"))</f>
        <v/>
      </c>
      <c r="AS196" s="19">
        <f>IF(A196="","",TEXT(A196,"mmmm yyyy"))</f>
        <v/>
      </c>
      <c r="AT196" s="19">
        <f>IF(A196="","",TEXT(A196,"dddd"))</f>
        <v/>
      </c>
      <c r="AU196" s="19">
        <f>IF(A196="","","CRR-"&amp;TEXT(A196,"yyyymmdd")&amp;"-"&amp;M196&amp;"-"&amp;TEXT(ROW()-3,"0000"))</f>
        <v/>
      </c>
      <c r="AV196" s="19">
        <f>IF(A196="","",IF(OR(B196="",C196="",E196="",F196="",M196="",N196=""),"Revisar campos obligatorios",IF(AND(P196="Atraso primera hora",Q196=""),"Falta justificación atraso primera hora",IF(AND(Z196="No cumple",AA196=""),"Falta justificación recambio &gt;15 min",IF(AND(ISNUMBER(SEARCH("suspend",N196)),OR(AG196="",AH196="")),"Falta causa/motivo suspensión","OK")))))</f>
        <v/>
      </c>
      <c r="AW196" s="19">
        <f>IF(N196="","",IF(ISNUMBER(SEARCH("suspend",N196)),IF(AND(AG196="",AH196=""),"Sin causa/motivo registrado",IF(AG196="",AH196,IF(AH196="",AG196,AG196&amp;": "&amp;AH196))),""))</f>
        <v/>
      </c>
    </row>
    <row r="197" ht="16" customHeight="1" s="151">
      <c r="A197" s="62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20">
        <f>IF(H197&lt;&gt;"",IFERROR(VLOOKUP(IFERROR(LEFT(H197,FIND("-",H197)-1),H197),'Catalogo MINSAL'!A:E,5,FALSE),""),IF(I197&lt;&gt;"",IFERROR(VLOOKUP(IFERROR(LEFT(I197,FIND("-",I197)-1),I197),'Catalogo MINSAL'!A:E,5,FALSE),""),""))</f>
        <v/>
      </c>
      <c r="K197" s="19" t="n"/>
      <c r="L197" s="19" t="n"/>
      <c r="M197" s="19" t="n"/>
      <c r="N197" s="19" t="n"/>
      <c r="O197" s="25" t="n"/>
      <c r="P197" s="27">
        <f>IFERROR(IF(OR(O197="",A197="",M197=""),"",IF(SUMPRODUCT(($A$4:$A$500=A197)*($M$4:$M$500=M197)*($O$4:$O$500&lt;&gt;"")*(MOD($O$4:$O$500,1)&lt;MOD(O197,1)))=0,IF(MOD(O197,1)&lt;=TIME(8,15,0),"Ingreso adecuado primera hora","Atraso primera hora"),"No aplica")),"")</f>
        <v/>
      </c>
      <c r="Q197" s="27" t="n"/>
      <c r="R197" s="25" t="n"/>
      <c r="S197" s="25" t="n"/>
      <c r="T197" s="25" t="n"/>
      <c r="U197" s="25">
        <f>IFERROR(VLOOKUP(M197,'Horario Pabellones'!$A$4:$D$17,2,FALSE),"")</f>
        <v/>
      </c>
      <c r="V197" s="25">
        <f>IFERROR(VLOOKUP(M197,'Horario Pabellones'!$A$4:$D$17,3,FALSE),"")</f>
        <v/>
      </c>
      <c r="W197" s="99">
        <f>IFERROR(VLOOKUP(M197,'Horario Pabellones'!$A$4:$D$17,4,FALSE),"")</f>
        <v/>
      </c>
      <c r="X197" s="89">
        <f>IFERROR(IF(OR(A197="",M197="",W197=""),"",(((_xludf.AGGREGATE(14,6,MOD($S$4:$S$500,1)/(($A$4:$A$500=A197)*($M$4:$M$500=M197)*($R$4:$R$500&lt;&gt;"")*($S$4:$S$500&lt;&gt;"")),1)-_xludf.AGGREGATE(15,6,MOD($R$4:$R$500,1)/(($A$4:$A$500=A197)*($M$4:$M$500=M197)*($R$4:$R$500&lt;&gt;"")*($S$4:$S$500&lt;&gt;"")),1))*1440)/60)/(W197/60)),"")</f>
        <v/>
      </c>
      <c r="Y197" s="26">
        <f>IFERROR(IF(OR(O197="",A197="",M197=""),"",(IF(ISNUMBER(O197),MOD(O197,1),TIMEVALUE(O197))-LOOKUP(2,1/(($A$4:$A$500=A197)*($M$4:$M$500=M197)*($T$4:$T$500&lt;&gt;"")*($T$4:$T$500&lt;IF(ISNUMBER(O197),MOD(O197,1),TIMEVALUE(O197)))),$T$4:$T$500))*1440),"")</f>
        <v/>
      </c>
      <c r="Z197" s="27">
        <f>IFERROR(IF(Y197="","",IF(ROUND(Y197,0)&lt;=15,"Cumple","No cumple")),"")</f>
        <v/>
      </c>
      <c r="AA197" s="27" t="n"/>
      <c r="AB197" s="26">
        <f>IFERROR(IF(OR(O197="",R197=""),"",IF(IF(ISNUMBER(R197),MOD(R197,1),TIMEVALUE(R197))&gt;=IF(ISNUMBER(O197),MOD(O197,1),TIMEVALUE(O197)),(IF(ISNUMBER(R197),MOD(R197,1),TIMEVALUE(R197))-IF(ISNUMBER(O197),MOD(O197,1),TIMEVALUE(O197)))*1440,(IF(ISNUMBER(R197),MOD(R197,1),TIMEVALUE(R197))+1-IF(ISNUMBER(O197),MOD(O197,1),TIMEVALUE(O197)))*1440)),"")</f>
        <v/>
      </c>
      <c r="AC197" s="28">
        <f>IFERROR(IF(OR(R197="",S197=""),"",IF(IF(ISNUMBER(S197),MOD(S197,1),TIMEVALUE(S197))&gt;=IF(ISNUMBER(R197),MOD(R197,1),TIMEVALUE(R197)),(IF(ISNUMBER(S197),MOD(S197,1),TIMEVALUE(S197))-IF(ISNUMBER(R197),MOD(R197,1),TIMEVALUE(R197)))*1440,(IF(ISNUMBER(S197),MOD(S197,1),TIMEVALUE(S197))+1-IF(ISNUMBER(R197),MOD(R197,1),TIMEVALUE(R197)))*1440)),"")</f>
        <v/>
      </c>
      <c r="AD197" s="29" t="n"/>
      <c r="AE197" s="26">
        <f>IFERROR(IF(OR(AC197="",AD197=""),"",AC197-AD197),"")</f>
        <v/>
      </c>
      <c r="AF197" s="27">
        <f>IFERROR(IF(AE197="","",IF(ROUND(AE197,0)&gt;15,"Subestimacion",IF(ROUND(AE197,0)&lt;-15,"Sobrestimacion","Asertivo"))),"")</f>
        <v/>
      </c>
      <c r="AG197" s="19" t="n"/>
      <c r="AH197" s="19" t="n"/>
      <c r="AI197" s="19" t="n"/>
      <c r="AJ197" s="19" t="n"/>
      <c r="AK197" s="19" t="n"/>
      <c r="AL197" s="19" t="n"/>
      <c r="AM197" s="19" t="n"/>
      <c r="AN197" s="19" t="n"/>
      <c r="AO197" s="19" t="n"/>
      <c r="AP197" s="127">
        <f>IF(A197="","",A197-WEEKDAY(A197,2)+1)</f>
        <v/>
      </c>
      <c r="AQ197" s="127">
        <f>IF(AO197="","",AO197+6)</f>
        <v/>
      </c>
      <c r="AR197" s="19">
        <f>IF(AO197="","","Semana "&amp;TEXT(AO197,"dd-mm-yyyy")&amp;" al "&amp;TEXT(AP197,"dd-mm-yyyy"))</f>
        <v/>
      </c>
      <c r="AS197" s="19">
        <f>IF(A197="","",TEXT(A197,"mmmm yyyy"))</f>
        <v/>
      </c>
      <c r="AT197" s="19">
        <f>IF(A197="","",TEXT(A197,"dddd"))</f>
        <v/>
      </c>
      <c r="AU197" s="19">
        <f>IF(A197="","","CRR-"&amp;TEXT(A197,"yyyymmdd")&amp;"-"&amp;M197&amp;"-"&amp;TEXT(ROW()-3,"0000"))</f>
        <v/>
      </c>
      <c r="AV197" s="19">
        <f>IF(A197="","",IF(OR(B197="",C197="",E197="",F197="",M197="",N197=""),"Revisar campos obligatorios",IF(AND(P197="Atraso primera hora",Q197=""),"Falta justificación atraso primera hora",IF(AND(Z197="No cumple",AA197=""),"Falta justificación recambio &gt;15 min",IF(AND(ISNUMBER(SEARCH("suspend",N197)),OR(AG197="",AH197="")),"Falta causa/motivo suspensión","OK")))))</f>
        <v/>
      </c>
      <c r="AW197" s="19">
        <f>IF(N197="","",IF(ISNUMBER(SEARCH("suspend",N197)),IF(AND(AG197="",AH197=""),"Sin causa/motivo registrado",IF(AG197="",AH197,IF(AH197="",AG197,AG197&amp;": "&amp;AH197))),""))</f>
        <v/>
      </c>
    </row>
    <row r="198" ht="16" customHeight="1" s="151">
      <c r="A198" s="62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20">
        <f>IF(H198&lt;&gt;"",IFERROR(VLOOKUP(IFERROR(LEFT(H198,FIND("-",H198)-1),H198),'Catalogo MINSAL'!A:E,5,FALSE),""),IF(I198&lt;&gt;"",IFERROR(VLOOKUP(IFERROR(LEFT(I198,FIND("-",I198)-1),I198),'Catalogo MINSAL'!A:E,5,FALSE),""),""))</f>
        <v/>
      </c>
      <c r="K198" s="19" t="n"/>
      <c r="L198" s="19" t="n"/>
      <c r="M198" s="19" t="n"/>
      <c r="N198" s="19" t="n"/>
      <c r="O198" s="25" t="n"/>
      <c r="P198" s="27">
        <f>IFERROR(IF(OR(O198="",A198="",M198=""),"",IF(SUMPRODUCT(($A$4:$A$500=A198)*($M$4:$M$500=M198)*($O$4:$O$500&lt;&gt;"")*(MOD($O$4:$O$500,1)&lt;MOD(O198,1)))=0,IF(MOD(O198,1)&lt;=TIME(8,15,0),"Ingreso adecuado primera hora","Atraso primera hora"),"No aplica")),"")</f>
        <v/>
      </c>
      <c r="Q198" s="27" t="n"/>
      <c r="R198" s="25" t="n"/>
      <c r="S198" s="25" t="n"/>
      <c r="T198" s="25" t="n"/>
      <c r="U198" s="25">
        <f>IFERROR(VLOOKUP(M198,'Horario Pabellones'!$A$4:$D$17,2,FALSE),"")</f>
        <v/>
      </c>
      <c r="V198" s="25">
        <f>IFERROR(VLOOKUP(M198,'Horario Pabellones'!$A$4:$D$17,3,FALSE),"")</f>
        <v/>
      </c>
      <c r="W198" s="99">
        <f>IFERROR(VLOOKUP(M198,'Horario Pabellones'!$A$4:$D$17,4,FALSE),"")</f>
        <v/>
      </c>
      <c r="X198" s="89">
        <f>IFERROR(IF(OR(A198="",M198="",W198=""),"",(((_xludf.AGGREGATE(14,6,MOD($S$4:$S$500,1)/(($A$4:$A$500=A198)*($M$4:$M$500=M198)*($R$4:$R$500&lt;&gt;"")*($S$4:$S$500&lt;&gt;"")),1)-_xludf.AGGREGATE(15,6,MOD($R$4:$R$500,1)/(($A$4:$A$500=A198)*($M$4:$M$500=M198)*($R$4:$R$500&lt;&gt;"")*($S$4:$S$500&lt;&gt;"")),1))*1440)/60)/(W198/60)),"")</f>
        <v/>
      </c>
      <c r="Y198" s="26">
        <f>IFERROR(IF(OR(O198="",A198="",M198=""),"",(IF(ISNUMBER(O198),MOD(O198,1),TIMEVALUE(O198))-LOOKUP(2,1/(($A$4:$A$500=A198)*($M$4:$M$500=M198)*($T$4:$T$500&lt;&gt;"")*($T$4:$T$500&lt;IF(ISNUMBER(O198),MOD(O198,1),TIMEVALUE(O198)))),$T$4:$T$500))*1440),"")</f>
        <v/>
      </c>
      <c r="Z198" s="27">
        <f>IFERROR(IF(Y198="","",IF(ROUND(Y198,0)&lt;=15,"Cumple","No cumple")),"")</f>
        <v/>
      </c>
      <c r="AA198" s="27" t="n"/>
      <c r="AB198" s="26">
        <f>IFERROR(IF(OR(O198="",R198=""),"",IF(IF(ISNUMBER(R198),MOD(R198,1),TIMEVALUE(R198))&gt;=IF(ISNUMBER(O198),MOD(O198,1),TIMEVALUE(O198)),(IF(ISNUMBER(R198),MOD(R198,1),TIMEVALUE(R198))-IF(ISNUMBER(O198),MOD(O198,1),TIMEVALUE(O198)))*1440,(IF(ISNUMBER(R198),MOD(R198,1),TIMEVALUE(R198))+1-IF(ISNUMBER(O198),MOD(O198,1),TIMEVALUE(O198)))*1440)),"")</f>
        <v/>
      </c>
      <c r="AC198" s="28">
        <f>IFERROR(IF(OR(R198="",S198=""),"",IF(IF(ISNUMBER(S198),MOD(S198,1),TIMEVALUE(S198))&gt;=IF(ISNUMBER(R198),MOD(R198,1),TIMEVALUE(R198)),(IF(ISNUMBER(S198),MOD(S198,1),TIMEVALUE(S198))-IF(ISNUMBER(R198),MOD(R198,1),TIMEVALUE(R198)))*1440,(IF(ISNUMBER(S198),MOD(S198,1),TIMEVALUE(S198))+1-IF(ISNUMBER(R198),MOD(R198,1),TIMEVALUE(R198)))*1440)),"")</f>
        <v/>
      </c>
      <c r="AD198" s="29" t="n"/>
      <c r="AE198" s="26">
        <f>IFERROR(IF(OR(AC198="",AD198=""),"",AC198-AD198),"")</f>
        <v/>
      </c>
      <c r="AF198" s="27">
        <f>IFERROR(IF(AE198="","",IF(ROUND(AE198,0)&gt;15,"Subestimacion",IF(ROUND(AE198,0)&lt;-15,"Sobrestimacion","Asertivo"))),"")</f>
        <v/>
      </c>
      <c r="AG198" s="19" t="n"/>
      <c r="AH198" s="19" t="n"/>
      <c r="AI198" s="19" t="n"/>
      <c r="AJ198" s="19" t="n"/>
      <c r="AK198" s="19" t="n"/>
      <c r="AL198" s="19" t="n"/>
      <c r="AM198" s="19" t="n"/>
      <c r="AN198" s="19" t="n"/>
      <c r="AO198" s="19" t="n"/>
      <c r="AP198" s="127">
        <f>IF(A198="","",A198-WEEKDAY(A198,2)+1)</f>
        <v/>
      </c>
      <c r="AQ198" s="127">
        <f>IF(AO198="","",AO198+6)</f>
        <v/>
      </c>
      <c r="AR198" s="19">
        <f>IF(AO198="","","Semana "&amp;TEXT(AO198,"dd-mm-yyyy")&amp;" al "&amp;TEXT(AP198,"dd-mm-yyyy"))</f>
        <v/>
      </c>
      <c r="AS198" s="19">
        <f>IF(A198="","",TEXT(A198,"mmmm yyyy"))</f>
        <v/>
      </c>
      <c r="AT198" s="19">
        <f>IF(A198="","",TEXT(A198,"dddd"))</f>
        <v/>
      </c>
      <c r="AU198" s="19">
        <f>IF(A198="","","CRR-"&amp;TEXT(A198,"yyyymmdd")&amp;"-"&amp;M198&amp;"-"&amp;TEXT(ROW()-3,"0000"))</f>
        <v/>
      </c>
      <c r="AV198" s="19">
        <f>IF(A198="","",IF(OR(B198="",C198="",E198="",F198="",M198="",N198=""),"Revisar campos obligatorios",IF(AND(P198="Atraso primera hora",Q198=""),"Falta justificación atraso primera hora",IF(AND(Z198="No cumple",AA198=""),"Falta justificación recambio &gt;15 min",IF(AND(ISNUMBER(SEARCH("suspend",N198)),OR(AG198="",AH198="")),"Falta causa/motivo suspensión","OK")))))</f>
        <v/>
      </c>
      <c r="AW198" s="19">
        <f>IF(N198="","",IF(ISNUMBER(SEARCH("suspend",N198)),IF(AND(AG198="",AH198=""),"Sin causa/motivo registrado",IF(AG198="",AH198,IF(AH198="",AG198,AG198&amp;": "&amp;AH198))),""))</f>
        <v/>
      </c>
    </row>
    <row r="199" ht="16" customHeight="1" s="151">
      <c r="A199" s="62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20">
        <f>IF(H199&lt;&gt;"",IFERROR(VLOOKUP(IFERROR(LEFT(H199,FIND("-",H199)-1),H199),'Catalogo MINSAL'!A:E,5,FALSE),""),IF(I199&lt;&gt;"",IFERROR(VLOOKUP(IFERROR(LEFT(I199,FIND("-",I199)-1),I199),'Catalogo MINSAL'!A:E,5,FALSE),""),""))</f>
        <v/>
      </c>
      <c r="K199" s="19" t="n"/>
      <c r="L199" s="19" t="n"/>
      <c r="M199" s="19" t="n"/>
      <c r="N199" s="19" t="n"/>
      <c r="O199" s="25" t="n"/>
      <c r="P199" s="27">
        <f>IFERROR(IF(OR(O199="",A199="",M199=""),"",IF(SUMPRODUCT(($A$4:$A$500=A199)*($M$4:$M$500=M199)*($O$4:$O$500&lt;&gt;"")*(MOD($O$4:$O$500,1)&lt;MOD(O199,1)))=0,IF(MOD(O199,1)&lt;=TIME(8,15,0),"Ingreso adecuado primera hora","Atraso primera hora"),"No aplica")),"")</f>
        <v/>
      </c>
      <c r="Q199" s="27" t="n"/>
      <c r="R199" s="25" t="n"/>
      <c r="S199" s="25" t="n"/>
      <c r="T199" s="25" t="n"/>
      <c r="U199" s="25">
        <f>IFERROR(VLOOKUP(M199,'Horario Pabellones'!$A$4:$D$17,2,FALSE),"")</f>
        <v/>
      </c>
      <c r="V199" s="25">
        <f>IFERROR(VLOOKUP(M199,'Horario Pabellones'!$A$4:$D$17,3,FALSE),"")</f>
        <v/>
      </c>
      <c r="W199" s="99">
        <f>IFERROR(VLOOKUP(M199,'Horario Pabellones'!$A$4:$D$17,4,FALSE),"")</f>
        <v/>
      </c>
      <c r="X199" s="89">
        <f>IFERROR(IF(OR(A199="",M199="",W199=""),"",(((_xludf.AGGREGATE(14,6,MOD($S$4:$S$500,1)/(($A$4:$A$500=A199)*($M$4:$M$500=M199)*($R$4:$R$500&lt;&gt;"")*($S$4:$S$500&lt;&gt;"")),1)-_xludf.AGGREGATE(15,6,MOD($R$4:$R$500,1)/(($A$4:$A$500=A199)*($M$4:$M$500=M199)*($R$4:$R$500&lt;&gt;"")*($S$4:$S$500&lt;&gt;"")),1))*1440)/60)/(W199/60)),"")</f>
        <v/>
      </c>
      <c r="Y199" s="26">
        <f>IFERROR(IF(OR(O199="",A199="",M199=""),"",(IF(ISNUMBER(O199),MOD(O199,1),TIMEVALUE(O199))-LOOKUP(2,1/(($A$4:$A$500=A199)*($M$4:$M$500=M199)*($T$4:$T$500&lt;&gt;"")*($T$4:$T$500&lt;IF(ISNUMBER(O199),MOD(O199,1),TIMEVALUE(O199)))),$T$4:$T$500))*1440),"")</f>
        <v/>
      </c>
      <c r="Z199" s="27">
        <f>IFERROR(IF(Y199="","",IF(ROUND(Y199,0)&lt;=15,"Cumple","No cumple")),"")</f>
        <v/>
      </c>
      <c r="AA199" s="27" t="n"/>
      <c r="AB199" s="26">
        <f>IFERROR(IF(OR(O199="",R199=""),"",IF(IF(ISNUMBER(R199),MOD(R199,1),TIMEVALUE(R199))&gt;=IF(ISNUMBER(O199),MOD(O199,1),TIMEVALUE(O199)),(IF(ISNUMBER(R199),MOD(R199,1),TIMEVALUE(R199))-IF(ISNUMBER(O199),MOD(O199,1),TIMEVALUE(O199)))*1440,(IF(ISNUMBER(R199),MOD(R199,1),TIMEVALUE(R199))+1-IF(ISNUMBER(O199),MOD(O199,1),TIMEVALUE(O199)))*1440)),"")</f>
        <v/>
      </c>
      <c r="AC199" s="26">
        <f>IFERROR(IF(OR(R199="",S199=""),"",IF(IF(ISNUMBER(S199),MOD(S199,1),TIMEVALUE(S199))&gt;=IF(ISNUMBER(R199),MOD(R199,1),TIMEVALUE(R199)),(IF(ISNUMBER(S199),MOD(S199,1),TIMEVALUE(S199))-IF(ISNUMBER(R199),MOD(R199,1),TIMEVALUE(R199)))*1440,(IF(ISNUMBER(S199),MOD(S199,1),TIMEVALUE(S199))+1-IF(ISNUMBER(R199),MOD(R199,1),TIMEVALUE(R199)))*1440)),"")</f>
        <v/>
      </c>
      <c r="AD199" s="29" t="n"/>
      <c r="AE199" s="26">
        <f>IFERROR(IF(OR(AC199="",AD199=""),"",AC199-AD199),"")</f>
        <v/>
      </c>
      <c r="AF199" s="27">
        <f>IFERROR(IF(AE199="","",IF(ROUND(AE199,0)&gt;15,"Subestimacion",IF(ROUND(AE199,0)&lt;-15,"Sobrestimacion","Asertivo"))),"")</f>
        <v/>
      </c>
      <c r="AG199" s="19" t="n"/>
      <c r="AH199" s="19" t="n"/>
      <c r="AI199" s="19" t="n"/>
      <c r="AJ199" s="19" t="n"/>
      <c r="AK199" s="19" t="n"/>
      <c r="AL199" s="19" t="n"/>
      <c r="AM199" s="19" t="n"/>
      <c r="AN199" s="19" t="n"/>
      <c r="AO199" s="19" t="n"/>
      <c r="AP199" s="127">
        <f>IF(A199="","",A199-WEEKDAY(A199,2)+1)</f>
        <v/>
      </c>
      <c r="AQ199" s="127">
        <f>IF(AO199="","",AO199+6)</f>
        <v/>
      </c>
      <c r="AR199" s="19">
        <f>IF(AO199="","","Semana "&amp;TEXT(AO199,"dd-mm-yyyy")&amp;" al "&amp;TEXT(AP199,"dd-mm-yyyy"))</f>
        <v/>
      </c>
      <c r="AS199" s="19">
        <f>IF(A199="","",TEXT(A199,"mmmm yyyy"))</f>
        <v/>
      </c>
      <c r="AT199" s="19">
        <f>IF(A199="","",TEXT(A199,"dddd"))</f>
        <v/>
      </c>
      <c r="AU199" s="19">
        <f>IF(A199="","","CRR-"&amp;TEXT(A199,"yyyymmdd")&amp;"-"&amp;M199&amp;"-"&amp;TEXT(ROW()-3,"0000"))</f>
        <v/>
      </c>
      <c r="AV199" s="19">
        <f>IF(A199="","",IF(OR(B199="",C199="",E199="",F199="",M199="",N199=""),"Revisar campos obligatorios",IF(AND(P199="Atraso primera hora",Q199=""),"Falta justificación atraso primera hora",IF(AND(Z199="No cumple",AA199=""),"Falta justificación recambio &gt;15 min",IF(AND(ISNUMBER(SEARCH("suspend",N199)),OR(AG199="",AH199="")),"Falta causa/motivo suspensión","OK")))))</f>
        <v/>
      </c>
      <c r="AW199" s="19">
        <f>IF(N199="","",IF(ISNUMBER(SEARCH("suspend",N199)),IF(AND(AG199="",AH199=""),"Sin causa/motivo registrado",IF(AG199="",AH199,IF(AH199="",AG199,AG199&amp;": "&amp;AH199))),""))</f>
        <v/>
      </c>
    </row>
    <row r="200" ht="16" customHeight="1" s="151">
      <c r="A200" s="62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20">
        <f>IF(H200&lt;&gt;"",IFERROR(VLOOKUP(IFERROR(LEFT(H200,FIND("-",H200)-1),H200),'Catalogo MINSAL'!A:E,5,FALSE),""),IF(I200&lt;&gt;"",IFERROR(VLOOKUP(IFERROR(LEFT(I200,FIND("-",I200)-1),I200),'Catalogo MINSAL'!A:E,5,FALSE),""),""))</f>
        <v/>
      </c>
      <c r="K200" s="19" t="n"/>
      <c r="L200" s="19" t="n"/>
      <c r="M200" s="19" t="n"/>
      <c r="N200" s="19" t="n"/>
      <c r="O200" s="25" t="n"/>
      <c r="P200" s="27">
        <f>IFERROR(IF(OR(O200="",A200="",M200=""),"",IF(SUMPRODUCT(($A$4:$A$500=A200)*($M$4:$M$500=M200)*($O$4:$O$500&lt;&gt;"")*(MOD($O$4:$O$500,1)&lt;MOD(O200,1)))=0,IF(MOD(O200,1)&lt;=TIME(8,15,0),"Ingreso adecuado primera hora","Atraso primera hora"),"No aplica")),"")</f>
        <v/>
      </c>
      <c r="Q200" s="27" t="n"/>
      <c r="R200" s="25" t="n"/>
      <c r="S200" s="25" t="n"/>
      <c r="T200" s="25" t="n"/>
      <c r="U200" s="25">
        <f>IFERROR(VLOOKUP(M200,'Horario Pabellones'!$A$4:$D$17,2,FALSE),"")</f>
        <v/>
      </c>
      <c r="V200" s="25">
        <f>IFERROR(VLOOKUP(M200,'Horario Pabellones'!$A$4:$D$17,3,FALSE),"")</f>
        <v/>
      </c>
      <c r="W200" s="99">
        <f>IFERROR(VLOOKUP(M200,'Horario Pabellones'!$A$4:$D$17,4,FALSE),"")</f>
        <v/>
      </c>
      <c r="X200" s="89">
        <f>IFERROR(IF(OR(A200="",M200="",W200=""),"",(((_xludf.AGGREGATE(14,6,MOD($S$4:$S$500,1)/(($A$4:$A$500=A200)*($M$4:$M$500=M200)*($R$4:$R$500&lt;&gt;"")*($S$4:$S$500&lt;&gt;"")),1)-_xludf.AGGREGATE(15,6,MOD($R$4:$R$500,1)/(($A$4:$A$500=A200)*($M$4:$M$500=M200)*($R$4:$R$500&lt;&gt;"")*($S$4:$S$500&lt;&gt;"")),1))*1440)/60)/(W200/60)),"")</f>
        <v/>
      </c>
      <c r="Y200" s="26">
        <f>IFERROR(IF(OR(O200="",A200="",M200=""),"",(IF(ISNUMBER(O200),MOD(O200,1),TIMEVALUE(O200))-LOOKUP(2,1/(($A$4:$A$500=A200)*($M$4:$M$500=M200)*($T$4:$T$500&lt;&gt;"")*($T$4:$T$500&lt;IF(ISNUMBER(O200),MOD(O200,1),TIMEVALUE(O200)))),$T$4:$T$500))*1440),"")</f>
        <v/>
      </c>
      <c r="Z200" s="27">
        <f>IFERROR(IF(Y200="","",IF(ROUND(Y200,0)&lt;=15,"Cumple","No cumple")),"")</f>
        <v/>
      </c>
      <c r="AA200" s="27" t="n"/>
      <c r="AB200" s="26">
        <f>IFERROR(IF(OR(O200="",R200=""),"",IF(IF(ISNUMBER(R200),MOD(R200,1),TIMEVALUE(R200))&gt;=IF(ISNUMBER(O200),MOD(O200,1),TIMEVALUE(O200)),(IF(ISNUMBER(R200),MOD(R200,1),TIMEVALUE(R200))-IF(ISNUMBER(O200),MOD(O200,1),TIMEVALUE(O200)))*1440,(IF(ISNUMBER(R200),MOD(R200,1),TIMEVALUE(R200))+1-IF(ISNUMBER(O200),MOD(O200,1),TIMEVALUE(O200)))*1440)),"")</f>
        <v/>
      </c>
      <c r="AC200" s="26">
        <f>IFERROR(IF(OR(R200="",S200=""),"",IF(IF(ISNUMBER(S200),MOD(S200,1),TIMEVALUE(S200))&gt;=IF(ISNUMBER(R200),MOD(R200,1),TIMEVALUE(R200)),(IF(ISNUMBER(S200),MOD(S200,1),TIMEVALUE(S200))-IF(ISNUMBER(R200),MOD(R200,1),TIMEVALUE(R200)))*1440,(IF(ISNUMBER(S200),MOD(S200,1),TIMEVALUE(S200))+1-IF(ISNUMBER(R200),MOD(R200,1),TIMEVALUE(R200)))*1440)),"")</f>
        <v/>
      </c>
      <c r="AD200" s="29" t="n"/>
      <c r="AE200" s="26">
        <f>IFERROR(IF(OR(AC200="",AD200=""),"",AC200-AD200),"")</f>
        <v/>
      </c>
      <c r="AF200" s="27">
        <f>IFERROR(IF(AE200="","",IF(ROUND(AE200,0)&gt;15,"Subestimacion",IF(ROUND(AE200,0)&lt;-15,"Sobrestimacion","Asertivo"))),"")</f>
        <v/>
      </c>
      <c r="AG200" s="19" t="n"/>
      <c r="AH200" s="19" t="n"/>
      <c r="AI200" s="19" t="n"/>
      <c r="AJ200" s="19" t="n"/>
      <c r="AK200" s="19" t="n"/>
      <c r="AL200" s="19" t="n"/>
      <c r="AM200" s="19" t="n"/>
      <c r="AN200" s="19" t="n"/>
      <c r="AO200" s="19" t="n"/>
      <c r="AP200" s="127">
        <f>IF(A200="","",A200-WEEKDAY(A200,2)+1)</f>
        <v/>
      </c>
      <c r="AQ200" s="127">
        <f>IF(AO200="","",AO200+6)</f>
        <v/>
      </c>
      <c r="AR200" s="19">
        <f>IF(AO200="","","Semana "&amp;TEXT(AO200,"dd-mm-yyyy")&amp;" al "&amp;TEXT(AP200,"dd-mm-yyyy"))</f>
        <v/>
      </c>
      <c r="AS200" s="19">
        <f>IF(A200="","",TEXT(A200,"mmmm yyyy"))</f>
        <v/>
      </c>
      <c r="AT200" s="19">
        <f>IF(A200="","",TEXT(A200,"dddd"))</f>
        <v/>
      </c>
      <c r="AU200" s="19">
        <f>IF(A200="","","CRR-"&amp;TEXT(A200,"yyyymmdd")&amp;"-"&amp;M200&amp;"-"&amp;TEXT(ROW()-3,"0000"))</f>
        <v/>
      </c>
      <c r="AV200" s="19">
        <f>IF(A200="","",IF(OR(B200="",C200="",E200="",F200="",M200="",N200=""),"Revisar campos obligatorios",IF(AND(P200="Atraso primera hora",Q200=""),"Falta justificación atraso primera hora",IF(AND(Z200="No cumple",AA200=""),"Falta justificación recambio &gt;15 min",IF(AND(ISNUMBER(SEARCH("suspend",N200)),OR(AG200="",AH200="")),"Falta causa/motivo suspensión","OK")))))</f>
        <v/>
      </c>
      <c r="AW200" s="19">
        <f>IF(N200="","",IF(ISNUMBER(SEARCH("suspend",N200)),IF(AND(AG200="",AH200=""),"Sin causa/motivo registrado",IF(AG200="",AH200,IF(AH200="",AG200,AG200&amp;": "&amp;AH200))),""))</f>
        <v/>
      </c>
    </row>
    <row r="201" ht="16" customHeight="1" s="151">
      <c r="A201" s="62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20">
        <f>IF(H201&lt;&gt;"",IFERROR(VLOOKUP(IFERROR(LEFT(H201,FIND("-",H201)-1),H201),'Catalogo MINSAL'!A:E,5,FALSE),""),IF(I201&lt;&gt;"",IFERROR(VLOOKUP(IFERROR(LEFT(I201,FIND("-",I201)-1),I201),'Catalogo MINSAL'!A:E,5,FALSE),""),""))</f>
        <v/>
      </c>
      <c r="K201" s="19" t="n"/>
      <c r="L201" s="19" t="n"/>
      <c r="M201" s="19" t="n"/>
      <c r="N201" s="19" t="n"/>
      <c r="O201" s="25" t="n"/>
      <c r="P201" s="27">
        <f>IFERROR(IF(OR(O201="",A201="",M201=""),"",IF(SUMPRODUCT(($A$4:$A$500=A201)*($M$4:$M$500=M201)*($O$4:$O$500&lt;&gt;"")*(MOD($O$4:$O$500,1)&lt;MOD(O201,1)))=0,IF(MOD(O201,1)&lt;=TIME(8,15,0),"Ingreso adecuado primera hora","Atraso primera hora"),"No aplica")),"")</f>
        <v/>
      </c>
      <c r="Q201" s="27" t="n"/>
      <c r="R201" s="25" t="n"/>
      <c r="S201" s="25" t="n"/>
      <c r="T201" s="25" t="n"/>
      <c r="U201" s="25">
        <f>IFERROR(VLOOKUP(M201,'Horario Pabellones'!$A$4:$D$17,2,FALSE),"")</f>
        <v/>
      </c>
      <c r="V201" s="25">
        <f>IFERROR(VLOOKUP(M201,'Horario Pabellones'!$A$4:$D$17,3,FALSE),"")</f>
        <v/>
      </c>
      <c r="W201" s="99">
        <f>IFERROR(VLOOKUP(M201,'Horario Pabellones'!$A$4:$D$17,4,FALSE),"")</f>
        <v/>
      </c>
      <c r="X201" s="89">
        <f>IFERROR(IF(OR(A201="",M201="",W201=""),"",(((_xludf.AGGREGATE(14,6,MOD($S$4:$S$500,1)/(($A$4:$A$500=A201)*($M$4:$M$500=M201)*($R$4:$R$500&lt;&gt;"")*($S$4:$S$500&lt;&gt;"")),1)-_xludf.AGGREGATE(15,6,MOD($R$4:$R$500,1)/(($A$4:$A$500=A201)*($M$4:$M$500=M201)*($R$4:$R$500&lt;&gt;"")*($S$4:$S$500&lt;&gt;"")),1))*1440)/60)/(W201/60)),"")</f>
        <v/>
      </c>
      <c r="Y201" s="26">
        <f>IFERROR(IF(OR(O201="",A201="",M201=""),"",(IF(ISNUMBER(O201),MOD(O201,1),TIMEVALUE(O201))-LOOKUP(2,1/(($A$4:$A$500=A201)*($M$4:$M$500=M201)*($T$4:$T$500&lt;&gt;"")*($T$4:$T$500&lt;IF(ISNUMBER(O201),MOD(O201,1),TIMEVALUE(O201)))),$T$4:$T$500))*1440),"")</f>
        <v/>
      </c>
      <c r="Z201" s="27">
        <f>IFERROR(IF(Y201="","",IF(ROUND(Y201,0)&lt;=15,"Cumple","No cumple")),"")</f>
        <v/>
      </c>
      <c r="AA201" s="27" t="n"/>
      <c r="AB201" s="26">
        <f>IFERROR(IF(OR(O201="",R201=""),"",IF(IF(ISNUMBER(R201),MOD(R201,1),TIMEVALUE(R201))&gt;=IF(ISNUMBER(O201),MOD(O201,1),TIMEVALUE(O201)),(IF(ISNUMBER(R201),MOD(R201,1),TIMEVALUE(R201))-IF(ISNUMBER(O201),MOD(O201,1),TIMEVALUE(O201)))*1440,(IF(ISNUMBER(R201),MOD(R201,1),TIMEVALUE(R201))+1-IF(ISNUMBER(O201),MOD(O201,1),TIMEVALUE(O201)))*1440)),"")</f>
        <v/>
      </c>
      <c r="AC201" s="26">
        <f>IFERROR(IF(OR(R201="",S201=""),"",IF(IF(ISNUMBER(S201),MOD(S201,1),TIMEVALUE(S201))&gt;=IF(ISNUMBER(R201),MOD(R201,1),TIMEVALUE(R201)),(IF(ISNUMBER(S201),MOD(S201,1),TIMEVALUE(S201))-IF(ISNUMBER(R201),MOD(R201,1),TIMEVALUE(R201)))*1440,(IF(ISNUMBER(S201),MOD(S201,1),TIMEVALUE(S201))+1-IF(ISNUMBER(R201),MOD(R201,1),TIMEVALUE(R201)))*1440)),"")</f>
        <v/>
      </c>
      <c r="AD201" s="29" t="n"/>
      <c r="AE201" s="26">
        <f>IFERROR(IF(OR(AC201="",AD201=""),"",AC201-AD201),"")</f>
        <v/>
      </c>
      <c r="AF201" s="27">
        <f>IFERROR(IF(AE201="","",IF(ROUND(AE201,0)&gt;15,"Subestimacion",IF(ROUND(AE201,0)&lt;-15,"Sobrestimacion","Asertivo"))),"")</f>
        <v/>
      </c>
      <c r="AG201" s="19" t="n"/>
      <c r="AH201" s="19" t="n"/>
      <c r="AI201" s="19" t="n"/>
      <c r="AJ201" s="19" t="n"/>
      <c r="AK201" s="19" t="n"/>
      <c r="AL201" s="19" t="n"/>
      <c r="AM201" s="19" t="n"/>
      <c r="AN201" s="19" t="n"/>
      <c r="AO201" s="19" t="n"/>
      <c r="AP201" s="127">
        <f>IF(A201="","",A201-WEEKDAY(A201,2)+1)</f>
        <v/>
      </c>
      <c r="AQ201" s="127">
        <f>IF(AO201="","",AO201+6)</f>
        <v/>
      </c>
      <c r="AR201" s="19">
        <f>IF(AO201="","","Semana "&amp;TEXT(AO201,"dd-mm-yyyy")&amp;" al "&amp;TEXT(AP201,"dd-mm-yyyy"))</f>
        <v/>
      </c>
      <c r="AS201" s="19">
        <f>IF(A201="","",TEXT(A201,"mmmm yyyy"))</f>
        <v/>
      </c>
      <c r="AT201" s="19">
        <f>IF(A201="","",TEXT(A201,"dddd"))</f>
        <v/>
      </c>
      <c r="AU201" s="19">
        <f>IF(A201="","","CRR-"&amp;TEXT(A201,"yyyymmdd")&amp;"-"&amp;M201&amp;"-"&amp;TEXT(ROW()-3,"0000"))</f>
        <v/>
      </c>
      <c r="AV201" s="19">
        <f>IF(A201="","",IF(OR(B201="",C201="",E201="",F201="",M201="",N201=""),"Revisar campos obligatorios",IF(AND(P201="Atraso primera hora",Q201=""),"Falta justificación atraso primera hora",IF(AND(Z201="No cumple",AA201=""),"Falta justificación recambio &gt;15 min",IF(AND(ISNUMBER(SEARCH("suspend",N201)),OR(AG201="",AH201="")),"Falta causa/motivo suspensión","OK")))))</f>
        <v/>
      </c>
      <c r="AW201" s="19">
        <f>IF(N201="","",IF(ISNUMBER(SEARCH("suspend",N201)),IF(AND(AG201="",AH201=""),"Sin causa/motivo registrado",IF(AG201="",AH201,IF(AH201="",AG201,AG201&amp;": "&amp;AH201))),""))</f>
        <v/>
      </c>
    </row>
    <row r="202" ht="16" customHeight="1" s="151">
      <c r="A202" s="62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20">
        <f>IF(H202&lt;&gt;"",IFERROR(VLOOKUP(IFERROR(LEFT(H202,FIND("-",H202)-1),H202),'Catalogo MINSAL'!A:E,5,FALSE),""),IF(I202&lt;&gt;"",IFERROR(VLOOKUP(IFERROR(LEFT(I202,FIND("-",I202)-1),I202),'Catalogo MINSAL'!A:E,5,FALSE),""),""))</f>
        <v/>
      </c>
      <c r="K202" s="19" t="n"/>
      <c r="L202" s="19" t="n"/>
      <c r="M202" s="19" t="n"/>
      <c r="N202" s="19" t="n"/>
      <c r="O202" s="25" t="n"/>
      <c r="P202" s="27">
        <f>IFERROR(IF(OR(O202="",A202="",M202=""),"",IF(SUMPRODUCT(($A$4:$A$500=A202)*($M$4:$M$500=M202)*($O$4:$O$500&lt;&gt;"")*(MOD($O$4:$O$500,1)&lt;MOD(O202,1)))=0,IF(MOD(O202,1)&lt;=TIME(8,15,0),"Ingreso adecuado primera hora","Atraso primera hora"),"No aplica")),"")</f>
        <v/>
      </c>
      <c r="Q202" s="27" t="n"/>
      <c r="R202" s="25" t="n"/>
      <c r="S202" s="25" t="n"/>
      <c r="T202" s="25" t="n"/>
      <c r="U202" s="25">
        <f>IFERROR(VLOOKUP(M202,'Horario Pabellones'!$A$4:$D$17,2,FALSE),"")</f>
        <v/>
      </c>
      <c r="V202" s="25">
        <f>IFERROR(VLOOKUP(M202,'Horario Pabellones'!$A$4:$D$17,3,FALSE),"")</f>
        <v/>
      </c>
      <c r="W202" s="99">
        <f>IFERROR(VLOOKUP(M202,'Horario Pabellones'!$A$4:$D$17,4,FALSE),"")</f>
        <v/>
      </c>
      <c r="X202" s="89">
        <f>IFERROR(IF(OR(A202="",M202="",W202=""),"",(((_xludf.AGGREGATE(14,6,MOD($S$4:$S$500,1)/(($A$4:$A$500=A202)*($M$4:$M$500=M202)*($R$4:$R$500&lt;&gt;"")*($S$4:$S$500&lt;&gt;"")),1)-_xludf.AGGREGATE(15,6,MOD($R$4:$R$500,1)/(($A$4:$A$500=A202)*($M$4:$M$500=M202)*($R$4:$R$500&lt;&gt;"")*($S$4:$S$500&lt;&gt;"")),1))*1440)/60)/(W202/60)),"")</f>
        <v/>
      </c>
      <c r="Y202" s="26">
        <f>IFERROR(IF(OR(O202="",A202="",M202=""),"",(IF(ISNUMBER(O202),MOD(O202,1),TIMEVALUE(O202))-LOOKUP(2,1/(($A$4:$A$500=A202)*($M$4:$M$500=M202)*($T$4:$T$500&lt;&gt;"")*($T$4:$T$500&lt;IF(ISNUMBER(O202),MOD(O202,1),TIMEVALUE(O202)))),$T$4:$T$500))*1440),"")</f>
        <v/>
      </c>
      <c r="Z202" s="27">
        <f>IFERROR(IF(Y202="","",IF(ROUND(Y202,0)&lt;=15,"Cumple","No cumple")),"")</f>
        <v/>
      </c>
      <c r="AA202" s="27" t="n"/>
      <c r="AB202" s="26">
        <f>IFERROR(IF(OR(O202="",R202=""),"",IF(IF(ISNUMBER(R202),MOD(R202,1),TIMEVALUE(R202))&gt;=IF(ISNUMBER(O202),MOD(O202,1),TIMEVALUE(O202)),(IF(ISNUMBER(R202),MOD(R202,1),TIMEVALUE(R202))-IF(ISNUMBER(O202),MOD(O202,1),TIMEVALUE(O202)))*1440,(IF(ISNUMBER(R202),MOD(R202,1),TIMEVALUE(R202))+1-IF(ISNUMBER(O202),MOD(O202,1),TIMEVALUE(O202)))*1440)),"")</f>
        <v/>
      </c>
      <c r="AC202" s="26">
        <f>IFERROR(IF(OR(R202="",S202=""),"",IF(IF(ISNUMBER(S202),MOD(S202,1),TIMEVALUE(S202))&gt;=IF(ISNUMBER(R202),MOD(R202,1),TIMEVALUE(R202)),(IF(ISNUMBER(S202),MOD(S202,1),TIMEVALUE(S202))-IF(ISNUMBER(R202),MOD(R202,1),TIMEVALUE(R202)))*1440,(IF(ISNUMBER(S202),MOD(S202,1),TIMEVALUE(S202))+1-IF(ISNUMBER(R202),MOD(R202,1),TIMEVALUE(R202)))*1440)),"")</f>
        <v/>
      </c>
      <c r="AD202" s="29" t="n"/>
      <c r="AE202" s="26">
        <f>IFERROR(IF(OR(AC202="",AD202=""),"",AC202-AD202),"")</f>
        <v/>
      </c>
      <c r="AF202" s="27">
        <f>IFERROR(IF(AE202="","",IF(ROUND(AE202,0)&gt;15,"Subestimacion",IF(ROUND(AE202,0)&lt;-15,"Sobrestimacion","Asertivo"))),"")</f>
        <v/>
      </c>
      <c r="AG202" s="19" t="n"/>
      <c r="AH202" s="19" t="n"/>
      <c r="AI202" s="19" t="n"/>
      <c r="AJ202" s="19" t="n"/>
      <c r="AK202" s="19" t="n"/>
      <c r="AL202" s="19" t="n"/>
      <c r="AM202" s="19" t="n"/>
      <c r="AN202" s="19" t="n"/>
      <c r="AO202" s="19" t="n"/>
      <c r="AP202" s="127">
        <f>IF(A202="","",A202-WEEKDAY(A202,2)+1)</f>
        <v/>
      </c>
      <c r="AQ202" s="127">
        <f>IF(AO202="","",AO202+6)</f>
        <v/>
      </c>
      <c r="AR202" s="19">
        <f>IF(AO202="","","Semana "&amp;TEXT(AO202,"dd-mm-yyyy")&amp;" al "&amp;TEXT(AP202,"dd-mm-yyyy"))</f>
        <v/>
      </c>
      <c r="AS202" s="19">
        <f>IF(A202="","",TEXT(A202,"mmmm yyyy"))</f>
        <v/>
      </c>
      <c r="AT202" s="19">
        <f>IF(A202="","",TEXT(A202,"dddd"))</f>
        <v/>
      </c>
      <c r="AU202" s="19">
        <f>IF(A202="","","CRR-"&amp;TEXT(A202,"yyyymmdd")&amp;"-"&amp;M202&amp;"-"&amp;TEXT(ROW()-3,"0000"))</f>
        <v/>
      </c>
      <c r="AV202" s="19">
        <f>IF(A202="","",IF(OR(B202="",C202="",E202="",F202="",M202="",N202=""),"Revisar campos obligatorios",IF(AND(P202="Atraso primera hora",Q202=""),"Falta justificación atraso primera hora",IF(AND(Z202="No cumple",AA202=""),"Falta justificación recambio &gt;15 min",IF(AND(ISNUMBER(SEARCH("suspend",N202)),OR(AG202="",AH202="")),"Falta causa/motivo suspensión","OK")))))</f>
        <v/>
      </c>
      <c r="AW202" s="19">
        <f>IF(N202="","",IF(ISNUMBER(SEARCH("suspend",N202)),IF(AND(AG202="",AH202=""),"Sin causa/motivo registrado",IF(AG202="",AH202,IF(AH202="",AG202,AG202&amp;": "&amp;AH202))),""))</f>
        <v/>
      </c>
    </row>
    <row r="203" ht="16" customHeight="1" s="151">
      <c r="A203" s="62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20">
        <f>IF(H203&lt;&gt;"",IFERROR(VLOOKUP(IFERROR(LEFT(H203,FIND("-",H203)-1),H203),'Catalogo MINSAL'!A:E,5,FALSE),""),IF(I203&lt;&gt;"",IFERROR(VLOOKUP(IFERROR(LEFT(I203,FIND("-",I203)-1),I203),'Catalogo MINSAL'!A:E,5,FALSE),""),""))</f>
        <v/>
      </c>
      <c r="K203" s="19" t="n"/>
      <c r="L203" s="19" t="n"/>
      <c r="M203" s="19" t="n"/>
      <c r="N203" s="19" t="n"/>
      <c r="O203" s="25" t="n"/>
      <c r="P203" s="27">
        <f>IFERROR(IF(OR(O203="",A203="",M203=""),"",IF(SUMPRODUCT(($A$4:$A$500=A203)*($M$4:$M$500=M203)*($O$4:$O$500&lt;&gt;"")*(MOD($O$4:$O$500,1)&lt;MOD(O203,1)))=0,IF(MOD(O203,1)&lt;=TIME(8,15,0),"Ingreso adecuado primera hora","Atraso primera hora"),"No aplica")),"")</f>
        <v/>
      </c>
      <c r="Q203" s="27" t="n"/>
      <c r="R203" s="25" t="n"/>
      <c r="S203" s="25" t="n"/>
      <c r="T203" s="25" t="n"/>
      <c r="U203" s="25">
        <f>IFERROR(VLOOKUP(M203,'Horario Pabellones'!$A$4:$D$17,2,FALSE),"")</f>
        <v/>
      </c>
      <c r="V203" s="25">
        <f>IFERROR(VLOOKUP(M203,'Horario Pabellones'!$A$4:$D$17,3,FALSE),"")</f>
        <v/>
      </c>
      <c r="W203" s="99">
        <f>IFERROR(VLOOKUP(M203,'Horario Pabellones'!$A$4:$D$17,4,FALSE),"")</f>
        <v/>
      </c>
      <c r="X203" s="89">
        <f>IFERROR(IF(OR(A203="",M203="",W203=""),"",(((_xludf.AGGREGATE(14,6,MOD($S$4:$S$500,1)/(($A$4:$A$500=A203)*($M$4:$M$500=M203)*($R$4:$R$500&lt;&gt;"")*($S$4:$S$500&lt;&gt;"")),1)-_xludf.AGGREGATE(15,6,MOD($R$4:$R$500,1)/(($A$4:$A$500=A203)*($M$4:$M$500=M203)*($R$4:$R$500&lt;&gt;"")*($S$4:$S$500&lt;&gt;"")),1))*1440)/60)/(W203/60)),"")</f>
        <v/>
      </c>
      <c r="Y203" s="26">
        <f>IFERROR(IF(OR(O203="",A203="",M203=""),"",(IF(ISNUMBER(O203),MOD(O203,1),TIMEVALUE(O203))-LOOKUP(2,1/(($A$4:$A$500=A203)*($M$4:$M$500=M203)*($T$4:$T$500&lt;&gt;"")*($T$4:$T$500&lt;IF(ISNUMBER(O203),MOD(O203,1),TIMEVALUE(O203)))),$T$4:$T$500))*1440),"")</f>
        <v/>
      </c>
      <c r="Z203" s="27">
        <f>IFERROR(IF(Y203="","",IF(ROUND(Y203,0)&lt;=15,"Cumple","No cumple")),"")</f>
        <v/>
      </c>
      <c r="AA203" s="27" t="n"/>
      <c r="AB203" s="26">
        <f>IFERROR(IF(OR(O203="",R203=""),"",IF(IF(ISNUMBER(R203),MOD(R203,1),TIMEVALUE(R203))&gt;=IF(ISNUMBER(O203),MOD(O203,1),TIMEVALUE(O203)),(IF(ISNUMBER(R203),MOD(R203,1),TIMEVALUE(R203))-IF(ISNUMBER(O203),MOD(O203,1),TIMEVALUE(O203)))*1440,(IF(ISNUMBER(R203),MOD(R203,1),TIMEVALUE(R203))+1-IF(ISNUMBER(O203),MOD(O203,1),TIMEVALUE(O203)))*1440)),"")</f>
        <v/>
      </c>
      <c r="AC203" s="26">
        <f>IFERROR(IF(OR(R203="",S203=""),"",IF(IF(ISNUMBER(S203),MOD(S203,1),TIMEVALUE(S203))&gt;=IF(ISNUMBER(R203),MOD(R203,1),TIMEVALUE(R203)),(IF(ISNUMBER(S203),MOD(S203,1),TIMEVALUE(S203))-IF(ISNUMBER(R203),MOD(R203,1),TIMEVALUE(R203)))*1440,(IF(ISNUMBER(S203),MOD(S203,1),TIMEVALUE(S203))+1-IF(ISNUMBER(R203),MOD(R203,1),TIMEVALUE(R203)))*1440)),"")</f>
        <v/>
      </c>
      <c r="AD203" s="29" t="n"/>
      <c r="AE203" s="26">
        <f>IFERROR(IF(OR(AC203="",AD203=""),"",AC203-AD203),"")</f>
        <v/>
      </c>
      <c r="AF203" s="27">
        <f>IFERROR(IF(AE203="","",IF(ROUND(AE203,0)&gt;15,"Subestimacion",IF(ROUND(AE203,0)&lt;-15,"Sobrestimacion","Asertivo"))),"")</f>
        <v/>
      </c>
      <c r="AG203" s="19" t="n"/>
      <c r="AH203" s="19" t="n"/>
      <c r="AI203" s="19" t="n"/>
      <c r="AJ203" s="19" t="n"/>
      <c r="AK203" s="19" t="n"/>
      <c r="AL203" s="19" t="n"/>
      <c r="AM203" s="19" t="n"/>
      <c r="AN203" s="19" t="n"/>
      <c r="AO203" s="19" t="n"/>
      <c r="AP203" s="127">
        <f>IF(A203="","",A203-WEEKDAY(A203,2)+1)</f>
        <v/>
      </c>
      <c r="AQ203" s="127">
        <f>IF(AO203="","",AO203+6)</f>
        <v/>
      </c>
      <c r="AR203" s="19">
        <f>IF(AO203="","","Semana "&amp;TEXT(AO203,"dd-mm-yyyy")&amp;" al "&amp;TEXT(AP203,"dd-mm-yyyy"))</f>
        <v/>
      </c>
      <c r="AS203" s="19">
        <f>IF(A203="","",TEXT(A203,"mmmm yyyy"))</f>
        <v/>
      </c>
      <c r="AT203" s="19">
        <f>IF(A203="","",TEXT(A203,"dddd"))</f>
        <v/>
      </c>
      <c r="AU203" s="19">
        <f>IF(A203="","","CRR-"&amp;TEXT(A203,"yyyymmdd")&amp;"-"&amp;M203&amp;"-"&amp;TEXT(ROW()-3,"0000"))</f>
        <v/>
      </c>
      <c r="AV203" s="19">
        <f>IF(A203="","",IF(OR(B203="",C203="",E203="",F203="",M203="",N203=""),"Revisar campos obligatorios",IF(AND(P203="Atraso primera hora",Q203=""),"Falta justificación atraso primera hora",IF(AND(Z203="No cumple",AA203=""),"Falta justificación recambio &gt;15 min",IF(AND(ISNUMBER(SEARCH("suspend",N203)),OR(AG203="",AH203="")),"Falta causa/motivo suspensión","OK")))))</f>
        <v/>
      </c>
      <c r="AW203" s="19">
        <f>IF(N203="","",IF(ISNUMBER(SEARCH("suspend",N203)),IF(AND(AG203="",AH203=""),"Sin causa/motivo registrado",IF(AG203="",AH203,IF(AH203="",AG203,AG203&amp;": "&amp;AH203))),""))</f>
        <v/>
      </c>
    </row>
    <row r="204" ht="16" customHeight="1" s="151">
      <c r="A204" s="62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20">
        <f>IF(H204&lt;&gt;"",IFERROR(VLOOKUP(IFERROR(LEFT(H204,FIND("-",H204)-1),H204),'Catalogo MINSAL'!A:E,5,FALSE),""),IF(I204&lt;&gt;"",IFERROR(VLOOKUP(IFERROR(LEFT(I204,FIND("-",I204)-1),I204),'Catalogo MINSAL'!A:E,5,FALSE),""),""))</f>
        <v/>
      </c>
      <c r="K204" s="19" t="n"/>
      <c r="L204" s="19" t="n"/>
      <c r="M204" s="19" t="n"/>
      <c r="N204" s="19" t="n"/>
      <c r="O204" s="25" t="n"/>
      <c r="P204" s="27">
        <f>IFERROR(IF(OR(O204="",A204="",M204=""),"",IF(SUMPRODUCT(($A$4:$A$500=A204)*($M$4:$M$500=M204)*($O$4:$O$500&lt;&gt;"")*(MOD($O$4:$O$500,1)&lt;MOD(O204,1)))=0,IF(MOD(O204,1)&lt;=TIME(8,15,0),"Ingreso adecuado primera hora","Atraso primera hora"),"No aplica")),"")</f>
        <v/>
      </c>
      <c r="Q204" s="27" t="n"/>
      <c r="R204" s="25" t="n"/>
      <c r="S204" s="25" t="n"/>
      <c r="T204" s="25" t="n"/>
      <c r="U204" s="25">
        <f>IFERROR(VLOOKUP(M204,'Horario Pabellones'!$A$4:$D$17,2,FALSE),"")</f>
        <v/>
      </c>
      <c r="V204" s="25">
        <f>IFERROR(VLOOKUP(M204,'Horario Pabellones'!$A$4:$D$17,3,FALSE),"")</f>
        <v/>
      </c>
      <c r="W204" s="99">
        <f>IFERROR(VLOOKUP(M204,'Horario Pabellones'!$A$4:$D$17,4,FALSE),"")</f>
        <v/>
      </c>
      <c r="X204" s="89">
        <f>IFERROR(IF(OR(A204="",M204="",W204=""),"",(((_xludf.AGGREGATE(14,6,MOD($S$4:$S$500,1)/(($A$4:$A$500=A204)*($M$4:$M$500=M204)*($R$4:$R$500&lt;&gt;"")*($S$4:$S$500&lt;&gt;"")),1)-_xludf.AGGREGATE(15,6,MOD($R$4:$R$500,1)/(($A$4:$A$500=A204)*($M$4:$M$500=M204)*($R$4:$R$500&lt;&gt;"")*($S$4:$S$500&lt;&gt;"")),1))*1440)/60)/(W204/60)),"")</f>
        <v/>
      </c>
      <c r="Y204" s="26">
        <f>IFERROR(IF(OR(O204="",A204="",M204=""),"",(IF(ISNUMBER(O204),MOD(O204,1),TIMEVALUE(O204))-LOOKUP(2,1/(($A$4:$A$500=A204)*($M$4:$M$500=M204)*($T$4:$T$500&lt;&gt;"")*($T$4:$T$500&lt;IF(ISNUMBER(O204),MOD(O204,1),TIMEVALUE(O204)))),$T$4:$T$500))*1440),"")</f>
        <v/>
      </c>
      <c r="Z204" s="27">
        <f>IFERROR(IF(Y204="","",IF(ROUND(Y204,0)&lt;=15,"Cumple","No cumple")),"")</f>
        <v/>
      </c>
      <c r="AA204" s="27" t="n"/>
      <c r="AB204" s="26">
        <f>IFERROR(IF(OR(O204="",R204=""),"",IF(IF(ISNUMBER(R204),MOD(R204,1),TIMEVALUE(R204))&gt;=IF(ISNUMBER(O204),MOD(O204,1),TIMEVALUE(O204)),(IF(ISNUMBER(R204),MOD(R204,1),TIMEVALUE(R204))-IF(ISNUMBER(O204),MOD(O204,1),TIMEVALUE(O204)))*1440,(IF(ISNUMBER(R204),MOD(R204,1),TIMEVALUE(R204))+1-IF(ISNUMBER(O204),MOD(O204,1),TIMEVALUE(O204)))*1440)),"")</f>
        <v/>
      </c>
      <c r="AC204" s="26">
        <f>IFERROR(IF(OR(R204="",S204=""),"",IF(IF(ISNUMBER(S204),MOD(S204,1),TIMEVALUE(S204))&gt;=IF(ISNUMBER(R204),MOD(R204,1),TIMEVALUE(R204)),(IF(ISNUMBER(S204),MOD(S204,1),TIMEVALUE(S204))-IF(ISNUMBER(R204),MOD(R204,1),TIMEVALUE(R204)))*1440,(IF(ISNUMBER(S204),MOD(S204,1),TIMEVALUE(S204))+1-IF(ISNUMBER(R204),MOD(R204,1),TIMEVALUE(R204)))*1440)),"")</f>
        <v/>
      </c>
      <c r="AD204" s="29" t="n"/>
      <c r="AE204" s="26">
        <f>IFERROR(IF(OR(AC204="",AD204=""),"",AC204-AD204),"")</f>
        <v/>
      </c>
      <c r="AF204" s="27">
        <f>IFERROR(IF(AE204="","",IF(ROUND(AE204,0)&gt;15,"Subestimacion",IF(ROUND(AE204,0)&lt;-15,"Sobrestimacion","Asertivo"))),"")</f>
        <v/>
      </c>
      <c r="AG204" s="19" t="n"/>
      <c r="AH204" s="19" t="n"/>
      <c r="AI204" s="19" t="n"/>
      <c r="AJ204" s="19" t="n"/>
      <c r="AK204" s="19" t="n"/>
      <c r="AL204" s="19" t="n"/>
      <c r="AM204" s="19" t="n"/>
      <c r="AN204" s="19" t="n"/>
      <c r="AO204" s="19" t="n"/>
      <c r="AP204" s="127">
        <f>IF(A204="","",A204-WEEKDAY(A204,2)+1)</f>
        <v/>
      </c>
      <c r="AQ204" s="127">
        <f>IF(AO204="","",AO204+6)</f>
        <v/>
      </c>
      <c r="AR204" s="19">
        <f>IF(AO204="","","Semana "&amp;TEXT(AO204,"dd-mm-yyyy")&amp;" al "&amp;TEXT(AP204,"dd-mm-yyyy"))</f>
        <v/>
      </c>
      <c r="AS204" s="19">
        <f>IF(A204="","",TEXT(A204,"mmmm yyyy"))</f>
        <v/>
      </c>
      <c r="AT204" s="19">
        <f>IF(A204="","",TEXT(A204,"dddd"))</f>
        <v/>
      </c>
      <c r="AU204" s="19">
        <f>IF(A204="","","CRR-"&amp;TEXT(A204,"yyyymmdd")&amp;"-"&amp;M204&amp;"-"&amp;TEXT(ROW()-3,"0000"))</f>
        <v/>
      </c>
      <c r="AV204" s="19">
        <f>IF(A204="","",IF(OR(B204="",C204="",E204="",F204="",M204="",N204=""),"Revisar campos obligatorios",IF(AND(P204="Atraso primera hora",Q204=""),"Falta justificación atraso primera hora",IF(AND(Z204="No cumple",AA204=""),"Falta justificación recambio &gt;15 min",IF(AND(ISNUMBER(SEARCH("suspend",N204)),OR(AG204="",AH204="")),"Falta causa/motivo suspensión","OK")))))</f>
        <v/>
      </c>
      <c r="AW204" s="19">
        <f>IF(N204="","",IF(ISNUMBER(SEARCH("suspend",N204)),IF(AND(AG204="",AH204=""),"Sin causa/motivo registrado",IF(AG204="",AH204,IF(AH204="",AG204,AG204&amp;": "&amp;AH204))),""))</f>
        <v/>
      </c>
    </row>
    <row r="205" ht="16" customHeight="1" s="151">
      <c r="A205" s="62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20">
        <f>IF(H205&lt;&gt;"",IFERROR(VLOOKUP(IFERROR(LEFT(H205,FIND("-",H205)-1),H205),'Catalogo MINSAL'!A:E,5,FALSE),""),IF(I205&lt;&gt;"",IFERROR(VLOOKUP(IFERROR(LEFT(I205,FIND("-",I205)-1),I205),'Catalogo MINSAL'!A:E,5,FALSE),""),""))</f>
        <v/>
      </c>
      <c r="K205" s="19" t="n"/>
      <c r="L205" s="19" t="n"/>
      <c r="M205" s="19" t="n"/>
      <c r="N205" s="19" t="n"/>
      <c r="O205" s="25" t="n"/>
      <c r="P205" s="27">
        <f>IFERROR(IF(OR(O205="",A205="",M205=""),"",IF(SUMPRODUCT(($A$4:$A$500=A205)*($M$4:$M$500=M205)*($O$4:$O$500&lt;&gt;"")*(MOD($O$4:$O$500,1)&lt;MOD(O205,1)))=0,IF(MOD(O205,1)&lt;=TIME(8,15,0),"Ingreso adecuado primera hora","Atraso primera hora"),"No aplica")),"")</f>
        <v/>
      </c>
      <c r="Q205" s="27" t="n"/>
      <c r="R205" s="25" t="n"/>
      <c r="S205" s="25" t="n"/>
      <c r="T205" s="25" t="n"/>
      <c r="U205" s="25">
        <f>IFERROR(VLOOKUP(M205,'Horario Pabellones'!$A$4:$D$17,2,FALSE),"")</f>
        <v/>
      </c>
      <c r="V205" s="25">
        <f>IFERROR(VLOOKUP(M205,'Horario Pabellones'!$A$4:$D$17,3,FALSE),"")</f>
        <v/>
      </c>
      <c r="W205" s="99">
        <f>IFERROR(VLOOKUP(M205,'Horario Pabellones'!$A$4:$D$17,4,FALSE),"")</f>
        <v/>
      </c>
      <c r="X205" s="89">
        <f>IFERROR(IF(OR(A205="",M205="",W205=""),"",(((_xludf.AGGREGATE(14,6,MOD($S$4:$S$500,1)/(($A$4:$A$500=A205)*($M$4:$M$500=M205)*($R$4:$R$500&lt;&gt;"")*($S$4:$S$500&lt;&gt;"")),1)-_xludf.AGGREGATE(15,6,MOD($R$4:$R$500,1)/(($A$4:$A$500=A205)*($M$4:$M$500=M205)*($R$4:$R$500&lt;&gt;"")*($S$4:$S$500&lt;&gt;"")),1))*1440)/60)/(W205/60)),"")</f>
        <v/>
      </c>
      <c r="Y205" s="26">
        <f>IFERROR(IF(OR(O205="",A205="",M205=""),"",(IF(ISNUMBER(O205),MOD(O205,1),TIMEVALUE(O205))-LOOKUP(2,1/(($A$4:$A$500=A205)*($M$4:$M$500=M205)*($T$4:$T$500&lt;&gt;"")*($T$4:$T$500&lt;IF(ISNUMBER(O205),MOD(O205,1),TIMEVALUE(O205)))),$T$4:$T$500))*1440),"")</f>
        <v/>
      </c>
      <c r="Z205" s="27">
        <f>IFERROR(IF(Y205="","",IF(ROUND(Y205,0)&lt;=15,"Cumple","No cumple")),"")</f>
        <v/>
      </c>
      <c r="AA205" s="27" t="n"/>
      <c r="AB205" s="26">
        <f>IFERROR(IF(OR(O205="",R205=""),"",IF(IF(ISNUMBER(R205),MOD(R205,1),TIMEVALUE(R205))&gt;=IF(ISNUMBER(O205),MOD(O205,1),TIMEVALUE(O205)),(IF(ISNUMBER(R205),MOD(R205,1),TIMEVALUE(R205))-IF(ISNUMBER(O205),MOD(O205,1),TIMEVALUE(O205)))*1440,(IF(ISNUMBER(R205),MOD(R205,1),TIMEVALUE(R205))+1-IF(ISNUMBER(O205),MOD(O205,1),TIMEVALUE(O205)))*1440)),"")</f>
        <v/>
      </c>
      <c r="AC205" s="26">
        <f>IFERROR(IF(OR(R205="",S205=""),"",IF(IF(ISNUMBER(S205),MOD(S205,1),TIMEVALUE(S205))&gt;=IF(ISNUMBER(R205),MOD(R205,1),TIMEVALUE(R205)),(IF(ISNUMBER(S205),MOD(S205,1),TIMEVALUE(S205))-IF(ISNUMBER(R205),MOD(R205,1),TIMEVALUE(R205)))*1440,(IF(ISNUMBER(S205),MOD(S205,1),TIMEVALUE(S205))+1-IF(ISNUMBER(R205),MOD(R205,1),TIMEVALUE(R205)))*1440)),"")</f>
        <v/>
      </c>
      <c r="AD205" s="29" t="n"/>
      <c r="AE205" s="26">
        <f>IFERROR(IF(OR(AC205="",AD205=""),"",AC205-AD205),"")</f>
        <v/>
      </c>
      <c r="AF205" s="27">
        <f>IFERROR(IF(AE205="","",IF(ROUND(AE205,0)&gt;15,"Subestimacion",IF(ROUND(AE205,0)&lt;-15,"Sobrestimacion","Asertivo"))),"")</f>
        <v/>
      </c>
      <c r="AG205" s="19" t="n"/>
      <c r="AH205" s="19" t="n"/>
      <c r="AI205" s="19" t="n"/>
      <c r="AJ205" s="19" t="n"/>
      <c r="AK205" s="19" t="n"/>
      <c r="AL205" s="19" t="n"/>
      <c r="AM205" s="19" t="n"/>
      <c r="AN205" s="19" t="n"/>
      <c r="AO205" s="19" t="n"/>
      <c r="AP205" s="127">
        <f>IF(A205="","",A205-WEEKDAY(A205,2)+1)</f>
        <v/>
      </c>
      <c r="AQ205" s="127">
        <f>IF(AO205="","",AO205+6)</f>
        <v/>
      </c>
      <c r="AR205" s="19">
        <f>IF(AO205="","","Semana "&amp;TEXT(AO205,"dd-mm-yyyy")&amp;" al "&amp;TEXT(AP205,"dd-mm-yyyy"))</f>
        <v/>
      </c>
      <c r="AS205" s="19">
        <f>IF(A205="","",TEXT(A205,"mmmm yyyy"))</f>
        <v/>
      </c>
      <c r="AT205" s="19">
        <f>IF(A205="","",TEXT(A205,"dddd"))</f>
        <v/>
      </c>
      <c r="AU205" s="19">
        <f>IF(A205="","","CRR-"&amp;TEXT(A205,"yyyymmdd")&amp;"-"&amp;M205&amp;"-"&amp;TEXT(ROW()-3,"0000"))</f>
        <v/>
      </c>
      <c r="AV205" s="19">
        <f>IF(A205="","",IF(OR(B205="",C205="",E205="",F205="",M205="",N205=""),"Revisar campos obligatorios",IF(AND(P205="Atraso primera hora",Q205=""),"Falta justificación atraso primera hora",IF(AND(Z205="No cumple",AA205=""),"Falta justificación recambio &gt;15 min",IF(AND(ISNUMBER(SEARCH("suspend",N205)),OR(AG205="",AH205="")),"Falta causa/motivo suspensión","OK")))))</f>
        <v/>
      </c>
      <c r="AW205" s="19">
        <f>IF(N205="","",IF(ISNUMBER(SEARCH("suspend",N205)),IF(AND(AG205="",AH205=""),"Sin causa/motivo registrado",IF(AG205="",AH205,IF(AH205="",AG205,AG205&amp;": "&amp;AH205))),""))</f>
        <v/>
      </c>
    </row>
    <row r="206" ht="16" customHeight="1" s="151">
      <c r="A206" s="62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20">
        <f>IF(H206&lt;&gt;"",IFERROR(VLOOKUP(IFERROR(LEFT(H206,FIND("-",H206)-1),H206),'Catalogo MINSAL'!A:E,5,FALSE),""),IF(I206&lt;&gt;"",IFERROR(VLOOKUP(IFERROR(LEFT(I206,FIND("-",I206)-1),I206),'Catalogo MINSAL'!A:E,5,FALSE),""),""))</f>
        <v/>
      </c>
      <c r="K206" s="19" t="n"/>
      <c r="L206" s="19" t="n"/>
      <c r="M206" s="19" t="n"/>
      <c r="N206" s="19" t="n"/>
      <c r="O206" s="25" t="n"/>
      <c r="P206" s="27">
        <f>IFERROR(IF(OR(O206="",A206="",M206=""),"",IF(SUMPRODUCT(($A$4:$A$500=A206)*($M$4:$M$500=M206)*($O$4:$O$500&lt;&gt;"")*(MOD($O$4:$O$500,1)&lt;MOD(O206,1)))=0,IF(MOD(O206,1)&lt;=TIME(8,15,0),"Ingreso adecuado primera hora","Atraso primera hora"),"No aplica")),"")</f>
        <v/>
      </c>
      <c r="Q206" s="27" t="n"/>
      <c r="R206" s="25" t="n"/>
      <c r="S206" s="25" t="n"/>
      <c r="T206" s="25" t="n"/>
      <c r="U206" s="25">
        <f>IFERROR(VLOOKUP(M206,'Horario Pabellones'!$A$4:$D$17,2,FALSE),"")</f>
        <v/>
      </c>
      <c r="V206" s="25">
        <f>IFERROR(VLOOKUP(M206,'Horario Pabellones'!$A$4:$D$17,3,FALSE),"")</f>
        <v/>
      </c>
      <c r="W206" s="99">
        <f>IFERROR(VLOOKUP(M206,'Horario Pabellones'!$A$4:$D$17,4,FALSE),"")</f>
        <v/>
      </c>
      <c r="X206" s="89">
        <f>IFERROR(IF(OR(A206="",M206="",W206=""),"",(((_xludf.AGGREGATE(14,6,MOD($S$4:$S$500,1)/(($A$4:$A$500=A206)*($M$4:$M$500=M206)*($R$4:$R$500&lt;&gt;"")*($S$4:$S$500&lt;&gt;"")),1)-_xludf.AGGREGATE(15,6,MOD($R$4:$R$500,1)/(($A$4:$A$500=A206)*($M$4:$M$500=M206)*($R$4:$R$500&lt;&gt;"")*($S$4:$S$500&lt;&gt;"")),1))*1440)/60)/(W206/60)),"")</f>
        <v/>
      </c>
      <c r="Y206" s="26">
        <f>IFERROR(IF(OR(O206="",A206="",M206=""),"",(IF(ISNUMBER(O206),MOD(O206,1),TIMEVALUE(O206))-LOOKUP(2,1/(($A$4:$A$500=A206)*($M$4:$M$500=M206)*($T$4:$T$500&lt;&gt;"")*($T$4:$T$500&lt;IF(ISNUMBER(O206),MOD(O206,1),TIMEVALUE(O206)))),$T$4:$T$500))*1440),"")</f>
        <v/>
      </c>
      <c r="Z206" s="27">
        <f>IFERROR(IF(Y206="","",IF(ROUND(Y206,0)&lt;=15,"Cumple","No cumple")),"")</f>
        <v/>
      </c>
      <c r="AA206" s="27" t="n"/>
      <c r="AB206" s="26">
        <f>IFERROR(IF(OR(O206="",R206=""),"",IF(IF(ISNUMBER(R206),MOD(R206,1),TIMEVALUE(R206))&gt;=IF(ISNUMBER(O206),MOD(O206,1),TIMEVALUE(O206)),(IF(ISNUMBER(R206),MOD(R206,1),TIMEVALUE(R206))-IF(ISNUMBER(O206),MOD(O206,1),TIMEVALUE(O206)))*1440,(IF(ISNUMBER(R206),MOD(R206,1),TIMEVALUE(R206))+1-IF(ISNUMBER(O206),MOD(O206,1),TIMEVALUE(O206)))*1440)),"")</f>
        <v/>
      </c>
      <c r="AC206" s="26">
        <f>IFERROR(IF(OR(R206="",S206=""),"",IF(IF(ISNUMBER(S206),MOD(S206,1),TIMEVALUE(S206))&gt;=IF(ISNUMBER(R206),MOD(R206,1),TIMEVALUE(R206)),(IF(ISNUMBER(S206),MOD(S206,1),TIMEVALUE(S206))-IF(ISNUMBER(R206),MOD(R206,1),TIMEVALUE(R206)))*1440,(IF(ISNUMBER(S206),MOD(S206,1),TIMEVALUE(S206))+1-IF(ISNUMBER(R206),MOD(R206,1),TIMEVALUE(R206)))*1440)),"")</f>
        <v/>
      </c>
      <c r="AD206" s="29" t="n"/>
      <c r="AE206" s="26">
        <f>IFERROR(IF(OR(AC206="",AD206=""),"",AC206-AD206),"")</f>
        <v/>
      </c>
      <c r="AF206" s="27">
        <f>IFERROR(IF(AE206="","",IF(ROUND(AE206,0)&gt;15,"Subestimacion",IF(ROUND(AE206,0)&lt;-15,"Sobrestimacion","Asertivo"))),"")</f>
        <v/>
      </c>
      <c r="AG206" s="19" t="n"/>
      <c r="AH206" s="19" t="n"/>
      <c r="AI206" s="19" t="n"/>
      <c r="AJ206" s="19" t="n"/>
      <c r="AK206" s="19" t="n"/>
      <c r="AL206" s="19" t="n"/>
      <c r="AM206" s="19" t="n"/>
      <c r="AN206" s="19" t="n"/>
      <c r="AO206" s="19" t="n"/>
      <c r="AP206" s="127">
        <f>IF(A206="","",A206-WEEKDAY(A206,2)+1)</f>
        <v/>
      </c>
      <c r="AQ206" s="127">
        <f>IF(AO206="","",AO206+6)</f>
        <v/>
      </c>
      <c r="AR206" s="19">
        <f>IF(AO206="","","Semana "&amp;TEXT(AO206,"dd-mm-yyyy")&amp;" al "&amp;TEXT(AP206,"dd-mm-yyyy"))</f>
        <v/>
      </c>
      <c r="AS206" s="19">
        <f>IF(A206="","",TEXT(A206,"mmmm yyyy"))</f>
        <v/>
      </c>
      <c r="AT206" s="19">
        <f>IF(A206="","",TEXT(A206,"dddd"))</f>
        <v/>
      </c>
      <c r="AU206" s="19">
        <f>IF(A206="","","CRR-"&amp;TEXT(A206,"yyyymmdd")&amp;"-"&amp;M206&amp;"-"&amp;TEXT(ROW()-3,"0000"))</f>
        <v/>
      </c>
      <c r="AV206" s="19">
        <f>IF(A206="","",IF(OR(B206="",C206="",E206="",F206="",M206="",N206=""),"Revisar campos obligatorios",IF(AND(P206="Atraso primera hora",Q206=""),"Falta justificación atraso primera hora",IF(AND(Z206="No cumple",AA206=""),"Falta justificación recambio &gt;15 min",IF(AND(ISNUMBER(SEARCH("suspend",N206)),OR(AG206="",AH206="")),"Falta causa/motivo suspensión","OK")))))</f>
        <v/>
      </c>
      <c r="AW206" s="19">
        <f>IF(N206="","",IF(ISNUMBER(SEARCH("suspend",N206)),IF(AND(AG206="",AH206=""),"Sin causa/motivo registrado",IF(AG206="",AH206,IF(AH206="",AG206,AG206&amp;": "&amp;AH206))),""))</f>
        <v/>
      </c>
    </row>
    <row r="207" ht="16" customHeight="1" s="151">
      <c r="A207" s="62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20">
        <f>IF(H207&lt;&gt;"",IFERROR(VLOOKUP(IFERROR(LEFT(H207,FIND("-",H207)-1),H207),'Catalogo MINSAL'!A:E,5,FALSE),""),IF(I207&lt;&gt;"",IFERROR(VLOOKUP(IFERROR(LEFT(I207,FIND("-",I207)-1),I207),'Catalogo MINSAL'!A:E,5,FALSE),""),""))</f>
        <v/>
      </c>
      <c r="K207" s="19" t="n"/>
      <c r="L207" s="19" t="n"/>
      <c r="M207" s="19" t="n"/>
      <c r="N207" s="19" t="n"/>
      <c r="O207" s="25" t="n"/>
      <c r="P207" s="27">
        <f>IFERROR(IF(OR(O207="",A207="",M207=""),"",IF(SUMPRODUCT(($A$4:$A$500=A207)*($M$4:$M$500=M207)*($O$4:$O$500&lt;&gt;"")*(MOD($O$4:$O$500,1)&lt;MOD(O207,1)))=0,IF(MOD(O207,1)&lt;=TIME(8,15,0),"Ingreso adecuado primera hora","Atraso primera hora"),"No aplica")),"")</f>
        <v/>
      </c>
      <c r="Q207" s="27" t="n"/>
      <c r="R207" s="25" t="n"/>
      <c r="S207" s="25" t="n"/>
      <c r="T207" s="25" t="n"/>
      <c r="U207" s="25">
        <f>IFERROR(VLOOKUP(M207,'Horario Pabellones'!$A$4:$D$17,2,FALSE),"")</f>
        <v/>
      </c>
      <c r="V207" s="25">
        <f>IFERROR(VLOOKUP(M207,'Horario Pabellones'!$A$4:$D$17,3,FALSE),"")</f>
        <v/>
      </c>
      <c r="W207" s="99">
        <f>IFERROR(VLOOKUP(M207,'Horario Pabellones'!$A$4:$D$17,4,FALSE),"")</f>
        <v/>
      </c>
      <c r="X207" s="89">
        <f>IFERROR(IF(OR(A207="",M207="",W207=""),"",(((_xludf.AGGREGATE(14,6,MOD($S$4:$S$500,1)/(($A$4:$A$500=A207)*($M$4:$M$500=M207)*($R$4:$R$500&lt;&gt;"")*($S$4:$S$500&lt;&gt;"")),1)-_xludf.AGGREGATE(15,6,MOD($R$4:$R$500,1)/(($A$4:$A$500=A207)*($M$4:$M$500=M207)*($R$4:$R$500&lt;&gt;"")*($S$4:$S$500&lt;&gt;"")),1))*1440)/60)/(W207/60)),"")</f>
        <v/>
      </c>
      <c r="Y207" s="26">
        <f>IFERROR(IF(OR(O207="",A207="",M207=""),"",(IF(ISNUMBER(O207),MOD(O207,1),TIMEVALUE(O207))-LOOKUP(2,1/(($A$4:$A$500=A207)*($M$4:$M$500=M207)*($T$4:$T$500&lt;&gt;"")*($T$4:$T$500&lt;IF(ISNUMBER(O207),MOD(O207,1),TIMEVALUE(O207)))),$T$4:$T$500))*1440),"")</f>
        <v/>
      </c>
      <c r="Z207" s="27">
        <f>IFERROR(IF(Y207="","",IF(ROUND(Y207,0)&lt;=15,"Cumple","No cumple")),"")</f>
        <v/>
      </c>
      <c r="AA207" s="27" t="n"/>
      <c r="AB207" s="26">
        <f>IFERROR(IF(OR(O207="",R207=""),"",IF(IF(ISNUMBER(R207),MOD(R207,1),TIMEVALUE(R207))&gt;=IF(ISNUMBER(O207),MOD(O207,1),TIMEVALUE(O207)),(IF(ISNUMBER(R207),MOD(R207,1),TIMEVALUE(R207))-IF(ISNUMBER(O207),MOD(O207,1),TIMEVALUE(O207)))*1440,(IF(ISNUMBER(R207),MOD(R207,1),TIMEVALUE(R207))+1-IF(ISNUMBER(O207),MOD(O207,1),TIMEVALUE(O207)))*1440)),"")</f>
        <v/>
      </c>
      <c r="AC207" s="26">
        <f>IFERROR(IF(OR(R207="",S207=""),"",IF(IF(ISNUMBER(S207),MOD(S207,1),TIMEVALUE(S207))&gt;=IF(ISNUMBER(R207),MOD(R207,1),TIMEVALUE(R207)),(IF(ISNUMBER(S207),MOD(S207,1),TIMEVALUE(S207))-IF(ISNUMBER(R207),MOD(R207,1),TIMEVALUE(R207)))*1440,(IF(ISNUMBER(S207),MOD(S207,1),TIMEVALUE(S207))+1-IF(ISNUMBER(R207),MOD(R207,1),TIMEVALUE(R207)))*1440)),"")</f>
        <v/>
      </c>
      <c r="AD207" s="29" t="n"/>
      <c r="AE207" s="26">
        <f>IFERROR(IF(OR(AC207="",AD207=""),"",AC207-AD207),"")</f>
        <v/>
      </c>
      <c r="AF207" s="27">
        <f>IFERROR(IF(AE207="","",IF(ROUND(AE207,0)&gt;15,"Subestimacion",IF(ROUND(AE207,0)&lt;-15,"Sobrestimacion","Asertivo"))),"")</f>
        <v/>
      </c>
      <c r="AG207" s="19" t="n"/>
      <c r="AH207" s="19" t="n"/>
      <c r="AI207" s="19" t="n"/>
      <c r="AJ207" s="19" t="n"/>
      <c r="AK207" s="19" t="n"/>
      <c r="AL207" s="19" t="n"/>
      <c r="AM207" s="19" t="n"/>
      <c r="AN207" s="19" t="n"/>
      <c r="AO207" s="19" t="n"/>
      <c r="AP207" s="127">
        <f>IF(A207="","",A207-WEEKDAY(A207,2)+1)</f>
        <v/>
      </c>
      <c r="AQ207" s="127">
        <f>IF(AO207="","",AO207+6)</f>
        <v/>
      </c>
      <c r="AR207" s="19">
        <f>IF(AO207="","","Semana "&amp;TEXT(AO207,"dd-mm-yyyy")&amp;" al "&amp;TEXT(AP207,"dd-mm-yyyy"))</f>
        <v/>
      </c>
      <c r="AS207" s="19">
        <f>IF(A207="","",TEXT(A207,"mmmm yyyy"))</f>
        <v/>
      </c>
      <c r="AT207" s="19">
        <f>IF(A207="","",TEXT(A207,"dddd"))</f>
        <v/>
      </c>
      <c r="AU207" s="19">
        <f>IF(A207="","","CRR-"&amp;TEXT(A207,"yyyymmdd")&amp;"-"&amp;M207&amp;"-"&amp;TEXT(ROW()-3,"0000"))</f>
        <v/>
      </c>
      <c r="AV207" s="19">
        <f>IF(A207="","",IF(OR(B207="",C207="",E207="",F207="",M207="",N207=""),"Revisar campos obligatorios",IF(AND(P207="Atraso primera hora",Q207=""),"Falta justificación atraso primera hora",IF(AND(Z207="No cumple",AA207=""),"Falta justificación recambio &gt;15 min",IF(AND(ISNUMBER(SEARCH("suspend",N207)),OR(AG207="",AH207="")),"Falta causa/motivo suspensión","OK")))))</f>
        <v/>
      </c>
      <c r="AW207" s="19">
        <f>IF(N207="","",IF(ISNUMBER(SEARCH("suspend",N207)),IF(AND(AG207="",AH207=""),"Sin causa/motivo registrado",IF(AG207="",AH207,IF(AH207="",AG207,AG207&amp;": "&amp;AH207))),""))</f>
        <v/>
      </c>
    </row>
    <row r="208" ht="16" customHeight="1" s="151">
      <c r="A208" s="62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20">
        <f>IF(H208&lt;&gt;"",IFERROR(VLOOKUP(IFERROR(LEFT(H208,FIND("-",H208)-1),H208),'Catalogo MINSAL'!A:E,5,FALSE),""),IF(I208&lt;&gt;"",IFERROR(VLOOKUP(IFERROR(LEFT(I208,FIND("-",I208)-1),I208),'Catalogo MINSAL'!A:E,5,FALSE),""),""))</f>
        <v/>
      </c>
      <c r="K208" s="19" t="n"/>
      <c r="L208" s="19" t="n"/>
      <c r="M208" s="19" t="n"/>
      <c r="N208" s="19" t="n"/>
      <c r="O208" s="25" t="n"/>
      <c r="P208" s="27">
        <f>IFERROR(IF(OR(O208="",A208="",M208=""),"",IF(SUMPRODUCT(($A$4:$A$500=A208)*($M$4:$M$500=M208)*($O$4:$O$500&lt;&gt;"")*(MOD($O$4:$O$500,1)&lt;MOD(O208,1)))=0,IF(MOD(O208,1)&lt;=TIME(8,15,0),"Ingreso adecuado primera hora","Atraso primera hora"),"No aplica")),"")</f>
        <v/>
      </c>
      <c r="Q208" s="27" t="n"/>
      <c r="R208" s="25" t="n"/>
      <c r="S208" s="25" t="n"/>
      <c r="T208" s="25" t="n"/>
      <c r="U208" s="25">
        <f>IFERROR(VLOOKUP(M208,'Horario Pabellones'!$A$4:$D$17,2,FALSE),"")</f>
        <v/>
      </c>
      <c r="V208" s="25">
        <f>IFERROR(VLOOKUP(M208,'Horario Pabellones'!$A$4:$D$17,3,FALSE),"")</f>
        <v/>
      </c>
      <c r="W208" s="99">
        <f>IFERROR(VLOOKUP(M208,'Horario Pabellones'!$A$4:$D$17,4,FALSE),"")</f>
        <v/>
      </c>
      <c r="X208" s="89">
        <f>IFERROR(IF(OR(A208="",M208="",W208=""),"",(((_xludf.AGGREGATE(14,6,MOD($S$4:$S$500,1)/(($A$4:$A$500=A208)*($M$4:$M$500=M208)*($R$4:$R$500&lt;&gt;"")*($S$4:$S$500&lt;&gt;"")),1)-_xludf.AGGREGATE(15,6,MOD($R$4:$R$500,1)/(($A$4:$A$500=A208)*($M$4:$M$500=M208)*($R$4:$R$500&lt;&gt;"")*($S$4:$S$500&lt;&gt;"")),1))*1440)/60)/(W208/60)),"")</f>
        <v/>
      </c>
      <c r="Y208" s="26">
        <f>IFERROR(IF(OR(O208="",A208="",M208=""),"",(IF(ISNUMBER(O208),MOD(O208,1),TIMEVALUE(O208))-LOOKUP(2,1/(($A$4:$A$500=A208)*($M$4:$M$500=M208)*($T$4:$T$500&lt;&gt;"")*($T$4:$T$500&lt;IF(ISNUMBER(O208),MOD(O208,1),TIMEVALUE(O208)))),$T$4:$T$500))*1440),"")</f>
        <v/>
      </c>
      <c r="Z208" s="27">
        <f>IFERROR(IF(Y208="","",IF(ROUND(Y208,0)&lt;=15,"Cumple","No cumple")),"")</f>
        <v/>
      </c>
      <c r="AA208" s="27" t="n"/>
      <c r="AB208" s="26">
        <f>IFERROR(IF(OR(O208="",R208=""),"",IF(IF(ISNUMBER(R208),MOD(R208,1),TIMEVALUE(R208))&gt;=IF(ISNUMBER(O208),MOD(O208,1),TIMEVALUE(O208)),(IF(ISNUMBER(R208),MOD(R208,1),TIMEVALUE(R208))-IF(ISNUMBER(O208),MOD(O208,1),TIMEVALUE(O208)))*1440,(IF(ISNUMBER(R208),MOD(R208,1),TIMEVALUE(R208))+1-IF(ISNUMBER(O208),MOD(O208,1),TIMEVALUE(O208)))*1440)),"")</f>
        <v/>
      </c>
      <c r="AC208" s="26">
        <f>IFERROR(IF(OR(R208="",S208=""),"",IF(IF(ISNUMBER(S208),MOD(S208,1),TIMEVALUE(S208))&gt;=IF(ISNUMBER(R208),MOD(R208,1),TIMEVALUE(R208)),(IF(ISNUMBER(S208),MOD(S208,1),TIMEVALUE(S208))-IF(ISNUMBER(R208),MOD(R208,1),TIMEVALUE(R208)))*1440,(IF(ISNUMBER(S208),MOD(S208,1),TIMEVALUE(S208))+1-IF(ISNUMBER(R208),MOD(R208,1),TIMEVALUE(R208)))*1440)),"")</f>
        <v/>
      </c>
      <c r="AD208" s="29" t="n"/>
      <c r="AE208" s="26">
        <f>IFERROR(IF(OR(AC208="",AD208=""),"",AC208-AD208),"")</f>
        <v/>
      </c>
      <c r="AF208" s="27">
        <f>IFERROR(IF(AE208="","",IF(ROUND(AE208,0)&gt;15,"Subestimacion",IF(ROUND(AE208,0)&lt;-15,"Sobrestimacion","Asertivo"))),"")</f>
        <v/>
      </c>
      <c r="AG208" s="19" t="n"/>
      <c r="AH208" s="19" t="n"/>
      <c r="AI208" s="19" t="n"/>
      <c r="AJ208" s="19" t="n"/>
      <c r="AK208" s="19" t="n"/>
      <c r="AL208" s="19" t="n"/>
      <c r="AM208" s="19" t="n"/>
      <c r="AN208" s="19" t="n"/>
      <c r="AO208" s="19" t="n"/>
      <c r="AP208" s="127">
        <f>IF(A208="","",A208-WEEKDAY(A208,2)+1)</f>
        <v/>
      </c>
      <c r="AQ208" s="127">
        <f>IF(AO208="","",AO208+6)</f>
        <v/>
      </c>
      <c r="AR208" s="19">
        <f>IF(AO208="","","Semana "&amp;TEXT(AO208,"dd-mm-yyyy")&amp;" al "&amp;TEXT(AP208,"dd-mm-yyyy"))</f>
        <v/>
      </c>
      <c r="AS208" s="19">
        <f>IF(A208="","",TEXT(A208,"mmmm yyyy"))</f>
        <v/>
      </c>
      <c r="AT208" s="19">
        <f>IF(A208="","",TEXT(A208,"dddd"))</f>
        <v/>
      </c>
      <c r="AU208" s="19">
        <f>IF(A208="","","CRR-"&amp;TEXT(A208,"yyyymmdd")&amp;"-"&amp;M208&amp;"-"&amp;TEXT(ROW()-3,"0000"))</f>
        <v/>
      </c>
      <c r="AV208" s="19">
        <f>IF(A208="","",IF(OR(B208="",C208="",E208="",F208="",M208="",N208=""),"Revisar campos obligatorios",IF(AND(P208="Atraso primera hora",Q208=""),"Falta justificación atraso primera hora",IF(AND(Z208="No cumple",AA208=""),"Falta justificación recambio &gt;15 min",IF(AND(ISNUMBER(SEARCH("suspend",N208)),OR(AG208="",AH208="")),"Falta causa/motivo suspensión","OK")))))</f>
        <v/>
      </c>
      <c r="AW208" s="19">
        <f>IF(N208="","",IF(ISNUMBER(SEARCH("suspend",N208)),IF(AND(AG208="",AH208=""),"Sin causa/motivo registrado",IF(AG208="",AH208,IF(AH208="",AG208,AG208&amp;": "&amp;AH208))),""))</f>
        <v/>
      </c>
    </row>
    <row r="209" ht="16" customHeight="1" s="151">
      <c r="A209" s="62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20">
        <f>IF(H209&lt;&gt;"",IFERROR(VLOOKUP(IFERROR(LEFT(H209,FIND("-",H209)-1),H209),'Catalogo MINSAL'!A:E,5,FALSE),""),IF(I209&lt;&gt;"",IFERROR(VLOOKUP(IFERROR(LEFT(I209,FIND("-",I209)-1),I209),'Catalogo MINSAL'!A:E,5,FALSE),""),""))</f>
        <v/>
      </c>
      <c r="K209" s="19" t="n"/>
      <c r="L209" s="19" t="n"/>
      <c r="M209" s="19" t="n"/>
      <c r="N209" s="19" t="n"/>
      <c r="O209" s="25" t="n"/>
      <c r="P209" s="27">
        <f>IFERROR(IF(OR(O209="",A209="",M209=""),"",IF(SUMPRODUCT(($A$4:$A$500=A209)*($M$4:$M$500=M209)*($O$4:$O$500&lt;&gt;"")*(MOD($O$4:$O$500,1)&lt;MOD(O209,1)))=0,IF(MOD(O209,1)&lt;=TIME(8,15,0),"Ingreso adecuado primera hora","Atraso primera hora"),"No aplica")),"")</f>
        <v/>
      </c>
      <c r="Q209" s="27" t="n"/>
      <c r="R209" s="25" t="n"/>
      <c r="S209" s="25" t="n"/>
      <c r="T209" s="25" t="n"/>
      <c r="U209" s="25">
        <f>IFERROR(VLOOKUP(M209,'Horario Pabellones'!$A$4:$D$17,2,FALSE),"")</f>
        <v/>
      </c>
      <c r="V209" s="25">
        <f>IFERROR(VLOOKUP(M209,'Horario Pabellones'!$A$4:$D$17,3,FALSE),"")</f>
        <v/>
      </c>
      <c r="W209" s="99">
        <f>IFERROR(VLOOKUP(M209,'Horario Pabellones'!$A$4:$D$17,4,FALSE),"")</f>
        <v/>
      </c>
      <c r="X209" s="89">
        <f>IFERROR(IF(OR(A209="",M209="",W209=""),"",(((_xludf.AGGREGATE(14,6,MOD($S$4:$S$500,1)/(($A$4:$A$500=A209)*($M$4:$M$500=M209)*($R$4:$R$500&lt;&gt;"")*($S$4:$S$500&lt;&gt;"")),1)-_xludf.AGGREGATE(15,6,MOD($R$4:$R$500,1)/(($A$4:$A$500=A209)*($M$4:$M$500=M209)*($R$4:$R$500&lt;&gt;"")*($S$4:$S$500&lt;&gt;"")),1))*1440)/60)/(W209/60)),"")</f>
        <v/>
      </c>
      <c r="Y209" s="26">
        <f>IFERROR(IF(OR(O209="",A209="",M209=""),"",(IF(ISNUMBER(O209),MOD(O209,1),TIMEVALUE(O209))-LOOKUP(2,1/(($A$4:$A$500=A209)*($M$4:$M$500=M209)*($T$4:$T$500&lt;&gt;"")*($T$4:$T$500&lt;IF(ISNUMBER(O209),MOD(O209,1),TIMEVALUE(O209)))),$T$4:$T$500))*1440),"")</f>
        <v/>
      </c>
      <c r="Z209" s="27">
        <f>IFERROR(IF(Y209="","",IF(ROUND(Y209,0)&lt;=15,"Cumple","No cumple")),"")</f>
        <v/>
      </c>
      <c r="AA209" s="27" t="n"/>
      <c r="AB209" s="26">
        <f>IFERROR(IF(OR(O209="",R209=""),"",IF(IF(ISNUMBER(R209),MOD(R209,1),TIMEVALUE(R209))&gt;=IF(ISNUMBER(O209),MOD(O209,1),TIMEVALUE(O209)),(IF(ISNUMBER(R209),MOD(R209,1),TIMEVALUE(R209))-IF(ISNUMBER(O209),MOD(O209,1),TIMEVALUE(O209)))*1440,(IF(ISNUMBER(R209),MOD(R209,1),TIMEVALUE(R209))+1-IF(ISNUMBER(O209),MOD(O209,1),TIMEVALUE(O209)))*1440)),"")</f>
        <v/>
      </c>
      <c r="AC209" s="26">
        <f>IFERROR(IF(OR(R209="",S209=""),"",IF(IF(ISNUMBER(S209),MOD(S209,1),TIMEVALUE(S209))&gt;=IF(ISNUMBER(R209),MOD(R209,1),TIMEVALUE(R209)),(IF(ISNUMBER(S209),MOD(S209,1),TIMEVALUE(S209))-IF(ISNUMBER(R209),MOD(R209,1),TIMEVALUE(R209)))*1440,(IF(ISNUMBER(S209),MOD(S209,1),TIMEVALUE(S209))+1-IF(ISNUMBER(R209),MOD(R209,1),TIMEVALUE(R209)))*1440)),"")</f>
        <v/>
      </c>
      <c r="AD209" s="29" t="n"/>
      <c r="AE209" s="26">
        <f>IFERROR(IF(OR(AC209="",AD209=""),"",AC209-AD209),"")</f>
        <v/>
      </c>
      <c r="AF209" s="27">
        <f>IFERROR(IF(AE209="","",IF(ROUND(AE209,0)&gt;15,"Subestimacion",IF(ROUND(AE209,0)&lt;-15,"Sobrestimacion","Asertivo"))),"")</f>
        <v/>
      </c>
      <c r="AG209" s="19" t="n"/>
      <c r="AH209" s="19" t="n"/>
      <c r="AI209" s="19" t="n"/>
      <c r="AJ209" s="19" t="n"/>
      <c r="AK209" s="19" t="n"/>
      <c r="AL209" s="19" t="n"/>
      <c r="AM209" s="19" t="n"/>
      <c r="AN209" s="19" t="n"/>
      <c r="AO209" s="19" t="n"/>
      <c r="AP209" s="127">
        <f>IF(A209="","",A209-WEEKDAY(A209,2)+1)</f>
        <v/>
      </c>
      <c r="AQ209" s="127">
        <f>IF(AO209="","",AO209+6)</f>
        <v/>
      </c>
      <c r="AR209" s="19">
        <f>IF(AO209="","","Semana "&amp;TEXT(AO209,"dd-mm-yyyy")&amp;" al "&amp;TEXT(AP209,"dd-mm-yyyy"))</f>
        <v/>
      </c>
      <c r="AS209" s="19">
        <f>IF(A209="","",TEXT(A209,"mmmm yyyy"))</f>
        <v/>
      </c>
      <c r="AT209" s="19">
        <f>IF(A209="","",TEXT(A209,"dddd"))</f>
        <v/>
      </c>
      <c r="AU209" s="19">
        <f>IF(A209="","","CRR-"&amp;TEXT(A209,"yyyymmdd")&amp;"-"&amp;M209&amp;"-"&amp;TEXT(ROW()-3,"0000"))</f>
        <v/>
      </c>
      <c r="AV209" s="19">
        <f>IF(A209="","",IF(OR(B209="",C209="",E209="",F209="",M209="",N209=""),"Revisar campos obligatorios",IF(AND(P209="Atraso primera hora",Q209=""),"Falta justificación atraso primera hora",IF(AND(Z209="No cumple",AA209=""),"Falta justificación recambio &gt;15 min",IF(AND(ISNUMBER(SEARCH("suspend",N209)),OR(AG209="",AH209="")),"Falta causa/motivo suspensión","OK")))))</f>
        <v/>
      </c>
      <c r="AW209" s="19">
        <f>IF(N209="","",IF(ISNUMBER(SEARCH("suspend",N209)),IF(AND(AG209="",AH209=""),"Sin causa/motivo registrado",IF(AG209="",AH209,IF(AH209="",AG209,AG209&amp;": "&amp;AH209))),""))</f>
        <v/>
      </c>
    </row>
    <row r="210" ht="16" customHeight="1" s="151">
      <c r="A210" s="62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20">
        <f>IF(H210&lt;&gt;"",IFERROR(VLOOKUP(IFERROR(LEFT(H210,FIND("-",H210)-1),H210),'Catalogo MINSAL'!A:E,5,FALSE),""),IF(I210&lt;&gt;"",IFERROR(VLOOKUP(IFERROR(LEFT(I210,FIND("-",I210)-1),I210),'Catalogo MINSAL'!A:E,5,FALSE),""),""))</f>
        <v/>
      </c>
      <c r="K210" s="19" t="n"/>
      <c r="L210" s="19" t="n"/>
      <c r="M210" s="19" t="n"/>
      <c r="N210" s="19" t="n"/>
      <c r="O210" s="25" t="n"/>
      <c r="P210" s="27">
        <f>IFERROR(IF(OR(O210="",A210="",M210=""),"",IF(SUMPRODUCT(($A$4:$A$500=A210)*($M$4:$M$500=M210)*($O$4:$O$500&lt;&gt;"")*(MOD($O$4:$O$500,1)&lt;MOD(O210,1)))=0,IF(MOD(O210,1)&lt;=TIME(8,15,0),"Ingreso adecuado primera hora","Atraso primera hora"),"No aplica")),"")</f>
        <v/>
      </c>
      <c r="Q210" s="27" t="n"/>
      <c r="R210" s="25" t="n"/>
      <c r="S210" s="25" t="n"/>
      <c r="T210" s="25" t="n"/>
      <c r="U210" s="25">
        <f>IFERROR(VLOOKUP(M210,'Horario Pabellones'!$A$4:$D$17,2,FALSE),"")</f>
        <v/>
      </c>
      <c r="V210" s="25">
        <f>IFERROR(VLOOKUP(M210,'Horario Pabellones'!$A$4:$D$17,3,FALSE),"")</f>
        <v/>
      </c>
      <c r="W210" s="99">
        <f>IFERROR(VLOOKUP(M210,'Horario Pabellones'!$A$4:$D$17,4,FALSE),"")</f>
        <v/>
      </c>
      <c r="X210" s="89">
        <f>IFERROR(IF(OR(A210="",M210="",W210=""),"",(((_xludf.AGGREGATE(14,6,MOD($S$4:$S$500,1)/(($A$4:$A$500=A210)*($M$4:$M$500=M210)*($R$4:$R$500&lt;&gt;"")*($S$4:$S$500&lt;&gt;"")),1)-_xludf.AGGREGATE(15,6,MOD($R$4:$R$500,1)/(($A$4:$A$500=A210)*($M$4:$M$500=M210)*($R$4:$R$500&lt;&gt;"")*($S$4:$S$500&lt;&gt;"")),1))*1440)/60)/(W210/60)),"")</f>
        <v/>
      </c>
      <c r="Y210" s="26">
        <f>IFERROR(IF(OR(O210="",A210="",M210=""),"",(IF(ISNUMBER(O210),MOD(O210,1),TIMEVALUE(O210))-LOOKUP(2,1/(($A$4:$A$500=A210)*($M$4:$M$500=M210)*($T$4:$T$500&lt;&gt;"")*($T$4:$T$500&lt;IF(ISNUMBER(O210),MOD(O210,1),TIMEVALUE(O210)))),$T$4:$T$500))*1440),"")</f>
        <v/>
      </c>
      <c r="Z210" s="27">
        <f>IFERROR(IF(Y210="","",IF(ROUND(Y210,0)&lt;=15,"Cumple","No cumple")),"")</f>
        <v/>
      </c>
      <c r="AA210" s="27" t="n"/>
      <c r="AB210" s="26">
        <f>IFERROR(IF(OR(O210="",R210=""),"",IF(IF(ISNUMBER(R210),MOD(R210,1),TIMEVALUE(R210))&gt;=IF(ISNUMBER(O210),MOD(O210,1),TIMEVALUE(O210)),(IF(ISNUMBER(R210),MOD(R210,1),TIMEVALUE(R210))-IF(ISNUMBER(O210),MOD(O210,1),TIMEVALUE(O210)))*1440,(IF(ISNUMBER(R210),MOD(R210,1),TIMEVALUE(R210))+1-IF(ISNUMBER(O210),MOD(O210,1),TIMEVALUE(O210)))*1440)),"")</f>
        <v/>
      </c>
      <c r="AC210" s="26">
        <f>IFERROR(IF(OR(R210="",S210=""),"",IF(IF(ISNUMBER(S210),MOD(S210,1),TIMEVALUE(S210))&gt;=IF(ISNUMBER(R210),MOD(R210,1),TIMEVALUE(R210)),(IF(ISNUMBER(S210),MOD(S210,1),TIMEVALUE(S210))-IF(ISNUMBER(R210),MOD(R210,1),TIMEVALUE(R210)))*1440,(IF(ISNUMBER(S210),MOD(S210,1),TIMEVALUE(S210))+1-IF(ISNUMBER(R210),MOD(R210,1),TIMEVALUE(R210)))*1440)),"")</f>
        <v/>
      </c>
      <c r="AD210" s="29" t="n"/>
      <c r="AE210" s="26">
        <f>IFERROR(IF(OR(AC210="",AD210=""),"",AC210-AD210),"")</f>
        <v/>
      </c>
      <c r="AF210" s="27">
        <f>IFERROR(IF(AE210="","",IF(ROUND(AE210,0)&gt;15,"Subestimacion",IF(ROUND(AE210,0)&lt;-15,"Sobrestimacion","Asertivo"))),"")</f>
        <v/>
      </c>
      <c r="AG210" s="19" t="n"/>
      <c r="AH210" s="19" t="n"/>
      <c r="AI210" s="19" t="n"/>
      <c r="AJ210" s="19" t="n"/>
      <c r="AK210" s="19" t="n"/>
      <c r="AL210" s="19" t="n"/>
      <c r="AM210" s="19" t="n"/>
      <c r="AN210" s="19" t="n"/>
      <c r="AO210" s="19" t="n"/>
      <c r="AP210" s="127">
        <f>IF(A210="","",A210-WEEKDAY(A210,2)+1)</f>
        <v/>
      </c>
      <c r="AQ210" s="127">
        <f>IF(AO210="","",AO210+6)</f>
        <v/>
      </c>
      <c r="AR210" s="19">
        <f>IF(AO210="","","Semana "&amp;TEXT(AO210,"dd-mm-yyyy")&amp;" al "&amp;TEXT(AP210,"dd-mm-yyyy"))</f>
        <v/>
      </c>
      <c r="AS210" s="19">
        <f>IF(A210="","",TEXT(A210,"mmmm yyyy"))</f>
        <v/>
      </c>
      <c r="AT210" s="19">
        <f>IF(A210="","",TEXT(A210,"dddd"))</f>
        <v/>
      </c>
      <c r="AU210" s="19">
        <f>IF(A210="","","CRR-"&amp;TEXT(A210,"yyyymmdd")&amp;"-"&amp;M210&amp;"-"&amp;TEXT(ROW()-3,"0000"))</f>
        <v/>
      </c>
      <c r="AV210" s="19">
        <f>IF(A210="","",IF(OR(B210="",C210="",E210="",F210="",M210="",N210=""),"Revisar campos obligatorios",IF(AND(P210="Atraso primera hora",Q210=""),"Falta justificación atraso primera hora",IF(AND(Z210="No cumple",AA210=""),"Falta justificación recambio &gt;15 min",IF(AND(ISNUMBER(SEARCH("suspend",N210)),OR(AG210="",AH210="")),"Falta causa/motivo suspensión","OK")))))</f>
        <v/>
      </c>
      <c r="AW210" s="19">
        <f>IF(N210="","",IF(ISNUMBER(SEARCH("suspend",N210)),IF(AND(AG210="",AH210=""),"Sin causa/motivo registrado",IF(AG210="",AH210,IF(AH210="",AG210,AG210&amp;": "&amp;AH210))),""))</f>
        <v/>
      </c>
    </row>
    <row r="211" ht="16" customHeight="1" s="151">
      <c r="A211" s="62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20">
        <f>IF(H211&lt;&gt;"",IFERROR(VLOOKUP(IFERROR(LEFT(H211,FIND("-",H211)-1),H211),'Catalogo MINSAL'!A:E,5,FALSE),""),IF(I211&lt;&gt;"",IFERROR(VLOOKUP(IFERROR(LEFT(I211,FIND("-",I211)-1),I211),'Catalogo MINSAL'!A:E,5,FALSE),""),""))</f>
        <v/>
      </c>
      <c r="K211" s="19" t="n"/>
      <c r="L211" s="19" t="n"/>
      <c r="M211" s="19" t="n"/>
      <c r="N211" s="19" t="n"/>
      <c r="O211" s="25" t="n"/>
      <c r="P211" s="27">
        <f>IFERROR(IF(OR(O211="",A211="",M211=""),"",IF(SUMPRODUCT(($A$4:$A$500=A211)*($M$4:$M$500=M211)*($O$4:$O$500&lt;&gt;"")*(MOD($O$4:$O$500,1)&lt;MOD(O211,1)))=0,IF(MOD(O211,1)&lt;=TIME(8,15,0),"Ingreso adecuado primera hora","Atraso primera hora"),"No aplica")),"")</f>
        <v/>
      </c>
      <c r="Q211" s="27" t="n"/>
      <c r="R211" s="25" t="n"/>
      <c r="S211" s="25" t="n"/>
      <c r="T211" s="25" t="n"/>
      <c r="U211" s="25">
        <f>IFERROR(VLOOKUP(M211,'Horario Pabellones'!$A$4:$D$17,2,FALSE),"")</f>
        <v/>
      </c>
      <c r="V211" s="25">
        <f>IFERROR(VLOOKUP(M211,'Horario Pabellones'!$A$4:$D$17,3,FALSE),"")</f>
        <v/>
      </c>
      <c r="W211" s="99">
        <f>IFERROR(VLOOKUP(M211,'Horario Pabellones'!$A$4:$D$17,4,FALSE),"")</f>
        <v/>
      </c>
      <c r="X211" s="89">
        <f>IFERROR(IF(OR(A211="",M211="",W211=""),"",(((_xludf.AGGREGATE(14,6,MOD($S$4:$S$500,1)/(($A$4:$A$500=A211)*($M$4:$M$500=M211)*($R$4:$R$500&lt;&gt;"")*($S$4:$S$500&lt;&gt;"")),1)-_xludf.AGGREGATE(15,6,MOD($R$4:$R$500,1)/(($A$4:$A$500=A211)*($M$4:$M$500=M211)*($R$4:$R$500&lt;&gt;"")*($S$4:$S$500&lt;&gt;"")),1))*1440)/60)/(W211/60)),"")</f>
        <v/>
      </c>
      <c r="Y211" s="26">
        <f>IFERROR(IF(OR(O211="",A211="",M211=""),"",(IF(ISNUMBER(O211),MOD(O211,1),TIMEVALUE(O211))-LOOKUP(2,1/(($A$4:$A$500=A211)*($M$4:$M$500=M211)*($T$4:$T$500&lt;&gt;"")*($T$4:$T$500&lt;IF(ISNUMBER(O211),MOD(O211,1),TIMEVALUE(O211)))),$T$4:$T$500))*1440),"")</f>
        <v/>
      </c>
      <c r="Z211" s="27">
        <f>IFERROR(IF(Y211="","",IF(ROUND(Y211,0)&lt;=15,"Cumple","No cumple")),"")</f>
        <v/>
      </c>
      <c r="AA211" s="27" t="n"/>
      <c r="AB211" s="26">
        <f>IFERROR(IF(OR(O211="",R211=""),"",IF(IF(ISNUMBER(R211),MOD(R211,1),TIMEVALUE(R211))&gt;=IF(ISNUMBER(O211),MOD(O211,1),TIMEVALUE(O211)),(IF(ISNUMBER(R211),MOD(R211,1),TIMEVALUE(R211))-IF(ISNUMBER(O211),MOD(O211,1),TIMEVALUE(O211)))*1440,(IF(ISNUMBER(R211),MOD(R211,1),TIMEVALUE(R211))+1-IF(ISNUMBER(O211),MOD(O211,1),TIMEVALUE(O211)))*1440)),"")</f>
        <v/>
      </c>
      <c r="AC211" s="26">
        <f>IFERROR(IF(OR(R211="",S211=""),"",IF(IF(ISNUMBER(S211),MOD(S211,1),TIMEVALUE(S211))&gt;=IF(ISNUMBER(R211),MOD(R211,1),TIMEVALUE(R211)),(IF(ISNUMBER(S211),MOD(S211,1),TIMEVALUE(S211))-IF(ISNUMBER(R211),MOD(R211,1),TIMEVALUE(R211)))*1440,(IF(ISNUMBER(S211),MOD(S211,1),TIMEVALUE(S211))+1-IF(ISNUMBER(R211),MOD(R211,1),TIMEVALUE(R211)))*1440)),"")</f>
        <v/>
      </c>
      <c r="AD211" s="29" t="n"/>
      <c r="AE211" s="26">
        <f>IFERROR(IF(OR(AC211="",AD211=""),"",AC211-AD211),"")</f>
        <v/>
      </c>
      <c r="AF211" s="27">
        <f>IFERROR(IF(AE211="","",IF(ROUND(AE211,0)&gt;15,"Subestimacion",IF(ROUND(AE211,0)&lt;-15,"Sobrestimacion","Asertivo"))),"")</f>
        <v/>
      </c>
      <c r="AG211" s="19" t="n"/>
      <c r="AH211" s="19" t="n"/>
      <c r="AI211" s="19" t="n"/>
      <c r="AJ211" s="19" t="n"/>
      <c r="AK211" s="19" t="n"/>
      <c r="AL211" s="19" t="n"/>
      <c r="AM211" s="19" t="n"/>
      <c r="AN211" s="19" t="n"/>
      <c r="AO211" s="19" t="n"/>
      <c r="AP211" s="127">
        <f>IF(A211="","",A211-WEEKDAY(A211,2)+1)</f>
        <v/>
      </c>
      <c r="AQ211" s="127">
        <f>IF(AO211="","",AO211+6)</f>
        <v/>
      </c>
      <c r="AR211" s="19">
        <f>IF(AO211="","","Semana "&amp;TEXT(AO211,"dd-mm-yyyy")&amp;" al "&amp;TEXT(AP211,"dd-mm-yyyy"))</f>
        <v/>
      </c>
      <c r="AS211" s="19">
        <f>IF(A211="","",TEXT(A211,"mmmm yyyy"))</f>
        <v/>
      </c>
      <c r="AT211" s="19">
        <f>IF(A211="","",TEXT(A211,"dddd"))</f>
        <v/>
      </c>
      <c r="AU211" s="19">
        <f>IF(A211="","","CRR-"&amp;TEXT(A211,"yyyymmdd")&amp;"-"&amp;M211&amp;"-"&amp;TEXT(ROW()-3,"0000"))</f>
        <v/>
      </c>
      <c r="AV211" s="19">
        <f>IF(A211="","",IF(OR(B211="",C211="",E211="",F211="",M211="",N211=""),"Revisar campos obligatorios",IF(AND(P211="Atraso primera hora",Q211=""),"Falta justificación atraso primera hora",IF(AND(Z211="No cumple",AA211=""),"Falta justificación recambio &gt;15 min",IF(AND(ISNUMBER(SEARCH("suspend",N211)),OR(AG211="",AH211="")),"Falta causa/motivo suspensión","OK")))))</f>
        <v/>
      </c>
      <c r="AW211" s="19">
        <f>IF(N211="","",IF(ISNUMBER(SEARCH("suspend",N211)),IF(AND(AG211="",AH211=""),"Sin causa/motivo registrado",IF(AG211="",AH211,IF(AH211="",AG211,AG211&amp;": "&amp;AH211))),""))</f>
        <v/>
      </c>
    </row>
    <row r="212" ht="16" customHeight="1" s="151">
      <c r="A212" s="62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20">
        <f>IF(H212&lt;&gt;"",IFERROR(VLOOKUP(IFERROR(LEFT(H212,FIND("-",H212)-1),H212),'Catalogo MINSAL'!A:E,5,FALSE),""),IF(I212&lt;&gt;"",IFERROR(VLOOKUP(IFERROR(LEFT(I212,FIND("-",I212)-1),I212),'Catalogo MINSAL'!A:E,5,FALSE),""),""))</f>
        <v/>
      </c>
      <c r="K212" s="19" t="n"/>
      <c r="L212" s="19" t="n"/>
      <c r="M212" s="19" t="n"/>
      <c r="N212" s="19" t="n"/>
      <c r="O212" s="25" t="n"/>
      <c r="P212" s="27">
        <f>IFERROR(IF(OR(O212="",A212="",M212=""),"",IF(SUMPRODUCT(($A$4:$A$500=A212)*($M$4:$M$500=M212)*($O$4:$O$500&lt;&gt;"")*(MOD($O$4:$O$500,1)&lt;MOD(O212,1)))=0,IF(MOD(O212,1)&lt;=TIME(8,15,0),"Ingreso adecuado primera hora","Atraso primera hora"),"No aplica")),"")</f>
        <v/>
      </c>
      <c r="Q212" s="27" t="n"/>
      <c r="R212" s="25" t="n"/>
      <c r="S212" s="25" t="n"/>
      <c r="T212" s="25" t="n"/>
      <c r="U212" s="25">
        <f>IFERROR(VLOOKUP(M212,'Horario Pabellones'!$A$4:$D$17,2,FALSE),"")</f>
        <v/>
      </c>
      <c r="V212" s="25">
        <f>IFERROR(VLOOKUP(M212,'Horario Pabellones'!$A$4:$D$17,3,FALSE),"")</f>
        <v/>
      </c>
      <c r="W212" s="99">
        <f>IFERROR(VLOOKUP(M212,'Horario Pabellones'!$A$4:$D$17,4,FALSE),"")</f>
        <v/>
      </c>
      <c r="X212" s="89">
        <f>IFERROR(IF(OR(A212="",M212="",W212=""),"",(((_xludf.AGGREGATE(14,6,MOD($S$4:$S$500,1)/(($A$4:$A$500=A212)*($M$4:$M$500=M212)*($R$4:$R$500&lt;&gt;"")*($S$4:$S$500&lt;&gt;"")),1)-_xludf.AGGREGATE(15,6,MOD($R$4:$R$500,1)/(($A$4:$A$500=A212)*($M$4:$M$500=M212)*($R$4:$R$500&lt;&gt;"")*($S$4:$S$500&lt;&gt;"")),1))*1440)/60)/(W212/60)),"")</f>
        <v/>
      </c>
      <c r="Y212" s="26">
        <f>IFERROR(IF(OR(O212="",A212="",M212=""),"",(IF(ISNUMBER(O212),MOD(O212,1),TIMEVALUE(O212))-LOOKUP(2,1/(($A$4:$A$500=A212)*($M$4:$M$500=M212)*($T$4:$T$500&lt;&gt;"")*($T$4:$T$500&lt;IF(ISNUMBER(O212),MOD(O212,1),TIMEVALUE(O212)))),$T$4:$T$500))*1440),"")</f>
        <v/>
      </c>
      <c r="Z212" s="27">
        <f>IFERROR(IF(Y212="","",IF(ROUND(Y212,0)&lt;=15,"Cumple","No cumple")),"")</f>
        <v/>
      </c>
      <c r="AA212" s="27" t="n"/>
      <c r="AB212" s="26">
        <f>IFERROR(IF(OR(O212="",R212=""),"",IF(IF(ISNUMBER(R212),MOD(R212,1),TIMEVALUE(R212))&gt;=IF(ISNUMBER(O212),MOD(O212,1),TIMEVALUE(O212)),(IF(ISNUMBER(R212),MOD(R212,1),TIMEVALUE(R212))-IF(ISNUMBER(O212),MOD(O212,1),TIMEVALUE(O212)))*1440,(IF(ISNUMBER(R212),MOD(R212,1),TIMEVALUE(R212))+1-IF(ISNUMBER(O212),MOD(O212,1),TIMEVALUE(O212)))*1440)),"")</f>
        <v/>
      </c>
      <c r="AC212" s="26">
        <f>IFERROR(IF(OR(R212="",S212=""),"",IF(IF(ISNUMBER(S212),MOD(S212,1),TIMEVALUE(S212))&gt;=IF(ISNUMBER(R212),MOD(R212,1),TIMEVALUE(R212)),(IF(ISNUMBER(S212),MOD(S212,1),TIMEVALUE(S212))-IF(ISNUMBER(R212),MOD(R212,1),TIMEVALUE(R212)))*1440,(IF(ISNUMBER(S212),MOD(S212,1),TIMEVALUE(S212))+1-IF(ISNUMBER(R212),MOD(R212,1),TIMEVALUE(R212)))*1440)),"")</f>
        <v/>
      </c>
      <c r="AD212" s="29" t="n"/>
      <c r="AE212" s="26">
        <f>IFERROR(IF(OR(AC212="",AD212=""),"",AC212-AD212),"")</f>
        <v/>
      </c>
      <c r="AF212" s="27">
        <f>IFERROR(IF(AE212="","",IF(ROUND(AE212,0)&gt;15,"Subestimacion",IF(ROUND(AE212,0)&lt;-15,"Sobrestimacion","Asertivo"))),"")</f>
        <v/>
      </c>
      <c r="AG212" s="19" t="n"/>
      <c r="AH212" s="19" t="n"/>
      <c r="AI212" s="19" t="n"/>
      <c r="AJ212" s="19" t="n"/>
      <c r="AK212" s="19" t="n"/>
      <c r="AL212" s="19" t="n"/>
      <c r="AM212" s="19" t="n"/>
      <c r="AN212" s="19" t="n"/>
      <c r="AO212" s="19" t="n"/>
      <c r="AP212" s="127">
        <f>IF(A212="","",A212-WEEKDAY(A212,2)+1)</f>
        <v/>
      </c>
      <c r="AQ212" s="127">
        <f>IF(AO212="","",AO212+6)</f>
        <v/>
      </c>
      <c r="AR212" s="19">
        <f>IF(AO212="","","Semana "&amp;TEXT(AO212,"dd-mm-yyyy")&amp;" al "&amp;TEXT(AP212,"dd-mm-yyyy"))</f>
        <v/>
      </c>
      <c r="AS212" s="19">
        <f>IF(A212="","",TEXT(A212,"mmmm yyyy"))</f>
        <v/>
      </c>
      <c r="AT212" s="19">
        <f>IF(A212="","",TEXT(A212,"dddd"))</f>
        <v/>
      </c>
      <c r="AU212" s="19">
        <f>IF(A212="","","CRR-"&amp;TEXT(A212,"yyyymmdd")&amp;"-"&amp;M212&amp;"-"&amp;TEXT(ROW()-3,"0000"))</f>
        <v/>
      </c>
      <c r="AV212" s="19">
        <f>IF(A212="","",IF(OR(B212="",C212="",E212="",F212="",M212="",N212=""),"Revisar campos obligatorios",IF(AND(P212="Atraso primera hora",Q212=""),"Falta justificación atraso primera hora",IF(AND(Z212="No cumple",AA212=""),"Falta justificación recambio &gt;15 min",IF(AND(ISNUMBER(SEARCH("suspend",N212)),OR(AG212="",AH212="")),"Falta causa/motivo suspensión","OK")))))</f>
        <v/>
      </c>
      <c r="AW212" s="19">
        <f>IF(N212="","",IF(ISNUMBER(SEARCH("suspend",N212)),IF(AND(AG212="",AH212=""),"Sin causa/motivo registrado",IF(AG212="",AH212,IF(AH212="",AG212,AG212&amp;": "&amp;AH212))),""))</f>
        <v/>
      </c>
    </row>
    <row r="213" ht="16" customHeight="1" s="151">
      <c r="A213" s="62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20">
        <f>IF(H213&lt;&gt;"",IFERROR(VLOOKUP(IFERROR(LEFT(H213,FIND("-",H213)-1),H213),'Catalogo MINSAL'!A:E,5,FALSE),""),IF(I213&lt;&gt;"",IFERROR(VLOOKUP(IFERROR(LEFT(I213,FIND("-",I213)-1),I213),'Catalogo MINSAL'!A:E,5,FALSE),""),""))</f>
        <v/>
      </c>
      <c r="K213" s="19" t="n"/>
      <c r="L213" s="19" t="n"/>
      <c r="M213" s="19" t="n"/>
      <c r="N213" s="19" t="n"/>
      <c r="O213" s="25" t="n"/>
      <c r="P213" s="27">
        <f>IFERROR(IF(OR(O213="",A213="",M213=""),"",IF(SUMPRODUCT(($A$4:$A$500=A213)*($M$4:$M$500=M213)*($O$4:$O$500&lt;&gt;"")*(MOD($O$4:$O$500,1)&lt;MOD(O213,1)))=0,IF(MOD(O213,1)&lt;=TIME(8,15,0),"Ingreso adecuado primera hora","Atraso primera hora"),"No aplica")),"")</f>
        <v/>
      </c>
      <c r="Q213" s="27" t="n"/>
      <c r="R213" s="25" t="n"/>
      <c r="S213" s="25" t="n"/>
      <c r="T213" s="25" t="n"/>
      <c r="U213" s="25">
        <f>IFERROR(VLOOKUP(M213,'Horario Pabellones'!$A$4:$D$17,2,FALSE),"")</f>
        <v/>
      </c>
      <c r="V213" s="25">
        <f>IFERROR(VLOOKUP(M213,'Horario Pabellones'!$A$4:$D$17,3,FALSE),"")</f>
        <v/>
      </c>
      <c r="W213" s="99">
        <f>IFERROR(VLOOKUP(M213,'Horario Pabellones'!$A$4:$D$17,4,FALSE),"")</f>
        <v/>
      </c>
      <c r="X213" s="89">
        <f>IFERROR(IF(OR(A213="",M213="",W213=""),"",(((_xludf.AGGREGATE(14,6,MOD($S$4:$S$500,1)/(($A$4:$A$500=A213)*($M$4:$M$500=M213)*($R$4:$R$500&lt;&gt;"")*($S$4:$S$500&lt;&gt;"")),1)-_xludf.AGGREGATE(15,6,MOD($R$4:$R$500,1)/(($A$4:$A$500=A213)*($M$4:$M$500=M213)*($R$4:$R$500&lt;&gt;"")*($S$4:$S$500&lt;&gt;"")),1))*1440)/60)/(W213/60)),"")</f>
        <v/>
      </c>
      <c r="Y213" s="26">
        <f>IFERROR(IF(OR(O213="",A213="",M213=""),"",(IF(ISNUMBER(O213),MOD(O213,1),TIMEVALUE(O213))-LOOKUP(2,1/(($A$4:$A$500=A213)*($M$4:$M$500=M213)*($T$4:$T$500&lt;&gt;"")*($T$4:$T$500&lt;IF(ISNUMBER(O213),MOD(O213,1),TIMEVALUE(O213)))),$T$4:$T$500))*1440),"")</f>
        <v/>
      </c>
      <c r="Z213" s="27">
        <f>IFERROR(IF(Y213="","",IF(ROUND(Y213,0)&lt;=15,"Cumple","No cumple")),"")</f>
        <v/>
      </c>
      <c r="AA213" s="27" t="n"/>
      <c r="AB213" s="26">
        <f>IFERROR(IF(OR(O213="",R213=""),"",IF(IF(ISNUMBER(R213),MOD(R213,1),TIMEVALUE(R213))&gt;=IF(ISNUMBER(O213),MOD(O213,1),TIMEVALUE(O213)),(IF(ISNUMBER(R213),MOD(R213,1),TIMEVALUE(R213))-IF(ISNUMBER(O213),MOD(O213,1),TIMEVALUE(O213)))*1440,(IF(ISNUMBER(R213),MOD(R213,1),TIMEVALUE(R213))+1-IF(ISNUMBER(O213),MOD(O213,1),TIMEVALUE(O213)))*1440)),"")</f>
        <v/>
      </c>
      <c r="AC213" s="26">
        <f>IFERROR(IF(OR(R213="",S213=""),"",IF(IF(ISNUMBER(S213),MOD(S213,1),TIMEVALUE(S213))&gt;=IF(ISNUMBER(R213),MOD(R213,1),TIMEVALUE(R213)),(IF(ISNUMBER(S213),MOD(S213,1),TIMEVALUE(S213))-IF(ISNUMBER(R213),MOD(R213,1),TIMEVALUE(R213)))*1440,(IF(ISNUMBER(S213),MOD(S213,1),TIMEVALUE(S213))+1-IF(ISNUMBER(R213),MOD(R213,1),TIMEVALUE(R213)))*1440)),"")</f>
        <v/>
      </c>
      <c r="AD213" s="29" t="n"/>
      <c r="AE213" s="26">
        <f>IFERROR(IF(OR(AC213="",AD213=""),"",AC213-AD213),"")</f>
        <v/>
      </c>
      <c r="AF213" s="27">
        <f>IFERROR(IF(AE213="","",IF(ROUND(AE213,0)&gt;15,"Subestimacion",IF(ROUND(AE213,0)&lt;-15,"Sobrestimacion","Asertivo"))),"")</f>
        <v/>
      </c>
      <c r="AG213" s="19" t="n"/>
      <c r="AH213" s="19" t="n"/>
      <c r="AI213" s="19" t="n"/>
      <c r="AJ213" s="19" t="n"/>
      <c r="AK213" s="19" t="n"/>
      <c r="AL213" s="19" t="n"/>
      <c r="AM213" s="19" t="n"/>
      <c r="AN213" s="19" t="n"/>
      <c r="AO213" s="19" t="n"/>
      <c r="AP213" s="127">
        <f>IF(A213="","",A213-WEEKDAY(A213,2)+1)</f>
        <v/>
      </c>
      <c r="AQ213" s="127">
        <f>IF(AO213="","",AO213+6)</f>
        <v/>
      </c>
      <c r="AR213" s="19">
        <f>IF(AO213="","","Semana "&amp;TEXT(AO213,"dd-mm-yyyy")&amp;" al "&amp;TEXT(AP213,"dd-mm-yyyy"))</f>
        <v/>
      </c>
      <c r="AS213" s="19">
        <f>IF(A213="","",TEXT(A213,"mmmm yyyy"))</f>
        <v/>
      </c>
      <c r="AT213" s="19">
        <f>IF(A213="","",TEXT(A213,"dddd"))</f>
        <v/>
      </c>
      <c r="AU213" s="19">
        <f>IF(A213="","","CRR-"&amp;TEXT(A213,"yyyymmdd")&amp;"-"&amp;M213&amp;"-"&amp;TEXT(ROW()-3,"0000"))</f>
        <v/>
      </c>
      <c r="AV213" s="19">
        <f>IF(A213="","",IF(OR(B213="",C213="",E213="",F213="",M213="",N213=""),"Revisar campos obligatorios",IF(AND(P213="Atraso primera hora",Q213=""),"Falta justificación atraso primera hora",IF(AND(Z213="No cumple",AA213=""),"Falta justificación recambio &gt;15 min",IF(AND(ISNUMBER(SEARCH("suspend",N213)),OR(AG213="",AH213="")),"Falta causa/motivo suspensión","OK")))))</f>
        <v/>
      </c>
      <c r="AW213" s="19">
        <f>IF(N213="","",IF(ISNUMBER(SEARCH("suspend",N213)),IF(AND(AG213="",AH213=""),"Sin causa/motivo registrado",IF(AG213="",AH213,IF(AH213="",AG213,AG213&amp;": "&amp;AH213))),""))</f>
        <v/>
      </c>
    </row>
    <row r="214" ht="16" customHeight="1" s="151">
      <c r="A214" s="62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20">
        <f>IF(H214&lt;&gt;"",IFERROR(VLOOKUP(IFERROR(LEFT(H214,FIND("-",H214)-1),H214),'Catalogo MINSAL'!A:E,5,FALSE),""),IF(I214&lt;&gt;"",IFERROR(VLOOKUP(IFERROR(LEFT(I214,FIND("-",I214)-1),I214),'Catalogo MINSAL'!A:E,5,FALSE),""),""))</f>
        <v/>
      </c>
      <c r="K214" s="19" t="n"/>
      <c r="L214" s="19" t="n"/>
      <c r="M214" s="19" t="n"/>
      <c r="N214" s="19" t="n"/>
      <c r="O214" s="25" t="n"/>
      <c r="P214" s="27">
        <f>IFERROR(IF(OR(O214="",A214="",M214=""),"",IF(SUMPRODUCT(($A$4:$A$500=A214)*($M$4:$M$500=M214)*($O$4:$O$500&lt;&gt;"")*(MOD($O$4:$O$500,1)&lt;MOD(O214,1)))=0,IF(MOD(O214,1)&lt;=TIME(8,15,0),"Ingreso adecuado primera hora","Atraso primera hora"),"No aplica")),"")</f>
        <v/>
      </c>
      <c r="Q214" s="27" t="n"/>
      <c r="R214" s="25" t="n"/>
      <c r="S214" s="25" t="n"/>
      <c r="T214" s="25" t="n"/>
      <c r="U214" s="25">
        <f>IFERROR(VLOOKUP(M214,'Horario Pabellones'!$A$4:$D$17,2,FALSE),"")</f>
        <v/>
      </c>
      <c r="V214" s="25">
        <f>IFERROR(VLOOKUP(M214,'Horario Pabellones'!$A$4:$D$17,3,FALSE),"")</f>
        <v/>
      </c>
      <c r="W214" s="99">
        <f>IFERROR(VLOOKUP(M214,'Horario Pabellones'!$A$4:$D$17,4,FALSE),"")</f>
        <v/>
      </c>
      <c r="X214" s="89">
        <f>IFERROR(IF(OR(A214="",M214="",W214=""),"",(((_xludf.AGGREGATE(14,6,MOD($S$4:$S$500,1)/(($A$4:$A$500=A214)*($M$4:$M$500=M214)*($R$4:$R$500&lt;&gt;"")*($S$4:$S$500&lt;&gt;"")),1)-_xludf.AGGREGATE(15,6,MOD($R$4:$R$500,1)/(($A$4:$A$500=A214)*($M$4:$M$500=M214)*($R$4:$R$500&lt;&gt;"")*($S$4:$S$500&lt;&gt;"")),1))*1440)/60)/(W214/60)),"")</f>
        <v/>
      </c>
      <c r="Y214" s="26">
        <f>IFERROR(IF(OR(O214="",A214="",M214=""),"",(IF(ISNUMBER(O214),MOD(O214,1),TIMEVALUE(O214))-LOOKUP(2,1/(($A$4:$A$500=A214)*($M$4:$M$500=M214)*($T$4:$T$500&lt;&gt;"")*($T$4:$T$500&lt;IF(ISNUMBER(O214),MOD(O214,1),TIMEVALUE(O214)))),$T$4:$T$500))*1440),"")</f>
        <v/>
      </c>
      <c r="Z214" s="27">
        <f>IFERROR(IF(Y214="","",IF(ROUND(Y214,0)&lt;=15,"Cumple","No cumple")),"")</f>
        <v/>
      </c>
      <c r="AA214" s="27" t="n"/>
      <c r="AB214" s="26">
        <f>IFERROR(IF(OR(O214="",R214=""),"",IF(IF(ISNUMBER(R214),MOD(R214,1),TIMEVALUE(R214))&gt;=IF(ISNUMBER(O214),MOD(O214,1),TIMEVALUE(O214)),(IF(ISNUMBER(R214),MOD(R214,1),TIMEVALUE(R214))-IF(ISNUMBER(O214),MOD(O214,1),TIMEVALUE(O214)))*1440,(IF(ISNUMBER(R214),MOD(R214,1),TIMEVALUE(R214))+1-IF(ISNUMBER(O214),MOD(O214,1),TIMEVALUE(O214)))*1440)),"")</f>
        <v/>
      </c>
      <c r="AC214" s="26">
        <f>IFERROR(IF(OR(R214="",S214=""),"",IF(IF(ISNUMBER(S214),MOD(S214,1),TIMEVALUE(S214))&gt;=IF(ISNUMBER(R214),MOD(R214,1),TIMEVALUE(R214)),(IF(ISNUMBER(S214),MOD(S214,1),TIMEVALUE(S214))-IF(ISNUMBER(R214),MOD(R214,1),TIMEVALUE(R214)))*1440,(IF(ISNUMBER(S214),MOD(S214,1),TIMEVALUE(S214))+1-IF(ISNUMBER(R214),MOD(R214,1),TIMEVALUE(R214)))*1440)),"")</f>
        <v/>
      </c>
      <c r="AD214" s="29" t="n"/>
      <c r="AE214" s="26">
        <f>IFERROR(IF(OR(AC214="",AD214=""),"",AC214-AD214),"")</f>
        <v/>
      </c>
      <c r="AF214" s="27">
        <f>IFERROR(IF(AE214="","",IF(ROUND(AE214,0)&gt;15,"Subestimacion",IF(ROUND(AE214,0)&lt;-15,"Sobrestimacion","Asertivo"))),"")</f>
        <v/>
      </c>
      <c r="AG214" s="19" t="n"/>
      <c r="AH214" s="19" t="n"/>
      <c r="AI214" s="19" t="n"/>
      <c r="AJ214" s="19" t="n"/>
      <c r="AK214" s="19" t="n"/>
      <c r="AL214" s="19" t="n"/>
      <c r="AM214" s="19" t="n"/>
      <c r="AN214" s="19" t="n"/>
      <c r="AO214" s="19" t="n"/>
      <c r="AP214" s="127">
        <f>IF(A214="","",A214-WEEKDAY(A214,2)+1)</f>
        <v/>
      </c>
      <c r="AQ214" s="127">
        <f>IF(AO214="","",AO214+6)</f>
        <v/>
      </c>
      <c r="AR214" s="19">
        <f>IF(AO214="","","Semana "&amp;TEXT(AO214,"dd-mm-yyyy")&amp;" al "&amp;TEXT(AP214,"dd-mm-yyyy"))</f>
        <v/>
      </c>
      <c r="AS214" s="19">
        <f>IF(A214="","",TEXT(A214,"mmmm yyyy"))</f>
        <v/>
      </c>
      <c r="AT214" s="19">
        <f>IF(A214="","",TEXT(A214,"dddd"))</f>
        <v/>
      </c>
      <c r="AU214" s="19">
        <f>IF(A214="","","CRR-"&amp;TEXT(A214,"yyyymmdd")&amp;"-"&amp;M214&amp;"-"&amp;TEXT(ROW()-3,"0000"))</f>
        <v/>
      </c>
      <c r="AV214" s="19">
        <f>IF(A214="","",IF(OR(B214="",C214="",E214="",F214="",M214="",N214=""),"Revisar campos obligatorios",IF(AND(P214="Atraso primera hora",Q214=""),"Falta justificación atraso primera hora",IF(AND(Z214="No cumple",AA214=""),"Falta justificación recambio &gt;15 min",IF(AND(ISNUMBER(SEARCH("suspend",N214)),OR(AG214="",AH214="")),"Falta causa/motivo suspensión","OK")))))</f>
        <v/>
      </c>
      <c r="AW214" s="19">
        <f>IF(N214="","",IF(ISNUMBER(SEARCH("suspend",N214)),IF(AND(AG214="",AH214=""),"Sin causa/motivo registrado",IF(AG214="",AH214,IF(AH214="",AG214,AG214&amp;": "&amp;AH214))),""))</f>
        <v/>
      </c>
    </row>
    <row r="215" ht="16" customHeight="1" s="151">
      <c r="A215" s="62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20">
        <f>IF(H215&lt;&gt;"",IFERROR(VLOOKUP(IFERROR(LEFT(H215,FIND("-",H215)-1),H215),'Catalogo MINSAL'!A:E,5,FALSE),""),IF(I215&lt;&gt;"",IFERROR(VLOOKUP(IFERROR(LEFT(I215,FIND("-",I215)-1),I215),'Catalogo MINSAL'!A:E,5,FALSE),""),""))</f>
        <v/>
      </c>
      <c r="K215" s="19" t="n"/>
      <c r="L215" s="19" t="n"/>
      <c r="M215" s="19" t="n"/>
      <c r="N215" s="19" t="n"/>
      <c r="O215" s="25" t="n"/>
      <c r="P215" s="27">
        <f>IFERROR(IF(OR(O215="",A215="",M215=""),"",IF(SUMPRODUCT(($A$4:$A$500=A215)*($M$4:$M$500=M215)*($O$4:$O$500&lt;&gt;"")*(MOD($O$4:$O$500,1)&lt;MOD(O215,1)))=0,IF(MOD(O215,1)&lt;=TIME(8,15,0),"Ingreso adecuado primera hora","Atraso primera hora"),"No aplica")),"")</f>
        <v/>
      </c>
      <c r="Q215" s="27" t="n"/>
      <c r="R215" s="25" t="n"/>
      <c r="S215" s="25" t="n"/>
      <c r="T215" s="25" t="n"/>
      <c r="U215" s="25">
        <f>IFERROR(VLOOKUP(M215,'Horario Pabellones'!$A$4:$D$17,2,FALSE),"")</f>
        <v/>
      </c>
      <c r="V215" s="25">
        <f>IFERROR(VLOOKUP(M215,'Horario Pabellones'!$A$4:$D$17,3,FALSE),"")</f>
        <v/>
      </c>
      <c r="W215" s="99">
        <f>IFERROR(VLOOKUP(M215,'Horario Pabellones'!$A$4:$D$17,4,FALSE),"")</f>
        <v/>
      </c>
      <c r="X215" s="89">
        <f>IFERROR(IF(OR(A215="",M215="",W215=""),"",(((_xludf.AGGREGATE(14,6,MOD($S$4:$S$500,1)/(($A$4:$A$500=A215)*($M$4:$M$500=M215)*($R$4:$R$500&lt;&gt;"")*($S$4:$S$500&lt;&gt;"")),1)-_xludf.AGGREGATE(15,6,MOD($R$4:$R$500,1)/(($A$4:$A$500=A215)*($M$4:$M$500=M215)*($R$4:$R$500&lt;&gt;"")*($S$4:$S$500&lt;&gt;"")),1))*1440)/60)/(W215/60)),"")</f>
        <v/>
      </c>
      <c r="Y215" s="26">
        <f>IFERROR(IF(OR(O215="",A215="",M215=""),"",(IF(ISNUMBER(O215),MOD(O215,1),TIMEVALUE(O215))-LOOKUP(2,1/(($A$4:$A$500=A215)*($M$4:$M$500=M215)*($T$4:$T$500&lt;&gt;"")*($T$4:$T$500&lt;IF(ISNUMBER(O215),MOD(O215,1),TIMEVALUE(O215)))),$T$4:$T$500))*1440),"")</f>
        <v/>
      </c>
      <c r="Z215" s="27">
        <f>IFERROR(IF(Y215="","",IF(ROUND(Y215,0)&lt;=15,"Cumple","No cumple")),"")</f>
        <v/>
      </c>
      <c r="AA215" s="27" t="n"/>
      <c r="AB215" s="26">
        <f>IFERROR(IF(OR(O215="",R215=""),"",IF(IF(ISNUMBER(R215),MOD(R215,1),TIMEVALUE(R215))&gt;=IF(ISNUMBER(O215),MOD(O215,1),TIMEVALUE(O215)),(IF(ISNUMBER(R215),MOD(R215,1),TIMEVALUE(R215))-IF(ISNUMBER(O215),MOD(O215,1),TIMEVALUE(O215)))*1440,(IF(ISNUMBER(R215),MOD(R215,1),TIMEVALUE(R215))+1-IF(ISNUMBER(O215),MOD(O215,1),TIMEVALUE(O215)))*1440)),"")</f>
        <v/>
      </c>
      <c r="AC215" s="26">
        <f>IFERROR(IF(OR(R215="",S215=""),"",IF(IF(ISNUMBER(S215),MOD(S215,1),TIMEVALUE(S215))&gt;=IF(ISNUMBER(R215),MOD(R215,1),TIMEVALUE(R215)),(IF(ISNUMBER(S215),MOD(S215,1),TIMEVALUE(S215))-IF(ISNUMBER(R215),MOD(R215,1),TIMEVALUE(R215)))*1440,(IF(ISNUMBER(S215),MOD(S215,1),TIMEVALUE(S215))+1-IF(ISNUMBER(R215),MOD(R215,1),TIMEVALUE(R215)))*1440)),"")</f>
        <v/>
      </c>
      <c r="AD215" s="29" t="n"/>
      <c r="AE215" s="26">
        <f>IFERROR(IF(OR(AC215="",AD215=""),"",AC215-AD215),"")</f>
        <v/>
      </c>
      <c r="AF215" s="27">
        <f>IFERROR(IF(AE215="","",IF(ROUND(AE215,0)&gt;15,"Subestimacion",IF(ROUND(AE215,0)&lt;-15,"Sobrestimacion","Asertivo"))),"")</f>
        <v/>
      </c>
      <c r="AG215" s="19" t="n"/>
      <c r="AH215" s="19" t="n"/>
      <c r="AI215" s="19" t="n"/>
      <c r="AJ215" s="19" t="n"/>
      <c r="AK215" s="19" t="n"/>
      <c r="AL215" s="19" t="n"/>
      <c r="AM215" s="19" t="n"/>
      <c r="AN215" s="19" t="n"/>
      <c r="AO215" s="19" t="n"/>
      <c r="AP215" s="127">
        <f>IF(A215="","",A215-WEEKDAY(A215,2)+1)</f>
        <v/>
      </c>
      <c r="AQ215" s="127">
        <f>IF(AO215="","",AO215+6)</f>
        <v/>
      </c>
      <c r="AR215" s="19">
        <f>IF(AO215="","","Semana "&amp;TEXT(AO215,"dd-mm-yyyy")&amp;" al "&amp;TEXT(AP215,"dd-mm-yyyy"))</f>
        <v/>
      </c>
      <c r="AS215" s="19">
        <f>IF(A215="","",TEXT(A215,"mmmm yyyy"))</f>
        <v/>
      </c>
      <c r="AT215" s="19">
        <f>IF(A215="","",TEXT(A215,"dddd"))</f>
        <v/>
      </c>
      <c r="AU215" s="19">
        <f>IF(A215="","","CRR-"&amp;TEXT(A215,"yyyymmdd")&amp;"-"&amp;M215&amp;"-"&amp;TEXT(ROW()-3,"0000"))</f>
        <v/>
      </c>
      <c r="AV215" s="19">
        <f>IF(A215="","",IF(OR(B215="",C215="",E215="",F215="",M215="",N215=""),"Revisar campos obligatorios",IF(AND(P215="Atraso primera hora",Q215=""),"Falta justificación atraso primera hora",IF(AND(Z215="No cumple",AA215=""),"Falta justificación recambio &gt;15 min",IF(AND(ISNUMBER(SEARCH("suspend",N215)),OR(AG215="",AH215="")),"Falta causa/motivo suspensión","OK")))))</f>
        <v/>
      </c>
      <c r="AW215" s="19">
        <f>IF(N215="","",IF(ISNUMBER(SEARCH("suspend",N215)),IF(AND(AG215="",AH215=""),"Sin causa/motivo registrado",IF(AG215="",AH215,IF(AH215="",AG215,AG215&amp;": "&amp;AH215))),""))</f>
        <v/>
      </c>
    </row>
    <row r="216" ht="16" customHeight="1" s="151">
      <c r="A216" s="62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20">
        <f>IF(H216&lt;&gt;"",IFERROR(VLOOKUP(IFERROR(LEFT(H216,FIND("-",H216)-1),H216),'Catalogo MINSAL'!A:E,5,FALSE),""),IF(I216&lt;&gt;"",IFERROR(VLOOKUP(IFERROR(LEFT(I216,FIND("-",I216)-1),I216),'Catalogo MINSAL'!A:E,5,FALSE),""),""))</f>
        <v/>
      </c>
      <c r="K216" s="19" t="n"/>
      <c r="L216" s="19" t="n"/>
      <c r="M216" s="19" t="n"/>
      <c r="N216" s="19" t="n"/>
      <c r="O216" s="25" t="n"/>
      <c r="P216" s="27">
        <f>IFERROR(IF(OR(O216="",A216="",M216=""),"",IF(SUMPRODUCT(($A$4:$A$500=A216)*($M$4:$M$500=M216)*($O$4:$O$500&lt;&gt;"")*(MOD($O$4:$O$500,1)&lt;MOD(O216,1)))=0,IF(MOD(O216,1)&lt;=TIME(8,15,0),"Ingreso adecuado primera hora","Atraso primera hora"),"No aplica")),"")</f>
        <v/>
      </c>
      <c r="Q216" s="27" t="n"/>
      <c r="R216" s="25" t="n"/>
      <c r="S216" s="25" t="n"/>
      <c r="T216" s="25" t="n"/>
      <c r="U216" s="25">
        <f>IFERROR(VLOOKUP(M216,'Horario Pabellones'!$A$4:$D$17,2,FALSE),"")</f>
        <v/>
      </c>
      <c r="V216" s="25">
        <f>IFERROR(VLOOKUP(M216,'Horario Pabellones'!$A$4:$D$17,3,FALSE),"")</f>
        <v/>
      </c>
      <c r="W216" s="99">
        <f>IFERROR(VLOOKUP(M216,'Horario Pabellones'!$A$4:$D$17,4,FALSE),"")</f>
        <v/>
      </c>
      <c r="X216" s="89">
        <f>IFERROR(IF(OR(A216="",M216="",W216=""),"",(((_xludf.AGGREGATE(14,6,MOD($S$4:$S$500,1)/(($A$4:$A$500=A216)*($M$4:$M$500=M216)*($R$4:$R$500&lt;&gt;"")*($S$4:$S$500&lt;&gt;"")),1)-_xludf.AGGREGATE(15,6,MOD($R$4:$R$500,1)/(($A$4:$A$500=A216)*($M$4:$M$500=M216)*($R$4:$R$500&lt;&gt;"")*($S$4:$S$500&lt;&gt;"")),1))*1440)/60)/(W216/60)),"")</f>
        <v/>
      </c>
      <c r="Y216" s="26">
        <f>IFERROR(IF(OR(O216="",A216="",M216=""),"",(IF(ISNUMBER(O216),MOD(O216,1),TIMEVALUE(O216))-LOOKUP(2,1/(($A$4:$A$500=A216)*($M$4:$M$500=M216)*($T$4:$T$500&lt;&gt;"")*($T$4:$T$500&lt;IF(ISNUMBER(O216),MOD(O216,1),TIMEVALUE(O216)))),$T$4:$T$500))*1440),"")</f>
        <v/>
      </c>
      <c r="Z216" s="27">
        <f>IFERROR(IF(Y216="","",IF(ROUND(Y216,0)&lt;=15,"Cumple","No cumple")),"")</f>
        <v/>
      </c>
      <c r="AA216" s="27" t="n"/>
      <c r="AB216" s="26">
        <f>IFERROR(IF(OR(O216="",R216=""),"",IF(IF(ISNUMBER(R216),MOD(R216,1),TIMEVALUE(R216))&gt;=IF(ISNUMBER(O216),MOD(O216,1),TIMEVALUE(O216)),(IF(ISNUMBER(R216),MOD(R216,1),TIMEVALUE(R216))-IF(ISNUMBER(O216),MOD(O216,1),TIMEVALUE(O216)))*1440,(IF(ISNUMBER(R216),MOD(R216,1),TIMEVALUE(R216))+1-IF(ISNUMBER(O216),MOD(O216,1),TIMEVALUE(O216)))*1440)),"")</f>
        <v/>
      </c>
      <c r="AC216" s="26">
        <f>IFERROR(IF(OR(R216="",S216=""),"",IF(IF(ISNUMBER(S216),MOD(S216,1),TIMEVALUE(S216))&gt;=IF(ISNUMBER(R216),MOD(R216,1),TIMEVALUE(R216)),(IF(ISNUMBER(S216),MOD(S216,1),TIMEVALUE(S216))-IF(ISNUMBER(R216),MOD(R216,1),TIMEVALUE(R216)))*1440,(IF(ISNUMBER(S216),MOD(S216,1),TIMEVALUE(S216))+1-IF(ISNUMBER(R216),MOD(R216,1),TIMEVALUE(R216)))*1440)),"")</f>
        <v/>
      </c>
      <c r="AD216" s="29" t="n"/>
      <c r="AE216" s="26">
        <f>IFERROR(IF(OR(AC216="",AD216=""),"",AC216-AD216),"")</f>
        <v/>
      </c>
      <c r="AF216" s="27">
        <f>IFERROR(IF(AE216="","",IF(ROUND(AE216,0)&gt;15,"Subestimacion",IF(ROUND(AE216,0)&lt;-15,"Sobrestimacion","Asertivo"))),"")</f>
        <v/>
      </c>
      <c r="AG216" s="19" t="n"/>
      <c r="AH216" s="19" t="n"/>
      <c r="AI216" s="19" t="n"/>
      <c r="AJ216" s="19" t="n"/>
      <c r="AK216" s="19" t="n"/>
      <c r="AL216" s="19" t="n"/>
      <c r="AM216" s="19" t="n"/>
      <c r="AN216" s="19" t="n"/>
      <c r="AO216" s="19" t="n"/>
      <c r="AP216" s="127">
        <f>IF(A216="","",A216-WEEKDAY(A216,2)+1)</f>
        <v/>
      </c>
      <c r="AQ216" s="127">
        <f>IF(AO216="","",AO216+6)</f>
        <v/>
      </c>
      <c r="AR216" s="19">
        <f>IF(AO216="","","Semana "&amp;TEXT(AO216,"dd-mm-yyyy")&amp;" al "&amp;TEXT(AP216,"dd-mm-yyyy"))</f>
        <v/>
      </c>
      <c r="AS216" s="19">
        <f>IF(A216="","",TEXT(A216,"mmmm yyyy"))</f>
        <v/>
      </c>
      <c r="AT216" s="19">
        <f>IF(A216="","",TEXT(A216,"dddd"))</f>
        <v/>
      </c>
      <c r="AU216" s="19">
        <f>IF(A216="","","CRR-"&amp;TEXT(A216,"yyyymmdd")&amp;"-"&amp;M216&amp;"-"&amp;TEXT(ROW()-3,"0000"))</f>
        <v/>
      </c>
      <c r="AV216" s="19">
        <f>IF(A216="","",IF(OR(B216="",C216="",E216="",F216="",M216="",N216=""),"Revisar campos obligatorios",IF(AND(P216="Atraso primera hora",Q216=""),"Falta justificación atraso primera hora",IF(AND(Z216="No cumple",AA216=""),"Falta justificación recambio &gt;15 min",IF(AND(ISNUMBER(SEARCH("suspend",N216)),OR(AG216="",AH216="")),"Falta causa/motivo suspensión","OK")))))</f>
        <v/>
      </c>
      <c r="AW216" s="19">
        <f>IF(N216="","",IF(ISNUMBER(SEARCH("suspend",N216)),IF(AND(AG216="",AH216=""),"Sin causa/motivo registrado",IF(AG216="",AH216,IF(AH216="",AG216,AG216&amp;": "&amp;AH216))),""))</f>
        <v/>
      </c>
    </row>
    <row r="217" ht="16" customHeight="1" s="151">
      <c r="A217" s="62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20">
        <f>IF(H217&lt;&gt;"",IFERROR(VLOOKUP(IFERROR(LEFT(H217,FIND("-",H217)-1),H217),'Catalogo MINSAL'!A:E,5,FALSE),""),IF(I217&lt;&gt;"",IFERROR(VLOOKUP(IFERROR(LEFT(I217,FIND("-",I217)-1),I217),'Catalogo MINSAL'!A:E,5,FALSE),""),""))</f>
        <v/>
      </c>
      <c r="K217" s="19" t="n"/>
      <c r="L217" s="19" t="n"/>
      <c r="M217" s="19" t="n"/>
      <c r="N217" s="19" t="n"/>
      <c r="O217" s="25" t="n"/>
      <c r="P217" s="27">
        <f>IFERROR(IF(OR(O217="",A217="",M217=""),"",IF(SUMPRODUCT(($A$4:$A$500=A217)*($M$4:$M$500=M217)*($O$4:$O$500&lt;&gt;"")*(MOD($O$4:$O$500,1)&lt;MOD(O217,1)))=0,IF(MOD(O217,1)&lt;=TIME(8,15,0),"Ingreso adecuado primera hora","Atraso primera hora"),"No aplica")),"")</f>
        <v/>
      </c>
      <c r="Q217" s="27" t="n"/>
      <c r="R217" s="25" t="n"/>
      <c r="S217" s="25" t="n"/>
      <c r="T217" s="25" t="n"/>
      <c r="U217" s="25">
        <f>IFERROR(VLOOKUP(M217,'Horario Pabellones'!$A$4:$D$17,2,FALSE),"")</f>
        <v/>
      </c>
      <c r="V217" s="25">
        <f>IFERROR(VLOOKUP(M217,'Horario Pabellones'!$A$4:$D$17,3,FALSE),"")</f>
        <v/>
      </c>
      <c r="W217" s="99">
        <f>IFERROR(VLOOKUP(M217,'Horario Pabellones'!$A$4:$D$17,4,FALSE),"")</f>
        <v/>
      </c>
      <c r="X217" s="89">
        <f>IFERROR(IF(OR(A217="",M217="",W217=""),"",(((_xludf.AGGREGATE(14,6,MOD($S$4:$S$500,1)/(($A$4:$A$500=A217)*($M$4:$M$500=M217)*($R$4:$R$500&lt;&gt;"")*($S$4:$S$500&lt;&gt;"")),1)-_xludf.AGGREGATE(15,6,MOD($R$4:$R$500,1)/(($A$4:$A$500=A217)*($M$4:$M$500=M217)*($R$4:$R$500&lt;&gt;"")*($S$4:$S$500&lt;&gt;"")),1))*1440)/60)/(W217/60)),"")</f>
        <v/>
      </c>
      <c r="Y217" s="26">
        <f>IFERROR(IF(OR(O217="",A217="",M217=""),"",(IF(ISNUMBER(O217),MOD(O217,1),TIMEVALUE(O217))-LOOKUP(2,1/(($A$4:$A$500=A217)*($M$4:$M$500=M217)*($T$4:$T$500&lt;&gt;"")*($T$4:$T$500&lt;IF(ISNUMBER(O217),MOD(O217,1),TIMEVALUE(O217)))),$T$4:$T$500))*1440),"")</f>
        <v/>
      </c>
      <c r="Z217" s="27">
        <f>IFERROR(IF(Y217="","",IF(ROUND(Y217,0)&lt;=15,"Cumple","No cumple")),"")</f>
        <v/>
      </c>
      <c r="AA217" s="27" t="n"/>
      <c r="AB217" s="26">
        <f>IFERROR(IF(OR(O217="",R217=""),"",IF(IF(ISNUMBER(R217),MOD(R217,1),TIMEVALUE(R217))&gt;=IF(ISNUMBER(O217),MOD(O217,1),TIMEVALUE(O217)),(IF(ISNUMBER(R217),MOD(R217,1),TIMEVALUE(R217))-IF(ISNUMBER(O217),MOD(O217,1),TIMEVALUE(O217)))*1440,(IF(ISNUMBER(R217),MOD(R217,1),TIMEVALUE(R217))+1-IF(ISNUMBER(O217),MOD(O217,1),TIMEVALUE(O217)))*1440)),"")</f>
        <v/>
      </c>
      <c r="AC217" s="26">
        <f>IFERROR(IF(OR(R217="",S217=""),"",IF(IF(ISNUMBER(S217),MOD(S217,1),TIMEVALUE(S217))&gt;=IF(ISNUMBER(R217),MOD(R217,1),TIMEVALUE(R217)),(IF(ISNUMBER(S217),MOD(S217,1),TIMEVALUE(S217))-IF(ISNUMBER(R217),MOD(R217,1),TIMEVALUE(R217)))*1440,(IF(ISNUMBER(S217),MOD(S217,1),TIMEVALUE(S217))+1-IF(ISNUMBER(R217),MOD(R217,1),TIMEVALUE(R217)))*1440)),"")</f>
        <v/>
      </c>
      <c r="AD217" s="29" t="n"/>
      <c r="AE217" s="26">
        <f>IFERROR(IF(OR(AC217="",AD217=""),"",AC217-AD217),"")</f>
        <v/>
      </c>
      <c r="AF217" s="27">
        <f>IFERROR(IF(AE217="","",IF(ROUND(AE217,0)&gt;15,"Subestimacion",IF(ROUND(AE217,0)&lt;-15,"Sobrestimacion","Asertivo"))),"")</f>
        <v/>
      </c>
      <c r="AG217" s="19" t="n"/>
      <c r="AH217" s="19" t="n"/>
      <c r="AI217" s="19" t="n"/>
      <c r="AJ217" s="19" t="n"/>
      <c r="AK217" s="19" t="n"/>
      <c r="AL217" s="19" t="n"/>
      <c r="AM217" s="19" t="n"/>
      <c r="AN217" s="19" t="n"/>
      <c r="AO217" s="19" t="n"/>
      <c r="AP217" s="127">
        <f>IF(A217="","",A217-WEEKDAY(A217,2)+1)</f>
        <v/>
      </c>
      <c r="AQ217" s="127">
        <f>IF(AO217="","",AO217+6)</f>
        <v/>
      </c>
      <c r="AR217" s="19">
        <f>IF(AO217="","","Semana "&amp;TEXT(AO217,"dd-mm-yyyy")&amp;" al "&amp;TEXT(AP217,"dd-mm-yyyy"))</f>
        <v/>
      </c>
      <c r="AS217" s="19">
        <f>IF(A217="","",TEXT(A217,"mmmm yyyy"))</f>
        <v/>
      </c>
      <c r="AT217" s="19">
        <f>IF(A217="","",TEXT(A217,"dddd"))</f>
        <v/>
      </c>
      <c r="AU217" s="19">
        <f>IF(A217="","","CRR-"&amp;TEXT(A217,"yyyymmdd")&amp;"-"&amp;M217&amp;"-"&amp;TEXT(ROW()-3,"0000"))</f>
        <v/>
      </c>
      <c r="AV217" s="19">
        <f>IF(A217="","",IF(OR(B217="",C217="",E217="",F217="",M217="",N217=""),"Revisar campos obligatorios",IF(AND(P217="Atraso primera hora",Q217=""),"Falta justificación atraso primera hora",IF(AND(Z217="No cumple",AA217=""),"Falta justificación recambio &gt;15 min",IF(AND(ISNUMBER(SEARCH("suspend",N217)),OR(AG217="",AH217="")),"Falta causa/motivo suspensión","OK")))))</f>
        <v/>
      </c>
      <c r="AW217" s="19">
        <f>IF(N217="","",IF(ISNUMBER(SEARCH("suspend",N217)),IF(AND(AG217="",AH217=""),"Sin causa/motivo registrado",IF(AG217="",AH217,IF(AH217="",AG217,AG217&amp;": "&amp;AH217))),""))</f>
        <v/>
      </c>
    </row>
    <row r="218" ht="16" customHeight="1" s="151">
      <c r="A218" s="62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20">
        <f>IF(H218&lt;&gt;"",IFERROR(VLOOKUP(IFERROR(LEFT(H218,FIND("-",H218)-1),H218),'Catalogo MINSAL'!A:E,5,FALSE),""),IF(I218&lt;&gt;"",IFERROR(VLOOKUP(IFERROR(LEFT(I218,FIND("-",I218)-1),I218),'Catalogo MINSAL'!A:E,5,FALSE),""),""))</f>
        <v/>
      </c>
      <c r="K218" s="19" t="n"/>
      <c r="L218" s="19" t="n"/>
      <c r="M218" s="19" t="n"/>
      <c r="N218" s="19" t="n"/>
      <c r="O218" s="25" t="n"/>
      <c r="P218" s="27">
        <f>IFERROR(IF(OR(O218="",A218="",M218=""),"",IF(SUMPRODUCT(($A$4:$A$500=A218)*($M$4:$M$500=M218)*($O$4:$O$500&lt;&gt;"")*(MOD($O$4:$O$500,1)&lt;MOD(O218,1)))=0,IF(MOD(O218,1)&lt;=TIME(8,15,0),"Ingreso adecuado primera hora","Atraso primera hora"),"No aplica")),"")</f>
        <v/>
      </c>
      <c r="Q218" s="27" t="n"/>
      <c r="R218" s="25" t="n"/>
      <c r="S218" s="25" t="n"/>
      <c r="T218" s="25" t="n"/>
      <c r="U218" s="25">
        <f>IFERROR(VLOOKUP(M218,'Horario Pabellones'!$A$4:$D$17,2,FALSE),"")</f>
        <v/>
      </c>
      <c r="V218" s="25">
        <f>IFERROR(VLOOKUP(M218,'Horario Pabellones'!$A$4:$D$17,3,FALSE),"")</f>
        <v/>
      </c>
      <c r="W218" s="99">
        <f>IFERROR(VLOOKUP(M218,'Horario Pabellones'!$A$4:$D$17,4,FALSE),"")</f>
        <v/>
      </c>
      <c r="X218" s="89">
        <f>IFERROR(IF(OR(A218="",M218="",W218=""),"",(((_xludf.AGGREGATE(14,6,MOD($S$4:$S$500,1)/(($A$4:$A$500=A218)*($M$4:$M$500=M218)*($R$4:$R$500&lt;&gt;"")*($S$4:$S$500&lt;&gt;"")),1)-_xludf.AGGREGATE(15,6,MOD($R$4:$R$500,1)/(($A$4:$A$500=A218)*($M$4:$M$500=M218)*($R$4:$R$500&lt;&gt;"")*($S$4:$S$500&lt;&gt;"")),1))*1440)/60)/(W218/60)),"")</f>
        <v/>
      </c>
      <c r="Y218" s="26">
        <f>IFERROR(IF(OR(O218="",A218="",M218=""),"",(IF(ISNUMBER(O218),MOD(O218,1),TIMEVALUE(O218))-LOOKUP(2,1/(($A$4:$A$500=A218)*($M$4:$M$500=M218)*($T$4:$T$500&lt;&gt;"")*($T$4:$T$500&lt;IF(ISNUMBER(O218),MOD(O218,1),TIMEVALUE(O218)))),$T$4:$T$500))*1440),"")</f>
        <v/>
      </c>
      <c r="Z218" s="27">
        <f>IFERROR(IF(Y218="","",IF(ROUND(Y218,0)&lt;=15,"Cumple","No cumple")),"")</f>
        <v/>
      </c>
      <c r="AA218" s="27" t="n"/>
      <c r="AB218" s="26">
        <f>IFERROR(IF(OR(O218="",R218=""),"",IF(IF(ISNUMBER(R218),MOD(R218,1),TIMEVALUE(R218))&gt;=IF(ISNUMBER(O218),MOD(O218,1),TIMEVALUE(O218)),(IF(ISNUMBER(R218),MOD(R218,1),TIMEVALUE(R218))-IF(ISNUMBER(O218),MOD(O218,1),TIMEVALUE(O218)))*1440,(IF(ISNUMBER(R218),MOD(R218,1),TIMEVALUE(R218))+1-IF(ISNUMBER(O218),MOD(O218,1),TIMEVALUE(O218)))*1440)),"")</f>
        <v/>
      </c>
      <c r="AC218" s="26">
        <f>IFERROR(IF(OR(R218="",S218=""),"",IF(IF(ISNUMBER(S218),MOD(S218,1),TIMEVALUE(S218))&gt;=IF(ISNUMBER(R218),MOD(R218,1),TIMEVALUE(R218)),(IF(ISNUMBER(S218),MOD(S218,1),TIMEVALUE(S218))-IF(ISNUMBER(R218),MOD(R218,1),TIMEVALUE(R218)))*1440,(IF(ISNUMBER(S218),MOD(S218,1),TIMEVALUE(S218))+1-IF(ISNUMBER(R218),MOD(R218,1),TIMEVALUE(R218)))*1440)),"")</f>
        <v/>
      </c>
      <c r="AD218" s="29" t="n"/>
      <c r="AE218" s="26">
        <f>IFERROR(IF(OR(AC218="",AD218=""),"",AC218-AD218),"")</f>
        <v/>
      </c>
      <c r="AF218" s="27">
        <f>IFERROR(IF(AE218="","",IF(ROUND(AE218,0)&gt;15,"Subestimacion",IF(ROUND(AE218,0)&lt;-15,"Sobrestimacion","Asertivo"))),"")</f>
        <v/>
      </c>
      <c r="AG218" s="19" t="n"/>
      <c r="AH218" s="19" t="n"/>
      <c r="AI218" s="19" t="n"/>
      <c r="AJ218" s="19" t="n"/>
      <c r="AK218" s="19" t="n"/>
      <c r="AL218" s="19" t="n"/>
      <c r="AM218" s="19" t="n"/>
      <c r="AN218" s="19" t="n"/>
      <c r="AO218" s="19" t="n"/>
      <c r="AP218" s="127">
        <f>IF(A218="","",A218-WEEKDAY(A218,2)+1)</f>
        <v/>
      </c>
      <c r="AQ218" s="127">
        <f>IF(AO218="","",AO218+6)</f>
        <v/>
      </c>
      <c r="AR218" s="19">
        <f>IF(AO218="","","Semana "&amp;TEXT(AO218,"dd-mm-yyyy")&amp;" al "&amp;TEXT(AP218,"dd-mm-yyyy"))</f>
        <v/>
      </c>
      <c r="AS218" s="19">
        <f>IF(A218="","",TEXT(A218,"mmmm yyyy"))</f>
        <v/>
      </c>
      <c r="AT218" s="19">
        <f>IF(A218="","",TEXT(A218,"dddd"))</f>
        <v/>
      </c>
      <c r="AU218" s="19">
        <f>IF(A218="","","CRR-"&amp;TEXT(A218,"yyyymmdd")&amp;"-"&amp;M218&amp;"-"&amp;TEXT(ROW()-3,"0000"))</f>
        <v/>
      </c>
      <c r="AV218" s="19">
        <f>IF(A218="","",IF(OR(B218="",C218="",E218="",F218="",M218="",N218=""),"Revisar campos obligatorios",IF(AND(P218="Atraso primera hora",Q218=""),"Falta justificación atraso primera hora",IF(AND(Z218="No cumple",AA218=""),"Falta justificación recambio &gt;15 min",IF(AND(ISNUMBER(SEARCH("suspend",N218)),OR(AG218="",AH218="")),"Falta causa/motivo suspensión","OK")))))</f>
        <v/>
      </c>
      <c r="AW218" s="19">
        <f>IF(N218="","",IF(ISNUMBER(SEARCH("suspend",N218)),IF(AND(AG218="",AH218=""),"Sin causa/motivo registrado",IF(AG218="",AH218,IF(AH218="",AG218,AG218&amp;": "&amp;AH218))),""))</f>
        <v/>
      </c>
    </row>
    <row r="219" ht="16" customHeight="1" s="151">
      <c r="A219" s="62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20">
        <f>IF(H219&lt;&gt;"",IFERROR(VLOOKUP(IFERROR(LEFT(H219,FIND("-",H219)-1),H219),'Catalogo MINSAL'!A:E,5,FALSE),""),IF(I219&lt;&gt;"",IFERROR(VLOOKUP(IFERROR(LEFT(I219,FIND("-",I219)-1),I219),'Catalogo MINSAL'!A:E,5,FALSE),""),""))</f>
        <v/>
      </c>
      <c r="K219" s="19" t="n"/>
      <c r="L219" s="19" t="n"/>
      <c r="M219" s="19" t="n"/>
      <c r="N219" s="19" t="n"/>
      <c r="O219" s="25" t="n"/>
      <c r="P219" s="27">
        <f>IFERROR(IF(OR(O219="",A219="",M219=""),"",IF(SUMPRODUCT(($A$4:$A$500=A219)*($M$4:$M$500=M219)*($O$4:$O$500&lt;&gt;"")*(MOD($O$4:$O$500,1)&lt;MOD(O219,1)))=0,IF(MOD(O219,1)&lt;=TIME(8,15,0),"Ingreso adecuado primera hora","Atraso primera hora"),"No aplica")),"")</f>
        <v/>
      </c>
      <c r="Q219" s="27" t="n"/>
      <c r="R219" s="25" t="n"/>
      <c r="S219" s="25" t="n"/>
      <c r="T219" s="25" t="n"/>
      <c r="U219" s="25">
        <f>IFERROR(VLOOKUP(M219,'Horario Pabellones'!$A$4:$D$17,2,FALSE),"")</f>
        <v/>
      </c>
      <c r="V219" s="25">
        <f>IFERROR(VLOOKUP(M219,'Horario Pabellones'!$A$4:$D$17,3,FALSE),"")</f>
        <v/>
      </c>
      <c r="W219" s="99">
        <f>IFERROR(VLOOKUP(M219,'Horario Pabellones'!$A$4:$D$17,4,FALSE),"")</f>
        <v/>
      </c>
      <c r="X219" s="89">
        <f>IFERROR(IF(OR(A219="",M219="",W219=""),"",(((_xludf.AGGREGATE(14,6,MOD($S$4:$S$500,1)/(($A$4:$A$500=A219)*($M$4:$M$500=M219)*($R$4:$R$500&lt;&gt;"")*($S$4:$S$500&lt;&gt;"")),1)-_xludf.AGGREGATE(15,6,MOD($R$4:$R$500,1)/(($A$4:$A$500=A219)*($M$4:$M$500=M219)*($R$4:$R$500&lt;&gt;"")*($S$4:$S$500&lt;&gt;"")),1))*1440)/60)/(W219/60)),"")</f>
        <v/>
      </c>
      <c r="Y219" s="26">
        <f>IFERROR(IF(OR(O219="",A219="",M219=""),"",(IF(ISNUMBER(O219),MOD(O219,1),TIMEVALUE(O219))-LOOKUP(2,1/(($A$4:$A$500=A219)*($M$4:$M$500=M219)*($T$4:$T$500&lt;&gt;"")*($T$4:$T$500&lt;IF(ISNUMBER(O219),MOD(O219,1),TIMEVALUE(O219)))),$T$4:$T$500))*1440),"")</f>
        <v/>
      </c>
      <c r="Z219" s="27">
        <f>IFERROR(IF(Y219="","",IF(ROUND(Y219,0)&lt;=15,"Cumple","No cumple")),"")</f>
        <v/>
      </c>
      <c r="AA219" s="27" t="n"/>
      <c r="AB219" s="26">
        <f>IFERROR(IF(OR(O219="",R219=""),"",IF(IF(ISNUMBER(R219),MOD(R219,1),TIMEVALUE(R219))&gt;=IF(ISNUMBER(O219),MOD(O219,1),TIMEVALUE(O219)),(IF(ISNUMBER(R219),MOD(R219,1),TIMEVALUE(R219))-IF(ISNUMBER(O219),MOD(O219,1),TIMEVALUE(O219)))*1440,(IF(ISNUMBER(R219),MOD(R219,1),TIMEVALUE(R219))+1-IF(ISNUMBER(O219),MOD(O219,1),TIMEVALUE(O219)))*1440)),"")</f>
        <v/>
      </c>
      <c r="AC219" s="26">
        <f>IFERROR(IF(OR(R219="",S219=""),"",IF(IF(ISNUMBER(S219),MOD(S219,1),TIMEVALUE(S219))&gt;=IF(ISNUMBER(R219),MOD(R219,1),TIMEVALUE(R219)),(IF(ISNUMBER(S219),MOD(S219,1),TIMEVALUE(S219))-IF(ISNUMBER(R219),MOD(R219,1),TIMEVALUE(R219)))*1440,(IF(ISNUMBER(S219),MOD(S219,1),TIMEVALUE(S219))+1-IF(ISNUMBER(R219),MOD(R219,1),TIMEVALUE(R219)))*1440)),"")</f>
        <v/>
      </c>
      <c r="AD219" s="29" t="n"/>
      <c r="AE219" s="26">
        <f>IFERROR(IF(OR(AC219="",AD219=""),"",AC219-AD219),"")</f>
        <v/>
      </c>
      <c r="AF219" s="27">
        <f>IFERROR(IF(AE219="","",IF(ROUND(AE219,0)&gt;15,"Subestimacion",IF(ROUND(AE219,0)&lt;-15,"Sobrestimacion","Asertivo"))),"")</f>
        <v/>
      </c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27">
        <f>IF(A219="","",A219-WEEKDAY(A219,2)+1)</f>
        <v/>
      </c>
      <c r="AQ219" s="127">
        <f>IF(AO219="","",AO219+6)</f>
        <v/>
      </c>
      <c r="AR219" s="19">
        <f>IF(AO219="","","Semana "&amp;TEXT(AO219,"dd-mm-yyyy")&amp;" al "&amp;TEXT(AP219,"dd-mm-yyyy"))</f>
        <v/>
      </c>
      <c r="AS219" s="19">
        <f>IF(A219="","",TEXT(A219,"mmmm yyyy"))</f>
        <v/>
      </c>
      <c r="AT219" s="19">
        <f>IF(A219="","",TEXT(A219,"dddd"))</f>
        <v/>
      </c>
      <c r="AU219" s="19">
        <f>IF(A219="","","CRR-"&amp;TEXT(A219,"yyyymmdd")&amp;"-"&amp;M219&amp;"-"&amp;TEXT(ROW()-3,"0000"))</f>
        <v/>
      </c>
      <c r="AV219" s="19">
        <f>IF(A219="","",IF(OR(B219="",C219="",E219="",F219="",M219="",N219=""),"Revisar campos obligatorios",IF(AND(P219="Atraso primera hora",Q219=""),"Falta justificación atraso primera hora",IF(AND(Z219="No cumple",AA219=""),"Falta justificación recambio &gt;15 min",IF(AND(ISNUMBER(SEARCH("suspend",N219)),OR(AG219="",AH219="")),"Falta causa/motivo suspensión","OK")))))</f>
        <v/>
      </c>
      <c r="AW219" s="19">
        <f>IF(N219="","",IF(ISNUMBER(SEARCH("suspend",N219)),IF(AND(AG219="",AH219=""),"Sin causa/motivo registrado",IF(AG219="",AH219,IF(AH219="",AG219,AG219&amp;": "&amp;AH219))),""))</f>
        <v/>
      </c>
    </row>
    <row r="220" ht="16" customHeight="1" s="151">
      <c r="A220" s="62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20">
        <f>IF(H220&lt;&gt;"",IFERROR(VLOOKUP(IFERROR(LEFT(H220,FIND("-",H220)-1),H220),'Catalogo MINSAL'!A:E,5,FALSE),""),IF(I220&lt;&gt;"",IFERROR(VLOOKUP(IFERROR(LEFT(I220,FIND("-",I220)-1),I220),'Catalogo MINSAL'!A:E,5,FALSE),""),""))</f>
        <v/>
      </c>
      <c r="K220" s="19" t="n"/>
      <c r="L220" s="19" t="n"/>
      <c r="M220" s="19" t="n"/>
      <c r="N220" s="19" t="n"/>
      <c r="O220" s="25" t="n"/>
      <c r="P220" s="27">
        <f>IFERROR(IF(OR(O220="",A220="",M220=""),"",IF(SUMPRODUCT(($A$4:$A$500=A220)*($M$4:$M$500=M220)*($O$4:$O$500&lt;&gt;"")*(MOD($O$4:$O$500,1)&lt;MOD(O220,1)))=0,IF(MOD(O220,1)&lt;=TIME(8,15,0),"Ingreso adecuado primera hora","Atraso primera hora"),"No aplica")),"")</f>
        <v/>
      </c>
      <c r="Q220" s="27" t="n"/>
      <c r="R220" s="25" t="n"/>
      <c r="S220" s="25" t="n"/>
      <c r="T220" s="25" t="n"/>
      <c r="U220" s="25">
        <f>IFERROR(VLOOKUP(M220,'Horario Pabellones'!$A$4:$D$17,2,FALSE),"")</f>
        <v/>
      </c>
      <c r="V220" s="25">
        <f>IFERROR(VLOOKUP(M220,'Horario Pabellones'!$A$4:$D$17,3,FALSE),"")</f>
        <v/>
      </c>
      <c r="W220" s="99">
        <f>IFERROR(VLOOKUP(M220,'Horario Pabellones'!$A$4:$D$17,4,FALSE),"")</f>
        <v/>
      </c>
      <c r="X220" s="89">
        <f>IFERROR(IF(OR(A220="",M220="",W220=""),"",(((_xludf.AGGREGATE(14,6,MOD($S$4:$S$500,1)/(($A$4:$A$500=A220)*($M$4:$M$500=M220)*($R$4:$R$500&lt;&gt;"")*($S$4:$S$500&lt;&gt;"")),1)-_xludf.AGGREGATE(15,6,MOD($R$4:$R$500,1)/(($A$4:$A$500=A220)*($M$4:$M$500=M220)*($R$4:$R$500&lt;&gt;"")*($S$4:$S$500&lt;&gt;"")),1))*1440)/60)/(W220/60)),"")</f>
        <v/>
      </c>
      <c r="Y220" s="26">
        <f>IFERROR(IF(OR(O220="",A220="",M220=""),"",(IF(ISNUMBER(O220),MOD(O220,1),TIMEVALUE(O220))-LOOKUP(2,1/(($A$4:$A$500=A220)*($M$4:$M$500=M220)*($T$4:$T$500&lt;&gt;"")*($T$4:$T$500&lt;IF(ISNUMBER(O220),MOD(O220,1),TIMEVALUE(O220)))),$T$4:$T$500))*1440),"")</f>
        <v/>
      </c>
      <c r="Z220" s="27">
        <f>IFERROR(IF(Y220="","",IF(ROUND(Y220,0)&lt;=15,"Cumple","No cumple")),"")</f>
        <v/>
      </c>
      <c r="AA220" s="27" t="n"/>
      <c r="AB220" s="26">
        <f>IFERROR(IF(OR(O220="",R220=""),"",IF(IF(ISNUMBER(R220),MOD(R220,1),TIMEVALUE(R220))&gt;=IF(ISNUMBER(O220),MOD(O220,1),TIMEVALUE(O220)),(IF(ISNUMBER(R220),MOD(R220,1),TIMEVALUE(R220))-IF(ISNUMBER(O220),MOD(O220,1),TIMEVALUE(O220)))*1440,(IF(ISNUMBER(R220),MOD(R220,1),TIMEVALUE(R220))+1-IF(ISNUMBER(O220),MOD(O220,1),TIMEVALUE(O220)))*1440)),"")</f>
        <v/>
      </c>
      <c r="AC220" s="26">
        <f>IFERROR(IF(OR(R220="",S220=""),"",IF(IF(ISNUMBER(S220),MOD(S220,1),TIMEVALUE(S220))&gt;=IF(ISNUMBER(R220),MOD(R220,1),TIMEVALUE(R220)),(IF(ISNUMBER(S220),MOD(S220,1),TIMEVALUE(S220))-IF(ISNUMBER(R220),MOD(R220,1),TIMEVALUE(R220)))*1440,(IF(ISNUMBER(S220),MOD(S220,1),TIMEVALUE(S220))+1-IF(ISNUMBER(R220),MOD(R220,1),TIMEVALUE(R220)))*1440)),"")</f>
        <v/>
      </c>
      <c r="AD220" s="29" t="n"/>
      <c r="AE220" s="26">
        <f>IFERROR(IF(OR(AC220="",AD220=""),"",AC220-AD220),"")</f>
        <v/>
      </c>
      <c r="AF220" s="27">
        <f>IFERROR(IF(AE220="","",IF(ROUND(AE220,0)&gt;15,"Subestimacion",IF(ROUND(AE220,0)&lt;-15,"Sobrestimacion","Asertivo"))),"")</f>
        <v/>
      </c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27">
        <f>IF(A220="","",A220-WEEKDAY(A220,2)+1)</f>
        <v/>
      </c>
      <c r="AQ220" s="127">
        <f>IF(AO220="","",AO220+6)</f>
        <v/>
      </c>
      <c r="AR220" s="19">
        <f>IF(AO220="","","Semana "&amp;TEXT(AO220,"dd-mm-yyyy")&amp;" al "&amp;TEXT(AP220,"dd-mm-yyyy"))</f>
        <v/>
      </c>
      <c r="AS220" s="19">
        <f>IF(A220="","",TEXT(A220,"mmmm yyyy"))</f>
        <v/>
      </c>
      <c r="AT220" s="19">
        <f>IF(A220="","",TEXT(A220,"dddd"))</f>
        <v/>
      </c>
      <c r="AU220" s="19">
        <f>IF(A220="","","CRR-"&amp;TEXT(A220,"yyyymmdd")&amp;"-"&amp;M220&amp;"-"&amp;TEXT(ROW()-3,"0000"))</f>
        <v/>
      </c>
      <c r="AV220" s="19">
        <f>IF(A220="","",IF(OR(B220="",C220="",E220="",F220="",M220="",N220=""),"Revisar campos obligatorios",IF(AND(P220="Atraso primera hora",Q220=""),"Falta justificación atraso primera hora",IF(AND(Z220="No cumple",AA220=""),"Falta justificación recambio &gt;15 min",IF(AND(ISNUMBER(SEARCH("suspend",N220)),OR(AG220="",AH220="")),"Falta causa/motivo suspensión","OK")))))</f>
        <v/>
      </c>
      <c r="AW220" s="19">
        <f>IF(N220="","",IF(ISNUMBER(SEARCH("suspend",N220)),IF(AND(AG220="",AH220=""),"Sin causa/motivo registrado",IF(AG220="",AH220,IF(AH220="",AG220,AG220&amp;": "&amp;AH220))),""))</f>
        <v/>
      </c>
    </row>
    <row r="221" ht="16" customHeight="1" s="151">
      <c r="A221" s="62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20">
        <f>IF(H221&lt;&gt;"",IFERROR(VLOOKUP(IFERROR(LEFT(H221,FIND("-",H221)-1),H221),'Catalogo MINSAL'!A:E,5,FALSE),""),IF(I221&lt;&gt;"",IFERROR(VLOOKUP(IFERROR(LEFT(I221,FIND("-",I221)-1),I221),'Catalogo MINSAL'!A:E,5,FALSE),""),""))</f>
        <v/>
      </c>
      <c r="K221" s="19" t="n"/>
      <c r="L221" s="19" t="n"/>
      <c r="M221" s="19" t="n"/>
      <c r="N221" s="19" t="n"/>
      <c r="O221" s="25" t="n"/>
      <c r="P221" s="27">
        <f>IFERROR(IF(OR(O221="",A221="",M221=""),"",IF(SUMPRODUCT(($A$4:$A$500=A221)*($M$4:$M$500=M221)*($O$4:$O$500&lt;&gt;"")*(MOD($O$4:$O$500,1)&lt;MOD(O221,1)))=0,IF(MOD(O221,1)&lt;=TIME(8,15,0),"Ingreso adecuado primera hora","Atraso primera hora"),"No aplica")),"")</f>
        <v/>
      </c>
      <c r="Q221" s="27" t="n"/>
      <c r="R221" s="25" t="n"/>
      <c r="S221" s="25" t="n"/>
      <c r="T221" s="25" t="n"/>
      <c r="U221" s="25">
        <f>IFERROR(VLOOKUP(M221,'Horario Pabellones'!$A$4:$D$17,2,FALSE),"")</f>
        <v/>
      </c>
      <c r="V221" s="25">
        <f>IFERROR(VLOOKUP(M221,'Horario Pabellones'!$A$4:$D$17,3,FALSE),"")</f>
        <v/>
      </c>
      <c r="W221" s="99">
        <f>IFERROR(VLOOKUP(M221,'Horario Pabellones'!$A$4:$D$17,4,FALSE),"")</f>
        <v/>
      </c>
      <c r="X221" s="89">
        <f>IFERROR(IF(OR(A221="",M221="",W221=""),"",(((_xludf.AGGREGATE(14,6,MOD($S$4:$S$500,1)/(($A$4:$A$500=A221)*($M$4:$M$500=M221)*($R$4:$R$500&lt;&gt;"")*($S$4:$S$500&lt;&gt;"")),1)-_xludf.AGGREGATE(15,6,MOD($R$4:$R$500,1)/(($A$4:$A$500=A221)*($M$4:$M$500=M221)*($R$4:$R$500&lt;&gt;"")*($S$4:$S$500&lt;&gt;"")),1))*1440)/60)/(W221/60)),"")</f>
        <v/>
      </c>
      <c r="Y221" s="26">
        <f>IFERROR(IF(OR(O221="",A221="",M221=""),"",(IF(ISNUMBER(O221),MOD(O221,1),TIMEVALUE(O221))-LOOKUP(2,1/(($A$4:$A$500=A221)*($M$4:$M$500=M221)*($T$4:$T$500&lt;&gt;"")*($T$4:$T$500&lt;IF(ISNUMBER(O221),MOD(O221,1),TIMEVALUE(O221)))),$T$4:$T$500))*1440),"")</f>
        <v/>
      </c>
      <c r="Z221" s="27">
        <f>IFERROR(IF(Y221="","",IF(ROUND(Y221,0)&lt;=15,"Cumple","No cumple")),"")</f>
        <v/>
      </c>
      <c r="AA221" s="27" t="n"/>
      <c r="AB221" s="26">
        <f>IFERROR(IF(OR(O221="",R221=""),"",IF(IF(ISNUMBER(R221),MOD(R221,1),TIMEVALUE(R221))&gt;=IF(ISNUMBER(O221),MOD(O221,1),TIMEVALUE(O221)),(IF(ISNUMBER(R221),MOD(R221,1),TIMEVALUE(R221))-IF(ISNUMBER(O221),MOD(O221,1),TIMEVALUE(O221)))*1440,(IF(ISNUMBER(R221),MOD(R221,1),TIMEVALUE(R221))+1-IF(ISNUMBER(O221),MOD(O221,1),TIMEVALUE(O221)))*1440)),"")</f>
        <v/>
      </c>
      <c r="AC221" s="26">
        <f>IFERROR(IF(OR(R221="",S221=""),"",IF(IF(ISNUMBER(S221),MOD(S221,1),TIMEVALUE(S221))&gt;=IF(ISNUMBER(R221),MOD(R221,1),TIMEVALUE(R221)),(IF(ISNUMBER(S221),MOD(S221,1),TIMEVALUE(S221))-IF(ISNUMBER(R221),MOD(R221,1),TIMEVALUE(R221)))*1440,(IF(ISNUMBER(S221),MOD(S221,1),TIMEVALUE(S221))+1-IF(ISNUMBER(R221),MOD(R221,1),TIMEVALUE(R221)))*1440)),"")</f>
        <v/>
      </c>
      <c r="AD221" s="29" t="n"/>
      <c r="AE221" s="26">
        <f>IFERROR(IF(OR(AC221="",AD221=""),"",AC221-AD221),"")</f>
        <v/>
      </c>
      <c r="AF221" s="27">
        <f>IFERROR(IF(AE221="","",IF(ROUND(AE221,0)&gt;15,"Subestimacion",IF(ROUND(AE221,0)&lt;-15,"Sobrestimacion","Asertivo"))),"")</f>
        <v/>
      </c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27">
        <f>IF(A221="","",A221-WEEKDAY(A221,2)+1)</f>
        <v/>
      </c>
      <c r="AQ221" s="127">
        <f>IF(AO221="","",AO221+6)</f>
        <v/>
      </c>
      <c r="AR221" s="19">
        <f>IF(AO221="","","Semana "&amp;TEXT(AO221,"dd-mm-yyyy")&amp;" al "&amp;TEXT(AP221,"dd-mm-yyyy"))</f>
        <v/>
      </c>
      <c r="AS221" s="19">
        <f>IF(A221="","",TEXT(A221,"mmmm yyyy"))</f>
        <v/>
      </c>
      <c r="AT221" s="19">
        <f>IF(A221="","",TEXT(A221,"dddd"))</f>
        <v/>
      </c>
      <c r="AU221" s="19">
        <f>IF(A221="","","CRR-"&amp;TEXT(A221,"yyyymmdd")&amp;"-"&amp;M221&amp;"-"&amp;TEXT(ROW()-3,"0000"))</f>
        <v/>
      </c>
      <c r="AV221" s="19">
        <f>IF(A221="","",IF(OR(B221="",C221="",E221="",F221="",M221="",N221=""),"Revisar campos obligatorios",IF(AND(P221="Atraso primera hora",Q221=""),"Falta justificación atraso primera hora",IF(AND(Z221="No cumple",AA221=""),"Falta justificación recambio &gt;15 min",IF(AND(ISNUMBER(SEARCH("suspend",N221)),OR(AG221="",AH221="")),"Falta causa/motivo suspensión","OK")))))</f>
        <v/>
      </c>
      <c r="AW221" s="19">
        <f>IF(N221="","",IF(ISNUMBER(SEARCH("suspend",N221)),IF(AND(AG221="",AH221=""),"Sin causa/motivo registrado",IF(AG221="",AH221,IF(AH221="",AG221,AG221&amp;": "&amp;AH221))),""))</f>
        <v/>
      </c>
    </row>
    <row r="222" ht="16" customHeight="1" s="151">
      <c r="A222" s="62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20">
        <f>IF(H222&lt;&gt;"",IFERROR(VLOOKUP(IFERROR(LEFT(H222,FIND("-",H222)-1),H222),'Catalogo MINSAL'!A:E,5,FALSE),""),IF(I222&lt;&gt;"",IFERROR(VLOOKUP(IFERROR(LEFT(I222,FIND("-",I222)-1),I222),'Catalogo MINSAL'!A:E,5,FALSE),""),""))</f>
        <v/>
      </c>
      <c r="K222" s="19" t="n"/>
      <c r="L222" s="19" t="n"/>
      <c r="M222" s="19" t="n"/>
      <c r="N222" s="19" t="n"/>
      <c r="O222" s="25" t="n"/>
      <c r="P222" s="27">
        <f>IFERROR(IF(OR(O222="",A222="",M222=""),"",IF(SUMPRODUCT(($A$4:$A$500=A222)*($M$4:$M$500=M222)*($O$4:$O$500&lt;&gt;"")*(MOD($O$4:$O$500,1)&lt;MOD(O222,1)))=0,IF(MOD(O222,1)&lt;=TIME(8,15,0),"Ingreso adecuado primera hora","Atraso primera hora"),"No aplica")),"")</f>
        <v/>
      </c>
      <c r="Q222" s="27" t="n"/>
      <c r="R222" s="25" t="n"/>
      <c r="S222" s="25" t="n"/>
      <c r="T222" s="25" t="n"/>
      <c r="U222" s="25">
        <f>IFERROR(VLOOKUP(M222,'Horario Pabellones'!$A$4:$D$17,2,FALSE),"")</f>
        <v/>
      </c>
      <c r="V222" s="25">
        <f>IFERROR(VLOOKUP(M222,'Horario Pabellones'!$A$4:$D$17,3,FALSE),"")</f>
        <v/>
      </c>
      <c r="W222" s="99">
        <f>IFERROR(VLOOKUP(M222,'Horario Pabellones'!$A$4:$D$17,4,FALSE),"")</f>
        <v/>
      </c>
      <c r="X222" s="89">
        <f>IFERROR(IF(OR(A222="",M222="",W222=""),"",(((_xludf.AGGREGATE(14,6,MOD($S$4:$S$500,1)/(($A$4:$A$500=A222)*($M$4:$M$500=M222)*($R$4:$R$500&lt;&gt;"")*($S$4:$S$500&lt;&gt;"")),1)-_xludf.AGGREGATE(15,6,MOD($R$4:$R$500,1)/(($A$4:$A$500=A222)*($M$4:$M$500=M222)*($R$4:$R$500&lt;&gt;"")*($S$4:$S$500&lt;&gt;"")),1))*1440)/60)/(W222/60)),"")</f>
        <v/>
      </c>
      <c r="Y222" s="26">
        <f>IFERROR(IF(OR(O222="",A222="",M222=""),"",(IF(ISNUMBER(O222),MOD(O222,1),TIMEVALUE(O222))-LOOKUP(2,1/(($A$4:$A$500=A222)*($M$4:$M$500=M222)*($T$4:$T$500&lt;&gt;"")*($T$4:$T$500&lt;IF(ISNUMBER(O222),MOD(O222,1),TIMEVALUE(O222)))),$T$4:$T$500))*1440),"")</f>
        <v/>
      </c>
      <c r="Z222" s="27">
        <f>IFERROR(IF(Y222="","",IF(ROUND(Y222,0)&lt;=15,"Cumple","No cumple")),"")</f>
        <v/>
      </c>
      <c r="AA222" s="27" t="n"/>
      <c r="AB222" s="26">
        <f>IFERROR(IF(OR(O222="",R222=""),"",IF(IF(ISNUMBER(R222),MOD(R222,1),TIMEVALUE(R222))&gt;=IF(ISNUMBER(O222),MOD(O222,1),TIMEVALUE(O222)),(IF(ISNUMBER(R222),MOD(R222,1),TIMEVALUE(R222))-IF(ISNUMBER(O222),MOD(O222,1),TIMEVALUE(O222)))*1440,(IF(ISNUMBER(R222),MOD(R222,1),TIMEVALUE(R222))+1-IF(ISNUMBER(O222),MOD(O222,1),TIMEVALUE(O222)))*1440)),"")</f>
        <v/>
      </c>
      <c r="AC222" s="26">
        <f>IFERROR(IF(OR(R222="",S222=""),"",IF(IF(ISNUMBER(S222),MOD(S222,1),TIMEVALUE(S222))&gt;=IF(ISNUMBER(R222),MOD(R222,1),TIMEVALUE(R222)),(IF(ISNUMBER(S222),MOD(S222,1),TIMEVALUE(S222))-IF(ISNUMBER(R222),MOD(R222,1),TIMEVALUE(R222)))*1440,(IF(ISNUMBER(S222),MOD(S222,1),TIMEVALUE(S222))+1-IF(ISNUMBER(R222),MOD(R222,1),TIMEVALUE(R222)))*1440)),"")</f>
        <v/>
      </c>
      <c r="AD222" s="29" t="n"/>
      <c r="AE222" s="26">
        <f>IFERROR(IF(OR(AC222="",AD222=""),"",AC222-AD222),"")</f>
        <v/>
      </c>
      <c r="AF222" s="27">
        <f>IFERROR(IF(AE222="","",IF(ROUND(AE222,0)&gt;15,"Subestimacion",IF(ROUND(AE222,0)&lt;-15,"Sobrestimacion","Asertivo"))),"")</f>
        <v/>
      </c>
      <c r="AG222" s="19" t="n"/>
      <c r="AH222" s="19" t="n"/>
      <c r="AI222" s="19" t="n"/>
      <c r="AJ222" s="19" t="n"/>
      <c r="AK222" s="19" t="n"/>
      <c r="AL222" s="19" t="n"/>
      <c r="AM222" s="19" t="n"/>
      <c r="AN222" s="19" t="n"/>
      <c r="AO222" s="19" t="n"/>
      <c r="AP222" s="127">
        <f>IF(A222="","",A222-WEEKDAY(A222,2)+1)</f>
        <v/>
      </c>
      <c r="AQ222" s="127">
        <f>IF(AO222="","",AO222+6)</f>
        <v/>
      </c>
      <c r="AR222" s="19">
        <f>IF(AO222="","","Semana "&amp;TEXT(AO222,"dd-mm-yyyy")&amp;" al "&amp;TEXT(AP222,"dd-mm-yyyy"))</f>
        <v/>
      </c>
      <c r="AS222" s="19">
        <f>IF(A222="","",TEXT(A222,"mmmm yyyy"))</f>
        <v/>
      </c>
      <c r="AT222" s="19">
        <f>IF(A222="","",TEXT(A222,"dddd"))</f>
        <v/>
      </c>
      <c r="AU222" s="19">
        <f>IF(A222="","","CRR-"&amp;TEXT(A222,"yyyymmdd")&amp;"-"&amp;M222&amp;"-"&amp;TEXT(ROW()-3,"0000"))</f>
        <v/>
      </c>
      <c r="AV222" s="19">
        <f>IF(A222="","",IF(OR(B222="",C222="",E222="",F222="",M222="",N222=""),"Revisar campos obligatorios",IF(AND(P222="Atraso primera hora",Q222=""),"Falta justificación atraso primera hora",IF(AND(Z222="No cumple",AA222=""),"Falta justificación recambio &gt;15 min",IF(AND(ISNUMBER(SEARCH("suspend",N222)),OR(AG222="",AH222="")),"Falta causa/motivo suspensión","OK")))))</f>
        <v/>
      </c>
      <c r="AW222" s="19">
        <f>IF(N222="","",IF(ISNUMBER(SEARCH("suspend",N222)),IF(AND(AG222="",AH222=""),"Sin causa/motivo registrado",IF(AG222="",AH222,IF(AH222="",AG222,AG222&amp;": "&amp;AH222))),""))</f>
        <v/>
      </c>
    </row>
    <row r="223" ht="16" customHeight="1" s="151">
      <c r="A223" s="62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20">
        <f>IF(H223&lt;&gt;"",IFERROR(VLOOKUP(IFERROR(LEFT(H223,FIND("-",H223)-1),H223),'Catalogo MINSAL'!A:E,5,FALSE),""),IF(I223&lt;&gt;"",IFERROR(VLOOKUP(IFERROR(LEFT(I223,FIND("-",I223)-1),I223),'Catalogo MINSAL'!A:E,5,FALSE),""),""))</f>
        <v/>
      </c>
      <c r="K223" s="19" t="n"/>
      <c r="L223" s="19" t="n"/>
      <c r="M223" s="19" t="n"/>
      <c r="N223" s="19" t="n"/>
      <c r="O223" s="25" t="n"/>
      <c r="P223" s="27">
        <f>IFERROR(IF(OR(O223="",A223="",M223=""),"",IF(SUMPRODUCT(($A$4:$A$500=A223)*($M$4:$M$500=M223)*($O$4:$O$500&lt;&gt;"")*(MOD($O$4:$O$500,1)&lt;MOD(O223,1)))=0,IF(MOD(O223,1)&lt;=TIME(8,15,0),"Ingreso adecuado primera hora","Atraso primera hora"),"No aplica")),"")</f>
        <v/>
      </c>
      <c r="Q223" s="27" t="n"/>
      <c r="R223" s="25" t="n"/>
      <c r="S223" s="25" t="n"/>
      <c r="T223" s="25" t="n"/>
      <c r="U223" s="25">
        <f>IFERROR(VLOOKUP(M223,'Horario Pabellones'!$A$4:$D$17,2,FALSE),"")</f>
        <v/>
      </c>
      <c r="V223" s="25">
        <f>IFERROR(VLOOKUP(M223,'Horario Pabellones'!$A$4:$D$17,3,FALSE),"")</f>
        <v/>
      </c>
      <c r="W223" s="99">
        <f>IFERROR(VLOOKUP(M223,'Horario Pabellones'!$A$4:$D$17,4,FALSE),"")</f>
        <v/>
      </c>
      <c r="X223" s="89">
        <f>IFERROR(IF(OR(A223="",M223="",W223=""),"",(((_xludf.AGGREGATE(14,6,MOD($S$4:$S$500,1)/(($A$4:$A$500=A223)*($M$4:$M$500=M223)*($R$4:$R$500&lt;&gt;"")*($S$4:$S$500&lt;&gt;"")),1)-_xludf.AGGREGATE(15,6,MOD($R$4:$R$500,1)/(($A$4:$A$500=A223)*($M$4:$M$500=M223)*($R$4:$R$500&lt;&gt;"")*($S$4:$S$500&lt;&gt;"")),1))*1440)/60)/(W223/60)),"")</f>
        <v/>
      </c>
      <c r="Y223" s="26">
        <f>IFERROR(IF(OR(O223="",A223="",M223=""),"",(IF(ISNUMBER(O223),MOD(O223,1),TIMEVALUE(O223))-LOOKUP(2,1/(($A$4:$A$500=A223)*($M$4:$M$500=M223)*($T$4:$T$500&lt;&gt;"")*($T$4:$T$500&lt;IF(ISNUMBER(O223),MOD(O223,1),TIMEVALUE(O223)))),$T$4:$T$500))*1440),"")</f>
        <v/>
      </c>
      <c r="Z223" s="27">
        <f>IFERROR(IF(Y223="","",IF(ROUND(Y223,0)&lt;=15,"Cumple","No cumple")),"")</f>
        <v/>
      </c>
      <c r="AA223" s="27" t="n"/>
      <c r="AB223" s="26">
        <f>IFERROR(IF(OR(O223="",R223=""),"",IF(IF(ISNUMBER(R223),MOD(R223,1),TIMEVALUE(R223))&gt;=IF(ISNUMBER(O223),MOD(O223,1),TIMEVALUE(O223)),(IF(ISNUMBER(R223),MOD(R223,1),TIMEVALUE(R223))-IF(ISNUMBER(O223),MOD(O223,1),TIMEVALUE(O223)))*1440,(IF(ISNUMBER(R223),MOD(R223,1),TIMEVALUE(R223))+1-IF(ISNUMBER(O223),MOD(O223,1),TIMEVALUE(O223)))*1440)),"")</f>
        <v/>
      </c>
      <c r="AC223" s="26">
        <f>IFERROR(IF(OR(R223="",S223=""),"",IF(IF(ISNUMBER(S223),MOD(S223,1),TIMEVALUE(S223))&gt;=IF(ISNUMBER(R223),MOD(R223,1),TIMEVALUE(R223)),(IF(ISNUMBER(S223),MOD(S223,1),TIMEVALUE(S223))-IF(ISNUMBER(R223),MOD(R223,1),TIMEVALUE(R223)))*1440,(IF(ISNUMBER(S223),MOD(S223,1),TIMEVALUE(S223))+1-IF(ISNUMBER(R223),MOD(R223,1),TIMEVALUE(R223)))*1440)),"")</f>
        <v/>
      </c>
      <c r="AD223" s="29" t="n"/>
      <c r="AE223" s="26">
        <f>IFERROR(IF(OR(AC223="",AD223=""),"",AC223-AD223),"")</f>
        <v/>
      </c>
      <c r="AF223" s="27">
        <f>IFERROR(IF(AE223="","",IF(ROUND(AE223,0)&gt;15,"Subestimacion",IF(ROUND(AE223,0)&lt;-15,"Sobrestimacion","Asertivo"))),"")</f>
        <v/>
      </c>
      <c r="AG223" s="19" t="n"/>
      <c r="AH223" s="19" t="n"/>
      <c r="AI223" s="19" t="n"/>
      <c r="AJ223" s="19" t="n"/>
      <c r="AK223" s="19" t="n"/>
      <c r="AL223" s="19" t="n"/>
      <c r="AM223" s="19" t="n"/>
      <c r="AN223" s="19" t="n"/>
      <c r="AO223" s="19" t="n"/>
      <c r="AP223" s="127">
        <f>IF(A223="","",A223-WEEKDAY(A223,2)+1)</f>
        <v/>
      </c>
      <c r="AQ223" s="127">
        <f>IF(AO223="","",AO223+6)</f>
        <v/>
      </c>
      <c r="AR223" s="19">
        <f>IF(AO223="","","Semana "&amp;TEXT(AO223,"dd-mm-yyyy")&amp;" al "&amp;TEXT(AP223,"dd-mm-yyyy"))</f>
        <v/>
      </c>
      <c r="AS223" s="19">
        <f>IF(A223="","",TEXT(A223,"mmmm yyyy"))</f>
        <v/>
      </c>
      <c r="AT223" s="19">
        <f>IF(A223="","",TEXT(A223,"dddd"))</f>
        <v/>
      </c>
      <c r="AU223" s="19">
        <f>IF(A223="","","CRR-"&amp;TEXT(A223,"yyyymmdd")&amp;"-"&amp;M223&amp;"-"&amp;TEXT(ROW()-3,"0000"))</f>
        <v/>
      </c>
      <c r="AV223" s="19">
        <f>IF(A223="","",IF(OR(B223="",C223="",E223="",F223="",M223="",N223=""),"Revisar campos obligatorios",IF(AND(P223="Atraso primera hora",Q223=""),"Falta justificación atraso primera hora",IF(AND(Z223="No cumple",AA223=""),"Falta justificación recambio &gt;15 min",IF(AND(ISNUMBER(SEARCH("suspend",N223)),OR(AG223="",AH223="")),"Falta causa/motivo suspensión","OK")))))</f>
        <v/>
      </c>
      <c r="AW223" s="19">
        <f>IF(N223="","",IF(ISNUMBER(SEARCH("suspend",N223)),IF(AND(AG223="",AH223=""),"Sin causa/motivo registrado",IF(AG223="",AH223,IF(AH223="",AG223,AG223&amp;": "&amp;AH223))),""))</f>
        <v/>
      </c>
    </row>
    <row r="224" ht="16" customHeight="1" s="151">
      <c r="A224" s="62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20">
        <f>IF(H224&lt;&gt;"",IFERROR(VLOOKUP(IFERROR(LEFT(H224,FIND("-",H224)-1),H224),'Catalogo MINSAL'!A:E,5,FALSE),""),IF(I224&lt;&gt;"",IFERROR(VLOOKUP(IFERROR(LEFT(I224,FIND("-",I224)-1),I224),'Catalogo MINSAL'!A:E,5,FALSE),""),""))</f>
        <v/>
      </c>
      <c r="K224" s="19" t="n"/>
      <c r="L224" s="19" t="n"/>
      <c r="M224" s="19" t="n"/>
      <c r="N224" s="19" t="n"/>
      <c r="O224" s="25" t="n"/>
      <c r="P224" s="27">
        <f>IFERROR(IF(OR(O224="",A224="",M224=""),"",IF(SUMPRODUCT(($A$4:$A$500=A224)*($M$4:$M$500=M224)*($O$4:$O$500&lt;&gt;"")*(MOD($O$4:$O$500,1)&lt;MOD(O224,1)))=0,IF(MOD(O224,1)&lt;=TIME(8,15,0),"Ingreso adecuado primera hora","Atraso primera hora"),"No aplica")),"")</f>
        <v/>
      </c>
      <c r="Q224" s="27" t="n"/>
      <c r="R224" s="25" t="n"/>
      <c r="S224" s="25" t="n"/>
      <c r="T224" s="25" t="n"/>
      <c r="U224" s="25">
        <f>IFERROR(VLOOKUP(M224,'Horario Pabellones'!$A$4:$D$17,2,FALSE),"")</f>
        <v/>
      </c>
      <c r="V224" s="25">
        <f>IFERROR(VLOOKUP(M224,'Horario Pabellones'!$A$4:$D$17,3,FALSE),"")</f>
        <v/>
      </c>
      <c r="W224" s="99">
        <f>IFERROR(VLOOKUP(M224,'Horario Pabellones'!$A$4:$D$17,4,FALSE),"")</f>
        <v/>
      </c>
      <c r="X224" s="89">
        <f>IFERROR(IF(OR(A224="",M224="",W224=""),"",(((_xludf.AGGREGATE(14,6,MOD($S$4:$S$500,1)/(($A$4:$A$500=A224)*($M$4:$M$500=M224)*($R$4:$R$500&lt;&gt;"")*($S$4:$S$500&lt;&gt;"")),1)-_xludf.AGGREGATE(15,6,MOD($R$4:$R$500,1)/(($A$4:$A$500=A224)*($M$4:$M$500=M224)*($R$4:$R$500&lt;&gt;"")*($S$4:$S$500&lt;&gt;"")),1))*1440)/60)/(W224/60)),"")</f>
        <v/>
      </c>
      <c r="Y224" s="26">
        <f>IFERROR(IF(OR(O224="",A224="",M224=""),"",(IF(ISNUMBER(O224),MOD(O224,1),TIMEVALUE(O224))-LOOKUP(2,1/(($A$4:$A$500=A224)*($M$4:$M$500=M224)*($T$4:$T$500&lt;&gt;"")*($T$4:$T$500&lt;IF(ISNUMBER(O224),MOD(O224,1),TIMEVALUE(O224)))),$T$4:$T$500))*1440),"")</f>
        <v/>
      </c>
      <c r="Z224" s="27">
        <f>IFERROR(IF(Y224="","",IF(ROUND(Y224,0)&lt;=15,"Cumple","No cumple")),"")</f>
        <v/>
      </c>
      <c r="AA224" s="27" t="n"/>
      <c r="AB224" s="26">
        <f>IFERROR(IF(OR(O224="",R224=""),"",IF(IF(ISNUMBER(R224),MOD(R224,1),TIMEVALUE(R224))&gt;=IF(ISNUMBER(O224),MOD(O224,1),TIMEVALUE(O224)),(IF(ISNUMBER(R224),MOD(R224,1),TIMEVALUE(R224))-IF(ISNUMBER(O224),MOD(O224,1),TIMEVALUE(O224)))*1440,(IF(ISNUMBER(R224),MOD(R224,1),TIMEVALUE(R224))+1-IF(ISNUMBER(O224),MOD(O224,1),TIMEVALUE(O224)))*1440)),"")</f>
        <v/>
      </c>
      <c r="AC224" s="26">
        <f>IFERROR(IF(OR(R224="",S224=""),"",IF(IF(ISNUMBER(S224),MOD(S224,1),TIMEVALUE(S224))&gt;=IF(ISNUMBER(R224),MOD(R224,1),TIMEVALUE(R224)),(IF(ISNUMBER(S224),MOD(S224,1),TIMEVALUE(S224))-IF(ISNUMBER(R224),MOD(R224,1),TIMEVALUE(R224)))*1440,(IF(ISNUMBER(S224),MOD(S224,1),TIMEVALUE(S224))+1-IF(ISNUMBER(R224),MOD(R224,1),TIMEVALUE(R224)))*1440)),"")</f>
        <v/>
      </c>
      <c r="AD224" s="29" t="n"/>
      <c r="AE224" s="26">
        <f>IFERROR(IF(OR(AC224="",AD224=""),"",AC224-AD224),"")</f>
        <v/>
      </c>
      <c r="AF224" s="27">
        <f>IFERROR(IF(AE224="","",IF(ROUND(AE224,0)&gt;15,"Subestimacion",IF(ROUND(AE224,0)&lt;-15,"Sobrestimacion","Asertivo"))),"")</f>
        <v/>
      </c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27">
        <f>IF(A224="","",A224-WEEKDAY(A224,2)+1)</f>
        <v/>
      </c>
      <c r="AQ224" s="127">
        <f>IF(AO224="","",AO224+6)</f>
        <v/>
      </c>
      <c r="AR224" s="19">
        <f>IF(AO224="","","Semana "&amp;TEXT(AO224,"dd-mm-yyyy")&amp;" al "&amp;TEXT(AP224,"dd-mm-yyyy"))</f>
        <v/>
      </c>
      <c r="AS224" s="19">
        <f>IF(A224="","",TEXT(A224,"mmmm yyyy"))</f>
        <v/>
      </c>
      <c r="AT224" s="19">
        <f>IF(A224="","",TEXT(A224,"dddd"))</f>
        <v/>
      </c>
      <c r="AU224" s="19">
        <f>IF(A224="","","CRR-"&amp;TEXT(A224,"yyyymmdd")&amp;"-"&amp;M224&amp;"-"&amp;TEXT(ROW()-3,"0000"))</f>
        <v/>
      </c>
      <c r="AV224" s="19">
        <f>IF(A224="","",IF(OR(B224="",C224="",E224="",F224="",M224="",N224=""),"Revisar campos obligatorios",IF(AND(P224="Atraso primera hora",Q224=""),"Falta justificación atraso primera hora",IF(AND(Z224="No cumple",AA224=""),"Falta justificación recambio &gt;15 min",IF(AND(ISNUMBER(SEARCH("suspend",N224)),OR(AG224="",AH224="")),"Falta causa/motivo suspensión","OK")))))</f>
        <v/>
      </c>
      <c r="AW224" s="19">
        <f>IF(N224="","",IF(ISNUMBER(SEARCH("suspend",N224)),IF(AND(AG224="",AH224=""),"Sin causa/motivo registrado",IF(AG224="",AH224,IF(AH224="",AG224,AG224&amp;": "&amp;AH224))),""))</f>
        <v/>
      </c>
    </row>
    <row r="225" ht="16" customHeight="1" s="151">
      <c r="A225" s="62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20">
        <f>IF(H225&lt;&gt;"",IFERROR(VLOOKUP(IFERROR(LEFT(H225,FIND("-",H225)-1),H225),'Catalogo MINSAL'!A:E,5,FALSE),""),IF(I225&lt;&gt;"",IFERROR(VLOOKUP(IFERROR(LEFT(I225,FIND("-",I225)-1),I225),'Catalogo MINSAL'!A:E,5,FALSE),""),""))</f>
        <v/>
      </c>
      <c r="K225" s="19" t="n"/>
      <c r="L225" s="19" t="n"/>
      <c r="M225" s="19" t="n"/>
      <c r="N225" s="19" t="n"/>
      <c r="O225" s="25" t="n"/>
      <c r="P225" s="27">
        <f>IFERROR(IF(OR(O225="",A225="",M225=""),"",IF(SUMPRODUCT(($A$4:$A$500=A225)*($M$4:$M$500=M225)*($O$4:$O$500&lt;&gt;"")*(MOD($O$4:$O$500,1)&lt;MOD(O225,1)))=0,IF(MOD(O225,1)&lt;=TIME(8,15,0),"Ingreso adecuado primera hora","Atraso primera hora"),"No aplica")),"")</f>
        <v/>
      </c>
      <c r="Q225" s="27" t="n"/>
      <c r="R225" s="25" t="n"/>
      <c r="S225" s="25" t="n"/>
      <c r="T225" s="25" t="n"/>
      <c r="U225" s="25">
        <f>IFERROR(VLOOKUP(M225,'Horario Pabellones'!$A$4:$D$17,2,FALSE),"")</f>
        <v/>
      </c>
      <c r="V225" s="25">
        <f>IFERROR(VLOOKUP(M225,'Horario Pabellones'!$A$4:$D$17,3,FALSE),"")</f>
        <v/>
      </c>
      <c r="W225" s="99">
        <f>IFERROR(VLOOKUP(M225,'Horario Pabellones'!$A$4:$D$17,4,FALSE),"")</f>
        <v/>
      </c>
      <c r="X225" s="89">
        <f>IFERROR(IF(OR(A225="",M225="",W225=""),"",(((_xludf.AGGREGATE(14,6,MOD($S$4:$S$500,1)/(($A$4:$A$500=A225)*($M$4:$M$500=M225)*($R$4:$R$500&lt;&gt;"")*($S$4:$S$500&lt;&gt;"")),1)-_xludf.AGGREGATE(15,6,MOD($R$4:$R$500,1)/(($A$4:$A$500=A225)*($M$4:$M$500=M225)*($R$4:$R$500&lt;&gt;"")*($S$4:$S$500&lt;&gt;"")),1))*1440)/60)/(W225/60)),"")</f>
        <v/>
      </c>
      <c r="Y225" s="26">
        <f>IFERROR(IF(OR(O225="",A225="",M225=""),"",(IF(ISNUMBER(O225),MOD(O225,1),TIMEVALUE(O225))-LOOKUP(2,1/(($A$4:$A$500=A225)*($M$4:$M$500=M225)*($T$4:$T$500&lt;&gt;"")*($T$4:$T$500&lt;IF(ISNUMBER(O225),MOD(O225,1),TIMEVALUE(O225)))),$T$4:$T$500))*1440),"")</f>
        <v/>
      </c>
      <c r="Z225" s="27">
        <f>IFERROR(IF(Y225="","",IF(ROUND(Y225,0)&lt;=15,"Cumple","No cumple")),"")</f>
        <v/>
      </c>
      <c r="AA225" s="27" t="n"/>
      <c r="AB225" s="26">
        <f>IFERROR(IF(OR(O225="",R225=""),"",IF(IF(ISNUMBER(R225),MOD(R225,1),TIMEVALUE(R225))&gt;=IF(ISNUMBER(O225),MOD(O225,1),TIMEVALUE(O225)),(IF(ISNUMBER(R225),MOD(R225,1),TIMEVALUE(R225))-IF(ISNUMBER(O225),MOD(O225,1),TIMEVALUE(O225)))*1440,(IF(ISNUMBER(R225),MOD(R225,1),TIMEVALUE(R225))+1-IF(ISNUMBER(O225),MOD(O225,1),TIMEVALUE(O225)))*1440)),"")</f>
        <v/>
      </c>
      <c r="AC225" s="26">
        <f>IFERROR(IF(OR(R225="",S225=""),"",IF(IF(ISNUMBER(S225),MOD(S225,1),TIMEVALUE(S225))&gt;=IF(ISNUMBER(R225),MOD(R225,1),TIMEVALUE(R225)),(IF(ISNUMBER(S225),MOD(S225,1),TIMEVALUE(S225))-IF(ISNUMBER(R225),MOD(R225,1),TIMEVALUE(R225)))*1440,(IF(ISNUMBER(S225),MOD(S225,1),TIMEVALUE(S225))+1-IF(ISNUMBER(R225),MOD(R225,1),TIMEVALUE(R225)))*1440)),"")</f>
        <v/>
      </c>
      <c r="AD225" s="29" t="n"/>
      <c r="AE225" s="26">
        <f>IFERROR(IF(OR(AC225="",AD225=""),"",AC225-AD225),"")</f>
        <v/>
      </c>
      <c r="AF225" s="27">
        <f>IFERROR(IF(AE225="","",IF(ROUND(AE225,0)&gt;15,"Subestimacion",IF(ROUND(AE225,0)&lt;-15,"Sobrestimacion","Asertivo"))),"")</f>
        <v/>
      </c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27">
        <f>IF(A225="","",A225-WEEKDAY(A225,2)+1)</f>
        <v/>
      </c>
      <c r="AQ225" s="127">
        <f>IF(AO225="","",AO225+6)</f>
        <v/>
      </c>
      <c r="AR225" s="19">
        <f>IF(AO225="","","Semana "&amp;TEXT(AO225,"dd-mm-yyyy")&amp;" al "&amp;TEXT(AP225,"dd-mm-yyyy"))</f>
        <v/>
      </c>
      <c r="AS225" s="19">
        <f>IF(A225="","",TEXT(A225,"mmmm yyyy"))</f>
        <v/>
      </c>
      <c r="AT225" s="19">
        <f>IF(A225="","",TEXT(A225,"dddd"))</f>
        <v/>
      </c>
      <c r="AU225" s="19">
        <f>IF(A225="","","CRR-"&amp;TEXT(A225,"yyyymmdd")&amp;"-"&amp;M225&amp;"-"&amp;TEXT(ROW()-3,"0000"))</f>
        <v/>
      </c>
      <c r="AV225" s="19">
        <f>IF(A225="","",IF(OR(B225="",C225="",E225="",F225="",M225="",N225=""),"Revisar campos obligatorios",IF(AND(P225="Atraso primera hora",Q225=""),"Falta justificación atraso primera hora",IF(AND(Z225="No cumple",AA225=""),"Falta justificación recambio &gt;15 min",IF(AND(ISNUMBER(SEARCH("suspend",N225)),OR(AG225="",AH225="")),"Falta causa/motivo suspensión","OK")))))</f>
        <v/>
      </c>
      <c r="AW225" s="19">
        <f>IF(N225="","",IF(ISNUMBER(SEARCH("suspend",N225)),IF(AND(AG225="",AH225=""),"Sin causa/motivo registrado",IF(AG225="",AH225,IF(AH225="",AG225,AG225&amp;": "&amp;AH225))),""))</f>
        <v/>
      </c>
    </row>
    <row r="226" ht="16" customHeight="1" s="151">
      <c r="A226" s="62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20">
        <f>IF(H226&lt;&gt;"",IFERROR(VLOOKUP(IFERROR(LEFT(H226,FIND("-",H226)-1),H226),'Catalogo MINSAL'!A:E,5,FALSE),""),IF(I226&lt;&gt;"",IFERROR(VLOOKUP(IFERROR(LEFT(I226,FIND("-",I226)-1),I226),'Catalogo MINSAL'!A:E,5,FALSE),""),""))</f>
        <v/>
      </c>
      <c r="K226" s="19" t="n"/>
      <c r="L226" s="19" t="n"/>
      <c r="M226" s="19" t="n"/>
      <c r="N226" s="19" t="n"/>
      <c r="O226" s="25" t="n"/>
      <c r="P226" s="27">
        <f>IFERROR(IF(OR(O226="",A226="",M226=""),"",IF(SUMPRODUCT(($A$4:$A$500=A226)*($M$4:$M$500=M226)*($O$4:$O$500&lt;&gt;"")*(MOD($O$4:$O$500,1)&lt;MOD(O226,1)))=0,IF(MOD(O226,1)&lt;=TIME(8,15,0),"Ingreso adecuado primera hora","Atraso primera hora"),"No aplica")),"")</f>
        <v/>
      </c>
      <c r="Q226" s="27" t="n"/>
      <c r="R226" s="25" t="n"/>
      <c r="S226" s="25" t="n"/>
      <c r="T226" s="25" t="n"/>
      <c r="U226" s="25">
        <f>IFERROR(VLOOKUP(M226,'Horario Pabellones'!$A$4:$D$17,2,FALSE),"")</f>
        <v/>
      </c>
      <c r="V226" s="25">
        <f>IFERROR(VLOOKUP(M226,'Horario Pabellones'!$A$4:$D$17,3,FALSE),"")</f>
        <v/>
      </c>
      <c r="W226" s="99">
        <f>IFERROR(VLOOKUP(M226,'Horario Pabellones'!$A$4:$D$17,4,FALSE),"")</f>
        <v/>
      </c>
      <c r="X226" s="89">
        <f>IFERROR(IF(OR(A226="",M226="",W226=""),"",(((_xludf.AGGREGATE(14,6,MOD($S$4:$S$500,1)/(($A$4:$A$500=A226)*($M$4:$M$500=M226)*($R$4:$R$500&lt;&gt;"")*($S$4:$S$500&lt;&gt;"")),1)-_xludf.AGGREGATE(15,6,MOD($R$4:$R$500,1)/(($A$4:$A$500=A226)*($M$4:$M$500=M226)*($R$4:$R$500&lt;&gt;"")*($S$4:$S$500&lt;&gt;"")),1))*1440)/60)/(W226/60)),"")</f>
        <v/>
      </c>
      <c r="Y226" s="26">
        <f>IFERROR(IF(OR(O226="",A226="",M226=""),"",(IF(ISNUMBER(O226),MOD(O226,1),TIMEVALUE(O226))-LOOKUP(2,1/(($A$4:$A$500=A226)*($M$4:$M$500=M226)*($T$4:$T$500&lt;&gt;"")*($T$4:$T$500&lt;IF(ISNUMBER(O226),MOD(O226,1),TIMEVALUE(O226)))),$T$4:$T$500))*1440),"")</f>
        <v/>
      </c>
      <c r="Z226" s="27">
        <f>IFERROR(IF(Y226="","",IF(ROUND(Y226,0)&lt;=15,"Cumple","No cumple")),"")</f>
        <v/>
      </c>
      <c r="AA226" s="27" t="n"/>
      <c r="AB226" s="26">
        <f>IFERROR(IF(OR(O226="",R226=""),"",IF(IF(ISNUMBER(R226),MOD(R226,1),TIMEVALUE(R226))&gt;=IF(ISNUMBER(O226),MOD(O226,1),TIMEVALUE(O226)),(IF(ISNUMBER(R226),MOD(R226,1),TIMEVALUE(R226))-IF(ISNUMBER(O226),MOD(O226,1),TIMEVALUE(O226)))*1440,(IF(ISNUMBER(R226),MOD(R226,1),TIMEVALUE(R226))+1-IF(ISNUMBER(O226),MOD(O226,1),TIMEVALUE(O226)))*1440)),"")</f>
        <v/>
      </c>
      <c r="AC226" s="26">
        <f>IFERROR(IF(OR(R226="",S226=""),"",IF(IF(ISNUMBER(S226),MOD(S226,1),TIMEVALUE(S226))&gt;=IF(ISNUMBER(R226),MOD(R226,1),TIMEVALUE(R226)),(IF(ISNUMBER(S226),MOD(S226,1),TIMEVALUE(S226))-IF(ISNUMBER(R226),MOD(R226,1),TIMEVALUE(R226)))*1440,(IF(ISNUMBER(S226),MOD(S226,1),TIMEVALUE(S226))+1-IF(ISNUMBER(R226),MOD(R226,1),TIMEVALUE(R226)))*1440)),"")</f>
        <v/>
      </c>
      <c r="AD226" s="29" t="n"/>
      <c r="AE226" s="26">
        <f>IFERROR(IF(OR(AC226="",AD226=""),"",AC226-AD226),"")</f>
        <v/>
      </c>
      <c r="AF226" s="27">
        <f>IFERROR(IF(AE226="","",IF(ROUND(AE226,0)&gt;15,"Subestimacion",IF(ROUND(AE226,0)&lt;-15,"Sobrestimacion","Asertivo"))),"")</f>
        <v/>
      </c>
      <c r="AG226" s="19" t="n"/>
      <c r="AH226" s="19" t="n"/>
      <c r="AI226" s="19" t="n"/>
      <c r="AJ226" s="19" t="n"/>
      <c r="AK226" s="19" t="n"/>
      <c r="AL226" s="19" t="n"/>
      <c r="AM226" s="19" t="n"/>
      <c r="AN226" s="19" t="n"/>
      <c r="AO226" s="19" t="n"/>
      <c r="AP226" s="127">
        <f>IF(A226="","",A226-WEEKDAY(A226,2)+1)</f>
        <v/>
      </c>
      <c r="AQ226" s="127">
        <f>IF(AO226="","",AO226+6)</f>
        <v/>
      </c>
      <c r="AR226" s="19">
        <f>IF(AO226="","","Semana "&amp;TEXT(AO226,"dd-mm-yyyy")&amp;" al "&amp;TEXT(AP226,"dd-mm-yyyy"))</f>
        <v/>
      </c>
      <c r="AS226" s="19">
        <f>IF(A226="","",TEXT(A226,"mmmm yyyy"))</f>
        <v/>
      </c>
      <c r="AT226" s="19">
        <f>IF(A226="","",TEXT(A226,"dddd"))</f>
        <v/>
      </c>
      <c r="AU226" s="19">
        <f>IF(A226="","","CRR-"&amp;TEXT(A226,"yyyymmdd")&amp;"-"&amp;M226&amp;"-"&amp;TEXT(ROW()-3,"0000"))</f>
        <v/>
      </c>
      <c r="AV226" s="19">
        <f>IF(A226="","",IF(OR(B226="",C226="",E226="",F226="",M226="",N226=""),"Revisar campos obligatorios",IF(AND(P226="Atraso primera hora",Q226=""),"Falta justificación atraso primera hora",IF(AND(Z226="No cumple",AA226=""),"Falta justificación recambio &gt;15 min",IF(AND(ISNUMBER(SEARCH("suspend",N226)),OR(AG226="",AH226="")),"Falta causa/motivo suspensión","OK")))))</f>
        <v/>
      </c>
      <c r="AW226" s="19">
        <f>IF(N226="","",IF(ISNUMBER(SEARCH("suspend",N226)),IF(AND(AG226="",AH226=""),"Sin causa/motivo registrado",IF(AG226="",AH226,IF(AH226="",AG226,AG226&amp;": "&amp;AH226))),""))</f>
        <v/>
      </c>
    </row>
    <row r="227" ht="16" customHeight="1" s="151">
      <c r="A227" s="62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20">
        <f>IF(H227&lt;&gt;"",IFERROR(VLOOKUP(IFERROR(LEFT(H227,FIND("-",H227)-1),H227),'Catalogo MINSAL'!A:E,5,FALSE),""),IF(I227&lt;&gt;"",IFERROR(VLOOKUP(IFERROR(LEFT(I227,FIND("-",I227)-1),I227),'Catalogo MINSAL'!A:E,5,FALSE),""),""))</f>
        <v/>
      </c>
      <c r="K227" s="19" t="n"/>
      <c r="L227" s="19" t="n"/>
      <c r="M227" s="19" t="n"/>
      <c r="N227" s="19" t="n"/>
      <c r="O227" s="25" t="n"/>
      <c r="P227" s="27">
        <f>IFERROR(IF(OR(O227="",A227="",M227=""),"",IF(SUMPRODUCT(($A$4:$A$500=A227)*($M$4:$M$500=M227)*($O$4:$O$500&lt;&gt;"")*(MOD($O$4:$O$500,1)&lt;MOD(O227,1)))=0,IF(MOD(O227,1)&lt;=TIME(8,15,0),"Ingreso adecuado primera hora","Atraso primera hora"),"No aplica")),"")</f>
        <v/>
      </c>
      <c r="Q227" s="27" t="n"/>
      <c r="R227" s="25" t="n"/>
      <c r="S227" s="25" t="n"/>
      <c r="T227" s="25" t="n"/>
      <c r="U227" s="25">
        <f>IFERROR(VLOOKUP(M227,'Horario Pabellones'!$A$4:$D$17,2,FALSE),"")</f>
        <v/>
      </c>
      <c r="V227" s="25">
        <f>IFERROR(VLOOKUP(M227,'Horario Pabellones'!$A$4:$D$17,3,FALSE),"")</f>
        <v/>
      </c>
      <c r="W227" s="99">
        <f>IFERROR(VLOOKUP(M227,'Horario Pabellones'!$A$4:$D$17,4,FALSE),"")</f>
        <v/>
      </c>
      <c r="X227" s="89">
        <f>IFERROR(IF(OR(A227="",M227="",W227=""),"",(((_xludf.AGGREGATE(14,6,MOD($S$4:$S$500,1)/(($A$4:$A$500=A227)*($M$4:$M$500=M227)*($R$4:$R$500&lt;&gt;"")*($S$4:$S$500&lt;&gt;"")),1)-_xludf.AGGREGATE(15,6,MOD($R$4:$R$500,1)/(($A$4:$A$500=A227)*($M$4:$M$500=M227)*($R$4:$R$500&lt;&gt;"")*($S$4:$S$500&lt;&gt;"")),1))*1440)/60)/(W227/60)),"")</f>
        <v/>
      </c>
      <c r="Y227" s="26">
        <f>IFERROR(IF(OR(O227="",A227="",M227=""),"",(IF(ISNUMBER(O227),MOD(O227,1),TIMEVALUE(O227))-LOOKUP(2,1/(($A$4:$A$500=A227)*($M$4:$M$500=M227)*($T$4:$T$500&lt;&gt;"")*($T$4:$T$500&lt;IF(ISNUMBER(O227),MOD(O227,1),TIMEVALUE(O227)))),$T$4:$T$500))*1440),"")</f>
        <v/>
      </c>
      <c r="Z227" s="27">
        <f>IFERROR(IF(Y227="","",IF(ROUND(Y227,0)&lt;=15,"Cumple","No cumple")),"")</f>
        <v/>
      </c>
      <c r="AA227" s="27" t="n"/>
      <c r="AB227" s="26">
        <f>IFERROR(IF(OR(O227="",R227=""),"",IF(IF(ISNUMBER(R227),MOD(R227,1),TIMEVALUE(R227))&gt;=IF(ISNUMBER(O227),MOD(O227,1),TIMEVALUE(O227)),(IF(ISNUMBER(R227),MOD(R227,1),TIMEVALUE(R227))-IF(ISNUMBER(O227),MOD(O227,1),TIMEVALUE(O227)))*1440,(IF(ISNUMBER(R227),MOD(R227,1),TIMEVALUE(R227))+1-IF(ISNUMBER(O227),MOD(O227,1),TIMEVALUE(O227)))*1440)),"")</f>
        <v/>
      </c>
      <c r="AC227" s="26">
        <f>IFERROR(IF(OR(R227="",S227=""),"",IF(IF(ISNUMBER(S227),MOD(S227,1),TIMEVALUE(S227))&gt;=IF(ISNUMBER(R227),MOD(R227,1),TIMEVALUE(R227)),(IF(ISNUMBER(S227),MOD(S227,1),TIMEVALUE(S227))-IF(ISNUMBER(R227),MOD(R227,1),TIMEVALUE(R227)))*1440,(IF(ISNUMBER(S227),MOD(S227,1),TIMEVALUE(S227))+1-IF(ISNUMBER(R227),MOD(R227,1),TIMEVALUE(R227)))*1440)),"")</f>
        <v/>
      </c>
      <c r="AD227" s="29" t="n"/>
      <c r="AE227" s="26">
        <f>IFERROR(IF(OR(AC227="",AD227=""),"",AC227-AD227),"")</f>
        <v/>
      </c>
      <c r="AF227" s="27">
        <f>IFERROR(IF(AE227="","",IF(ROUND(AE227,0)&gt;15,"Subestimacion",IF(ROUND(AE227,0)&lt;-15,"Sobrestimacion","Asertivo"))),"")</f>
        <v/>
      </c>
      <c r="AG227" s="19" t="n"/>
      <c r="AH227" s="19" t="n"/>
      <c r="AI227" s="19" t="n"/>
      <c r="AJ227" s="19" t="n"/>
      <c r="AK227" s="19" t="n"/>
      <c r="AL227" s="19" t="n"/>
      <c r="AM227" s="19" t="n"/>
      <c r="AN227" s="19" t="n"/>
      <c r="AO227" s="19" t="n"/>
      <c r="AP227" s="127">
        <f>IF(A227="","",A227-WEEKDAY(A227,2)+1)</f>
        <v/>
      </c>
      <c r="AQ227" s="127">
        <f>IF(AO227="","",AO227+6)</f>
        <v/>
      </c>
      <c r="AR227" s="19">
        <f>IF(AO227="","","Semana "&amp;TEXT(AO227,"dd-mm-yyyy")&amp;" al "&amp;TEXT(AP227,"dd-mm-yyyy"))</f>
        <v/>
      </c>
      <c r="AS227" s="19">
        <f>IF(A227="","",TEXT(A227,"mmmm yyyy"))</f>
        <v/>
      </c>
      <c r="AT227" s="19">
        <f>IF(A227="","",TEXT(A227,"dddd"))</f>
        <v/>
      </c>
      <c r="AU227" s="19">
        <f>IF(A227="","","CRR-"&amp;TEXT(A227,"yyyymmdd")&amp;"-"&amp;M227&amp;"-"&amp;TEXT(ROW()-3,"0000"))</f>
        <v/>
      </c>
      <c r="AV227" s="19">
        <f>IF(A227="","",IF(OR(B227="",C227="",E227="",F227="",M227="",N227=""),"Revisar campos obligatorios",IF(AND(P227="Atraso primera hora",Q227=""),"Falta justificación atraso primera hora",IF(AND(Z227="No cumple",AA227=""),"Falta justificación recambio &gt;15 min",IF(AND(ISNUMBER(SEARCH("suspend",N227)),OR(AG227="",AH227="")),"Falta causa/motivo suspensión","OK")))))</f>
        <v/>
      </c>
      <c r="AW227" s="19">
        <f>IF(N227="","",IF(ISNUMBER(SEARCH("suspend",N227)),IF(AND(AG227="",AH227=""),"Sin causa/motivo registrado",IF(AG227="",AH227,IF(AH227="",AG227,AG227&amp;": "&amp;AH227))),""))</f>
        <v/>
      </c>
    </row>
    <row r="228" ht="16" customHeight="1" s="151">
      <c r="A228" s="62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20">
        <f>IF(H228&lt;&gt;"",IFERROR(VLOOKUP(IFERROR(LEFT(H228,FIND("-",H228)-1),H228),'Catalogo MINSAL'!A:E,5,FALSE),""),IF(I228&lt;&gt;"",IFERROR(VLOOKUP(IFERROR(LEFT(I228,FIND("-",I228)-1),I228),'Catalogo MINSAL'!A:E,5,FALSE),""),""))</f>
        <v/>
      </c>
      <c r="K228" s="19" t="n"/>
      <c r="L228" s="19" t="n"/>
      <c r="M228" s="19" t="n"/>
      <c r="N228" s="19" t="n"/>
      <c r="O228" s="25" t="n"/>
      <c r="P228" s="27">
        <f>IFERROR(IF(OR(O228="",A228="",M228=""),"",IF(SUMPRODUCT(($A$4:$A$500=A228)*($M$4:$M$500=M228)*($O$4:$O$500&lt;&gt;"")*(MOD($O$4:$O$500,1)&lt;MOD(O228,1)))=0,IF(MOD(O228,1)&lt;=TIME(8,15,0),"Ingreso adecuado primera hora","Atraso primera hora"),"No aplica")),"")</f>
        <v/>
      </c>
      <c r="Q228" s="27" t="n"/>
      <c r="R228" s="25" t="n"/>
      <c r="S228" s="25" t="n"/>
      <c r="T228" s="25" t="n"/>
      <c r="U228" s="25">
        <f>IFERROR(VLOOKUP(M228,'Horario Pabellones'!$A$4:$D$17,2,FALSE),"")</f>
        <v/>
      </c>
      <c r="V228" s="25">
        <f>IFERROR(VLOOKUP(M228,'Horario Pabellones'!$A$4:$D$17,3,FALSE),"")</f>
        <v/>
      </c>
      <c r="W228" s="99">
        <f>IFERROR(VLOOKUP(M228,'Horario Pabellones'!$A$4:$D$17,4,FALSE),"")</f>
        <v/>
      </c>
      <c r="X228" s="89">
        <f>IFERROR(IF(OR(A228="",M228="",W228=""),"",(((_xludf.AGGREGATE(14,6,MOD($S$4:$S$500,1)/(($A$4:$A$500=A228)*($M$4:$M$500=M228)*($R$4:$R$500&lt;&gt;"")*($S$4:$S$500&lt;&gt;"")),1)-_xludf.AGGREGATE(15,6,MOD($R$4:$R$500,1)/(($A$4:$A$500=A228)*($M$4:$M$500=M228)*($R$4:$R$500&lt;&gt;"")*($S$4:$S$500&lt;&gt;"")),1))*1440)/60)/(W228/60)),"")</f>
        <v/>
      </c>
      <c r="Y228" s="26">
        <f>IFERROR(IF(OR(O228="",A228="",M228=""),"",(IF(ISNUMBER(O228),MOD(O228,1),TIMEVALUE(O228))-LOOKUP(2,1/(($A$4:$A$500=A228)*($M$4:$M$500=M228)*($T$4:$T$500&lt;&gt;"")*($T$4:$T$500&lt;IF(ISNUMBER(O228),MOD(O228,1),TIMEVALUE(O228)))),$T$4:$T$500))*1440),"")</f>
        <v/>
      </c>
      <c r="Z228" s="27">
        <f>IFERROR(IF(Y228="","",IF(ROUND(Y228,0)&lt;=15,"Cumple","No cumple")),"")</f>
        <v/>
      </c>
      <c r="AA228" s="27" t="n"/>
      <c r="AB228" s="26">
        <f>IFERROR(IF(OR(O228="",R228=""),"",IF(IF(ISNUMBER(R228),MOD(R228,1),TIMEVALUE(R228))&gt;=IF(ISNUMBER(O228),MOD(O228,1),TIMEVALUE(O228)),(IF(ISNUMBER(R228),MOD(R228,1),TIMEVALUE(R228))-IF(ISNUMBER(O228),MOD(O228,1),TIMEVALUE(O228)))*1440,(IF(ISNUMBER(R228),MOD(R228,1),TIMEVALUE(R228))+1-IF(ISNUMBER(O228),MOD(O228,1),TIMEVALUE(O228)))*1440)),"")</f>
        <v/>
      </c>
      <c r="AC228" s="26">
        <f>IFERROR(IF(OR(R228="",S228=""),"",IF(IF(ISNUMBER(S228),MOD(S228,1),TIMEVALUE(S228))&gt;=IF(ISNUMBER(R228),MOD(R228,1),TIMEVALUE(R228)),(IF(ISNUMBER(S228),MOD(S228,1),TIMEVALUE(S228))-IF(ISNUMBER(R228),MOD(R228,1),TIMEVALUE(R228)))*1440,(IF(ISNUMBER(S228),MOD(S228,1),TIMEVALUE(S228))+1-IF(ISNUMBER(R228),MOD(R228,1),TIMEVALUE(R228)))*1440)),"")</f>
        <v/>
      </c>
      <c r="AD228" s="29" t="n"/>
      <c r="AE228" s="26">
        <f>IFERROR(IF(OR(AC228="",AD228=""),"",AC228-AD228),"")</f>
        <v/>
      </c>
      <c r="AF228" s="27">
        <f>IFERROR(IF(AE228="","",IF(ROUND(AE228,0)&gt;15,"Subestimacion",IF(ROUND(AE228,0)&lt;-15,"Sobrestimacion","Asertivo"))),"")</f>
        <v/>
      </c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27">
        <f>IF(A228="","",A228-WEEKDAY(A228,2)+1)</f>
        <v/>
      </c>
      <c r="AQ228" s="127">
        <f>IF(AO228="","",AO228+6)</f>
        <v/>
      </c>
      <c r="AR228" s="19">
        <f>IF(AO228="","","Semana "&amp;TEXT(AO228,"dd-mm-yyyy")&amp;" al "&amp;TEXT(AP228,"dd-mm-yyyy"))</f>
        <v/>
      </c>
      <c r="AS228" s="19">
        <f>IF(A228="","",TEXT(A228,"mmmm yyyy"))</f>
        <v/>
      </c>
      <c r="AT228" s="19">
        <f>IF(A228="","",TEXT(A228,"dddd"))</f>
        <v/>
      </c>
      <c r="AU228" s="19">
        <f>IF(A228="","","CRR-"&amp;TEXT(A228,"yyyymmdd")&amp;"-"&amp;M228&amp;"-"&amp;TEXT(ROW()-3,"0000"))</f>
        <v/>
      </c>
      <c r="AV228" s="19">
        <f>IF(A228="","",IF(OR(B228="",C228="",E228="",F228="",M228="",N228=""),"Revisar campos obligatorios",IF(AND(P228="Atraso primera hora",Q228=""),"Falta justificación atraso primera hora",IF(AND(Z228="No cumple",AA228=""),"Falta justificación recambio &gt;15 min",IF(AND(ISNUMBER(SEARCH("suspend",N228)),OR(AG228="",AH228="")),"Falta causa/motivo suspensión","OK")))))</f>
        <v/>
      </c>
      <c r="AW228" s="19">
        <f>IF(N228="","",IF(ISNUMBER(SEARCH("suspend",N228)),IF(AND(AG228="",AH228=""),"Sin causa/motivo registrado",IF(AG228="",AH228,IF(AH228="",AG228,AG228&amp;": "&amp;AH228))),""))</f>
        <v/>
      </c>
    </row>
    <row r="229" ht="16" customHeight="1" s="151">
      <c r="A229" s="62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20">
        <f>IF(H229&lt;&gt;"",IFERROR(VLOOKUP(IFERROR(LEFT(H229,FIND("-",H229)-1),H229),'Catalogo MINSAL'!A:E,5,FALSE),""),IF(I229&lt;&gt;"",IFERROR(VLOOKUP(IFERROR(LEFT(I229,FIND("-",I229)-1),I229),'Catalogo MINSAL'!A:E,5,FALSE),""),""))</f>
        <v/>
      </c>
      <c r="K229" s="19" t="n"/>
      <c r="L229" s="19" t="n"/>
      <c r="M229" s="19" t="n"/>
      <c r="N229" s="19" t="n"/>
      <c r="O229" s="25" t="n"/>
      <c r="P229" s="27">
        <f>IFERROR(IF(OR(O229="",A229="",M229=""),"",IF(SUMPRODUCT(($A$4:$A$500=A229)*($M$4:$M$500=M229)*($O$4:$O$500&lt;&gt;"")*(MOD($O$4:$O$500,1)&lt;MOD(O229,1)))=0,IF(MOD(O229,1)&lt;=TIME(8,15,0),"Ingreso adecuado primera hora","Atraso primera hora"),"No aplica")),"")</f>
        <v/>
      </c>
      <c r="Q229" s="27" t="n"/>
      <c r="R229" s="25" t="n"/>
      <c r="S229" s="25" t="n"/>
      <c r="T229" s="25" t="n"/>
      <c r="U229" s="25">
        <f>IFERROR(VLOOKUP(M229,'Horario Pabellones'!$A$4:$D$17,2,FALSE),"")</f>
        <v/>
      </c>
      <c r="V229" s="25">
        <f>IFERROR(VLOOKUP(M229,'Horario Pabellones'!$A$4:$D$17,3,FALSE),"")</f>
        <v/>
      </c>
      <c r="W229" s="99">
        <f>IFERROR(VLOOKUP(M229,'Horario Pabellones'!$A$4:$D$17,4,FALSE),"")</f>
        <v/>
      </c>
      <c r="X229" s="89">
        <f>IFERROR(IF(OR(A229="",M229="",W229=""),"",(((_xludf.AGGREGATE(14,6,MOD($S$4:$S$500,1)/(($A$4:$A$500=A229)*($M$4:$M$500=M229)*($R$4:$R$500&lt;&gt;"")*($S$4:$S$500&lt;&gt;"")),1)-_xludf.AGGREGATE(15,6,MOD($R$4:$R$500,1)/(($A$4:$A$500=A229)*($M$4:$M$500=M229)*($R$4:$R$500&lt;&gt;"")*($S$4:$S$500&lt;&gt;"")),1))*1440)/60)/(W229/60)),"")</f>
        <v/>
      </c>
      <c r="Y229" s="26">
        <f>IFERROR(IF(OR(O229="",A229="",M229=""),"",(IF(ISNUMBER(O229),MOD(O229,1),TIMEVALUE(O229))-LOOKUP(2,1/(($A$4:$A$500=A229)*($M$4:$M$500=M229)*($T$4:$T$500&lt;&gt;"")*($T$4:$T$500&lt;IF(ISNUMBER(O229),MOD(O229,1),TIMEVALUE(O229)))),$T$4:$T$500))*1440),"")</f>
        <v/>
      </c>
      <c r="Z229" s="27">
        <f>IFERROR(IF(Y229="","",IF(ROUND(Y229,0)&lt;=15,"Cumple","No cumple")),"")</f>
        <v/>
      </c>
      <c r="AA229" s="27" t="n"/>
      <c r="AB229" s="26">
        <f>IFERROR(IF(OR(O229="",R229=""),"",IF(IF(ISNUMBER(R229),MOD(R229,1),TIMEVALUE(R229))&gt;=IF(ISNUMBER(O229),MOD(O229,1),TIMEVALUE(O229)),(IF(ISNUMBER(R229),MOD(R229,1),TIMEVALUE(R229))-IF(ISNUMBER(O229),MOD(O229,1),TIMEVALUE(O229)))*1440,(IF(ISNUMBER(R229),MOD(R229,1),TIMEVALUE(R229))+1-IF(ISNUMBER(O229),MOD(O229,1),TIMEVALUE(O229)))*1440)),"")</f>
        <v/>
      </c>
      <c r="AC229" s="26">
        <f>IFERROR(IF(OR(R229="",S229=""),"",IF(IF(ISNUMBER(S229),MOD(S229,1),TIMEVALUE(S229))&gt;=IF(ISNUMBER(R229),MOD(R229,1),TIMEVALUE(R229)),(IF(ISNUMBER(S229),MOD(S229,1),TIMEVALUE(S229))-IF(ISNUMBER(R229),MOD(R229,1),TIMEVALUE(R229)))*1440,(IF(ISNUMBER(S229),MOD(S229,1),TIMEVALUE(S229))+1-IF(ISNUMBER(R229),MOD(R229,1),TIMEVALUE(R229)))*1440)),"")</f>
        <v/>
      </c>
      <c r="AD229" s="29" t="n"/>
      <c r="AE229" s="26">
        <f>IFERROR(IF(OR(AC229="",AD229=""),"",AC229-AD229),"")</f>
        <v/>
      </c>
      <c r="AF229" s="27">
        <f>IFERROR(IF(AE229="","",IF(ROUND(AE229,0)&gt;15,"Subestimacion",IF(ROUND(AE229,0)&lt;-15,"Sobrestimacion","Asertivo"))),"")</f>
        <v/>
      </c>
      <c r="AG229" s="19" t="n"/>
      <c r="AH229" s="19" t="n"/>
      <c r="AI229" s="19" t="n"/>
      <c r="AJ229" s="19" t="n"/>
      <c r="AK229" s="19" t="n"/>
      <c r="AL229" s="19" t="n"/>
      <c r="AM229" s="19" t="n"/>
      <c r="AN229" s="19" t="n"/>
      <c r="AO229" s="19" t="n"/>
      <c r="AP229" s="127">
        <f>IF(A229="","",A229-WEEKDAY(A229,2)+1)</f>
        <v/>
      </c>
      <c r="AQ229" s="127">
        <f>IF(AO229="","",AO229+6)</f>
        <v/>
      </c>
      <c r="AR229" s="19">
        <f>IF(AO229="","","Semana "&amp;TEXT(AO229,"dd-mm-yyyy")&amp;" al "&amp;TEXT(AP229,"dd-mm-yyyy"))</f>
        <v/>
      </c>
      <c r="AS229" s="19">
        <f>IF(A229="","",TEXT(A229,"mmmm yyyy"))</f>
        <v/>
      </c>
      <c r="AT229" s="19">
        <f>IF(A229="","",TEXT(A229,"dddd"))</f>
        <v/>
      </c>
      <c r="AU229" s="19">
        <f>IF(A229="","","CRR-"&amp;TEXT(A229,"yyyymmdd")&amp;"-"&amp;M229&amp;"-"&amp;TEXT(ROW()-3,"0000"))</f>
        <v/>
      </c>
      <c r="AV229" s="19">
        <f>IF(A229="","",IF(OR(B229="",C229="",E229="",F229="",M229="",N229=""),"Revisar campos obligatorios",IF(AND(P229="Atraso primera hora",Q229=""),"Falta justificación atraso primera hora",IF(AND(Z229="No cumple",AA229=""),"Falta justificación recambio &gt;15 min",IF(AND(ISNUMBER(SEARCH("suspend",N229)),OR(AG229="",AH229="")),"Falta causa/motivo suspensión","OK")))))</f>
        <v/>
      </c>
      <c r="AW229" s="19">
        <f>IF(N229="","",IF(ISNUMBER(SEARCH("suspend",N229)),IF(AND(AG229="",AH229=""),"Sin causa/motivo registrado",IF(AG229="",AH229,IF(AH229="",AG229,AG229&amp;": "&amp;AH229))),""))</f>
        <v/>
      </c>
    </row>
    <row r="230" ht="16" customHeight="1" s="151">
      <c r="A230" s="62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20">
        <f>IF(H230&lt;&gt;"",IFERROR(VLOOKUP(IFERROR(LEFT(H230,FIND("-",H230)-1),H230),'Catalogo MINSAL'!A:E,5,FALSE),""),IF(I230&lt;&gt;"",IFERROR(VLOOKUP(IFERROR(LEFT(I230,FIND("-",I230)-1),I230),'Catalogo MINSAL'!A:E,5,FALSE),""),""))</f>
        <v/>
      </c>
      <c r="K230" s="19" t="n"/>
      <c r="L230" s="19" t="n"/>
      <c r="M230" s="19" t="n"/>
      <c r="N230" s="19" t="n"/>
      <c r="O230" s="25" t="n"/>
      <c r="P230" s="27">
        <f>IFERROR(IF(OR(O230="",A230="",M230=""),"",IF(SUMPRODUCT(($A$4:$A$500=A230)*($M$4:$M$500=M230)*($O$4:$O$500&lt;&gt;"")*(MOD($O$4:$O$500,1)&lt;MOD(O230,1)))=0,IF(MOD(O230,1)&lt;=TIME(8,15,0),"Ingreso adecuado primera hora","Atraso primera hora"),"No aplica")),"")</f>
        <v/>
      </c>
      <c r="Q230" s="27" t="n"/>
      <c r="R230" s="25" t="n"/>
      <c r="S230" s="25" t="n"/>
      <c r="T230" s="25" t="n"/>
      <c r="U230" s="25">
        <f>IFERROR(VLOOKUP(M230,'Horario Pabellones'!$A$4:$D$17,2,FALSE),"")</f>
        <v/>
      </c>
      <c r="V230" s="25">
        <f>IFERROR(VLOOKUP(M230,'Horario Pabellones'!$A$4:$D$17,3,FALSE),"")</f>
        <v/>
      </c>
      <c r="W230" s="99">
        <f>IFERROR(VLOOKUP(M230,'Horario Pabellones'!$A$4:$D$17,4,FALSE),"")</f>
        <v/>
      </c>
      <c r="X230" s="89">
        <f>IFERROR(IF(OR(A230="",M230="",W230=""),"",(((_xludf.AGGREGATE(14,6,MOD($S$4:$S$500,1)/(($A$4:$A$500=A230)*($M$4:$M$500=M230)*($R$4:$R$500&lt;&gt;"")*($S$4:$S$500&lt;&gt;"")),1)-_xludf.AGGREGATE(15,6,MOD($R$4:$R$500,1)/(($A$4:$A$500=A230)*($M$4:$M$500=M230)*($R$4:$R$500&lt;&gt;"")*($S$4:$S$500&lt;&gt;"")),1))*1440)/60)/(W230/60)),"")</f>
        <v/>
      </c>
      <c r="Y230" s="26">
        <f>IFERROR(IF(OR(O230="",A230="",M230=""),"",(IF(ISNUMBER(O230),MOD(O230,1),TIMEVALUE(O230))-LOOKUP(2,1/(($A$4:$A$500=A230)*($M$4:$M$500=M230)*($T$4:$T$500&lt;&gt;"")*($T$4:$T$500&lt;IF(ISNUMBER(O230),MOD(O230,1),TIMEVALUE(O230)))),$T$4:$T$500))*1440),"")</f>
        <v/>
      </c>
      <c r="Z230" s="27">
        <f>IFERROR(IF(Y230="","",IF(ROUND(Y230,0)&lt;=15,"Cumple","No cumple")),"")</f>
        <v/>
      </c>
      <c r="AA230" s="27" t="n"/>
      <c r="AB230" s="26">
        <f>IFERROR(IF(OR(O230="",R230=""),"",IF(IF(ISNUMBER(R230),MOD(R230,1),TIMEVALUE(R230))&gt;=IF(ISNUMBER(O230),MOD(O230,1),TIMEVALUE(O230)),(IF(ISNUMBER(R230),MOD(R230,1),TIMEVALUE(R230))-IF(ISNUMBER(O230),MOD(O230,1),TIMEVALUE(O230)))*1440,(IF(ISNUMBER(R230),MOD(R230,1),TIMEVALUE(R230))+1-IF(ISNUMBER(O230),MOD(O230,1),TIMEVALUE(O230)))*1440)),"")</f>
        <v/>
      </c>
      <c r="AC230" s="26">
        <f>IFERROR(IF(OR(R230="",S230=""),"",IF(IF(ISNUMBER(S230),MOD(S230,1),TIMEVALUE(S230))&gt;=IF(ISNUMBER(R230),MOD(R230,1),TIMEVALUE(R230)),(IF(ISNUMBER(S230),MOD(S230,1),TIMEVALUE(S230))-IF(ISNUMBER(R230),MOD(R230,1),TIMEVALUE(R230)))*1440,(IF(ISNUMBER(S230),MOD(S230,1),TIMEVALUE(S230))+1-IF(ISNUMBER(R230),MOD(R230,1),TIMEVALUE(R230)))*1440)),"")</f>
        <v/>
      </c>
      <c r="AD230" s="29" t="n"/>
      <c r="AE230" s="26">
        <f>IFERROR(IF(OR(AC230="",AD230=""),"",AC230-AD230),"")</f>
        <v/>
      </c>
      <c r="AF230" s="27">
        <f>IFERROR(IF(AE230="","",IF(ROUND(AE230,0)&gt;15,"Subestimacion",IF(ROUND(AE230,0)&lt;-15,"Sobrestimacion","Asertivo"))),"")</f>
        <v/>
      </c>
      <c r="AG230" s="19" t="n"/>
      <c r="AH230" s="19" t="n"/>
      <c r="AI230" s="19" t="n"/>
      <c r="AJ230" s="19" t="n"/>
      <c r="AK230" s="19" t="n"/>
      <c r="AL230" s="19" t="n"/>
      <c r="AM230" s="19" t="n"/>
      <c r="AN230" s="19" t="n"/>
      <c r="AO230" s="19" t="n"/>
      <c r="AP230" s="127">
        <f>IF(A230="","",A230-WEEKDAY(A230,2)+1)</f>
        <v/>
      </c>
      <c r="AQ230" s="127">
        <f>IF(AO230="","",AO230+6)</f>
        <v/>
      </c>
      <c r="AR230" s="19">
        <f>IF(AO230="","","Semana "&amp;TEXT(AO230,"dd-mm-yyyy")&amp;" al "&amp;TEXT(AP230,"dd-mm-yyyy"))</f>
        <v/>
      </c>
      <c r="AS230" s="19">
        <f>IF(A230="","",TEXT(A230,"mmmm yyyy"))</f>
        <v/>
      </c>
      <c r="AT230" s="19">
        <f>IF(A230="","",TEXT(A230,"dddd"))</f>
        <v/>
      </c>
      <c r="AU230" s="19">
        <f>IF(A230="","","CRR-"&amp;TEXT(A230,"yyyymmdd")&amp;"-"&amp;M230&amp;"-"&amp;TEXT(ROW()-3,"0000"))</f>
        <v/>
      </c>
      <c r="AV230" s="19">
        <f>IF(A230="","",IF(OR(B230="",C230="",E230="",F230="",M230="",N230=""),"Revisar campos obligatorios",IF(AND(P230="Atraso primera hora",Q230=""),"Falta justificación atraso primera hora",IF(AND(Z230="No cumple",AA230=""),"Falta justificación recambio &gt;15 min",IF(AND(ISNUMBER(SEARCH("suspend",N230)),OR(AG230="",AH230="")),"Falta causa/motivo suspensión","OK")))))</f>
        <v/>
      </c>
      <c r="AW230" s="19">
        <f>IF(N230="","",IF(ISNUMBER(SEARCH("suspend",N230)),IF(AND(AG230="",AH230=""),"Sin causa/motivo registrado",IF(AG230="",AH230,IF(AH230="",AG230,AG230&amp;": "&amp;AH230))),""))</f>
        <v/>
      </c>
    </row>
    <row r="231" ht="16" customHeight="1" s="151">
      <c r="A231" s="62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20">
        <f>IF(H231&lt;&gt;"",IFERROR(VLOOKUP(IFERROR(LEFT(H231,FIND("-",H231)-1),H231),'Catalogo MINSAL'!A:E,5,FALSE),""),IF(I231&lt;&gt;"",IFERROR(VLOOKUP(IFERROR(LEFT(I231,FIND("-",I231)-1),I231),'Catalogo MINSAL'!A:E,5,FALSE),""),""))</f>
        <v/>
      </c>
      <c r="K231" s="19" t="n"/>
      <c r="L231" s="19" t="n"/>
      <c r="M231" s="19" t="n"/>
      <c r="N231" s="19" t="n"/>
      <c r="O231" s="25" t="n"/>
      <c r="P231" s="27">
        <f>IFERROR(IF(OR(O231="",A231="",M231=""),"",IF(SUMPRODUCT(($A$4:$A$500=A231)*($M$4:$M$500=M231)*($O$4:$O$500&lt;&gt;"")*(MOD($O$4:$O$500,1)&lt;MOD(O231,1)))=0,IF(MOD(O231,1)&lt;=TIME(8,15,0),"Ingreso adecuado primera hora","Atraso primera hora"),"No aplica")),"")</f>
        <v/>
      </c>
      <c r="Q231" s="27" t="n"/>
      <c r="R231" s="25" t="n"/>
      <c r="S231" s="25" t="n"/>
      <c r="T231" s="25" t="n"/>
      <c r="U231" s="25">
        <f>IFERROR(VLOOKUP(M231,'Horario Pabellones'!$A$4:$D$17,2,FALSE),"")</f>
        <v/>
      </c>
      <c r="V231" s="25">
        <f>IFERROR(VLOOKUP(M231,'Horario Pabellones'!$A$4:$D$17,3,FALSE),"")</f>
        <v/>
      </c>
      <c r="W231" s="99">
        <f>IFERROR(VLOOKUP(M231,'Horario Pabellones'!$A$4:$D$17,4,FALSE),"")</f>
        <v/>
      </c>
      <c r="X231" s="89">
        <f>IFERROR(IF(OR(A231="",M231="",W231=""),"",(((_xludf.AGGREGATE(14,6,MOD($S$4:$S$500,1)/(($A$4:$A$500=A231)*($M$4:$M$500=M231)*($R$4:$R$500&lt;&gt;"")*($S$4:$S$500&lt;&gt;"")),1)-_xludf.AGGREGATE(15,6,MOD($R$4:$R$500,1)/(($A$4:$A$500=A231)*($M$4:$M$500=M231)*($R$4:$R$500&lt;&gt;"")*($S$4:$S$500&lt;&gt;"")),1))*1440)/60)/(W231/60)),"")</f>
        <v/>
      </c>
      <c r="Y231" s="26">
        <f>IFERROR(IF(OR(O231="",A231="",M231=""),"",(IF(ISNUMBER(O231),MOD(O231,1),TIMEVALUE(O231))-LOOKUP(2,1/(($A$4:$A$500=A231)*($M$4:$M$500=M231)*($T$4:$T$500&lt;&gt;"")*($T$4:$T$500&lt;IF(ISNUMBER(O231),MOD(O231,1),TIMEVALUE(O231)))),$T$4:$T$500))*1440),"")</f>
        <v/>
      </c>
      <c r="Z231" s="27">
        <f>IFERROR(IF(Y231="","",IF(ROUND(Y231,0)&lt;=15,"Cumple","No cumple")),"")</f>
        <v/>
      </c>
      <c r="AA231" s="27" t="n"/>
      <c r="AB231" s="26">
        <f>IFERROR(IF(OR(O231="",R231=""),"",IF(IF(ISNUMBER(R231),MOD(R231,1),TIMEVALUE(R231))&gt;=IF(ISNUMBER(O231),MOD(O231,1),TIMEVALUE(O231)),(IF(ISNUMBER(R231),MOD(R231,1),TIMEVALUE(R231))-IF(ISNUMBER(O231),MOD(O231,1),TIMEVALUE(O231)))*1440,(IF(ISNUMBER(R231),MOD(R231,1),TIMEVALUE(R231))+1-IF(ISNUMBER(O231),MOD(O231,1),TIMEVALUE(O231)))*1440)),"")</f>
        <v/>
      </c>
      <c r="AC231" s="26">
        <f>IFERROR(IF(OR(R231="",S231=""),"",IF(IF(ISNUMBER(S231),MOD(S231,1),TIMEVALUE(S231))&gt;=IF(ISNUMBER(R231),MOD(R231,1),TIMEVALUE(R231)),(IF(ISNUMBER(S231),MOD(S231,1),TIMEVALUE(S231))-IF(ISNUMBER(R231),MOD(R231,1),TIMEVALUE(R231)))*1440,(IF(ISNUMBER(S231),MOD(S231,1),TIMEVALUE(S231))+1-IF(ISNUMBER(R231),MOD(R231,1),TIMEVALUE(R231)))*1440)),"")</f>
        <v/>
      </c>
      <c r="AD231" s="29" t="n"/>
      <c r="AE231" s="26">
        <f>IFERROR(IF(OR(AC231="",AD231=""),"",AC231-AD231),"")</f>
        <v/>
      </c>
      <c r="AF231" s="27">
        <f>IFERROR(IF(AE231="","",IF(ROUND(AE231,0)&gt;15,"Subestimacion",IF(ROUND(AE231,0)&lt;-15,"Sobrestimacion","Asertivo"))),"")</f>
        <v/>
      </c>
      <c r="AG231" s="19" t="n"/>
      <c r="AH231" s="19" t="n"/>
      <c r="AI231" s="19" t="n"/>
      <c r="AJ231" s="19" t="n"/>
      <c r="AK231" s="19" t="n"/>
      <c r="AL231" s="19" t="n"/>
      <c r="AM231" s="19" t="n"/>
      <c r="AN231" s="19" t="n"/>
      <c r="AO231" s="19" t="n"/>
      <c r="AP231" s="127">
        <f>IF(A231="","",A231-WEEKDAY(A231,2)+1)</f>
        <v/>
      </c>
      <c r="AQ231" s="127">
        <f>IF(AO231="","",AO231+6)</f>
        <v/>
      </c>
      <c r="AR231" s="19">
        <f>IF(AO231="","","Semana "&amp;TEXT(AO231,"dd-mm-yyyy")&amp;" al "&amp;TEXT(AP231,"dd-mm-yyyy"))</f>
        <v/>
      </c>
      <c r="AS231" s="19">
        <f>IF(A231="","",TEXT(A231,"mmmm yyyy"))</f>
        <v/>
      </c>
      <c r="AT231" s="19">
        <f>IF(A231="","",TEXT(A231,"dddd"))</f>
        <v/>
      </c>
      <c r="AU231" s="19">
        <f>IF(A231="","","CRR-"&amp;TEXT(A231,"yyyymmdd")&amp;"-"&amp;M231&amp;"-"&amp;TEXT(ROW()-3,"0000"))</f>
        <v/>
      </c>
      <c r="AV231" s="19">
        <f>IF(A231="","",IF(OR(B231="",C231="",E231="",F231="",M231="",N231=""),"Revisar campos obligatorios",IF(AND(P231="Atraso primera hora",Q231=""),"Falta justificación atraso primera hora",IF(AND(Z231="No cumple",AA231=""),"Falta justificación recambio &gt;15 min",IF(AND(ISNUMBER(SEARCH("suspend",N231)),OR(AG231="",AH231="")),"Falta causa/motivo suspensión","OK")))))</f>
        <v/>
      </c>
      <c r="AW231" s="19">
        <f>IF(N231="","",IF(ISNUMBER(SEARCH("suspend",N231)),IF(AND(AG231="",AH231=""),"Sin causa/motivo registrado",IF(AG231="",AH231,IF(AH231="",AG231,AG231&amp;": "&amp;AH231))),""))</f>
        <v/>
      </c>
    </row>
    <row r="232" ht="16" customHeight="1" s="151">
      <c r="A232" s="62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20">
        <f>IF(H232&lt;&gt;"",IFERROR(VLOOKUP(IFERROR(LEFT(H232,FIND("-",H232)-1),H232),'Catalogo MINSAL'!A:E,5,FALSE),""),IF(I232&lt;&gt;"",IFERROR(VLOOKUP(IFERROR(LEFT(I232,FIND("-",I232)-1),I232),'Catalogo MINSAL'!A:E,5,FALSE),""),""))</f>
        <v/>
      </c>
      <c r="K232" s="19" t="n"/>
      <c r="L232" s="19" t="n"/>
      <c r="M232" s="19" t="n"/>
      <c r="N232" s="19" t="n"/>
      <c r="O232" s="25" t="n"/>
      <c r="P232" s="27">
        <f>IFERROR(IF(OR(O232="",A232="",M232=""),"",IF(SUMPRODUCT(($A$4:$A$500=A232)*($M$4:$M$500=M232)*($O$4:$O$500&lt;&gt;"")*(MOD($O$4:$O$500,1)&lt;MOD(O232,1)))=0,IF(MOD(O232,1)&lt;=TIME(8,15,0),"Ingreso adecuado primera hora","Atraso primera hora"),"No aplica")),"")</f>
        <v/>
      </c>
      <c r="Q232" s="27" t="n"/>
      <c r="R232" s="25" t="n"/>
      <c r="S232" s="25" t="n"/>
      <c r="T232" s="25" t="n"/>
      <c r="U232" s="25">
        <f>IFERROR(VLOOKUP(M232,'Horario Pabellones'!$A$4:$D$17,2,FALSE),"")</f>
        <v/>
      </c>
      <c r="V232" s="25">
        <f>IFERROR(VLOOKUP(M232,'Horario Pabellones'!$A$4:$D$17,3,FALSE),"")</f>
        <v/>
      </c>
      <c r="W232" s="99">
        <f>IFERROR(VLOOKUP(M232,'Horario Pabellones'!$A$4:$D$17,4,FALSE),"")</f>
        <v/>
      </c>
      <c r="X232" s="89">
        <f>IFERROR(IF(OR(A232="",M232="",W232=""),"",(((_xludf.AGGREGATE(14,6,MOD($S$4:$S$500,1)/(($A$4:$A$500=A232)*($M$4:$M$500=M232)*($R$4:$R$500&lt;&gt;"")*($S$4:$S$500&lt;&gt;"")),1)-_xludf.AGGREGATE(15,6,MOD($R$4:$R$500,1)/(($A$4:$A$500=A232)*($M$4:$M$500=M232)*($R$4:$R$500&lt;&gt;"")*($S$4:$S$500&lt;&gt;"")),1))*1440)/60)/(W232/60)),"")</f>
        <v/>
      </c>
      <c r="Y232" s="26">
        <f>IFERROR(IF(OR(O232="",A232="",M232=""),"",(IF(ISNUMBER(O232),MOD(O232,1),TIMEVALUE(O232))-LOOKUP(2,1/(($A$4:$A$500=A232)*($M$4:$M$500=M232)*($T$4:$T$500&lt;&gt;"")*($T$4:$T$500&lt;IF(ISNUMBER(O232),MOD(O232,1),TIMEVALUE(O232)))),$T$4:$T$500))*1440),"")</f>
        <v/>
      </c>
      <c r="Z232" s="27">
        <f>IFERROR(IF(Y232="","",IF(ROUND(Y232,0)&lt;=15,"Cumple","No cumple")),"")</f>
        <v/>
      </c>
      <c r="AA232" s="27" t="n"/>
      <c r="AB232" s="26">
        <f>IFERROR(IF(OR(O232="",R232=""),"",IF(IF(ISNUMBER(R232),MOD(R232,1),TIMEVALUE(R232))&gt;=IF(ISNUMBER(O232),MOD(O232,1),TIMEVALUE(O232)),(IF(ISNUMBER(R232),MOD(R232,1),TIMEVALUE(R232))-IF(ISNUMBER(O232),MOD(O232,1),TIMEVALUE(O232)))*1440,(IF(ISNUMBER(R232),MOD(R232,1),TIMEVALUE(R232))+1-IF(ISNUMBER(O232),MOD(O232,1),TIMEVALUE(O232)))*1440)),"")</f>
        <v/>
      </c>
      <c r="AC232" s="26">
        <f>IFERROR(IF(OR(R232="",S232=""),"",IF(IF(ISNUMBER(S232),MOD(S232,1),TIMEVALUE(S232))&gt;=IF(ISNUMBER(R232),MOD(R232,1),TIMEVALUE(R232)),(IF(ISNUMBER(S232),MOD(S232,1),TIMEVALUE(S232))-IF(ISNUMBER(R232),MOD(R232,1),TIMEVALUE(R232)))*1440,(IF(ISNUMBER(S232),MOD(S232,1),TIMEVALUE(S232))+1-IF(ISNUMBER(R232),MOD(R232,1),TIMEVALUE(R232)))*1440)),"")</f>
        <v/>
      </c>
      <c r="AD232" s="29" t="n"/>
      <c r="AE232" s="26">
        <f>IFERROR(IF(OR(AC232="",AD232=""),"",AC232-AD232),"")</f>
        <v/>
      </c>
      <c r="AF232" s="27">
        <f>IFERROR(IF(AE232="","",IF(ROUND(AE232,0)&gt;15,"Subestimacion",IF(ROUND(AE232,0)&lt;-15,"Sobrestimacion","Asertivo"))),"")</f>
        <v/>
      </c>
      <c r="AG232" s="19" t="n"/>
      <c r="AH232" s="19" t="n"/>
      <c r="AI232" s="19" t="n"/>
      <c r="AJ232" s="19" t="n"/>
      <c r="AK232" s="19" t="n"/>
      <c r="AL232" s="19" t="n"/>
      <c r="AM232" s="19" t="n"/>
      <c r="AN232" s="19" t="n"/>
      <c r="AO232" s="19" t="n"/>
      <c r="AP232" s="127">
        <f>IF(A232="","",A232-WEEKDAY(A232,2)+1)</f>
        <v/>
      </c>
      <c r="AQ232" s="127">
        <f>IF(AO232="","",AO232+6)</f>
        <v/>
      </c>
      <c r="AR232" s="19">
        <f>IF(AO232="","","Semana "&amp;TEXT(AO232,"dd-mm-yyyy")&amp;" al "&amp;TEXT(AP232,"dd-mm-yyyy"))</f>
        <v/>
      </c>
      <c r="AS232" s="19">
        <f>IF(A232="","",TEXT(A232,"mmmm yyyy"))</f>
        <v/>
      </c>
      <c r="AT232" s="19">
        <f>IF(A232="","",TEXT(A232,"dddd"))</f>
        <v/>
      </c>
      <c r="AU232" s="19">
        <f>IF(A232="","","CRR-"&amp;TEXT(A232,"yyyymmdd")&amp;"-"&amp;M232&amp;"-"&amp;TEXT(ROW()-3,"0000"))</f>
        <v/>
      </c>
      <c r="AV232" s="19">
        <f>IF(A232="","",IF(OR(B232="",C232="",E232="",F232="",M232="",N232=""),"Revisar campos obligatorios",IF(AND(P232="Atraso primera hora",Q232=""),"Falta justificación atraso primera hora",IF(AND(Z232="No cumple",AA232=""),"Falta justificación recambio &gt;15 min",IF(AND(ISNUMBER(SEARCH("suspend",N232)),OR(AG232="",AH232="")),"Falta causa/motivo suspensión","OK")))))</f>
        <v/>
      </c>
      <c r="AW232" s="19">
        <f>IF(N232="","",IF(ISNUMBER(SEARCH("suspend",N232)),IF(AND(AG232="",AH232=""),"Sin causa/motivo registrado",IF(AG232="",AH232,IF(AH232="",AG232,AG232&amp;": "&amp;AH232))),""))</f>
        <v/>
      </c>
    </row>
    <row r="233" ht="16" customHeight="1" s="151">
      <c r="A233" s="62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20">
        <f>IF(H233&lt;&gt;"",IFERROR(VLOOKUP(IFERROR(LEFT(H233,FIND("-",H233)-1),H233),'Catalogo MINSAL'!A:E,5,FALSE),""),IF(I233&lt;&gt;"",IFERROR(VLOOKUP(IFERROR(LEFT(I233,FIND("-",I233)-1),I233),'Catalogo MINSAL'!A:E,5,FALSE),""),""))</f>
        <v/>
      </c>
      <c r="K233" s="19" t="n"/>
      <c r="L233" s="19" t="n"/>
      <c r="M233" s="19" t="n"/>
      <c r="N233" s="19" t="n"/>
      <c r="O233" s="25" t="n"/>
      <c r="P233" s="27">
        <f>IFERROR(IF(OR(O233="",A233="",M233=""),"",IF(SUMPRODUCT(($A$4:$A$500=A233)*($M$4:$M$500=M233)*($O$4:$O$500&lt;&gt;"")*(MOD($O$4:$O$500,1)&lt;MOD(O233,1)))=0,IF(MOD(O233,1)&lt;=TIME(8,15,0),"Ingreso adecuado primera hora","Atraso primera hora"),"No aplica")),"")</f>
        <v/>
      </c>
      <c r="Q233" s="27" t="n"/>
      <c r="R233" s="25" t="n"/>
      <c r="S233" s="25" t="n"/>
      <c r="T233" s="25" t="n"/>
      <c r="U233" s="25">
        <f>IFERROR(VLOOKUP(M233,'Horario Pabellones'!$A$4:$D$17,2,FALSE),"")</f>
        <v/>
      </c>
      <c r="V233" s="25">
        <f>IFERROR(VLOOKUP(M233,'Horario Pabellones'!$A$4:$D$17,3,FALSE),"")</f>
        <v/>
      </c>
      <c r="W233" s="99">
        <f>IFERROR(VLOOKUP(M233,'Horario Pabellones'!$A$4:$D$17,4,FALSE),"")</f>
        <v/>
      </c>
      <c r="X233" s="89">
        <f>IFERROR(IF(OR(A233="",M233="",W233=""),"",(((_xludf.AGGREGATE(14,6,MOD($S$4:$S$500,1)/(($A$4:$A$500=A233)*($M$4:$M$500=M233)*($R$4:$R$500&lt;&gt;"")*($S$4:$S$500&lt;&gt;"")),1)-_xludf.AGGREGATE(15,6,MOD($R$4:$R$500,1)/(($A$4:$A$500=A233)*($M$4:$M$500=M233)*($R$4:$R$500&lt;&gt;"")*($S$4:$S$500&lt;&gt;"")),1))*1440)/60)/(W233/60)),"")</f>
        <v/>
      </c>
      <c r="Y233" s="26">
        <f>IFERROR(IF(OR(O233="",A233="",M233=""),"",(IF(ISNUMBER(O233),MOD(O233,1),TIMEVALUE(O233))-LOOKUP(2,1/(($A$4:$A$500=A233)*($M$4:$M$500=M233)*($T$4:$T$500&lt;&gt;"")*($T$4:$T$500&lt;IF(ISNUMBER(O233),MOD(O233,1),TIMEVALUE(O233)))),$T$4:$T$500))*1440),"")</f>
        <v/>
      </c>
      <c r="Z233" s="27">
        <f>IFERROR(IF(Y233="","",IF(ROUND(Y233,0)&lt;=15,"Cumple","No cumple")),"")</f>
        <v/>
      </c>
      <c r="AA233" s="27" t="n"/>
      <c r="AB233" s="26">
        <f>IFERROR(IF(OR(O233="",R233=""),"",IF(IF(ISNUMBER(R233),MOD(R233,1),TIMEVALUE(R233))&gt;=IF(ISNUMBER(O233),MOD(O233,1),TIMEVALUE(O233)),(IF(ISNUMBER(R233),MOD(R233,1),TIMEVALUE(R233))-IF(ISNUMBER(O233),MOD(O233,1),TIMEVALUE(O233)))*1440,(IF(ISNUMBER(R233),MOD(R233,1),TIMEVALUE(R233))+1-IF(ISNUMBER(O233),MOD(O233,1),TIMEVALUE(O233)))*1440)),"")</f>
        <v/>
      </c>
      <c r="AC233" s="26">
        <f>IFERROR(IF(OR(R233="",S233=""),"",IF(IF(ISNUMBER(S233),MOD(S233,1),TIMEVALUE(S233))&gt;=IF(ISNUMBER(R233),MOD(R233,1),TIMEVALUE(R233)),(IF(ISNUMBER(S233),MOD(S233,1),TIMEVALUE(S233))-IF(ISNUMBER(R233),MOD(R233,1),TIMEVALUE(R233)))*1440,(IF(ISNUMBER(S233),MOD(S233,1),TIMEVALUE(S233))+1-IF(ISNUMBER(R233),MOD(R233,1),TIMEVALUE(R233)))*1440)),"")</f>
        <v/>
      </c>
      <c r="AD233" s="29" t="n"/>
      <c r="AE233" s="26">
        <f>IFERROR(IF(OR(AC233="",AD233=""),"",AC233-AD233),"")</f>
        <v/>
      </c>
      <c r="AF233" s="27">
        <f>IFERROR(IF(AE233="","",IF(ROUND(AE233,0)&gt;15,"Subestimacion",IF(ROUND(AE233,0)&lt;-15,"Sobrestimacion","Asertivo"))),"")</f>
        <v/>
      </c>
      <c r="AG233" s="19" t="n"/>
      <c r="AH233" s="19" t="n"/>
      <c r="AI233" s="19" t="n"/>
      <c r="AJ233" s="19" t="n"/>
      <c r="AK233" s="19" t="n"/>
      <c r="AL233" s="19" t="n"/>
      <c r="AM233" s="19" t="n"/>
      <c r="AN233" s="19" t="n"/>
      <c r="AO233" s="19" t="n"/>
      <c r="AP233" s="127">
        <f>IF(A233="","",A233-WEEKDAY(A233,2)+1)</f>
        <v/>
      </c>
      <c r="AQ233" s="127">
        <f>IF(AO233="","",AO233+6)</f>
        <v/>
      </c>
      <c r="AR233" s="19">
        <f>IF(AO233="","","Semana "&amp;TEXT(AO233,"dd-mm-yyyy")&amp;" al "&amp;TEXT(AP233,"dd-mm-yyyy"))</f>
        <v/>
      </c>
      <c r="AS233" s="19">
        <f>IF(A233="","",TEXT(A233,"mmmm yyyy"))</f>
        <v/>
      </c>
      <c r="AT233" s="19">
        <f>IF(A233="","",TEXT(A233,"dddd"))</f>
        <v/>
      </c>
      <c r="AU233" s="19">
        <f>IF(A233="","","CRR-"&amp;TEXT(A233,"yyyymmdd")&amp;"-"&amp;M233&amp;"-"&amp;TEXT(ROW()-3,"0000"))</f>
        <v/>
      </c>
      <c r="AV233" s="19">
        <f>IF(A233="","",IF(OR(B233="",C233="",E233="",F233="",M233="",N233=""),"Revisar campos obligatorios",IF(AND(P233="Atraso primera hora",Q233=""),"Falta justificación atraso primera hora",IF(AND(Z233="No cumple",AA233=""),"Falta justificación recambio &gt;15 min",IF(AND(ISNUMBER(SEARCH("suspend",N233)),OR(AG233="",AH233="")),"Falta causa/motivo suspensión","OK")))))</f>
        <v/>
      </c>
      <c r="AW233" s="19">
        <f>IF(N233="","",IF(ISNUMBER(SEARCH("suspend",N233)),IF(AND(AG233="",AH233=""),"Sin causa/motivo registrado",IF(AG233="",AH233,IF(AH233="",AG233,AG233&amp;": "&amp;AH233))),""))</f>
        <v/>
      </c>
    </row>
    <row r="234" ht="16" customHeight="1" s="151">
      <c r="A234" s="62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20">
        <f>IF(H234&lt;&gt;"",IFERROR(VLOOKUP(IFERROR(LEFT(H234,FIND("-",H234)-1),H234),'Catalogo MINSAL'!A:E,5,FALSE),""),IF(I234&lt;&gt;"",IFERROR(VLOOKUP(IFERROR(LEFT(I234,FIND("-",I234)-1),I234),'Catalogo MINSAL'!A:E,5,FALSE),""),""))</f>
        <v/>
      </c>
      <c r="K234" s="19" t="n"/>
      <c r="L234" s="19" t="n"/>
      <c r="M234" s="19" t="n"/>
      <c r="N234" s="19" t="n"/>
      <c r="O234" s="25" t="n"/>
      <c r="P234" s="27">
        <f>IFERROR(IF(OR(O234="",A234="",M234=""),"",IF(SUMPRODUCT(($A$4:$A$500=A234)*($M$4:$M$500=M234)*($O$4:$O$500&lt;&gt;"")*(MOD($O$4:$O$500,1)&lt;MOD(O234,1)))=0,IF(MOD(O234,1)&lt;=TIME(8,15,0),"Ingreso adecuado primera hora","Atraso primera hora"),"No aplica")),"")</f>
        <v/>
      </c>
      <c r="Q234" s="27" t="n"/>
      <c r="R234" s="25" t="n"/>
      <c r="S234" s="25" t="n"/>
      <c r="T234" s="25" t="n"/>
      <c r="U234" s="25">
        <f>IFERROR(VLOOKUP(M234,'Horario Pabellones'!$A$4:$D$17,2,FALSE),"")</f>
        <v/>
      </c>
      <c r="V234" s="25">
        <f>IFERROR(VLOOKUP(M234,'Horario Pabellones'!$A$4:$D$17,3,FALSE),"")</f>
        <v/>
      </c>
      <c r="W234" s="99">
        <f>IFERROR(VLOOKUP(M234,'Horario Pabellones'!$A$4:$D$17,4,FALSE),"")</f>
        <v/>
      </c>
      <c r="X234" s="89">
        <f>IFERROR(IF(OR(A234="",M234="",W234=""),"",(((_xludf.AGGREGATE(14,6,MOD($S$4:$S$500,1)/(($A$4:$A$500=A234)*($M$4:$M$500=M234)*($R$4:$R$500&lt;&gt;"")*($S$4:$S$500&lt;&gt;"")),1)-_xludf.AGGREGATE(15,6,MOD($R$4:$R$500,1)/(($A$4:$A$500=A234)*($M$4:$M$500=M234)*($R$4:$R$500&lt;&gt;"")*($S$4:$S$500&lt;&gt;"")),1))*1440)/60)/(W234/60)),"")</f>
        <v/>
      </c>
      <c r="Y234" s="26">
        <f>IFERROR(IF(OR(O234="",A234="",M234=""),"",(IF(ISNUMBER(O234),MOD(O234,1),TIMEVALUE(O234))-LOOKUP(2,1/(($A$4:$A$500=A234)*($M$4:$M$500=M234)*($T$4:$T$500&lt;&gt;"")*($T$4:$T$500&lt;IF(ISNUMBER(O234),MOD(O234,1),TIMEVALUE(O234)))),$T$4:$T$500))*1440),"")</f>
        <v/>
      </c>
      <c r="Z234" s="27">
        <f>IFERROR(IF(Y234="","",IF(ROUND(Y234,0)&lt;=15,"Cumple","No cumple")),"")</f>
        <v/>
      </c>
      <c r="AA234" s="27" t="n"/>
      <c r="AB234" s="26">
        <f>IFERROR(IF(OR(O234="",R234=""),"",IF(IF(ISNUMBER(R234),MOD(R234,1),TIMEVALUE(R234))&gt;=IF(ISNUMBER(O234),MOD(O234,1),TIMEVALUE(O234)),(IF(ISNUMBER(R234),MOD(R234,1),TIMEVALUE(R234))-IF(ISNUMBER(O234),MOD(O234,1),TIMEVALUE(O234)))*1440,(IF(ISNUMBER(R234),MOD(R234,1),TIMEVALUE(R234))+1-IF(ISNUMBER(O234),MOD(O234,1),TIMEVALUE(O234)))*1440)),"")</f>
        <v/>
      </c>
      <c r="AC234" s="26">
        <f>IFERROR(IF(OR(R234="",S234=""),"",IF(IF(ISNUMBER(S234),MOD(S234,1),TIMEVALUE(S234))&gt;=IF(ISNUMBER(R234),MOD(R234,1),TIMEVALUE(R234)),(IF(ISNUMBER(S234),MOD(S234,1),TIMEVALUE(S234))-IF(ISNUMBER(R234),MOD(R234,1),TIMEVALUE(R234)))*1440,(IF(ISNUMBER(S234),MOD(S234,1),TIMEVALUE(S234))+1-IF(ISNUMBER(R234),MOD(R234,1),TIMEVALUE(R234)))*1440)),"")</f>
        <v/>
      </c>
      <c r="AD234" s="29" t="n"/>
      <c r="AE234" s="26">
        <f>IFERROR(IF(OR(AC234="",AD234=""),"",AC234-AD234),"")</f>
        <v/>
      </c>
      <c r="AF234" s="27">
        <f>IFERROR(IF(AE234="","",IF(ROUND(AE234,0)&gt;15,"Subestimacion",IF(ROUND(AE234,0)&lt;-15,"Sobrestimacion","Asertivo"))),"")</f>
        <v/>
      </c>
      <c r="AG234" s="19" t="n"/>
      <c r="AH234" s="19" t="n"/>
      <c r="AI234" s="19" t="n"/>
      <c r="AJ234" s="19" t="n"/>
      <c r="AK234" s="19" t="n"/>
      <c r="AL234" s="19" t="n"/>
      <c r="AM234" s="19" t="n"/>
      <c r="AN234" s="19" t="n"/>
      <c r="AO234" s="19" t="n"/>
      <c r="AP234" s="127">
        <f>IF(A234="","",A234-WEEKDAY(A234,2)+1)</f>
        <v/>
      </c>
      <c r="AQ234" s="127">
        <f>IF(AO234="","",AO234+6)</f>
        <v/>
      </c>
      <c r="AR234" s="19">
        <f>IF(AO234="","","Semana "&amp;TEXT(AO234,"dd-mm-yyyy")&amp;" al "&amp;TEXT(AP234,"dd-mm-yyyy"))</f>
        <v/>
      </c>
      <c r="AS234" s="19">
        <f>IF(A234="","",TEXT(A234,"mmmm yyyy"))</f>
        <v/>
      </c>
      <c r="AT234" s="19">
        <f>IF(A234="","",TEXT(A234,"dddd"))</f>
        <v/>
      </c>
      <c r="AU234" s="19">
        <f>IF(A234="","","CRR-"&amp;TEXT(A234,"yyyymmdd")&amp;"-"&amp;M234&amp;"-"&amp;TEXT(ROW()-3,"0000"))</f>
        <v/>
      </c>
      <c r="AV234" s="19">
        <f>IF(A234="","",IF(OR(B234="",C234="",E234="",F234="",M234="",N234=""),"Revisar campos obligatorios",IF(AND(P234="Atraso primera hora",Q234=""),"Falta justificación atraso primera hora",IF(AND(Z234="No cumple",AA234=""),"Falta justificación recambio &gt;15 min",IF(AND(ISNUMBER(SEARCH("suspend",N234)),OR(AG234="",AH234="")),"Falta causa/motivo suspensión","OK")))))</f>
        <v/>
      </c>
      <c r="AW234" s="19">
        <f>IF(N234="","",IF(ISNUMBER(SEARCH("suspend",N234)),IF(AND(AG234="",AH234=""),"Sin causa/motivo registrado",IF(AG234="",AH234,IF(AH234="",AG234,AG234&amp;": "&amp;AH234))),""))</f>
        <v/>
      </c>
    </row>
    <row r="235" ht="16" customHeight="1" s="151">
      <c r="A235" s="62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20">
        <f>IF(H235&lt;&gt;"",IFERROR(VLOOKUP(IFERROR(LEFT(H235,FIND("-",H235)-1),H235),'Catalogo MINSAL'!A:E,5,FALSE),""),IF(I235&lt;&gt;"",IFERROR(VLOOKUP(IFERROR(LEFT(I235,FIND("-",I235)-1),I235),'Catalogo MINSAL'!A:E,5,FALSE),""),""))</f>
        <v/>
      </c>
      <c r="K235" s="19" t="n"/>
      <c r="L235" s="19" t="n"/>
      <c r="M235" s="19" t="n"/>
      <c r="N235" s="19" t="n"/>
      <c r="O235" s="25" t="n"/>
      <c r="P235" s="27">
        <f>IFERROR(IF(OR(O235="",A235="",M235=""),"",IF(SUMPRODUCT(($A$4:$A$500=A235)*($M$4:$M$500=M235)*($O$4:$O$500&lt;&gt;"")*(MOD($O$4:$O$500,1)&lt;MOD(O235,1)))=0,IF(MOD(O235,1)&lt;=TIME(8,15,0),"Ingreso adecuado primera hora","Atraso primera hora"),"No aplica")),"")</f>
        <v/>
      </c>
      <c r="Q235" s="27" t="n"/>
      <c r="R235" s="25" t="n"/>
      <c r="S235" s="25" t="n"/>
      <c r="T235" s="25" t="n"/>
      <c r="U235" s="25">
        <f>IFERROR(VLOOKUP(M235,'Horario Pabellones'!$A$4:$D$17,2,FALSE),"")</f>
        <v/>
      </c>
      <c r="V235" s="25">
        <f>IFERROR(VLOOKUP(M235,'Horario Pabellones'!$A$4:$D$17,3,FALSE),"")</f>
        <v/>
      </c>
      <c r="W235" s="99">
        <f>IFERROR(VLOOKUP(M235,'Horario Pabellones'!$A$4:$D$17,4,FALSE),"")</f>
        <v/>
      </c>
      <c r="X235" s="89">
        <f>IFERROR(IF(OR(A235="",M235="",W235=""),"",(((_xludf.AGGREGATE(14,6,MOD($S$4:$S$500,1)/(($A$4:$A$500=A235)*($M$4:$M$500=M235)*($R$4:$R$500&lt;&gt;"")*($S$4:$S$500&lt;&gt;"")),1)-_xludf.AGGREGATE(15,6,MOD($R$4:$R$500,1)/(($A$4:$A$500=A235)*($M$4:$M$500=M235)*($R$4:$R$500&lt;&gt;"")*($S$4:$S$500&lt;&gt;"")),1))*1440)/60)/(W235/60)),"")</f>
        <v/>
      </c>
      <c r="Y235" s="26">
        <f>IFERROR(IF(OR(O235="",A235="",M235=""),"",(IF(ISNUMBER(O235),MOD(O235,1),TIMEVALUE(O235))-LOOKUP(2,1/(($A$4:$A$500=A235)*($M$4:$M$500=M235)*($T$4:$T$500&lt;&gt;"")*($T$4:$T$500&lt;IF(ISNUMBER(O235),MOD(O235,1),TIMEVALUE(O235)))),$T$4:$T$500))*1440),"")</f>
        <v/>
      </c>
      <c r="Z235" s="27">
        <f>IFERROR(IF(Y235="","",IF(ROUND(Y235,0)&lt;=15,"Cumple","No cumple")),"")</f>
        <v/>
      </c>
      <c r="AA235" s="27" t="n"/>
      <c r="AB235" s="26">
        <f>IFERROR(IF(OR(O235="",R235=""),"",IF(IF(ISNUMBER(R235),MOD(R235,1),TIMEVALUE(R235))&gt;=IF(ISNUMBER(O235),MOD(O235,1),TIMEVALUE(O235)),(IF(ISNUMBER(R235),MOD(R235,1),TIMEVALUE(R235))-IF(ISNUMBER(O235),MOD(O235,1),TIMEVALUE(O235)))*1440,(IF(ISNUMBER(R235),MOD(R235,1),TIMEVALUE(R235))+1-IF(ISNUMBER(O235),MOD(O235,1),TIMEVALUE(O235)))*1440)),"")</f>
        <v/>
      </c>
      <c r="AC235" s="26">
        <f>IFERROR(IF(OR(R235="",S235=""),"",IF(IF(ISNUMBER(S235),MOD(S235,1),TIMEVALUE(S235))&gt;=IF(ISNUMBER(R235),MOD(R235,1),TIMEVALUE(R235)),(IF(ISNUMBER(S235),MOD(S235,1),TIMEVALUE(S235))-IF(ISNUMBER(R235),MOD(R235,1),TIMEVALUE(R235)))*1440,(IF(ISNUMBER(S235),MOD(S235,1),TIMEVALUE(S235))+1-IF(ISNUMBER(R235),MOD(R235,1),TIMEVALUE(R235)))*1440)),"")</f>
        <v/>
      </c>
      <c r="AD235" s="29" t="n"/>
      <c r="AE235" s="26">
        <f>IFERROR(IF(OR(AC235="",AD235=""),"",AC235-AD235),"")</f>
        <v/>
      </c>
      <c r="AF235" s="27">
        <f>IFERROR(IF(AE235="","",IF(ROUND(AE235,0)&gt;15,"Subestimacion",IF(ROUND(AE235,0)&lt;-15,"Sobrestimacion","Asertivo"))),"")</f>
        <v/>
      </c>
      <c r="AG235" s="19" t="n"/>
      <c r="AH235" s="19" t="n"/>
      <c r="AI235" s="19" t="n"/>
      <c r="AJ235" s="19" t="n"/>
      <c r="AK235" s="19" t="n"/>
      <c r="AL235" s="19" t="n"/>
      <c r="AM235" s="19" t="n"/>
      <c r="AN235" s="19" t="n"/>
      <c r="AO235" s="19" t="n"/>
      <c r="AP235" s="127">
        <f>IF(A235="","",A235-WEEKDAY(A235,2)+1)</f>
        <v/>
      </c>
      <c r="AQ235" s="127">
        <f>IF(AO235="","",AO235+6)</f>
        <v/>
      </c>
      <c r="AR235" s="19">
        <f>IF(AO235="","","Semana "&amp;TEXT(AO235,"dd-mm-yyyy")&amp;" al "&amp;TEXT(AP235,"dd-mm-yyyy"))</f>
        <v/>
      </c>
      <c r="AS235" s="19">
        <f>IF(A235="","",TEXT(A235,"mmmm yyyy"))</f>
        <v/>
      </c>
      <c r="AT235" s="19">
        <f>IF(A235="","",TEXT(A235,"dddd"))</f>
        <v/>
      </c>
      <c r="AU235" s="19">
        <f>IF(A235="","","CRR-"&amp;TEXT(A235,"yyyymmdd")&amp;"-"&amp;M235&amp;"-"&amp;TEXT(ROW()-3,"0000"))</f>
        <v/>
      </c>
      <c r="AV235" s="19">
        <f>IF(A235="","",IF(OR(B235="",C235="",E235="",F235="",M235="",N235=""),"Revisar campos obligatorios",IF(AND(P235="Atraso primera hora",Q235=""),"Falta justificación atraso primera hora",IF(AND(Z235="No cumple",AA235=""),"Falta justificación recambio &gt;15 min",IF(AND(ISNUMBER(SEARCH("suspend",N235)),OR(AG235="",AH235="")),"Falta causa/motivo suspensión","OK")))))</f>
        <v/>
      </c>
      <c r="AW235" s="19">
        <f>IF(N235="","",IF(ISNUMBER(SEARCH("suspend",N235)),IF(AND(AG235="",AH235=""),"Sin causa/motivo registrado",IF(AG235="",AH235,IF(AH235="",AG235,AG235&amp;": "&amp;AH235))),""))</f>
        <v/>
      </c>
    </row>
    <row r="236" ht="16" customHeight="1" s="151">
      <c r="A236" s="62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20">
        <f>IF(H236&lt;&gt;"",IFERROR(VLOOKUP(IFERROR(LEFT(H236,FIND("-",H236)-1),H236),'Catalogo MINSAL'!A:E,5,FALSE),""),IF(I236&lt;&gt;"",IFERROR(VLOOKUP(IFERROR(LEFT(I236,FIND("-",I236)-1),I236),'Catalogo MINSAL'!A:E,5,FALSE),""),""))</f>
        <v/>
      </c>
      <c r="K236" s="19" t="n"/>
      <c r="L236" s="19" t="n"/>
      <c r="M236" s="19" t="n"/>
      <c r="N236" s="19" t="n"/>
      <c r="O236" s="25" t="n"/>
      <c r="P236" s="27">
        <f>IFERROR(IF(OR(O236="",A236="",M236=""),"",IF(SUMPRODUCT(($A$4:$A$500=A236)*($M$4:$M$500=M236)*($O$4:$O$500&lt;&gt;"")*(MOD($O$4:$O$500,1)&lt;MOD(O236,1)))=0,IF(MOD(O236,1)&lt;=TIME(8,15,0),"Ingreso adecuado primera hora","Atraso primera hora"),"No aplica")),"")</f>
        <v/>
      </c>
      <c r="Q236" s="27" t="n"/>
      <c r="R236" s="25" t="n"/>
      <c r="S236" s="25" t="n"/>
      <c r="T236" s="25" t="n"/>
      <c r="U236" s="25">
        <f>IFERROR(VLOOKUP(M236,'Horario Pabellones'!$A$4:$D$17,2,FALSE),"")</f>
        <v/>
      </c>
      <c r="V236" s="25">
        <f>IFERROR(VLOOKUP(M236,'Horario Pabellones'!$A$4:$D$17,3,FALSE),"")</f>
        <v/>
      </c>
      <c r="W236" s="99">
        <f>IFERROR(VLOOKUP(M236,'Horario Pabellones'!$A$4:$D$17,4,FALSE),"")</f>
        <v/>
      </c>
      <c r="X236" s="89">
        <f>IFERROR(IF(OR(A236="",M236="",W236=""),"",(((_xludf.AGGREGATE(14,6,MOD($S$4:$S$500,1)/(($A$4:$A$500=A236)*($M$4:$M$500=M236)*($R$4:$R$500&lt;&gt;"")*($S$4:$S$500&lt;&gt;"")),1)-_xludf.AGGREGATE(15,6,MOD($R$4:$R$500,1)/(($A$4:$A$500=A236)*($M$4:$M$500=M236)*($R$4:$R$500&lt;&gt;"")*($S$4:$S$500&lt;&gt;"")),1))*1440)/60)/(W236/60)),"")</f>
        <v/>
      </c>
      <c r="Y236" s="26">
        <f>IFERROR(IF(OR(O236="",A236="",M236=""),"",(IF(ISNUMBER(O236),MOD(O236,1),TIMEVALUE(O236))-LOOKUP(2,1/(($A$4:$A$500=A236)*($M$4:$M$500=M236)*($T$4:$T$500&lt;&gt;"")*($T$4:$T$500&lt;IF(ISNUMBER(O236),MOD(O236,1),TIMEVALUE(O236)))),$T$4:$T$500))*1440),"")</f>
        <v/>
      </c>
      <c r="Z236" s="27">
        <f>IFERROR(IF(Y236="","",IF(ROUND(Y236,0)&lt;=15,"Cumple","No cumple")),"")</f>
        <v/>
      </c>
      <c r="AA236" s="27" t="n"/>
      <c r="AB236" s="26">
        <f>IFERROR(IF(OR(O236="",R236=""),"",IF(IF(ISNUMBER(R236),MOD(R236,1),TIMEVALUE(R236))&gt;=IF(ISNUMBER(O236),MOD(O236,1),TIMEVALUE(O236)),(IF(ISNUMBER(R236),MOD(R236,1),TIMEVALUE(R236))-IF(ISNUMBER(O236),MOD(O236,1),TIMEVALUE(O236)))*1440,(IF(ISNUMBER(R236),MOD(R236,1),TIMEVALUE(R236))+1-IF(ISNUMBER(O236),MOD(O236,1),TIMEVALUE(O236)))*1440)),"")</f>
        <v/>
      </c>
      <c r="AC236" s="26">
        <f>IFERROR(IF(OR(R236="",S236=""),"",IF(IF(ISNUMBER(S236),MOD(S236,1),TIMEVALUE(S236))&gt;=IF(ISNUMBER(R236),MOD(R236,1),TIMEVALUE(R236)),(IF(ISNUMBER(S236),MOD(S236,1),TIMEVALUE(S236))-IF(ISNUMBER(R236),MOD(R236,1),TIMEVALUE(R236)))*1440,(IF(ISNUMBER(S236),MOD(S236,1),TIMEVALUE(S236))+1-IF(ISNUMBER(R236),MOD(R236,1),TIMEVALUE(R236)))*1440)),"")</f>
        <v/>
      </c>
      <c r="AD236" s="29" t="n"/>
      <c r="AE236" s="26">
        <f>IFERROR(IF(OR(AC236="",AD236=""),"",AC236-AD236),"")</f>
        <v/>
      </c>
      <c r="AF236" s="27">
        <f>IFERROR(IF(AE236="","",IF(ROUND(AE236,0)&gt;15,"Subestimacion",IF(ROUND(AE236,0)&lt;-15,"Sobrestimacion","Asertivo"))),"")</f>
        <v/>
      </c>
      <c r="AG236" s="19" t="n"/>
      <c r="AH236" s="19" t="n"/>
      <c r="AI236" s="19" t="n"/>
      <c r="AJ236" s="19" t="n"/>
      <c r="AK236" s="19" t="n"/>
      <c r="AL236" s="19" t="n"/>
      <c r="AM236" s="19" t="n"/>
      <c r="AN236" s="19" t="n"/>
      <c r="AO236" s="19" t="n"/>
      <c r="AP236" s="127">
        <f>IF(A236="","",A236-WEEKDAY(A236,2)+1)</f>
        <v/>
      </c>
      <c r="AQ236" s="127">
        <f>IF(AO236="","",AO236+6)</f>
        <v/>
      </c>
      <c r="AR236" s="19">
        <f>IF(AO236="","","Semana "&amp;TEXT(AO236,"dd-mm-yyyy")&amp;" al "&amp;TEXT(AP236,"dd-mm-yyyy"))</f>
        <v/>
      </c>
      <c r="AS236" s="19">
        <f>IF(A236="","",TEXT(A236,"mmmm yyyy"))</f>
        <v/>
      </c>
      <c r="AT236" s="19">
        <f>IF(A236="","",TEXT(A236,"dddd"))</f>
        <v/>
      </c>
      <c r="AU236" s="19">
        <f>IF(A236="","","CRR-"&amp;TEXT(A236,"yyyymmdd")&amp;"-"&amp;M236&amp;"-"&amp;TEXT(ROW()-3,"0000"))</f>
        <v/>
      </c>
      <c r="AV236" s="19">
        <f>IF(A236="","",IF(OR(B236="",C236="",E236="",F236="",M236="",N236=""),"Revisar campos obligatorios",IF(AND(P236="Atraso primera hora",Q236=""),"Falta justificación atraso primera hora",IF(AND(Z236="No cumple",AA236=""),"Falta justificación recambio &gt;15 min",IF(AND(ISNUMBER(SEARCH("suspend",N236)),OR(AG236="",AH236="")),"Falta causa/motivo suspensión","OK")))))</f>
        <v/>
      </c>
      <c r="AW236" s="19">
        <f>IF(N236="","",IF(ISNUMBER(SEARCH("suspend",N236)),IF(AND(AG236="",AH236=""),"Sin causa/motivo registrado",IF(AG236="",AH236,IF(AH236="",AG236,AG236&amp;": "&amp;AH236))),""))</f>
        <v/>
      </c>
    </row>
    <row r="237" ht="16" customHeight="1" s="151">
      <c r="A237" s="62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20">
        <f>IF(H237&lt;&gt;"",IFERROR(VLOOKUP(IFERROR(LEFT(H237,FIND("-",H237)-1),H237),'Catalogo MINSAL'!A:E,5,FALSE),""),IF(I237&lt;&gt;"",IFERROR(VLOOKUP(IFERROR(LEFT(I237,FIND("-",I237)-1),I237),'Catalogo MINSAL'!A:E,5,FALSE),""),""))</f>
        <v/>
      </c>
      <c r="K237" s="19" t="n"/>
      <c r="L237" s="19" t="n"/>
      <c r="M237" s="19" t="n"/>
      <c r="N237" s="19" t="n"/>
      <c r="O237" s="25" t="n"/>
      <c r="P237" s="27">
        <f>IFERROR(IF(OR(O237="",A237="",M237=""),"",IF(SUMPRODUCT(($A$4:$A$500=A237)*($M$4:$M$500=M237)*($O$4:$O$500&lt;&gt;"")*(MOD($O$4:$O$500,1)&lt;MOD(O237,1)))=0,IF(MOD(O237,1)&lt;=TIME(8,15,0),"Ingreso adecuado primera hora","Atraso primera hora"),"No aplica")),"")</f>
        <v/>
      </c>
      <c r="Q237" s="27" t="n"/>
      <c r="R237" s="25" t="n"/>
      <c r="S237" s="25" t="n"/>
      <c r="T237" s="25" t="n"/>
      <c r="U237" s="25">
        <f>IFERROR(VLOOKUP(M237,'Horario Pabellones'!$A$4:$D$17,2,FALSE),"")</f>
        <v/>
      </c>
      <c r="V237" s="25">
        <f>IFERROR(VLOOKUP(M237,'Horario Pabellones'!$A$4:$D$17,3,FALSE),"")</f>
        <v/>
      </c>
      <c r="W237" s="99">
        <f>IFERROR(VLOOKUP(M237,'Horario Pabellones'!$A$4:$D$17,4,FALSE),"")</f>
        <v/>
      </c>
      <c r="X237" s="89">
        <f>IFERROR(IF(OR(A237="",M237="",W237=""),"",(((_xludf.AGGREGATE(14,6,MOD($S$4:$S$500,1)/(($A$4:$A$500=A237)*($M$4:$M$500=M237)*($R$4:$R$500&lt;&gt;"")*($S$4:$S$500&lt;&gt;"")),1)-_xludf.AGGREGATE(15,6,MOD($R$4:$R$500,1)/(($A$4:$A$500=A237)*($M$4:$M$500=M237)*($R$4:$R$500&lt;&gt;"")*($S$4:$S$500&lt;&gt;"")),1))*1440)/60)/(W237/60)),"")</f>
        <v/>
      </c>
      <c r="Y237" s="26">
        <f>IFERROR(IF(OR(O237="",A237="",M237=""),"",(IF(ISNUMBER(O237),MOD(O237,1),TIMEVALUE(O237))-LOOKUP(2,1/(($A$4:$A$500=A237)*($M$4:$M$500=M237)*($T$4:$T$500&lt;&gt;"")*($T$4:$T$500&lt;IF(ISNUMBER(O237),MOD(O237,1),TIMEVALUE(O237)))),$T$4:$T$500))*1440),"")</f>
        <v/>
      </c>
      <c r="Z237" s="27">
        <f>IFERROR(IF(Y237="","",IF(ROUND(Y237,0)&lt;=15,"Cumple","No cumple")),"")</f>
        <v/>
      </c>
      <c r="AA237" s="27" t="n"/>
      <c r="AB237" s="26">
        <f>IFERROR(IF(OR(O237="",R237=""),"",IF(IF(ISNUMBER(R237),MOD(R237,1),TIMEVALUE(R237))&gt;=IF(ISNUMBER(O237),MOD(O237,1),TIMEVALUE(O237)),(IF(ISNUMBER(R237),MOD(R237,1),TIMEVALUE(R237))-IF(ISNUMBER(O237),MOD(O237,1),TIMEVALUE(O237)))*1440,(IF(ISNUMBER(R237),MOD(R237,1),TIMEVALUE(R237))+1-IF(ISNUMBER(O237),MOD(O237,1),TIMEVALUE(O237)))*1440)),"")</f>
        <v/>
      </c>
      <c r="AC237" s="26">
        <f>IFERROR(IF(OR(R237="",S237=""),"",IF(IF(ISNUMBER(S237),MOD(S237,1),TIMEVALUE(S237))&gt;=IF(ISNUMBER(R237),MOD(R237,1),TIMEVALUE(R237)),(IF(ISNUMBER(S237),MOD(S237,1),TIMEVALUE(S237))-IF(ISNUMBER(R237),MOD(R237,1),TIMEVALUE(R237)))*1440,(IF(ISNUMBER(S237),MOD(S237,1),TIMEVALUE(S237))+1-IF(ISNUMBER(R237),MOD(R237,1),TIMEVALUE(R237)))*1440)),"")</f>
        <v/>
      </c>
      <c r="AD237" s="29" t="n"/>
      <c r="AE237" s="26">
        <f>IFERROR(IF(OR(AC237="",AD237=""),"",AC237-AD237),"")</f>
        <v/>
      </c>
      <c r="AF237" s="27">
        <f>IFERROR(IF(AE237="","",IF(ROUND(AE237,0)&gt;15,"Subestimacion",IF(ROUND(AE237,0)&lt;-15,"Sobrestimacion","Asertivo"))),"")</f>
        <v/>
      </c>
      <c r="AG237" s="19" t="n"/>
      <c r="AH237" s="19" t="n"/>
      <c r="AI237" s="19" t="n"/>
      <c r="AJ237" s="19" t="n"/>
      <c r="AK237" s="19" t="n"/>
      <c r="AL237" s="19" t="n"/>
      <c r="AM237" s="19" t="n"/>
      <c r="AN237" s="19" t="n"/>
      <c r="AO237" s="19" t="n"/>
      <c r="AP237" s="127">
        <f>IF(A237="","",A237-WEEKDAY(A237,2)+1)</f>
        <v/>
      </c>
      <c r="AQ237" s="127">
        <f>IF(AO237="","",AO237+6)</f>
        <v/>
      </c>
      <c r="AR237" s="19">
        <f>IF(AO237="","","Semana "&amp;TEXT(AO237,"dd-mm-yyyy")&amp;" al "&amp;TEXT(AP237,"dd-mm-yyyy"))</f>
        <v/>
      </c>
      <c r="AS237" s="19">
        <f>IF(A237="","",TEXT(A237,"mmmm yyyy"))</f>
        <v/>
      </c>
      <c r="AT237" s="19">
        <f>IF(A237="","",TEXT(A237,"dddd"))</f>
        <v/>
      </c>
      <c r="AU237" s="19">
        <f>IF(A237="","","CRR-"&amp;TEXT(A237,"yyyymmdd")&amp;"-"&amp;M237&amp;"-"&amp;TEXT(ROW()-3,"0000"))</f>
        <v/>
      </c>
      <c r="AV237" s="19">
        <f>IF(A237="","",IF(OR(B237="",C237="",E237="",F237="",M237="",N237=""),"Revisar campos obligatorios",IF(AND(P237="Atraso primera hora",Q237=""),"Falta justificación atraso primera hora",IF(AND(Z237="No cumple",AA237=""),"Falta justificación recambio &gt;15 min",IF(AND(ISNUMBER(SEARCH("suspend",N237)),OR(AG237="",AH237="")),"Falta causa/motivo suspensión","OK")))))</f>
        <v/>
      </c>
      <c r="AW237" s="19">
        <f>IF(N237="","",IF(ISNUMBER(SEARCH("suspend",N237)),IF(AND(AG237="",AH237=""),"Sin causa/motivo registrado",IF(AG237="",AH237,IF(AH237="",AG237,AG237&amp;": "&amp;AH237))),""))</f>
        <v/>
      </c>
    </row>
    <row r="238" ht="16" customHeight="1" s="151">
      <c r="A238" s="62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20">
        <f>IF(H238&lt;&gt;"",IFERROR(VLOOKUP(IFERROR(LEFT(H238,FIND("-",H238)-1),H238),'Catalogo MINSAL'!A:E,5,FALSE),""),IF(I238&lt;&gt;"",IFERROR(VLOOKUP(IFERROR(LEFT(I238,FIND("-",I238)-1),I238),'Catalogo MINSAL'!A:E,5,FALSE),""),""))</f>
        <v/>
      </c>
      <c r="K238" s="19" t="n"/>
      <c r="L238" s="19" t="n"/>
      <c r="M238" s="19" t="n"/>
      <c r="N238" s="19" t="n"/>
      <c r="O238" s="25" t="n"/>
      <c r="P238" s="27">
        <f>IFERROR(IF(OR(O238="",A238="",M238=""),"",IF(SUMPRODUCT(($A$4:$A$500=A238)*($M$4:$M$500=M238)*($O$4:$O$500&lt;&gt;"")*(MOD($O$4:$O$500,1)&lt;MOD(O238,1)))=0,IF(MOD(O238,1)&lt;=TIME(8,15,0),"Ingreso adecuado primera hora","Atraso primera hora"),"No aplica")),"")</f>
        <v/>
      </c>
      <c r="Q238" s="27" t="n"/>
      <c r="R238" s="25" t="n"/>
      <c r="S238" s="25" t="n"/>
      <c r="T238" s="25" t="n"/>
      <c r="U238" s="25">
        <f>IFERROR(VLOOKUP(M238,'Horario Pabellones'!$A$4:$D$17,2,FALSE),"")</f>
        <v/>
      </c>
      <c r="V238" s="25">
        <f>IFERROR(VLOOKUP(M238,'Horario Pabellones'!$A$4:$D$17,3,FALSE),"")</f>
        <v/>
      </c>
      <c r="W238" s="99">
        <f>IFERROR(VLOOKUP(M238,'Horario Pabellones'!$A$4:$D$17,4,FALSE),"")</f>
        <v/>
      </c>
      <c r="X238" s="89">
        <f>IFERROR(IF(OR(A238="",M238="",W238=""),"",(((_xludf.AGGREGATE(14,6,MOD($S$4:$S$500,1)/(($A$4:$A$500=A238)*($M$4:$M$500=M238)*($R$4:$R$500&lt;&gt;"")*($S$4:$S$500&lt;&gt;"")),1)-_xludf.AGGREGATE(15,6,MOD($R$4:$R$500,1)/(($A$4:$A$500=A238)*($M$4:$M$500=M238)*($R$4:$R$500&lt;&gt;"")*($S$4:$S$500&lt;&gt;"")),1))*1440)/60)/(W238/60)),"")</f>
        <v/>
      </c>
      <c r="Y238" s="26">
        <f>IFERROR(IF(OR(O238="",A238="",M238=""),"",(IF(ISNUMBER(O238),MOD(O238,1),TIMEVALUE(O238))-LOOKUP(2,1/(($A$4:$A$500=A238)*($M$4:$M$500=M238)*($T$4:$T$500&lt;&gt;"")*($T$4:$T$500&lt;IF(ISNUMBER(O238),MOD(O238,1),TIMEVALUE(O238)))),$T$4:$T$500))*1440),"")</f>
        <v/>
      </c>
      <c r="Z238" s="27">
        <f>IFERROR(IF(Y238="","",IF(ROUND(Y238,0)&lt;=15,"Cumple","No cumple")),"")</f>
        <v/>
      </c>
      <c r="AA238" s="27" t="n"/>
      <c r="AB238" s="26">
        <f>IFERROR(IF(OR(O238="",R238=""),"",IF(IF(ISNUMBER(R238),MOD(R238,1),TIMEVALUE(R238))&gt;=IF(ISNUMBER(O238),MOD(O238,1),TIMEVALUE(O238)),(IF(ISNUMBER(R238),MOD(R238,1),TIMEVALUE(R238))-IF(ISNUMBER(O238),MOD(O238,1),TIMEVALUE(O238)))*1440,(IF(ISNUMBER(R238),MOD(R238,1),TIMEVALUE(R238))+1-IF(ISNUMBER(O238),MOD(O238,1),TIMEVALUE(O238)))*1440)),"")</f>
        <v/>
      </c>
      <c r="AC238" s="26">
        <f>IFERROR(IF(OR(R238="",S238=""),"",IF(IF(ISNUMBER(S238),MOD(S238,1),TIMEVALUE(S238))&gt;=IF(ISNUMBER(R238),MOD(R238,1),TIMEVALUE(R238)),(IF(ISNUMBER(S238),MOD(S238,1),TIMEVALUE(S238))-IF(ISNUMBER(R238),MOD(R238,1),TIMEVALUE(R238)))*1440,(IF(ISNUMBER(S238),MOD(S238,1),TIMEVALUE(S238))+1-IF(ISNUMBER(R238),MOD(R238,1),TIMEVALUE(R238)))*1440)),"")</f>
        <v/>
      </c>
      <c r="AD238" s="29" t="n"/>
      <c r="AE238" s="26">
        <f>IFERROR(IF(OR(AC238="",AD238=""),"",AC238-AD238),"")</f>
        <v/>
      </c>
      <c r="AF238" s="27">
        <f>IFERROR(IF(AE238="","",IF(ROUND(AE238,0)&gt;15,"Subestimacion",IF(ROUND(AE238,0)&lt;-15,"Sobrestimacion","Asertivo"))),"")</f>
        <v/>
      </c>
      <c r="AG238" s="19" t="n"/>
      <c r="AH238" s="19" t="n"/>
      <c r="AI238" s="19" t="n"/>
      <c r="AJ238" s="19" t="n"/>
      <c r="AK238" s="19" t="n"/>
      <c r="AL238" s="19" t="n"/>
      <c r="AM238" s="19" t="n"/>
      <c r="AN238" s="19" t="n"/>
      <c r="AO238" s="19" t="n"/>
      <c r="AP238" s="127">
        <f>IF(A238="","",A238-WEEKDAY(A238,2)+1)</f>
        <v/>
      </c>
      <c r="AQ238" s="127">
        <f>IF(AO238="","",AO238+6)</f>
        <v/>
      </c>
      <c r="AR238" s="19">
        <f>IF(AO238="","","Semana "&amp;TEXT(AO238,"dd-mm-yyyy")&amp;" al "&amp;TEXT(AP238,"dd-mm-yyyy"))</f>
        <v/>
      </c>
      <c r="AS238" s="19">
        <f>IF(A238="","",TEXT(A238,"mmmm yyyy"))</f>
        <v/>
      </c>
      <c r="AT238" s="19">
        <f>IF(A238="","",TEXT(A238,"dddd"))</f>
        <v/>
      </c>
      <c r="AU238" s="19">
        <f>IF(A238="","","CRR-"&amp;TEXT(A238,"yyyymmdd")&amp;"-"&amp;M238&amp;"-"&amp;TEXT(ROW()-3,"0000"))</f>
        <v/>
      </c>
      <c r="AV238" s="19">
        <f>IF(A238="","",IF(OR(B238="",C238="",E238="",F238="",M238="",N238=""),"Revisar campos obligatorios",IF(AND(P238="Atraso primera hora",Q238=""),"Falta justificación atraso primera hora",IF(AND(Z238="No cumple",AA238=""),"Falta justificación recambio &gt;15 min",IF(AND(ISNUMBER(SEARCH("suspend",N238)),OR(AG238="",AH238="")),"Falta causa/motivo suspensión","OK")))))</f>
        <v/>
      </c>
      <c r="AW238" s="19">
        <f>IF(N238="","",IF(ISNUMBER(SEARCH("suspend",N238)),IF(AND(AG238="",AH238=""),"Sin causa/motivo registrado",IF(AG238="",AH238,IF(AH238="",AG238,AG238&amp;": "&amp;AH238))),""))</f>
        <v/>
      </c>
    </row>
    <row r="239" ht="16" customHeight="1" s="151">
      <c r="A239" s="62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20">
        <f>IF(H239&lt;&gt;"",IFERROR(VLOOKUP(IFERROR(LEFT(H239,FIND("-",H239)-1),H239),'Catalogo MINSAL'!A:E,5,FALSE),""),IF(I239&lt;&gt;"",IFERROR(VLOOKUP(IFERROR(LEFT(I239,FIND("-",I239)-1),I239),'Catalogo MINSAL'!A:E,5,FALSE),""),""))</f>
        <v/>
      </c>
      <c r="K239" s="19" t="n"/>
      <c r="L239" s="19" t="n"/>
      <c r="M239" s="19" t="n"/>
      <c r="N239" s="19" t="n"/>
      <c r="O239" s="25" t="n"/>
      <c r="P239" s="27">
        <f>IFERROR(IF(OR(O239="",A239="",M239=""),"",IF(SUMPRODUCT(($A$4:$A$500=A239)*($M$4:$M$500=M239)*($O$4:$O$500&lt;&gt;"")*(MOD($O$4:$O$500,1)&lt;MOD(O239,1)))=0,IF(MOD(O239,1)&lt;=TIME(8,15,0),"Ingreso adecuado primera hora","Atraso primera hora"),"No aplica")),"")</f>
        <v/>
      </c>
      <c r="Q239" s="27" t="n"/>
      <c r="R239" s="25" t="n"/>
      <c r="S239" s="25" t="n"/>
      <c r="T239" s="25" t="n"/>
      <c r="U239" s="25">
        <f>IFERROR(VLOOKUP(M239,'Horario Pabellones'!$A$4:$D$17,2,FALSE),"")</f>
        <v/>
      </c>
      <c r="V239" s="25">
        <f>IFERROR(VLOOKUP(M239,'Horario Pabellones'!$A$4:$D$17,3,FALSE),"")</f>
        <v/>
      </c>
      <c r="W239" s="99">
        <f>IFERROR(VLOOKUP(M239,'Horario Pabellones'!$A$4:$D$17,4,FALSE),"")</f>
        <v/>
      </c>
      <c r="X239" s="89">
        <f>IFERROR(IF(OR(A239="",M239="",W239=""),"",(((_xludf.AGGREGATE(14,6,MOD($S$4:$S$500,1)/(($A$4:$A$500=A239)*($M$4:$M$500=M239)*($R$4:$R$500&lt;&gt;"")*($S$4:$S$500&lt;&gt;"")),1)-_xludf.AGGREGATE(15,6,MOD($R$4:$R$500,1)/(($A$4:$A$500=A239)*($M$4:$M$500=M239)*($R$4:$R$500&lt;&gt;"")*($S$4:$S$500&lt;&gt;"")),1))*1440)/60)/(W239/60)),"")</f>
        <v/>
      </c>
      <c r="Y239" s="26">
        <f>IFERROR(IF(OR(O239="",A239="",M239=""),"",(IF(ISNUMBER(O239),MOD(O239,1),TIMEVALUE(O239))-LOOKUP(2,1/(($A$4:$A$500=A239)*($M$4:$M$500=M239)*($T$4:$T$500&lt;&gt;"")*($T$4:$T$500&lt;IF(ISNUMBER(O239),MOD(O239,1),TIMEVALUE(O239)))),$T$4:$T$500))*1440),"")</f>
        <v/>
      </c>
      <c r="Z239" s="27">
        <f>IFERROR(IF(Y239="","",IF(ROUND(Y239,0)&lt;=15,"Cumple","No cumple")),"")</f>
        <v/>
      </c>
      <c r="AA239" s="27" t="n"/>
      <c r="AB239" s="26">
        <f>IFERROR(IF(OR(O239="",R239=""),"",IF(IF(ISNUMBER(R239),MOD(R239,1),TIMEVALUE(R239))&gt;=IF(ISNUMBER(O239),MOD(O239,1),TIMEVALUE(O239)),(IF(ISNUMBER(R239),MOD(R239,1),TIMEVALUE(R239))-IF(ISNUMBER(O239),MOD(O239,1),TIMEVALUE(O239)))*1440,(IF(ISNUMBER(R239),MOD(R239,1),TIMEVALUE(R239))+1-IF(ISNUMBER(O239),MOD(O239,1),TIMEVALUE(O239)))*1440)),"")</f>
        <v/>
      </c>
      <c r="AC239" s="26">
        <f>IFERROR(IF(OR(R239="",S239=""),"",IF(IF(ISNUMBER(S239),MOD(S239,1),TIMEVALUE(S239))&gt;=IF(ISNUMBER(R239),MOD(R239,1),TIMEVALUE(R239)),(IF(ISNUMBER(S239),MOD(S239,1),TIMEVALUE(S239))-IF(ISNUMBER(R239),MOD(R239,1),TIMEVALUE(R239)))*1440,(IF(ISNUMBER(S239),MOD(S239,1),TIMEVALUE(S239))+1-IF(ISNUMBER(R239),MOD(R239,1),TIMEVALUE(R239)))*1440)),"")</f>
        <v/>
      </c>
      <c r="AD239" s="29" t="n"/>
      <c r="AE239" s="26">
        <f>IFERROR(IF(OR(AC239="",AD239=""),"",AC239-AD239),"")</f>
        <v/>
      </c>
      <c r="AF239" s="27">
        <f>IFERROR(IF(AE239="","",IF(ROUND(AE239,0)&gt;15,"Subestimacion",IF(ROUND(AE239,0)&lt;-15,"Sobrestimacion","Asertivo"))),"")</f>
        <v/>
      </c>
      <c r="AG239" s="19" t="n"/>
      <c r="AH239" s="19" t="n"/>
      <c r="AI239" s="19" t="n"/>
      <c r="AJ239" s="19" t="n"/>
      <c r="AK239" s="19" t="n"/>
      <c r="AL239" s="19" t="n"/>
      <c r="AM239" s="19" t="n"/>
      <c r="AN239" s="19" t="n"/>
      <c r="AO239" s="19" t="n"/>
      <c r="AP239" s="127">
        <f>IF(A239="","",A239-WEEKDAY(A239,2)+1)</f>
        <v/>
      </c>
      <c r="AQ239" s="127">
        <f>IF(AO239="","",AO239+6)</f>
        <v/>
      </c>
      <c r="AR239" s="19">
        <f>IF(AO239="","","Semana "&amp;TEXT(AO239,"dd-mm-yyyy")&amp;" al "&amp;TEXT(AP239,"dd-mm-yyyy"))</f>
        <v/>
      </c>
      <c r="AS239" s="19">
        <f>IF(A239="","",TEXT(A239,"mmmm yyyy"))</f>
        <v/>
      </c>
      <c r="AT239" s="19">
        <f>IF(A239="","",TEXT(A239,"dddd"))</f>
        <v/>
      </c>
      <c r="AU239" s="19">
        <f>IF(A239="","","CRR-"&amp;TEXT(A239,"yyyymmdd")&amp;"-"&amp;M239&amp;"-"&amp;TEXT(ROW()-3,"0000"))</f>
        <v/>
      </c>
      <c r="AV239" s="19">
        <f>IF(A239="","",IF(OR(B239="",C239="",E239="",F239="",M239="",N239=""),"Revisar campos obligatorios",IF(AND(P239="Atraso primera hora",Q239=""),"Falta justificación atraso primera hora",IF(AND(Z239="No cumple",AA239=""),"Falta justificación recambio &gt;15 min",IF(AND(ISNUMBER(SEARCH("suspend",N239)),OR(AG239="",AH239="")),"Falta causa/motivo suspensión","OK")))))</f>
        <v/>
      </c>
      <c r="AW239" s="19">
        <f>IF(N239="","",IF(ISNUMBER(SEARCH("suspend",N239)),IF(AND(AG239="",AH239=""),"Sin causa/motivo registrado",IF(AG239="",AH239,IF(AH239="",AG239,AG239&amp;": "&amp;AH239))),""))</f>
        <v/>
      </c>
    </row>
    <row r="240" ht="16" customHeight="1" s="151">
      <c r="A240" s="62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20">
        <f>IF(H240&lt;&gt;"",IFERROR(VLOOKUP(IFERROR(LEFT(H240,FIND("-",H240)-1),H240),'Catalogo MINSAL'!A:E,5,FALSE),""),IF(I240&lt;&gt;"",IFERROR(VLOOKUP(IFERROR(LEFT(I240,FIND("-",I240)-1),I240),'Catalogo MINSAL'!A:E,5,FALSE),""),""))</f>
        <v/>
      </c>
      <c r="K240" s="19" t="n"/>
      <c r="L240" s="19" t="n"/>
      <c r="M240" s="19" t="n"/>
      <c r="N240" s="19" t="n"/>
      <c r="O240" s="25" t="n"/>
      <c r="P240" s="27">
        <f>IFERROR(IF(OR(O240="",A240="",M240=""),"",IF(SUMPRODUCT(($A$4:$A$500=A240)*($M$4:$M$500=M240)*($O$4:$O$500&lt;&gt;"")*(MOD($O$4:$O$500,1)&lt;MOD(O240,1)))=0,IF(MOD(O240,1)&lt;=TIME(8,15,0),"Ingreso adecuado primera hora","Atraso primera hora"),"No aplica")),"")</f>
        <v/>
      </c>
      <c r="Q240" s="27" t="n"/>
      <c r="R240" s="25" t="n"/>
      <c r="S240" s="25" t="n"/>
      <c r="T240" s="25" t="n"/>
      <c r="U240" s="25">
        <f>IFERROR(VLOOKUP(M240,'Horario Pabellones'!$A$4:$D$17,2,FALSE),"")</f>
        <v/>
      </c>
      <c r="V240" s="25">
        <f>IFERROR(VLOOKUP(M240,'Horario Pabellones'!$A$4:$D$17,3,FALSE),"")</f>
        <v/>
      </c>
      <c r="W240" s="99">
        <f>IFERROR(VLOOKUP(M240,'Horario Pabellones'!$A$4:$D$17,4,FALSE),"")</f>
        <v/>
      </c>
      <c r="X240" s="89">
        <f>IFERROR(IF(OR(A240="",M240="",W240=""),"",(((_xludf.AGGREGATE(14,6,MOD($S$4:$S$500,1)/(($A$4:$A$500=A240)*($M$4:$M$500=M240)*($R$4:$R$500&lt;&gt;"")*($S$4:$S$500&lt;&gt;"")),1)-_xludf.AGGREGATE(15,6,MOD($R$4:$R$500,1)/(($A$4:$A$500=A240)*($M$4:$M$500=M240)*($R$4:$R$500&lt;&gt;"")*($S$4:$S$500&lt;&gt;"")),1))*1440)/60)/(W240/60)),"")</f>
        <v/>
      </c>
      <c r="Y240" s="26">
        <f>IFERROR(IF(OR(O240="",A240="",M240=""),"",(IF(ISNUMBER(O240),MOD(O240,1),TIMEVALUE(O240))-LOOKUP(2,1/(($A$4:$A$500=A240)*($M$4:$M$500=M240)*($T$4:$T$500&lt;&gt;"")*($T$4:$T$500&lt;IF(ISNUMBER(O240),MOD(O240,1),TIMEVALUE(O240)))),$T$4:$T$500))*1440),"")</f>
        <v/>
      </c>
      <c r="Z240" s="27">
        <f>IFERROR(IF(Y240="","",IF(ROUND(Y240,0)&lt;=15,"Cumple","No cumple")),"")</f>
        <v/>
      </c>
      <c r="AA240" s="27" t="n"/>
      <c r="AB240" s="26">
        <f>IFERROR(IF(OR(O240="",R240=""),"",IF(IF(ISNUMBER(R240),MOD(R240,1),TIMEVALUE(R240))&gt;=IF(ISNUMBER(O240),MOD(O240,1),TIMEVALUE(O240)),(IF(ISNUMBER(R240),MOD(R240,1),TIMEVALUE(R240))-IF(ISNUMBER(O240),MOD(O240,1),TIMEVALUE(O240)))*1440,(IF(ISNUMBER(R240),MOD(R240,1),TIMEVALUE(R240))+1-IF(ISNUMBER(O240),MOD(O240,1),TIMEVALUE(O240)))*1440)),"")</f>
        <v/>
      </c>
      <c r="AC240" s="26">
        <f>IFERROR(IF(OR(R240="",S240=""),"",IF(IF(ISNUMBER(S240),MOD(S240,1),TIMEVALUE(S240))&gt;=IF(ISNUMBER(R240),MOD(R240,1),TIMEVALUE(R240)),(IF(ISNUMBER(S240),MOD(S240,1),TIMEVALUE(S240))-IF(ISNUMBER(R240),MOD(R240,1),TIMEVALUE(R240)))*1440,(IF(ISNUMBER(S240),MOD(S240,1),TIMEVALUE(S240))+1-IF(ISNUMBER(R240),MOD(R240,1),TIMEVALUE(R240)))*1440)),"")</f>
        <v/>
      </c>
      <c r="AD240" s="29" t="n"/>
      <c r="AE240" s="26">
        <f>IFERROR(IF(OR(AC240="",AD240=""),"",AC240-AD240),"")</f>
        <v/>
      </c>
      <c r="AF240" s="27">
        <f>IFERROR(IF(AE240="","",IF(ROUND(AE240,0)&gt;15,"Subestimacion",IF(ROUND(AE240,0)&lt;-15,"Sobrestimacion","Asertivo"))),"")</f>
        <v/>
      </c>
      <c r="AG240" s="19" t="n"/>
      <c r="AH240" s="19" t="n"/>
      <c r="AI240" s="19" t="n"/>
      <c r="AJ240" s="19" t="n"/>
      <c r="AK240" s="19" t="n"/>
      <c r="AL240" s="19" t="n"/>
      <c r="AM240" s="19" t="n"/>
      <c r="AN240" s="19" t="n"/>
      <c r="AO240" s="19" t="n"/>
      <c r="AP240" s="127">
        <f>IF(A240="","",A240-WEEKDAY(A240,2)+1)</f>
        <v/>
      </c>
      <c r="AQ240" s="127">
        <f>IF(AO240="","",AO240+6)</f>
        <v/>
      </c>
      <c r="AR240" s="19">
        <f>IF(AO240="","","Semana "&amp;TEXT(AO240,"dd-mm-yyyy")&amp;" al "&amp;TEXT(AP240,"dd-mm-yyyy"))</f>
        <v/>
      </c>
      <c r="AS240" s="19">
        <f>IF(A240="","",TEXT(A240,"mmmm yyyy"))</f>
        <v/>
      </c>
      <c r="AT240" s="19">
        <f>IF(A240="","",TEXT(A240,"dddd"))</f>
        <v/>
      </c>
      <c r="AU240" s="19">
        <f>IF(A240="","","CRR-"&amp;TEXT(A240,"yyyymmdd")&amp;"-"&amp;M240&amp;"-"&amp;TEXT(ROW()-3,"0000"))</f>
        <v/>
      </c>
      <c r="AV240" s="19">
        <f>IF(A240="","",IF(OR(B240="",C240="",E240="",F240="",M240="",N240=""),"Revisar campos obligatorios",IF(AND(P240="Atraso primera hora",Q240=""),"Falta justificación atraso primera hora",IF(AND(Z240="No cumple",AA240=""),"Falta justificación recambio &gt;15 min",IF(AND(ISNUMBER(SEARCH("suspend",N240)),OR(AG240="",AH240="")),"Falta causa/motivo suspensión","OK")))))</f>
        <v/>
      </c>
      <c r="AW240" s="19">
        <f>IF(N240="","",IF(ISNUMBER(SEARCH("suspend",N240)),IF(AND(AG240="",AH240=""),"Sin causa/motivo registrado",IF(AG240="",AH240,IF(AH240="",AG240,AG240&amp;": "&amp;AH240))),""))</f>
        <v/>
      </c>
    </row>
    <row r="241" ht="16" customHeight="1" s="151">
      <c r="A241" s="62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20">
        <f>IF(H241&lt;&gt;"",IFERROR(VLOOKUP(IFERROR(LEFT(H241,FIND("-",H241)-1),H241),'Catalogo MINSAL'!A:E,5,FALSE),""),IF(I241&lt;&gt;"",IFERROR(VLOOKUP(IFERROR(LEFT(I241,FIND("-",I241)-1),I241),'Catalogo MINSAL'!A:E,5,FALSE),""),""))</f>
        <v/>
      </c>
      <c r="K241" s="19" t="n"/>
      <c r="L241" s="19" t="n"/>
      <c r="M241" s="19" t="n"/>
      <c r="N241" s="19" t="n"/>
      <c r="O241" s="25" t="n"/>
      <c r="P241" s="27">
        <f>IFERROR(IF(OR(O241="",A241="",M241=""),"",IF(SUMPRODUCT(($A$4:$A$500=A241)*($M$4:$M$500=M241)*($O$4:$O$500&lt;&gt;"")*(MOD($O$4:$O$500,1)&lt;MOD(O241,1)))=0,IF(MOD(O241,1)&lt;=TIME(8,15,0),"Ingreso adecuado primera hora","Atraso primera hora"),"No aplica")),"")</f>
        <v/>
      </c>
      <c r="Q241" s="27" t="n"/>
      <c r="R241" s="25" t="n"/>
      <c r="S241" s="25" t="n"/>
      <c r="T241" s="25" t="n"/>
      <c r="U241" s="25">
        <f>IFERROR(VLOOKUP(M241,'Horario Pabellones'!$A$4:$D$17,2,FALSE),"")</f>
        <v/>
      </c>
      <c r="V241" s="25">
        <f>IFERROR(VLOOKUP(M241,'Horario Pabellones'!$A$4:$D$17,3,FALSE),"")</f>
        <v/>
      </c>
      <c r="W241" s="99">
        <f>IFERROR(VLOOKUP(M241,'Horario Pabellones'!$A$4:$D$17,4,FALSE),"")</f>
        <v/>
      </c>
      <c r="X241" s="89">
        <f>IFERROR(IF(OR(A241="",M241="",W241=""),"",(((_xludf.AGGREGATE(14,6,MOD($S$4:$S$500,1)/(($A$4:$A$500=A241)*($M$4:$M$500=M241)*($R$4:$R$500&lt;&gt;"")*($S$4:$S$500&lt;&gt;"")),1)-_xludf.AGGREGATE(15,6,MOD($R$4:$R$500,1)/(($A$4:$A$500=A241)*($M$4:$M$500=M241)*($R$4:$R$500&lt;&gt;"")*($S$4:$S$500&lt;&gt;"")),1))*1440)/60)/(W241/60)),"")</f>
        <v/>
      </c>
      <c r="Y241" s="26">
        <f>IFERROR(IF(OR(O241="",A241="",M241=""),"",(IF(ISNUMBER(O241),MOD(O241,1),TIMEVALUE(O241))-LOOKUP(2,1/(($A$4:$A$500=A241)*($M$4:$M$500=M241)*($T$4:$T$500&lt;&gt;"")*($T$4:$T$500&lt;IF(ISNUMBER(O241),MOD(O241,1),TIMEVALUE(O241)))),$T$4:$T$500))*1440),"")</f>
        <v/>
      </c>
      <c r="Z241" s="27">
        <f>IFERROR(IF(Y241="","",IF(ROUND(Y241,0)&lt;=15,"Cumple","No cumple")),"")</f>
        <v/>
      </c>
      <c r="AA241" s="27" t="n"/>
      <c r="AB241" s="26">
        <f>IFERROR(IF(OR(O241="",R241=""),"",IF(IF(ISNUMBER(R241),MOD(R241,1),TIMEVALUE(R241))&gt;=IF(ISNUMBER(O241),MOD(O241,1),TIMEVALUE(O241)),(IF(ISNUMBER(R241),MOD(R241,1),TIMEVALUE(R241))-IF(ISNUMBER(O241),MOD(O241,1),TIMEVALUE(O241)))*1440,(IF(ISNUMBER(R241),MOD(R241,1),TIMEVALUE(R241))+1-IF(ISNUMBER(O241),MOD(O241,1),TIMEVALUE(O241)))*1440)),"")</f>
        <v/>
      </c>
      <c r="AC241" s="26">
        <f>IFERROR(IF(OR(R241="",S241=""),"",IF(IF(ISNUMBER(S241),MOD(S241,1),TIMEVALUE(S241))&gt;=IF(ISNUMBER(R241),MOD(R241,1),TIMEVALUE(R241)),(IF(ISNUMBER(S241),MOD(S241,1),TIMEVALUE(S241))-IF(ISNUMBER(R241),MOD(R241,1),TIMEVALUE(R241)))*1440,(IF(ISNUMBER(S241),MOD(S241,1),TIMEVALUE(S241))+1-IF(ISNUMBER(R241),MOD(R241,1),TIMEVALUE(R241)))*1440)),"")</f>
        <v/>
      </c>
      <c r="AD241" s="29" t="n"/>
      <c r="AE241" s="26">
        <f>IFERROR(IF(OR(AC241="",AD241=""),"",AC241-AD241),"")</f>
        <v/>
      </c>
      <c r="AF241" s="27">
        <f>IFERROR(IF(AE241="","",IF(ROUND(AE241,0)&gt;15,"Subestimacion",IF(ROUND(AE241,0)&lt;-15,"Sobrestimacion","Asertivo"))),"")</f>
        <v/>
      </c>
      <c r="AG241" s="19" t="n"/>
      <c r="AH241" s="19" t="n"/>
      <c r="AI241" s="19" t="n"/>
      <c r="AJ241" s="19" t="n"/>
      <c r="AK241" s="19" t="n"/>
      <c r="AL241" s="19" t="n"/>
      <c r="AM241" s="19" t="n"/>
      <c r="AN241" s="19" t="n"/>
      <c r="AO241" s="19" t="n"/>
      <c r="AP241" s="127">
        <f>IF(A241="","",A241-WEEKDAY(A241,2)+1)</f>
        <v/>
      </c>
      <c r="AQ241" s="127">
        <f>IF(AO241="","",AO241+6)</f>
        <v/>
      </c>
      <c r="AR241" s="19">
        <f>IF(AO241="","","Semana "&amp;TEXT(AO241,"dd-mm-yyyy")&amp;" al "&amp;TEXT(AP241,"dd-mm-yyyy"))</f>
        <v/>
      </c>
      <c r="AS241" s="19">
        <f>IF(A241="","",TEXT(A241,"mmmm yyyy"))</f>
        <v/>
      </c>
      <c r="AT241" s="19">
        <f>IF(A241="","",TEXT(A241,"dddd"))</f>
        <v/>
      </c>
      <c r="AU241" s="19">
        <f>IF(A241="","","CRR-"&amp;TEXT(A241,"yyyymmdd")&amp;"-"&amp;M241&amp;"-"&amp;TEXT(ROW()-3,"0000"))</f>
        <v/>
      </c>
      <c r="AV241" s="19">
        <f>IF(A241="","",IF(OR(B241="",C241="",E241="",F241="",M241="",N241=""),"Revisar campos obligatorios",IF(AND(P241="Atraso primera hora",Q241=""),"Falta justificación atraso primera hora",IF(AND(Z241="No cumple",AA241=""),"Falta justificación recambio &gt;15 min",IF(AND(ISNUMBER(SEARCH("suspend",N241)),OR(AG241="",AH241="")),"Falta causa/motivo suspensión","OK")))))</f>
        <v/>
      </c>
      <c r="AW241" s="19">
        <f>IF(N241="","",IF(ISNUMBER(SEARCH("suspend",N241)),IF(AND(AG241="",AH241=""),"Sin causa/motivo registrado",IF(AG241="",AH241,IF(AH241="",AG241,AG241&amp;": "&amp;AH241))),""))</f>
        <v/>
      </c>
    </row>
    <row r="242" ht="16" customHeight="1" s="151">
      <c r="A242" s="62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20">
        <f>IF(H242&lt;&gt;"",IFERROR(VLOOKUP(IFERROR(LEFT(H242,FIND("-",H242)-1),H242),'Catalogo MINSAL'!A:E,5,FALSE),""),IF(I242&lt;&gt;"",IFERROR(VLOOKUP(IFERROR(LEFT(I242,FIND("-",I242)-1),I242),'Catalogo MINSAL'!A:E,5,FALSE),""),""))</f>
        <v/>
      </c>
      <c r="K242" s="19" t="n"/>
      <c r="L242" s="19" t="n"/>
      <c r="M242" s="19" t="n"/>
      <c r="N242" s="19" t="n"/>
      <c r="O242" s="25" t="n"/>
      <c r="P242" s="27">
        <f>IFERROR(IF(OR(O242="",A242="",M242=""),"",IF(SUMPRODUCT(($A$4:$A$500=A242)*($M$4:$M$500=M242)*($O$4:$O$500&lt;&gt;"")*(MOD($O$4:$O$500,1)&lt;MOD(O242,1)))=0,IF(MOD(O242,1)&lt;=TIME(8,15,0),"Ingreso adecuado primera hora","Atraso primera hora"),"No aplica")),"")</f>
        <v/>
      </c>
      <c r="Q242" s="27" t="n"/>
      <c r="R242" s="25" t="n"/>
      <c r="S242" s="25" t="n"/>
      <c r="T242" s="25" t="n"/>
      <c r="U242" s="25">
        <f>IFERROR(VLOOKUP(M242,'Horario Pabellones'!$A$4:$D$17,2,FALSE),"")</f>
        <v/>
      </c>
      <c r="V242" s="25">
        <f>IFERROR(VLOOKUP(M242,'Horario Pabellones'!$A$4:$D$17,3,FALSE),"")</f>
        <v/>
      </c>
      <c r="W242" s="99">
        <f>IFERROR(VLOOKUP(M242,'Horario Pabellones'!$A$4:$D$17,4,FALSE),"")</f>
        <v/>
      </c>
      <c r="X242" s="89">
        <f>IFERROR(IF(OR(A242="",M242="",W242=""),"",(((_xludf.AGGREGATE(14,6,MOD($S$4:$S$500,1)/(($A$4:$A$500=A242)*($M$4:$M$500=M242)*($R$4:$R$500&lt;&gt;"")*($S$4:$S$500&lt;&gt;"")),1)-_xludf.AGGREGATE(15,6,MOD($R$4:$R$500,1)/(($A$4:$A$500=A242)*($M$4:$M$500=M242)*($R$4:$R$500&lt;&gt;"")*($S$4:$S$500&lt;&gt;"")),1))*1440)/60)/(W242/60)),"")</f>
        <v/>
      </c>
      <c r="Y242" s="26">
        <f>IFERROR(IF(OR(O242="",A242="",M242=""),"",(IF(ISNUMBER(O242),MOD(O242,1),TIMEVALUE(O242))-LOOKUP(2,1/(($A$4:$A$500=A242)*($M$4:$M$500=M242)*($T$4:$T$500&lt;&gt;"")*($T$4:$T$500&lt;IF(ISNUMBER(O242),MOD(O242,1),TIMEVALUE(O242)))),$T$4:$T$500))*1440),"")</f>
        <v/>
      </c>
      <c r="Z242" s="27">
        <f>IFERROR(IF(Y242="","",IF(ROUND(Y242,0)&lt;=15,"Cumple","No cumple")),"")</f>
        <v/>
      </c>
      <c r="AA242" s="27" t="n"/>
      <c r="AB242" s="26">
        <f>IFERROR(IF(OR(O242="",R242=""),"",IF(IF(ISNUMBER(R242),MOD(R242,1),TIMEVALUE(R242))&gt;=IF(ISNUMBER(O242),MOD(O242,1),TIMEVALUE(O242)),(IF(ISNUMBER(R242),MOD(R242,1),TIMEVALUE(R242))-IF(ISNUMBER(O242),MOD(O242,1),TIMEVALUE(O242)))*1440,(IF(ISNUMBER(R242),MOD(R242,1),TIMEVALUE(R242))+1-IF(ISNUMBER(O242),MOD(O242,1),TIMEVALUE(O242)))*1440)),"")</f>
        <v/>
      </c>
      <c r="AC242" s="26">
        <f>IFERROR(IF(OR(R242="",S242=""),"",IF(IF(ISNUMBER(S242),MOD(S242,1),TIMEVALUE(S242))&gt;=IF(ISNUMBER(R242),MOD(R242,1),TIMEVALUE(R242)),(IF(ISNUMBER(S242),MOD(S242,1),TIMEVALUE(S242))-IF(ISNUMBER(R242),MOD(R242,1),TIMEVALUE(R242)))*1440,(IF(ISNUMBER(S242),MOD(S242,1),TIMEVALUE(S242))+1-IF(ISNUMBER(R242),MOD(R242,1),TIMEVALUE(R242)))*1440)),"")</f>
        <v/>
      </c>
      <c r="AD242" s="29" t="n"/>
      <c r="AE242" s="26">
        <f>IFERROR(IF(OR(AC242="",AD242=""),"",AC242-AD242),"")</f>
        <v/>
      </c>
      <c r="AF242" s="27">
        <f>IFERROR(IF(AE242="","",IF(ROUND(AE242,0)&gt;15,"Subestimacion",IF(ROUND(AE242,0)&lt;-15,"Sobrestimacion","Asertivo"))),"")</f>
        <v/>
      </c>
      <c r="AG242" s="19" t="n"/>
      <c r="AH242" s="19" t="n"/>
      <c r="AI242" s="19" t="n"/>
      <c r="AJ242" s="19" t="n"/>
      <c r="AK242" s="19" t="n"/>
      <c r="AL242" s="19" t="n"/>
      <c r="AM242" s="19" t="n"/>
      <c r="AN242" s="19" t="n"/>
      <c r="AO242" s="19" t="n"/>
      <c r="AP242" s="127">
        <f>IF(A242="","",A242-WEEKDAY(A242,2)+1)</f>
        <v/>
      </c>
      <c r="AQ242" s="127">
        <f>IF(AO242="","",AO242+6)</f>
        <v/>
      </c>
      <c r="AR242" s="19">
        <f>IF(AO242="","","Semana "&amp;TEXT(AO242,"dd-mm-yyyy")&amp;" al "&amp;TEXT(AP242,"dd-mm-yyyy"))</f>
        <v/>
      </c>
      <c r="AS242" s="19">
        <f>IF(A242="","",TEXT(A242,"mmmm yyyy"))</f>
        <v/>
      </c>
      <c r="AT242" s="19">
        <f>IF(A242="","",TEXT(A242,"dddd"))</f>
        <v/>
      </c>
      <c r="AU242" s="19">
        <f>IF(A242="","","CRR-"&amp;TEXT(A242,"yyyymmdd")&amp;"-"&amp;M242&amp;"-"&amp;TEXT(ROW()-3,"0000"))</f>
        <v/>
      </c>
      <c r="AV242" s="19">
        <f>IF(A242="","",IF(OR(B242="",C242="",E242="",F242="",M242="",N242=""),"Revisar campos obligatorios",IF(AND(P242="Atraso primera hora",Q242=""),"Falta justificación atraso primera hora",IF(AND(Z242="No cumple",AA242=""),"Falta justificación recambio &gt;15 min",IF(AND(ISNUMBER(SEARCH("suspend",N242)),OR(AG242="",AH242="")),"Falta causa/motivo suspensión","OK")))))</f>
        <v/>
      </c>
      <c r="AW242" s="19">
        <f>IF(N242="","",IF(ISNUMBER(SEARCH("suspend",N242)),IF(AND(AG242="",AH242=""),"Sin causa/motivo registrado",IF(AG242="",AH242,IF(AH242="",AG242,AG242&amp;": "&amp;AH242))),""))</f>
        <v/>
      </c>
    </row>
    <row r="243" ht="16" customHeight="1" s="151">
      <c r="A243" s="62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20">
        <f>IF(H243&lt;&gt;"",IFERROR(VLOOKUP(IFERROR(LEFT(H243,FIND("-",H243)-1),H243),'Catalogo MINSAL'!A:E,5,FALSE),""),IF(I243&lt;&gt;"",IFERROR(VLOOKUP(IFERROR(LEFT(I243,FIND("-",I243)-1),I243),'Catalogo MINSAL'!A:E,5,FALSE),""),""))</f>
        <v/>
      </c>
      <c r="K243" s="19" t="n"/>
      <c r="L243" s="19" t="n"/>
      <c r="M243" s="19" t="n"/>
      <c r="N243" s="19" t="n"/>
      <c r="O243" s="25" t="n"/>
      <c r="P243" s="27">
        <f>IFERROR(IF(OR(O243="",A243="",M243=""),"",IF(SUMPRODUCT(($A$4:$A$500=A243)*($M$4:$M$500=M243)*($O$4:$O$500&lt;&gt;"")*(MOD($O$4:$O$500,1)&lt;MOD(O243,1)))=0,IF(MOD(O243,1)&lt;=TIME(8,15,0),"Ingreso adecuado primera hora","Atraso primera hora"),"No aplica")),"")</f>
        <v/>
      </c>
      <c r="Q243" s="27" t="n"/>
      <c r="R243" s="25" t="n"/>
      <c r="S243" s="25" t="n"/>
      <c r="T243" s="25" t="n"/>
      <c r="U243" s="25">
        <f>IFERROR(VLOOKUP(M243,'Horario Pabellones'!$A$4:$D$17,2,FALSE),"")</f>
        <v/>
      </c>
      <c r="V243" s="25">
        <f>IFERROR(VLOOKUP(M243,'Horario Pabellones'!$A$4:$D$17,3,FALSE),"")</f>
        <v/>
      </c>
      <c r="W243" s="99">
        <f>IFERROR(VLOOKUP(M243,'Horario Pabellones'!$A$4:$D$17,4,FALSE),"")</f>
        <v/>
      </c>
      <c r="X243" s="89">
        <f>IFERROR(IF(OR(A243="",M243="",W243=""),"",(((_xludf.AGGREGATE(14,6,MOD($S$4:$S$500,1)/(($A$4:$A$500=A243)*($M$4:$M$500=M243)*($R$4:$R$500&lt;&gt;"")*($S$4:$S$500&lt;&gt;"")),1)-_xludf.AGGREGATE(15,6,MOD($R$4:$R$500,1)/(($A$4:$A$500=A243)*($M$4:$M$500=M243)*($R$4:$R$500&lt;&gt;"")*($S$4:$S$500&lt;&gt;"")),1))*1440)/60)/(W243/60)),"")</f>
        <v/>
      </c>
      <c r="Y243" s="26">
        <f>IFERROR(IF(OR(O243="",A243="",M243=""),"",(IF(ISNUMBER(O243),MOD(O243,1),TIMEVALUE(O243))-LOOKUP(2,1/(($A$4:$A$500=A243)*($M$4:$M$500=M243)*($T$4:$T$500&lt;&gt;"")*($T$4:$T$500&lt;IF(ISNUMBER(O243),MOD(O243,1),TIMEVALUE(O243)))),$T$4:$T$500))*1440),"")</f>
        <v/>
      </c>
      <c r="Z243" s="27">
        <f>IFERROR(IF(Y243="","",IF(ROUND(Y243,0)&lt;=15,"Cumple","No cumple")),"")</f>
        <v/>
      </c>
      <c r="AA243" s="27" t="n"/>
      <c r="AB243" s="26">
        <f>IFERROR(IF(OR(O243="",R243=""),"",IF(IF(ISNUMBER(R243),MOD(R243,1),TIMEVALUE(R243))&gt;=IF(ISNUMBER(O243),MOD(O243,1),TIMEVALUE(O243)),(IF(ISNUMBER(R243),MOD(R243,1),TIMEVALUE(R243))-IF(ISNUMBER(O243),MOD(O243,1),TIMEVALUE(O243)))*1440,(IF(ISNUMBER(R243),MOD(R243,1),TIMEVALUE(R243))+1-IF(ISNUMBER(O243),MOD(O243,1),TIMEVALUE(O243)))*1440)),"")</f>
        <v/>
      </c>
      <c r="AC243" s="26">
        <f>IFERROR(IF(OR(R243="",S243=""),"",IF(IF(ISNUMBER(S243),MOD(S243,1),TIMEVALUE(S243))&gt;=IF(ISNUMBER(R243),MOD(R243,1),TIMEVALUE(R243)),(IF(ISNUMBER(S243),MOD(S243,1),TIMEVALUE(S243))-IF(ISNUMBER(R243),MOD(R243,1),TIMEVALUE(R243)))*1440,(IF(ISNUMBER(S243),MOD(S243,1),TIMEVALUE(S243))+1-IF(ISNUMBER(R243),MOD(R243,1),TIMEVALUE(R243)))*1440)),"")</f>
        <v/>
      </c>
      <c r="AD243" s="29" t="n"/>
      <c r="AE243" s="26">
        <f>IFERROR(IF(OR(AC243="",AD243=""),"",AC243-AD243),"")</f>
        <v/>
      </c>
      <c r="AF243" s="27">
        <f>IFERROR(IF(AE243="","",IF(ROUND(AE243,0)&gt;15,"Subestimacion",IF(ROUND(AE243,0)&lt;-15,"Sobrestimacion","Asertivo"))),"")</f>
        <v/>
      </c>
      <c r="AG243" s="19" t="n"/>
      <c r="AH243" s="19" t="n"/>
      <c r="AI243" s="19" t="n"/>
      <c r="AJ243" s="19" t="n"/>
      <c r="AK243" s="19" t="n"/>
      <c r="AL243" s="19" t="n"/>
      <c r="AM243" s="19" t="n"/>
      <c r="AN243" s="19" t="n"/>
      <c r="AO243" s="19" t="n"/>
      <c r="AP243" s="127">
        <f>IF(A243="","",A243-WEEKDAY(A243,2)+1)</f>
        <v/>
      </c>
      <c r="AQ243" s="127">
        <f>IF(AO243="","",AO243+6)</f>
        <v/>
      </c>
      <c r="AR243" s="19">
        <f>IF(AO243="","","Semana "&amp;TEXT(AO243,"dd-mm-yyyy")&amp;" al "&amp;TEXT(AP243,"dd-mm-yyyy"))</f>
        <v/>
      </c>
      <c r="AS243" s="19">
        <f>IF(A243="","",TEXT(A243,"mmmm yyyy"))</f>
        <v/>
      </c>
      <c r="AT243" s="19">
        <f>IF(A243="","",TEXT(A243,"dddd"))</f>
        <v/>
      </c>
      <c r="AU243" s="19">
        <f>IF(A243="","","CRR-"&amp;TEXT(A243,"yyyymmdd")&amp;"-"&amp;M243&amp;"-"&amp;TEXT(ROW()-3,"0000"))</f>
        <v/>
      </c>
      <c r="AV243" s="19">
        <f>IF(A243="","",IF(OR(B243="",C243="",E243="",F243="",M243="",N243=""),"Revisar campos obligatorios",IF(AND(P243="Atraso primera hora",Q243=""),"Falta justificación atraso primera hora",IF(AND(Z243="No cumple",AA243=""),"Falta justificación recambio &gt;15 min",IF(AND(ISNUMBER(SEARCH("suspend",N243)),OR(AG243="",AH243="")),"Falta causa/motivo suspensión","OK")))))</f>
        <v/>
      </c>
      <c r="AW243" s="19">
        <f>IF(N243="","",IF(ISNUMBER(SEARCH("suspend",N243)),IF(AND(AG243="",AH243=""),"Sin causa/motivo registrado",IF(AG243="",AH243,IF(AH243="",AG243,AG243&amp;": "&amp;AH243))),""))</f>
        <v/>
      </c>
    </row>
    <row r="244" ht="16" customHeight="1" s="151">
      <c r="A244" s="62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20">
        <f>IF(H244&lt;&gt;"",IFERROR(VLOOKUP(IFERROR(LEFT(H244,FIND("-",H244)-1),H244),'Catalogo MINSAL'!A:E,5,FALSE),""),IF(I244&lt;&gt;"",IFERROR(VLOOKUP(IFERROR(LEFT(I244,FIND("-",I244)-1),I244),'Catalogo MINSAL'!A:E,5,FALSE),""),""))</f>
        <v/>
      </c>
      <c r="K244" s="19" t="n"/>
      <c r="L244" s="19" t="n"/>
      <c r="M244" s="19" t="n"/>
      <c r="N244" s="19" t="n"/>
      <c r="O244" s="25" t="n"/>
      <c r="P244" s="27">
        <f>IFERROR(IF(OR(O244="",A244="",M244=""),"",IF(SUMPRODUCT(($A$4:$A$500=A244)*($M$4:$M$500=M244)*($O$4:$O$500&lt;&gt;"")*(MOD($O$4:$O$500,1)&lt;MOD(O244,1)))=0,IF(MOD(O244,1)&lt;=TIME(8,15,0),"Ingreso adecuado primera hora","Atraso primera hora"),"No aplica")),"")</f>
        <v/>
      </c>
      <c r="Q244" s="27" t="n"/>
      <c r="R244" s="25" t="n"/>
      <c r="S244" s="25" t="n"/>
      <c r="T244" s="25" t="n"/>
      <c r="U244" s="25">
        <f>IFERROR(VLOOKUP(M244,'Horario Pabellones'!$A$4:$D$17,2,FALSE),"")</f>
        <v/>
      </c>
      <c r="V244" s="25">
        <f>IFERROR(VLOOKUP(M244,'Horario Pabellones'!$A$4:$D$17,3,FALSE),"")</f>
        <v/>
      </c>
      <c r="W244" s="99">
        <f>IFERROR(VLOOKUP(M244,'Horario Pabellones'!$A$4:$D$17,4,FALSE),"")</f>
        <v/>
      </c>
      <c r="X244" s="89">
        <f>IFERROR(IF(OR(A244="",M244="",W244=""),"",(((_xludf.AGGREGATE(14,6,MOD($S$4:$S$500,1)/(($A$4:$A$500=A244)*($M$4:$M$500=M244)*($R$4:$R$500&lt;&gt;"")*($S$4:$S$500&lt;&gt;"")),1)-_xludf.AGGREGATE(15,6,MOD($R$4:$R$500,1)/(($A$4:$A$500=A244)*($M$4:$M$500=M244)*($R$4:$R$500&lt;&gt;"")*($S$4:$S$500&lt;&gt;"")),1))*1440)/60)/(W244/60)),"")</f>
        <v/>
      </c>
      <c r="Y244" s="26">
        <f>IFERROR(IF(OR(O244="",A244="",M244=""),"",(IF(ISNUMBER(O244),MOD(O244,1),TIMEVALUE(O244))-LOOKUP(2,1/(($A$4:$A$500=A244)*($M$4:$M$500=M244)*($T$4:$T$500&lt;&gt;"")*($T$4:$T$500&lt;IF(ISNUMBER(O244),MOD(O244,1),TIMEVALUE(O244)))),$T$4:$T$500))*1440),"")</f>
        <v/>
      </c>
      <c r="Z244" s="27">
        <f>IFERROR(IF(Y244="","",IF(ROUND(Y244,0)&lt;=15,"Cumple","No cumple")),"")</f>
        <v/>
      </c>
      <c r="AA244" s="27" t="n"/>
      <c r="AB244" s="26">
        <f>IFERROR(IF(OR(O244="",R244=""),"",IF(IF(ISNUMBER(R244),MOD(R244,1),TIMEVALUE(R244))&gt;=IF(ISNUMBER(O244),MOD(O244,1),TIMEVALUE(O244)),(IF(ISNUMBER(R244),MOD(R244,1),TIMEVALUE(R244))-IF(ISNUMBER(O244),MOD(O244,1),TIMEVALUE(O244)))*1440,(IF(ISNUMBER(R244),MOD(R244,1),TIMEVALUE(R244))+1-IF(ISNUMBER(O244),MOD(O244,1),TIMEVALUE(O244)))*1440)),"")</f>
        <v/>
      </c>
      <c r="AC244" s="26">
        <f>IFERROR(IF(OR(R244="",S244=""),"",IF(IF(ISNUMBER(S244),MOD(S244,1),TIMEVALUE(S244))&gt;=IF(ISNUMBER(R244),MOD(R244,1),TIMEVALUE(R244)),(IF(ISNUMBER(S244),MOD(S244,1),TIMEVALUE(S244))-IF(ISNUMBER(R244),MOD(R244,1),TIMEVALUE(R244)))*1440,(IF(ISNUMBER(S244),MOD(S244,1),TIMEVALUE(S244))+1-IF(ISNUMBER(R244),MOD(R244,1),TIMEVALUE(R244)))*1440)),"")</f>
        <v/>
      </c>
      <c r="AD244" s="29" t="n"/>
      <c r="AE244" s="26">
        <f>IFERROR(IF(OR(AC244="",AD244=""),"",AC244-AD244),"")</f>
        <v/>
      </c>
      <c r="AF244" s="27">
        <f>IFERROR(IF(AE244="","",IF(ROUND(AE244,0)&gt;15,"Subestimacion",IF(ROUND(AE244,0)&lt;-15,"Sobrestimacion","Asertivo"))),"")</f>
        <v/>
      </c>
      <c r="AG244" s="19" t="n"/>
      <c r="AH244" s="19" t="n"/>
      <c r="AI244" s="19" t="n"/>
      <c r="AJ244" s="19" t="n"/>
      <c r="AK244" s="19" t="n"/>
      <c r="AL244" s="19" t="n"/>
      <c r="AM244" s="19" t="n"/>
      <c r="AN244" s="19" t="n"/>
      <c r="AO244" s="19" t="n"/>
      <c r="AP244" s="127">
        <f>IF(A244="","",A244-WEEKDAY(A244,2)+1)</f>
        <v/>
      </c>
      <c r="AQ244" s="127">
        <f>IF(AO244="","",AO244+6)</f>
        <v/>
      </c>
      <c r="AR244" s="19">
        <f>IF(AO244="","","Semana "&amp;TEXT(AO244,"dd-mm-yyyy")&amp;" al "&amp;TEXT(AP244,"dd-mm-yyyy"))</f>
        <v/>
      </c>
      <c r="AS244" s="19">
        <f>IF(A244="","",TEXT(A244,"mmmm yyyy"))</f>
        <v/>
      </c>
      <c r="AT244" s="19">
        <f>IF(A244="","",TEXT(A244,"dddd"))</f>
        <v/>
      </c>
      <c r="AU244" s="19">
        <f>IF(A244="","","CRR-"&amp;TEXT(A244,"yyyymmdd")&amp;"-"&amp;M244&amp;"-"&amp;TEXT(ROW()-3,"0000"))</f>
        <v/>
      </c>
      <c r="AV244" s="19">
        <f>IF(A244="","",IF(OR(B244="",C244="",E244="",F244="",M244="",N244=""),"Revisar campos obligatorios",IF(AND(P244="Atraso primera hora",Q244=""),"Falta justificación atraso primera hora",IF(AND(Z244="No cumple",AA244=""),"Falta justificación recambio &gt;15 min",IF(AND(ISNUMBER(SEARCH("suspend",N244)),OR(AG244="",AH244="")),"Falta causa/motivo suspensión","OK")))))</f>
        <v/>
      </c>
      <c r="AW244" s="19">
        <f>IF(N244="","",IF(ISNUMBER(SEARCH("suspend",N244)),IF(AND(AG244="",AH244=""),"Sin causa/motivo registrado",IF(AG244="",AH244,IF(AH244="",AG244,AG244&amp;": "&amp;AH244))),""))</f>
        <v/>
      </c>
    </row>
    <row r="245" ht="16" customHeight="1" s="151">
      <c r="A245" s="62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20">
        <f>IF(H245&lt;&gt;"",IFERROR(VLOOKUP(IFERROR(LEFT(H245,FIND("-",H245)-1),H245),'Catalogo MINSAL'!A:E,5,FALSE),""),IF(I245&lt;&gt;"",IFERROR(VLOOKUP(IFERROR(LEFT(I245,FIND("-",I245)-1),I245),'Catalogo MINSAL'!A:E,5,FALSE),""),""))</f>
        <v/>
      </c>
      <c r="K245" s="19" t="n"/>
      <c r="L245" s="19" t="n"/>
      <c r="M245" s="19" t="n"/>
      <c r="N245" s="19" t="n"/>
      <c r="O245" s="25" t="n"/>
      <c r="P245" s="27">
        <f>IFERROR(IF(OR(O245="",A245="",M245=""),"",IF(SUMPRODUCT(($A$4:$A$500=A245)*($M$4:$M$500=M245)*($O$4:$O$500&lt;&gt;"")*(MOD($O$4:$O$500,1)&lt;MOD(O245,1)))=0,IF(MOD(O245,1)&lt;=TIME(8,15,0),"Ingreso adecuado primera hora","Atraso primera hora"),"No aplica")),"")</f>
        <v/>
      </c>
      <c r="Q245" s="27" t="n"/>
      <c r="R245" s="25" t="n"/>
      <c r="S245" s="25" t="n"/>
      <c r="T245" s="25" t="n"/>
      <c r="U245" s="25">
        <f>IFERROR(VLOOKUP(M245,'Horario Pabellones'!$A$4:$D$17,2,FALSE),"")</f>
        <v/>
      </c>
      <c r="V245" s="25">
        <f>IFERROR(VLOOKUP(M245,'Horario Pabellones'!$A$4:$D$17,3,FALSE),"")</f>
        <v/>
      </c>
      <c r="W245" s="99">
        <f>IFERROR(VLOOKUP(M245,'Horario Pabellones'!$A$4:$D$17,4,FALSE),"")</f>
        <v/>
      </c>
      <c r="X245" s="89">
        <f>IFERROR(IF(OR(A245="",M245="",W245=""),"",(((_xludf.AGGREGATE(14,6,MOD($S$4:$S$500,1)/(($A$4:$A$500=A245)*($M$4:$M$500=M245)*($R$4:$R$500&lt;&gt;"")*($S$4:$S$500&lt;&gt;"")),1)-_xludf.AGGREGATE(15,6,MOD($R$4:$R$500,1)/(($A$4:$A$500=A245)*($M$4:$M$500=M245)*($R$4:$R$500&lt;&gt;"")*($S$4:$S$500&lt;&gt;"")),1))*1440)/60)/(W245/60)),"")</f>
        <v/>
      </c>
      <c r="Y245" s="26">
        <f>IFERROR(IF(OR(O245="",A245="",M245=""),"",(IF(ISNUMBER(O245),MOD(O245,1),TIMEVALUE(O245))-LOOKUP(2,1/(($A$4:$A$500=A245)*($M$4:$M$500=M245)*($T$4:$T$500&lt;&gt;"")*($T$4:$T$500&lt;IF(ISNUMBER(O245),MOD(O245,1),TIMEVALUE(O245)))),$T$4:$T$500))*1440),"")</f>
        <v/>
      </c>
      <c r="Z245" s="27">
        <f>IFERROR(IF(Y245="","",IF(ROUND(Y245,0)&lt;=15,"Cumple","No cumple")),"")</f>
        <v/>
      </c>
      <c r="AA245" s="27" t="n"/>
      <c r="AB245" s="26">
        <f>IFERROR(IF(OR(O245="",R245=""),"",IF(IF(ISNUMBER(R245),MOD(R245,1),TIMEVALUE(R245))&gt;=IF(ISNUMBER(O245),MOD(O245,1),TIMEVALUE(O245)),(IF(ISNUMBER(R245),MOD(R245,1),TIMEVALUE(R245))-IF(ISNUMBER(O245),MOD(O245,1),TIMEVALUE(O245)))*1440,(IF(ISNUMBER(R245),MOD(R245,1),TIMEVALUE(R245))+1-IF(ISNUMBER(O245),MOD(O245,1),TIMEVALUE(O245)))*1440)),"")</f>
        <v/>
      </c>
      <c r="AC245" s="26">
        <f>IFERROR(IF(OR(R245="",S245=""),"",IF(IF(ISNUMBER(S245),MOD(S245,1),TIMEVALUE(S245))&gt;=IF(ISNUMBER(R245),MOD(R245,1),TIMEVALUE(R245)),(IF(ISNUMBER(S245),MOD(S245,1),TIMEVALUE(S245))-IF(ISNUMBER(R245),MOD(R245,1),TIMEVALUE(R245)))*1440,(IF(ISNUMBER(S245),MOD(S245,1),TIMEVALUE(S245))+1-IF(ISNUMBER(R245),MOD(R245,1),TIMEVALUE(R245)))*1440)),"")</f>
        <v/>
      </c>
      <c r="AD245" s="29" t="n"/>
      <c r="AE245" s="26">
        <f>IFERROR(IF(OR(AC245="",AD245=""),"",AC245-AD245),"")</f>
        <v/>
      </c>
      <c r="AF245" s="27">
        <f>IFERROR(IF(AE245="","",IF(ROUND(AE245,0)&gt;15,"Subestimacion",IF(ROUND(AE245,0)&lt;-15,"Sobrestimacion","Asertivo"))),"")</f>
        <v/>
      </c>
      <c r="AG245" s="19" t="n"/>
      <c r="AH245" s="19" t="n"/>
      <c r="AI245" s="19" t="n"/>
      <c r="AJ245" s="19" t="n"/>
      <c r="AK245" s="19" t="n"/>
      <c r="AL245" s="19" t="n"/>
      <c r="AM245" s="19" t="n"/>
      <c r="AN245" s="19" t="n"/>
      <c r="AO245" s="19" t="n"/>
      <c r="AP245" s="127">
        <f>IF(A245="","",A245-WEEKDAY(A245,2)+1)</f>
        <v/>
      </c>
      <c r="AQ245" s="127">
        <f>IF(AO245="","",AO245+6)</f>
        <v/>
      </c>
      <c r="AR245" s="19">
        <f>IF(AO245="","","Semana "&amp;TEXT(AO245,"dd-mm-yyyy")&amp;" al "&amp;TEXT(AP245,"dd-mm-yyyy"))</f>
        <v/>
      </c>
      <c r="AS245" s="19">
        <f>IF(A245="","",TEXT(A245,"mmmm yyyy"))</f>
        <v/>
      </c>
      <c r="AT245" s="19">
        <f>IF(A245="","",TEXT(A245,"dddd"))</f>
        <v/>
      </c>
      <c r="AU245" s="19">
        <f>IF(A245="","","CRR-"&amp;TEXT(A245,"yyyymmdd")&amp;"-"&amp;M245&amp;"-"&amp;TEXT(ROW()-3,"0000"))</f>
        <v/>
      </c>
      <c r="AV245" s="19">
        <f>IF(A245="","",IF(OR(B245="",C245="",E245="",F245="",M245="",N245=""),"Revisar campos obligatorios",IF(AND(P245="Atraso primera hora",Q245=""),"Falta justificación atraso primera hora",IF(AND(Z245="No cumple",AA245=""),"Falta justificación recambio &gt;15 min",IF(AND(ISNUMBER(SEARCH("suspend",N245)),OR(AG245="",AH245="")),"Falta causa/motivo suspensión","OK")))))</f>
        <v/>
      </c>
      <c r="AW245" s="19">
        <f>IF(N245="","",IF(ISNUMBER(SEARCH("suspend",N245)),IF(AND(AG245="",AH245=""),"Sin causa/motivo registrado",IF(AG245="",AH245,IF(AH245="",AG245,AG245&amp;": "&amp;AH245))),""))</f>
        <v/>
      </c>
    </row>
    <row r="246" ht="16" customHeight="1" s="151">
      <c r="A246" s="62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20">
        <f>IF(H246&lt;&gt;"",IFERROR(VLOOKUP(IFERROR(LEFT(H246,FIND("-",H246)-1),H246),'Catalogo MINSAL'!A:E,5,FALSE),""),IF(I246&lt;&gt;"",IFERROR(VLOOKUP(IFERROR(LEFT(I246,FIND("-",I246)-1),I246),'Catalogo MINSAL'!A:E,5,FALSE),""),""))</f>
        <v/>
      </c>
      <c r="K246" s="19" t="n"/>
      <c r="L246" s="19" t="n"/>
      <c r="M246" s="19" t="n"/>
      <c r="N246" s="19" t="n"/>
      <c r="O246" s="25" t="n"/>
      <c r="P246" s="27">
        <f>IFERROR(IF(OR(O246="",A246="",M246=""),"",IF(SUMPRODUCT(($A$4:$A$500=A246)*($M$4:$M$500=M246)*($O$4:$O$500&lt;&gt;"")*(MOD($O$4:$O$500,1)&lt;MOD(O246,1)))=0,IF(MOD(O246,1)&lt;=TIME(8,15,0),"Ingreso adecuado primera hora","Atraso primera hora"),"No aplica")),"")</f>
        <v/>
      </c>
      <c r="Q246" s="27" t="n"/>
      <c r="R246" s="25" t="n"/>
      <c r="S246" s="25" t="n"/>
      <c r="T246" s="25" t="n"/>
      <c r="U246" s="25">
        <f>IFERROR(VLOOKUP(M246,'Horario Pabellones'!$A$4:$D$17,2,FALSE),"")</f>
        <v/>
      </c>
      <c r="V246" s="25">
        <f>IFERROR(VLOOKUP(M246,'Horario Pabellones'!$A$4:$D$17,3,FALSE),"")</f>
        <v/>
      </c>
      <c r="W246" s="99">
        <f>IFERROR(VLOOKUP(M246,'Horario Pabellones'!$A$4:$D$17,4,FALSE),"")</f>
        <v/>
      </c>
      <c r="X246" s="89">
        <f>IFERROR(IF(OR(A246="",M246="",W246=""),"",(((_xludf.AGGREGATE(14,6,MOD($S$4:$S$500,1)/(($A$4:$A$500=A246)*($M$4:$M$500=M246)*($R$4:$R$500&lt;&gt;"")*($S$4:$S$500&lt;&gt;"")),1)-_xludf.AGGREGATE(15,6,MOD($R$4:$R$500,1)/(($A$4:$A$500=A246)*($M$4:$M$500=M246)*($R$4:$R$500&lt;&gt;"")*($S$4:$S$500&lt;&gt;"")),1))*1440)/60)/(W246/60)),"")</f>
        <v/>
      </c>
      <c r="Y246" s="26">
        <f>IFERROR(IF(OR(O246="",A246="",M246=""),"",(IF(ISNUMBER(O246),MOD(O246,1),TIMEVALUE(O246))-LOOKUP(2,1/(($A$4:$A$500=A246)*($M$4:$M$500=M246)*($T$4:$T$500&lt;&gt;"")*($T$4:$T$500&lt;IF(ISNUMBER(O246),MOD(O246,1),TIMEVALUE(O246)))),$T$4:$T$500))*1440),"")</f>
        <v/>
      </c>
      <c r="Z246" s="27">
        <f>IFERROR(IF(Y246="","",IF(ROUND(Y246,0)&lt;=15,"Cumple","No cumple")),"")</f>
        <v/>
      </c>
      <c r="AA246" s="27" t="n"/>
      <c r="AB246" s="26">
        <f>IFERROR(IF(OR(O246="",R246=""),"",IF(IF(ISNUMBER(R246),MOD(R246,1),TIMEVALUE(R246))&gt;=IF(ISNUMBER(O246),MOD(O246,1),TIMEVALUE(O246)),(IF(ISNUMBER(R246),MOD(R246,1),TIMEVALUE(R246))-IF(ISNUMBER(O246),MOD(O246,1),TIMEVALUE(O246)))*1440,(IF(ISNUMBER(R246),MOD(R246,1),TIMEVALUE(R246))+1-IF(ISNUMBER(O246),MOD(O246,1),TIMEVALUE(O246)))*1440)),"")</f>
        <v/>
      </c>
      <c r="AC246" s="26">
        <f>IFERROR(IF(OR(R246="",S246=""),"",IF(IF(ISNUMBER(S246),MOD(S246,1),TIMEVALUE(S246))&gt;=IF(ISNUMBER(R246),MOD(R246,1),TIMEVALUE(R246)),(IF(ISNUMBER(S246),MOD(S246,1),TIMEVALUE(S246))-IF(ISNUMBER(R246),MOD(R246,1),TIMEVALUE(R246)))*1440,(IF(ISNUMBER(S246),MOD(S246,1),TIMEVALUE(S246))+1-IF(ISNUMBER(R246),MOD(R246,1),TIMEVALUE(R246)))*1440)),"")</f>
        <v/>
      </c>
      <c r="AD246" s="29" t="n"/>
      <c r="AE246" s="26">
        <f>IFERROR(IF(OR(AC246="",AD246=""),"",AC246-AD246),"")</f>
        <v/>
      </c>
      <c r="AF246" s="27">
        <f>IFERROR(IF(AE246="","",IF(ROUND(AE246,0)&gt;15,"Subestimacion",IF(ROUND(AE246,0)&lt;-15,"Sobrestimacion","Asertivo"))),"")</f>
        <v/>
      </c>
      <c r="AG246" s="19" t="n"/>
      <c r="AH246" s="19" t="n"/>
      <c r="AI246" s="19" t="n"/>
      <c r="AJ246" s="19" t="n"/>
      <c r="AK246" s="19" t="n"/>
      <c r="AL246" s="19" t="n"/>
      <c r="AM246" s="19" t="n"/>
      <c r="AN246" s="19" t="n"/>
      <c r="AO246" s="19" t="n"/>
      <c r="AP246" s="127">
        <f>IF(A246="","",A246-WEEKDAY(A246,2)+1)</f>
        <v/>
      </c>
      <c r="AQ246" s="127">
        <f>IF(AO246="","",AO246+6)</f>
        <v/>
      </c>
      <c r="AR246" s="19">
        <f>IF(AO246="","","Semana "&amp;TEXT(AO246,"dd-mm-yyyy")&amp;" al "&amp;TEXT(AP246,"dd-mm-yyyy"))</f>
        <v/>
      </c>
      <c r="AS246" s="19">
        <f>IF(A246="","",TEXT(A246,"mmmm yyyy"))</f>
        <v/>
      </c>
      <c r="AT246" s="19">
        <f>IF(A246="","",TEXT(A246,"dddd"))</f>
        <v/>
      </c>
      <c r="AU246" s="19">
        <f>IF(A246="","","CRR-"&amp;TEXT(A246,"yyyymmdd")&amp;"-"&amp;M246&amp;"-"&amp;TEXT(ROW()-3,"0000"))</f>
        <v/>
      </c>
      <c r="AV246" s="19">
        <f>IF(A246="","",IF(OR(B246="",C246="",E246="",F246="",M246="",N246=""),"Revisar campos obligatorios",IF(AND(P246="Atraso primera hora",Q246=""),"Falta justificación atraso primera hora",IF(AND(Z246="No cumple",AA246=""),"Falta justificación recambio &gt;15 min",IF(AND(ISNUMBER(SEARCH("suspend",N246)),OR(AG246="",AH246="")),"Falta causa/motivo suspensión","OK")))))</f>
        <v/>
      </c>
      <c r="AW246" s="19">
        <f>IF(N246="","",IF(ISNUMBER(SEARCH("suspend",N246)),IF(AND(AG246="",AH246=""),"Sin causa/motivo registrado",IF(AG246="",AH246,IF(AH246="",AG246,AG246&amp;": "&amp;AH246))),""))</f>
        <v/>
      </c>
    </row>
    <row r="247" ht="16" customHeight="1" s="151">
      <c r="A247" s="62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20">
        <f>IF(H247&lt;&gt;"",IFERROR(VLOOKUP(IFERROR(LEFT(H247,FIND("-",H247)-1),H247),'Catalogo MINSAL'!A:E,5,FALSE),""),IF(I247&lt;&gt;"",IFERROR(VLOOKUP(IFERROR(LEFT(I247,FIND("-",I247)-1),I247),'Catalogo MINSAL'!A:E,5,FALSE),""),""))</f>
        <v/>
      </c>
      <c r="K247" s="19" t="n"/>
      <c r="L247" s="19" t="n"/>
      <c r="M247" s="19" t="n"/>
      <c r="N247" s="19" t="n"/>
      <c r="O247" s="25" t="n"/>
      <c r="P247" s="27">
        <f>IFERROR(IF(OR(O247="",A247="",M247=""),"",IF(SUMPRODUCT(($A$4:$A$500=A247)*($M$4:$M$500=M247)*($O$4:$O$500&lt;&gt;"")*(MOD($O$4:$O$500,1)&lt;MOD(O247,1)))=0,IF(MOD(O247,1)&lt;=TIME(8,15,0),"Ingreso adecuado primera hora","Atraso primera hora"),"No aplica")),"")</f>
        <v/>
      </c>
      <c r="Q247" s="27" t="n"/>
      <c r="R247" s="25" t="n"/>
      <c r="S247" s="25" t="n"/>
      <c r="T247" s="25" t="n"/>
      <c r="U247" s="25">
        <f>IFERROR(VLOOKUP(M247,'Horario Pabellones'!$A$4:$D$17,2,FALSE),"")</f>
        <v/>
      </c>
      <c r="V247" s="25">
        <f>IFERROR(VLOOKUP(M247,'Horario Pabellones'!$A$4:$D$17,3,FALSE),"")</f>
        <v/>
      </c>
      <c r="W247" s="99">
        <f>IFERROR(VLOOKUP(M247,'Horario Pabellones'!$A$4:$D$17,4,FALSE),"")</f>
        <v/>
      </c>
      <c r="X247" s="89">
        <f>IFERROR(IF(OR(A247="",M247="",W247=""),"",(((_xludf.AGGREGATE(14,6,MOD($S$4:$S$500,1)/(($A$4:$A$500=A247)*($M$4:$M$500=M247)*($R$4:$R$500&lt;&gt;"")*($S$4:$S$500&lt;&gt;"")),1)-_xludf.AGGREGATE(15,6,MOD($R$4:$R$500,1)/(($A$4:$A$500=A247)*($M$4:$M$500=M247)*($R$4:$R$500&lt;&gt;"")*($S$4:$S$500&lt;&gt;"")),1))*1440)/60)/(W247/60)),"")</f>
        <v/>
      </c>
      <c r="Y247" s="26">
        <f>IFERROR(IF(OR(O247="",A247="",M247=""),"",(IF(ISNUMBER(O247),MOD(O247,1),TIMEVALUE(O247))-LOOKUP(2,1/(($A$4:$A$500=A247)*($M$4:$M$500=M247)*($T$4:$T$500&lt;&gt;"")*($T$4:$T$500&lt;IF(ISNUMBER(O247),MOD(O247,1),TIMEVALUE(O247)))),$T$4:$T$500))*1440),"")</f>
        <v/>
      </c>
      <c r="Z247" s="27">
        <f>IFERROR(IF(Y247="","",IF(ROUND(Y247,0)&lt;=15,"Cumple","No cumple")),"")</f>
        <v/>
      </c>
      <c r="AA247" s="27" t="n"/>
      <c r="AB247" s="26">
        <f>IFERROR(IF(OR(O247="",R247=""),"",IF(IF(ISNUMBER(R247),MOD(R247,1),TIMEVALUE(R247))&gt;=IF(ISNUMBER(O247),MOD(O247,1),TIMEVALUE(O247)),(IF(ISNUMBER(R247),MOD(R247,1),TIMEVALUE(R247))-IF(ISNUMBER(O247),MOD(O247,1),TIMEVALUE(O247)))*1440,(IF(ISNUMBER(R247),MOD(R247,1),TIMEVALUE(R247))+1-IF(ISNUMBER(O247),MOD(O247,1),TIMEVALUE(O247)))*1440)),"")</f>
        <v/>
      </c>
      <c r="AC247" s="26">
        <f>IFERROR(IF(OR(R247="",S247=""),"",IF(IF(ISNUMBER(S247),MOD(S247,1),TIMEVALUE(S247))&gt;=IF(ISNUMBER(R247),MOD(R247,1),TIMEVALUE(R247)),(IF(ISNUMBER(S247),MOD(S247,1),TIMEVALUE(S247))-IF(ISNUMBER(R247),MOD(R247,1),TIMEVALUE(R247)))*1440,(IF(ISNUMBER(S247),MOD(S247,1),TIMEVALUE(S247))+1-IF(ISNUMBER(R247),MOD(R247,1),TIMEVALUE(R247)))*1440)),"")</f>
        <v/>
      </c>
      <c r="AD247" s="29" t="n"/>
      <c r="AE247" s="26">
        <f>IFERROR(IF(OR(AC247="",AD247=""),"",AC247-AD247),"")</f>
        <v/>
      </c>
      <c r="AF247" s="27">
        <f>IFERROR(IF(AE247="","",IF(ROUND(AE247,0)&gt;15,"Subestimacion",IF(ROUND(AE247,0)&lt;-15,"Sobrestimacion","Asertivo"))),"")</f>
        <v/>
      </c>
      <c r="AG247" s="19" t="n"/>
      <c r="AH247" s="19" t="n"/>
      <c r="AI247" s="19" t="n"/>
      <c r="AJ247" s="19" t="n"/>
      <c r="AK247" s="19" t="n"/>
      <c r="AL247" s="19" t="n"/>
      <c r="AM247" s="19" t="n"/>
      <c r="AN247" s="19" t="n"/>
      <c r="AO247" s="19" t="n"/>
      <c r="AP247" s="127">
        <f>IF(A247="","",A247-WEEKDAY(A247,2)+1)</f>
        <v/>
      </c>
      <c r="AQ247" s="127">
        <f>IF(AO247="","",AO247+6)</f>
        <v/>
      </c>
      <c r="AR247" s="19">
        <f>IF(AO247="","","Semana "&amp;TEXT(AO247,"dd-mm-yyyy")&amp;" al "&amp;TEXT(AP247,"dd-mm-yyyy"))</f>
        <v/>
      </c>
      <c r="AS247" s="19">
        <f>IF(A247="","",TEXT(A247,"mmmm yyyy"))</f>
        <v/>
      </c>
      <c r="AT247" s="19">
        <f>IF(A247="","",TEXT(A247,"dddd"))</f>
        <v/>
      </c>
      <c r="AU247" s="19">
        <f>IF(A247="","","CRR-"&amp;TEXT(A247,"yyyymmdd")&amp;"-"&amp;M247&amp;"-"&amp;TEXT(ROW()-3,"0000"))</f>
        <v/>
      </c>
      <c r="AV247" s="19">
        <f>IF(A247="","",IF(OR(B247="",C247="",E247="",F247="",M247="",N247=""),"Revisar campos obligatorios",IF(AND(P247="Atraso primera hora",Q247=""),"Falta justificación atraso primera hora",IF(AND(Z247="No cumple",AA247=""),"Falta justificación recambio &gt;15 min",IF(AND(ISNUMBER(SEARCH("suspend",N247)),OR(AG247="",AH247="")),"Falta causa/motivo suspensión","OK")))))</f>
        <v/>
      </c>
      <c r="AW247" s="19">
        <f>IF(N247="","",IF(ISNUMBER(SEARCH("suspend",N247)),IF(AND(AG247="",AH247=""),"Sin causa/motivo registrado",IF(AG247="",AH247,IF(AH247="",AG247,AG247&amp;": "&amp;AH247))),""))</f>
        <v/>
      </c>
    </row>
    <row r="248" ht="16" customHeight="1" s="151">
      <c r="A248" s="62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20">
        <f>IF(H248&lt;&gt;"",IFERROR(VLOOKUP(IFERROR(LEFT(H248,FIND("-",H248)-1),H248),'Catalogo MINSAL'!A:E,5,FALSE),""),IF(I248&lt;&gt;"",IFERROR(VLOOKUP(IFERROR(LEFT(I248,FIND("-",I248)-1),I248),'Catalogo MINSAL'!A:E,5,FALSE),""),""))</f>
        <v/>
      </c>
      <c r="K248" s="19" t="n"/>
      <c r="L248" s="19" t="n"/>
      <c r="M248" s="19" t="n"/>
      <c r="N248" s="19" t="n"/>
      <c r="O248" s="25" t="n"/>
      <c r="P248" s="27">
        <f>IFERROR(IF(OR(O248="",A248="",M248=""),"",IF(SUMPRODUCT(($A$4:$A$500=A248)*($M$4:$M$500=M248)*($O$4:$O$500&lt;&gt;"")*(MOD($O$4:$O$500,1)&lt;MOD(O248,1)))=0,IF(MOD(O248,1)&lt;=TIME(8,15,0),"Ingreso adecuado primera hora","Atraso primera hora"),"No aplica")),"")</f>
        <v/>
      </c>
      <c r="Q248" s="27" t="n"/>
      <c r="R248" s="25" t="n"/>
      <c r="S248" s="25" t="n"/>
      <c r="T248" s="25" t="n"/>
      <c r="U248" s="25">
        <f>IFERROR(VLOOKUP(M248,'Horario Pabellones'!$A$4:$D$17,2,FALSE),"")</f>
        <v/>
      </c>
      <c r="V248" s="25">
        <f>IFERROR(VLOOKUP(M248,'Horario Pabellones'!$A$4:$D$17,3,FALSE),"")</f>
        <v/>
      </c>
      <c r="W248" s="99">
        <f>IFERROR(VLOOKUP(M248,'Horario Pabellones'!$A$4:$D$17,4,FALSE),"")</f>
        <v/>
      </c>
      <c r="X248" s="89">
        <f>IFERROR(IF(OR(A248="",M248="",W248=""),"",(((_xludf.AGGREGATE(14,6,MOD($S$4:$S$500,1)/(($A$4:$A$500=A248)*($M$4:$M$500=M248)*($R$4:$R$500&lt;&gt;"")*($S$4:$S$500&lt;&gt;"")),1)-_xludf.AGGREGATE(15,6,MOD($R$4:$R$500,1)/(($A$4:$A$500=A248)*($M$4:$M$500=M248)*($R$4:$R$500&lt;&gt;"")*($S$4:$S$500&lt;&gt;"")),1))*1440)/60)/(W248/60)),"")</f>
        <v/>
      </c>
      <c r="Y248" s="26">
        <f>IFERROR(IF(OR(O248="",A248="",M248=""),"",(IF(ISNUMBER(O248),MOD(O248,1),TIMEVALUE(O248))-LOOKUP(2,1/(($A$4:$A$500=A248)*($M$4:$M$500=M248)*($T$4:$T$500&lt;&gt;"")*($T$4:$T$500&lt;IF(ISNUMBER(O248),MOD(O248,1),TIMEVALUE(O248)))),$T$4:$T$500))*1440),"")</f>
        <v/>
      </c>
      <c r="Z248" s="27">
        <f>IFERROR(IF(Y248="","",IF(ROUND(Y248,0)&lt;=15,"Cumple","No cumple")),"")</f>
        <v/>
      </c>
      <c r="AA248" s="27" t="n"/>
      <c r="AB248" s="26">
        <f>IFERROR(IF(OR(O248="",R248=""),"",IF(IF(ISNUMBER(R248),MOD(R248,1),TIMEVALUE(R248))&gt;=IF(ISNUMBER(O248),MOD(O248,1),TIMEVALUE(O248)),(IF(ISNUMBER(R248),MOD(R248,1),TIMEVALUE(R248))-IF(ISNUMBER(O248),MOD(O248,1),TIMEVALUE(O248)))*1440,(IF(ISNUMBER(R248),MOD(R248,1),TIMEVALUE(R248))+1-IF(ISNUMBER(O248),MOD(O248,1),TIMEVALUE(O248)))*1440)),"")</f>
        <v/>
      </c>
      <c r="AC248" s="26">
        <f>IFERROR(IF(OR(R248="",S248=""),"",IF(IF(ISNUMBER(S248),MOD(S248,1),TIMEVALUE(S248))&gt;=IF(ISNUMBER(R248),MOD(R248,1),TIMEVALUE(R248)),(IF(ISNUMBER(S248),MOD(S248,1),TIMEVALUE(S248))-IF(ISNUMBER(R248),MOD(R248,1),TIMEVALUE(R248)))*1440,(IF(ISNUMBER(S248),MOD(S248,1),TIMEVALUE(S248))+1-IF(ISNUMBER(R248),MOD(R248,1),TIMEVALUE(R248)))*1440)),"")</f>
        <v/>
      </c>
      <c r="AD248" s="29" t="n"/>
      <c r="AE248" s="26">
        <f>IFERROR(IF(OR(AC248="",AD248=""),"",AC248-AD248),"")</f>
        <v/>
      </c>
      <c r="AF248" s="27">
        <f>IFERROR(IF(AE248="","",IF(ROUND(AE248,0)&gt;15,"Subestimacion",IF(ROUND(AE248,0)&lt;-15,"Sobrestimacion","Asertivo"))),"")</f>
        <v/>
      </c>
      <c r="AG248" s="19" t="n"/>
      <c r="AH248" s="19" t="n"/>
      <c r="AI248" s="19" t="n"/>
      <c r="AJ248" s="19" t="n"/>
      <c r="AK248" s="19" t="n"/>
      <c r="AL248" s="19" t="n"/>
      <c r="AM248" s="19" t="n"/>
      <c r="AN248" s="19" t="n"/>
      <c r="AO248" s="19" t="n"/>
      <c r="AP248" s="127">
        <f>IF(A248="","",A248-WEEKDAY(A248,2)+1)</f>
        <v/>
      </c>
      <c r="AQ248" s="127">
        <f>IF(AO248="","",AO248+6)</f>
        <v/>
      </c>
      <c r="AR248" s="19">
        <f>IF(AO248="","","Semana "&amp;TEXT(AO248,"dd-mm-yyyy")&amp;" al "&amp;TEXT(AP248,"dd-mm-yyyy"))</f>
        <v/>
      </c>
      <c r="AS248" s="19">
        <f>IF(A248="","",TEXT(A248,"mmmm yyyy"))</f>
        <v/>
      </c>
      <c r="AT248" s="19">
        <f>IF(A248="","",TEXT(A248,"dddd"))</f>
        <v/>
      </c>
      <c r="AU248" s="19">
        <f>IF(A248="","","CRR-"&amp;TEXT(A248,"yyyymmdd")&amp;"-"&amp;M248&amp;"-"&amp;TEXT(ROW()-3,"0000"))</f>
        <v/>
      </c>
      <c r="AV248" s="19">
        <f>IF(A248="","",IF(OR(B248="",C248="",E248="",F248="",M248="",N248=""),"Revisar campos obligatorios",IF(AND(P248="Atraso primera hora",Q248=""),"Falta justificación atraso primera hora",IF(AND(Z248="No cumple",AA248=""),"Falta justificación recambio &gt;15 min",IF(AND(ISNUMBER(SEARCH("suspend",N248)),OR(AG248="",AH248="")),"Falta causa/motivo suspensión","OK")))))</f>
        <v/>
      </c>
      <c r="AW248" s="19">
        <f>IF(N248="","",IF(ISNUMBER(SEARCH("suspend",N248)),IF(AND(AG248="",AH248=""),"Sin causa/motivo registrado",IF(AG248="",AH248,IF(AH248="",AG248,AG248&amp;": "&amp;AH248))),""))</f>
        <v/>
      </c>
    </row>
    <row r="249" ht="16" customHeight="1" s="151">
      <c r="A249" s="62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20">
        <f>IF(H249&lt;&gt;"",IFERROR(VLOOKUP(IFERROR(LEFT(H249,FIND("-",H249)-1),H249),'Catalogo MINSAL'!A:E,5,FALSE),""),IF(I249&lt;&gt;"",IFERROR(VLOOKUP(IFERROR(LEFT(I249,FIND("-",I249)-1),I249),'Catalogo MINSAL'!A:E,5,FALSE),""),""))</f>
        <v/>
      </c>
      <c r="K249" s="19" t="n"/>
      <c r="L249" s="19" t="n"/>
      <c r="M249" s="19" t="n"/>
      <c r="N249" s="19" t="n"/>
      <c r="O249" s="25" t="n"/>
      <c r="P249" s="27">
        <f>IFERROR(IF(OR(O249="",A249="",M249=""),"",IF(SUMPRODUCT(($A$4:$A$500=A249)*($M$4:$M$500=M249)*($O$4:$O$500&lt;&gt;"")*(MOD($O$4:$O$500,1)&lt;MOD(O249,1)))=0,IF(MOD(O249,1)&lt;=TIME(8,15,0),"Ingreso adecuado primera hora","Atraso primera hora"),"No aplica")),"")</f>
        <v/>
      </c>
      <c r="Q249" s="27" t="n"/>
      <c r="R249" s="25" t="n"/>
      <c r="S249" s="25" t="n"/>
      <c r="T249" s="25" t="n"/>
      <c r="U249" s="25">
        <f>IFERROR(VLOOKUP(M249,'Horario Pabellones'!$A$4:$D$17,2,FALSE),"")</f>
        <v/>
      </c>
      <c r="V249" s="25">
        <f>IFERROR(VLOOKUP(M249,'Horario Pabellones'!$A$4:$D$17,3,FALSE),"")</f>
        <v/>
      </c>
      <c r="W249" s="99">
        <f>IFERROR(VLOOKUP(M249,'Horario Pabellones'!$A$4:$D$17,4,FALSE),"")</f>
        <v/>
      </c>
      <c r="X249" s="89">
        <f>IFERROR(IF(OR(A249="",M249="",W249=""),"",(((_xludf.AGGREGATE(14,6,MOD($S$4:$S$500,1)/(($A$4:$A$500=A249)*($M$4:$M$500=M249)*($R$4:$R$500&lt;&gt;"")*($S$4:$S$500&lt;&gt;"")),1)-_xludf.AGGREGATE(15,6,MOD($R$4:$R$500,1)/(($A$4:$A$500=A249)*($M$4:$M$500=M249)*($R$4:$R$500&lt;&gt;"")*($S$4:$S$500&lt;&gt;"")),1))*1440)/60)/(W249/60)),"")</f>
        <v/>
      </c>
      <c r="Y249" s="26">
        <f>IFERROR(IF(OR(O249="",A249="",M249=""),"",(IF(ISNUMBER(O249),MOD(O249,1),TIMEVALUE(O249))-LOOKUP(2,1/(($A$4:$A$500=A249)*($M$4:$M$500=M249)*($T$4:$T$500&lt;&gt;"")*($T$4:$T$500&lt;IF(ISNUMBER(O249),MOD(O249,1),TIMEVALUE(O249)))),$T$4:$T$500))*1440),"")</f>
        <v/>
      </c>
      <c r="Z249" s="27">
        <f>IFERROR(IF(Y249="","",IF(ROUND(Y249,0)&lt;=15,"Cumple","No cumple")),"")</f>
        <v/>
      </c>
      <c r="AA249" s="27" t="n"/>
      <c r="AB249" s="26">
        <f>IFERROR(IF(OR(O249="",R249=""),"",IF(IF(ISNUMBER(R249),MOD(R249,1),TIMEVALUE(R249))&gt;=IF(ISNUMBER(O249),MOD(O249,1),TIMEVALUE(O249)),(IF(ISNUMBER(R249),MOD(R249,1),TIMEVALUE(R249))-IF(ISNUMBER(O249),MOD(O249,1),TIMEVALUE(O249)))*1440,(IF(ISNUMBER(R249),MOD(R249,1),TIMEVALUE(R249))+1-IF(ISNUMBER(O249),MOD(O249,1),TIMEVALUE(O249)))*1440)),"")</f>
        <v/>
      </c>
      <c r="AC249" s="26">
        <f>IFERROR(IF(OR(R249="",S249=""),"",IF(IF(ISNUMBER(S249),MOD(S249,1),TIMEVALUE(S249))&gt;=IF(ISNUMBER(R249),MOD(R249,1),TIMEVALUE(R249)),(IF(ISNUMBER(S249),MOD(S249,1),TIMEVALUE(S249))-IF(ISNUMBER(R249),MOD(R249,1),TIMEVALUE(R249)))*1440,(IF(ISNUMBER(S249),MOD(S249,1),TIMEVALUE(S249))+1-IF(ISNUMBER(R249),MOD(R249,1),TIMEVALUE(R249)))*1440)),"")</f>
        <v/>
      </c>
      <c r="AD249" s="29" t="n"/>
      <c r="AE249" s="26">
        <f>IFERROR(IF(OR(AC249="",AD249=""),"",AC249-AD249),"")</f>
        <v/>
      </c>
      <c r="AF249" s="27">
        <f>IFERROR(IF(AE249="","",IF(ROUND(AE249,0)&gt;15,"Subestimacion",IF(ROUND(AE249,0)&lt;-15,"Sobrestimacion","Asertivo"))),"")</f>
        <v/>
      </c>
      <c r="AG249" s="19" t="n"/>
      <c r="AH249" s="19" t="n"/>
      <c r="AI249" s="19" t="n"/>
      <c r="AJ249" s="19" t="n"/>
      <c r="AK249" s="19" t="n"/>
      <c r="AL249" s="19" t="n"/>
      <c r="AM249" s="19" t="n"/>
      <c r="AN249" s="19" t="n"/>
      <c r="AO249" s="19" t="n"/>
      <c r="AP249" s="127">
        <f>IF(A249="","",A249-WEEKDAY(A249,2)+1)</f>
        <v/>
      </c>
      <c r="AQ249" s="127">
        <f>IF(AO249="","",AO249+6)</f>
        <v/>
      </c>
      <c r="AR249" s="19">
        <f>IF(AO249="","","Semana "&amp;TEXT(AO249,"dd-mm-yyyy")&amp;" al "&amp;TEXT(AP249,"dd-mm-yyyy"))</f>
        <v/>
      </c>
      <c r="AS249" s="19">
        <f>IF(A249="","",TEXT(A249,"mmmm yyyy"))</f>
        <v/>
      </c>
      <c r="AT249" s="19">
        <f>IF(A249="","",TEXT(A249,"dddd"))</f>
        <v/>
      </c>
      <c r="AU249" s="19">
        <f>IF(A249="","","CRR-"&amp;TEXT(A249,"yyyymmdd")&amp;"-"&amp;M249&amp;"-"&amp;TEXT(ROW()-3,"0000"))</f>
        <v/>
      </c>
      <c r="AV249" s="19">
        <f>IF(A249="","",IF(OR(B249="",C249="",E249="",F249="",M249="",N249=""),"Revisar campos obligatorios",IF(AND(P249="Atraso primera hora",Q249=""),"Falta justificación atraso primera hora",IF(AND(Z249="No cumple",AA249=""),"Falta justificación recambio &gt;15 min",IF(AND(ISNUMBER(SEARCH("suspend",N249)),OR(AG249="",AH249="")),"Falta causa/motivo suspensión","OK")))))</f>
        <v/>
      </c>
      <c r="AW249" s="19">
        <f>IF(N249="","",IF(ISNUMBER(SEARCH("suspend",N249)),IF(AND(AG249="",AH249=""),"Sin causa/motivo registrado",IF(AG249="",AH249,IF(AH249="",AG249,AG249&amp;": "&amp;AH249))),""))</f>
        <v/>
      </c>
    </row>
    <row r="250" ht="16" customHeight="1" s="151">
      <c r="A250" s="62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20">
        <f>IF(H250&lt;&gt;"",IFERROR(VLOOKUP(IFERROR(LEFT(H250,FIND("-",H250)-1),H250),'Catalogo MINSAL'!A:E,5,FALSE),""),IF(I250&lt;&gt;"",IFERROR(VLOOKUP(IFERROR(LEFT(I250,FIND("-",I250)-1),I250),'Catalogo MINSAL'!A:E,5,FALSE),""),""))</f>
        <v/>
      </c>
      <c r="K250" s="19" t="n"/>
      <c r="L250" s="19" t="n"/>
      <c r="M250" s="19" t="n"/>
      <c r="N250" s="19" t="n"/>
      <c r="O250" s="25" t="n"/>
      <c r="P250" s="27">
        <f>IFERROR(IF(OR(O250="",A250="",M250=""),"",IF(SUMPRODUCT(($A$4:$A$500=A250)*($M$4:$M$500=M250)*($O$4:$O$500&lt;&gt;"")*(MOD($O$4:$O$500,1)&lt;MOD(O250,1)))=0,IF(MOD(O250,1)&lt;=TIME(8,15,0),"Ingreso adecuado primera hora","Atraso primera hora"),"No aplica")),"")</f>
        <v/>
      </c>
      <c r="Q250" s="27" t="n"/>
      <c r="R250" s="25" t="n"/>
      <c r="S250" s="25" t="n"/>
      <c r="T250" s="25" t="n"/>
      <c r="U250" s="25">
        <f>IFERROR(VLOOKUP(M250,'Horario Pabellones'!$A$4:$D$17,2,FALSE),"")</f>
        <v/>
      </c>
      <c r="V250" s="25">
        <f>IFERROR(VLOOKUP(M250,'Horario Pabellones'!$A$4:$D$17,3,FALSE),"")</f>
        <v/>
      </c>
      <c r="W250" s="99">
        <f>IFERROR(VLOOKUP(M250,'Horario Pabellones'!$A$4:$D$17,4,FALSE),"")</f>
        <v/>
      </c>
      <c r="X250" s="89">
        <f>IFERROR(IF(OR(A250="",M250="",W250=""),"",(((_xludf.AGGREGATE(14,6,MOD($S$4:$S$500,1)/(($A$4:$A$500=A250)*($M$4:$M$500=M250)*($R$4:$R$500&lt;&gt;"")*($S$4:$S$500&lt;&gt;"")),1)-_xludf.AGGREGATE(15,6,MOD($R$4:$R$500,1)/(($A$4:$A$500=A250)*($M$4:$M$500=M250)*($R$4:$R$500&lt;&gt;"")*($S$4:$S$500&lt;&gt;"")),1))*1440)/60)/(W250/60)),"")</f>
        <v/>
      </c>
      <c r="Y250" s="26">
        <f>IFERROR(IF(OR(O250="",A250="",M250=""),"",(IF(ISNUMBER(O250),MOD(O250,1),TIMEVALUE(O250))-LOOKUP(2,1/(($A$4:$A$500=A250)*($M$4:$M$500=M250)*($T$4:$T$500&lt;&gt;"")*($T$4:$T$500&lt;IF(ISNUMBER(O250),MOD(O250,1),TIMEVALUE(O250)))),$T$4:$T$500))*1440),"")</f>
        <v/>
      </c>
      <c r="Z250" s="27">
        <f>IFERROR(IF(Y250="","",IF(ROUND(Y250,0)&lt;=15,"Cumple","No cumple")),"")</f>
        <v/>
      </c>
      <c r="AA250" s="27" t="n"/>
      <c r="AB250" s="26">
        <f>IFERROR(IF(OR(O250="",R250=""),"",IF(IF(ISNUMBER(R250),MOD(R250,1),TIMEVALUE(R250))&gt;=IF(ISNUMBER(O250),MOD(O250,1),TIMEVALUE(O250)),(IF(ISNUMBER(R250),MOD(R250,1),TIMEVALUE(R250))-IF(ISNUMBER(O250),MOD(O250,1),TIMEVALUE(O250)))*1440,(IF(ISNUMBER(R250),MOD(R250,1),TIMEVALUE(R250))+1-IF(ISNUMBER(O250),MOD(O250,1),TIMEVALUE(O250)))*1440)),"")</f>
        <v/>
      </c>
      <c r="AC250" s="26">
        <f>IFERROR(IF(OR(R250="",S250=""),"",IF(IF(ISNUMBER(S250),MOD(S250,1),TIMEVALUE(S250))&gt;=IF(ISNUMBER(R250),MOD(R250,1),TIMEVALUE(R250)),(IF(ISNUMBER(S250),MOD(S250,1),TIMEVALUE(S250))-IF(ISNUMBER(R250),MOD(R250,1),TIMEVALUE(R250)))*1440,(IF(ISNUMBER(S250),MOD(S250,1),TIMEVALUE(S250))+1-IF(ISNUMBER(R250),MOD(R250,1),TIMEVALUE(R250)))*1440)),"")</f>
        <v/>
      </c>
      <c r="AD250" s="29" t="n"/>
      <c r="AE250" s="26">
        <f>IFERROR(IF(OR(AC250="",AD250=""),"",AC250-AD250),"")</f>
        <v/>
      </c>
      <c r="AF250" s="27">
        <f>IFERROR(IF(AE250="","",IF(ROUND(AE250,0)&gt;15,"Subestimacion",IF(ROUND(AE250,0)&lt;-15,"Sobrestimacion","Asertivo"))),"")</f>
        <v/>
      </c>
      <c r="AG250" s="19" t="n"/>
      <c r="AH250" s="19" t="n"/>
      <c r="AI250" s="19" t="n"/>
      <c r="AJ250" s="19" t="n"/>
      <c r="AK250" s="19" t="n"/>
      <c r="AL250" s="19" t="n"/>
      <c r="AM250" s="19" t="n"/>
      <c r="AN250" s="19" t="n"/>
      <c r="AO250" s="19" t="n"/>
      <c r="AP250" s="127">
        <f>IF(A250="","",A250-WEEKDAY(A250,2)+1)</f>
        <v/>
      </c>
      <c r="AQ250" s="127">
        <f>IF(AO250="","",AO250+6)</f>
        <v/>
      </c>
      <c r="AR250" s="19">
        <f>IF(AO250="","","Semana "&amp;TEXT(AO250,"dd-mm-yyyy")&amp;" al "&amp;TEXT(AP250,"dd-mm-yyyy"))</f>
        <v/>
      </c>
      <c r="AS250" s="19">
        <f>IF(A250="","",TEXT(A250,"mmmm yyyy"))</f>
        <v/>
      </c>
      <c r="AT250" s="19">
        <f>IF(A250="","",TEXT(A250,"dddd"))</f>
        <v/>
      </c>
      <c r="AU250" s="19">
        <f>IF(A250="","","CRR-"&amp;TEXT(A250,"yyyymmdd")&amp;"-"&amp;M250&amp;"-"&amp;TEXT(ROW()-3,"0000"))</f>
        <v/>
      </c>
      <c r="AV250" s="19">
        <f>IF(A250="","",IF(OR(B250="",C250="",E250="",F250="",M250="",N250=""),"Revisar campos obligatorios",IF(AND(P250="Atraso primera hora",Q250=""),"Falta justificación atraso primera hora",IF(AND(Z250="No cumple",AA250=""),"Falta justificación recambio &gt;15 min",IF(AND(ISNUMBER(SEARCH("suspend",N250)),OR(AG250="",AH250="")),"Falta causa/motivo suspensión","OK")))))</f>
        <v/>
      </c>
      <c r="AW250" s="19">
        <f>IF(N250="","",IF(ISNUMBER(SEARCH("suspend",N250)),IF(AND(AG250="",AH250=""),"Sin causa/motivo registrado",IF(AG250="",AH250,IF(AH250="",AG250,AG250&amp;": "&amp;AH250))),""))</f>
        <v/>
      </c>
    </row>
    <row r="251" ht="16" customHeight="1" s="151">
      <c r="A251" s="62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20">
        <f>IF(H251&lt;&gt;"",IFERROR(VLOOKUP(IFERROR(LEFT(H251,FIND("-",H251)-1),H251),'Catalogo MINSAL'!A:E,5,FALSE),""),IF(I251&lt;&gt;"",IFERROR(VLOOKUP(IFERROR(LEFT(I251,FIND("-",I251)-1),I251),'Catalogo MINSAL'!A:E,5,FALSE),""),""))</f>
        <v/>
      </c>
      <c r="K251" s="19" t="n"/>
      <c r="L251" s="19" t="n"/>
      <c r="M251" s="19" t="n"/>
      <c r="N251" s="19" t="n"/>
      <c r="O251" s="25" t="n"/>
      <c r="P251" s="27">
        <f>IFERROR(IF(OR(O251="",A251="",M251=""),"",IF(SUMPRODUCT(($A$4:$A$500=A251)*($M$4:$M$500=M251)*($O$4:$O$500&lt;&gt;"")*(MOD($O$4:$O$500,1)&lt;MOD(O251,1)))=0,IF(MOD(O251,1)&lt;=TIME(8,15,0),"Ingreso adecuado primera hora","Atraso primera hora"),"No aplica")),"")</f>
        <v/>
      </c>
      <c r="Q251" s="27" t="n"/>
      <c r="R251" s="25" t="n"/>
      <c r="S251" s="25" t="n"/>
      <c r="T251" s="25" t="n"/>
      <c r="U251" s="25">
        <f>IFERROR(VLOOKUP(M251,'Horario Pabellones'!$A$4:$D$17,2,FALSE),"")</f>
        <v/>
      </c>
      <c r="V251" s="25">
        <f>IFERROR(VLOOKUP(M251,'Horario Pabellones'!$A$4:$D$17,3,FALSE),"")</f>
        <v/>
      </c>
      <c r="W251" s="99">
        <f>IFERROR(VLOOKUP(M251,'Horario Pabellones'!$A$4:$D$17,4,FALSE),"")</f>
        <v/>
      </c>
      <c r="X251" s="89">
        <f>IFERROR(IF(OR(A251="",M251="",W251=""),"",(((_xludf.AGGREGATE(14,6,MOD($S$4:$S$500,1)/(($A$4:$A$500=A251)*($M$4:$M$500=M251)*($R$4:$R$500&lt;&gt;"")*($S$4:$S$500&lt;&gt;"")),1)-_xludf.AGGREGATE(15,6,MOD($R$4:$R$500,1)/(($A$4:$A$500=A251)*($M$4:$M$500=M251)*($R$4:$R$500&lt;&gt;"")*($S$4:$S$500&lt;&gt;"")),1))*1440)/60)/(W251/60)),"")</f>
        <v/>
      </c>
      <c r="Y251" s="26">
        <f>IFERROR(IF(OR(O251="",A251="",M251=""),"",(IF(ISNUMBER(O251),MOD(O251,1),TIMEVALUE(O251))-LOOKUP(2,1/(($A$4:$A$500=A251)*($M$4:$M$500=M251)*($T$4:$T$500&lt;&gt;"")*($T$4:$T$500&lt;IF(ISNUMBER(O251),MOD(O251,1),TIMEVALUE(O251)))),$T$4:$T$500))*1440),"")</f>
        <v/>
      </c>
      <c r="Z251" s="27">
        <f>IFERROR(IF(Y251="","",IF(ROUND(Y251,0)&lt;=15,"Cumple","No cumple")),"")</f>
        <v/>
      </c>
      <c r="AA251" s="27" t="n"/>
      <c r="AB251" s="26">
        <f>IFERROR(IF(OR(O251="",R251=""),"",IF(IF(ISNUMBER(R251),MOD(R251,1),TIMEVALUE(R251))&gt;=IF(ISNUMBER(O251),MOD(O251,1),TIMEVALUE(O251)),(IF(ISNUMBER(R251),MOD(R251,1),TIMEVALUE(R251))-IF(ISNUMBER(O251),MOD(O251,1),TIMEVALUE(O251)))*1440,(IF(ISNUMBER(R251),MOD(R251,1),TIMEVALUE(R251))+1-IF(ISNUMBER(O251),MOD(O251,1),TIMEVALUE(O251)))*1440)),"")</f>
        <v/>
      </c>
      <c r="AC251" s="26">
        <f>IFERROR(IF(OR(R251="",S251=""),"",IF(IF(ISNUMBER(S251),MOD(S251,1),TIMEVALUE(S251))&gt;=IF(ISNUMBER(R251),MOD(R251,1),TIMEVALUE(R251)),(IF(ISNUMBER(S251),MOD(S251,1),TIMEVALUE(S251))-IF(ISNUMBER(R251),MOD(R251,1),TIMEVALUE(R251)))*1440,(IF(ISNUMBER(S251),MOD(S251,1),TIMEVALUE(S251))+1-IF(ISNUMBER(R251),MOD(R251,1),TIMEVALUE(R251)))*1440)),"")</f>
        <v/>
      </c>
      <c r="AD251" s="29" t="n"/>
      <c r="AE251" s="26">
        <f>IFERROR(IF(OR(AC251="",AD251=""),"",AC251-AD251),"")</f>
        <v/>
      </c>
      <c r="AF251" s="27">
        <f>IFERROR(IF(AE251="","",IF(ROUND(AE251,0)&gt;15,"Subestimacion",IF(ROUND(AE251,0)&lt;-15,"Sobrestimacion","Asertivo"))),"")</f>
        <v/>
      </c>
      <c r="AG251" s="19" t="n"/>
      <c r="AH251" s="19" t="n"/>
      <c r="AI251" s="19" t="n"/>
      <c r="AJ251" s="19" t="n"/>
      <c r="AK251" s="19" t="n"/>
      <c r="AL251" s="19" t="n"/>
      <c r="AM251" s="19" t="n"/>
      <c r="AN251" s="19" t="n"/>
      <c r="AO251" s="19" t="n"/>
      <c r="AP251" s="127">
        <f>IF(A251="","",A251-WEEKDAY(A251,2)+1)</f>
        <v/>
      </c>
      <c r="AQ251" s="127">
        <f>IF(AO251="","",AO251+6)</f>
        <v/>
      </c>
      <c r="AR251" s="19">
        <f>IF(AO251="","","Semana "&amp;TEXT(AO251,"dd-mm-yyyy")&amp;" al "&amp;TEXT(AP251,"dd-mm-yyyy"))</f>
        <v/>
      </c>
      <c r="AS251" s="19">
        <f>IF(A251="","",TEXT(A251,"mmmm yyyy"))</f>
        <v/>
      </c>
      <c r="AT251" s="19">
        <f>IF(A251="","",TEXT(A251,"dddd"))</f>
        <v/>
      </c>
      <c r="AU251" s="19">
        <f>IF(A251="","","CRR-"&amp;TEXT(A251,"yyyymmdd")&amp;"-"&amp;M251&amp;"-"&amp;TEXT(ROW()-3,"0000"))</f>
        <v/>
      </c>
      <c r="AV251" s="19">
        <f>IF(A251="","",IF(OR(B251="",C251="",E251="",F251="",M251="",N251=""),"Revisar campos obligatorios",IF(AND(P251="Atraso primera hora",Q251=""),"Falta justificación atraso primera hora",IF(AND(Z251="No cumple",AA251=""),"Falta justificación recambio &gt;15 min",IF(AND(ISNUMBER(SEARCH("suspend",N251)),OR(AG251="",AH251="")),"Falta causa/motivo suspensión","OK")))))</f>
        <v/>
      </c>
      <c r="AW251" s="19">
        <f>IF(N251="","",IF(ISNUMBER(SEARCH("suspend",N251)),IF(AND(AG251="",AH251=""),"Sin causa/motivo registrado",IF(AG251="",AH251,IF(AH251="",AG251,AG251&amp;": "&amp;AH251))),""))</f>
        <v/>
      </c>
    </row>
    <row r="252" ht="16" customHeight="1" s="151">
      <c r="A252" s="62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20">
        <f>IF(H252&lt;&gt;"",IFERROR(VLOOKUP(IFERROR(LEFT(H252,FIND("-",H252)-1),H252),'Catalogo MINSAL'!A:E,5,FALSE),""),IF(I252&lt;&gt;"",IFERROR(VLOOKUP(IFERROR(LEFT(I252,FIND("-",I252)-1),I252),'Catalogo MINSAL'!A:E,5,FALSE),""),""))</f>
        <v/>
      </c>
      <c r="K252" s="19" t="n"/>
      <c r="L252" s="19" t="n"/>
      <c r="M252" s="19" t="n"/>
      <c r="N252" s="19" t="n"/>
      <c r="O252" s="25" t="n"/>
      <c r="P252" s="27">
        <f>IFERROR(IF(OR(O252="",A252="",M252=""),"",IF(SUMPRODUCT(($A$4:$A$500=A252)*($M$4:$M$500=M252)*($O$4:$O$500&lt;&gt;"")*(MOD($O$4:$O$500,1)&lt;MOD(O252,1)))=0,IF(MOD(O252,1)&lt;=TIME(8,15,0),"Ingreso adecuado primera hora","Atraso primera hora"),"No aplica")),"")</f>
        <v/>
      </c>
      <c r="Q252" s="27" t="n"/>
      <c r="R252" s="25" t="n"/>
      <c r="S252" s="25" t="n"/>
      <c r="T252" s="25" t="n"/>
      <c r="U252" s="25">
        <f>IFERROR(VLOOKUP(M252,'Horario Pabellones'!$A$4:$D$17,2,FALSE),"")</f>
        <v/>
      </c>
      <c r="V252" s="25">
        <f>IFERROR(VLOOKUP(M252,'Horario Pabellones'!$A$4:$D$17,3,FALSE),"")</f>
        <v/>
      </c>
      <c r="W252" s="99">
        <f>IFERROR(VLOOKUP(M252,'Horario Pabellones'!$A$4:$D$17,4,FALSE),"")</f>
        <v/>
      </c>
      <c r="X252" s="89">
        <f>IFERROR(IF(OR(A252="",M252="",W252=""),"",(((_xludf.AGGREGATE(14,6,MOD($S$4:$S$500,1)/(($A$4:$A$500=A252)*($M$4:$M$500=M252)*($R$4:$R$500&lt;&gt;"")*($S$4:$S$500&lt;&gt;"")),1)-_xludf.AGGREGATE(15,6,MOD($R$4:$R$500,1)/(($A$4:$A$500=A252)*($M$4:$M$500=M252)*($R$4:$R$500&lt;&gt;"")*($S$4:$S$500&lt;&gt;"")),1))*1440)/60)/(W252/60)),"")</f>
        <v/>
      </c>
      <c r="Y252" s="26">
        <f>IFERROR(IF(OR(O252="",A252="",M252=""),"",(IF(ISNUMBER(O252),MOD(O252,1),TIMEVALUE(O252))-LOOKUP(2,1/(($A$4:$A$500=A252)*($M$4:$M$500=M252)*($T$4:$T$500&lt;&gt;"")*($T$4:$T$500&lt;IF(ISNUMBER(O252),MOD(O252,1),TIMEVALUE(O252)))),$T$4:$T$500))*1440),"")</f>
        <v/>
      </c>
      <c r="Z252" s="27">
        <f>IFERROR(IF(Y252="","",IF(ROUND(Y252,0)&lt;=15,"Cumple","No cumple")),"")</f>
        <v/>
      </c>
      <c r="AA252" s="27" t="n"/>
      <c r="AB252" s="26">
        <f>IFERROR(IF(OR(O252="",R252=""),"",IF(IF(ISNUMBER(R252),MOD(R252,1),TIMEVALUE(R252))&gt;=IF(ISNUMBER(O252),MOD(O252,1),TIMEVALUE(O252)),(IF(ISNUMBER(R252),MOD(R252,1),TIMEVALUE(R252))-IF(ISNUMBER(O252),MOD(O252,1),TIMEVALUE(O252)))*1440,(IF(ISNUMBER(R252),MOD(R252,1),TIMEVALUE(R252))+1-IF(ISNUMBER(O252),MOD(O252,1),TIMEVALUE(O252)))*1440)),"")</f>
        <v/>
      </c>
      <c r="AC252" s="26">
        <f>IFERROR(IF(OR(R252="",S252=""),"",IF(IF(ISNUMBER(S252),MOD(S252,1),TIMEVALUE(S252))&gt;=IF(ISNUMBER(R252),MOD(R252,1),TIMEVALUE(R252)),(IF(ISNUMBER(S252),MOD(S252,1),TIMEVALUE(S252))-IF(ISNUMBER(R252),MOD(R252,1),TIMEVALUE(R252)))*1440,(IF(ISNUMBER(S252),MOD(S252,1),TIMEVALUE(S252))+1-IF(ISNUMBER(R252),MOD(R252,1),TIMEVALUE(R252)))*1440)),"")</f>
        <v/>
      </c>
      <c r="AD252" s="29" t="n"/>
      <c r="AE252" s="26">
        <f>IFERROR(IF(OR(AC252="",AD252=""),"",AC252-AD252),"")</f>
        <v/>
      </c>
      <c r="AF252" s="27">
        <f>IFERROR(IF(AE252="","",IF(ROUND(AE252,0)&gt;15,"Subestimacion",IF(ROUND(AE252,0)&lt;-15,"Sobrestimacion","Asertivo"))),"")</f>
        <v/>
      </c>
      <c r="AG252" s="19" t="n"/>
      <c r="AH252" s="19" t="n"/>
      <c r="AI252" s="19" t="n"/>
      <c r="AJ252" s="19" t="n"/>
      <c r="AK252" s="19" t="n"/>
      <c r="AL252" s="19" t="n"/>
      <c r="AM252" s="19" t="n"/>
      <c r="AN252" s="19" t="n"/>
      <c r="AO252" s="19" t="n"/>
      <c r="AP252" s="127">
        <f>IF(A252="","",A252-WEEKDAY(A252,2)+1)</f>
        <v/>
      </c>
      <c r="AQ252" s="127">
        <f>IF(AO252="","",AO252+6)</f>
        <v/>
      </c>
      <c r="AR252" s="19">
        <f>IF(AO252="","","Semana "&amp;TEXT(AO252,"dd-mm-yyyy")&amp;" al "&amp;TEXT(AP252,"dd-mm-yyyy"))</f>
        <v/>
      </c>
      <c r="AS252" s="19">
        <f>IF(A252="","",TEXT(A252,"mmmm yyyy"))</f>
        <v/>
      </c>
      <c r="AT252" s="19">
        <f>IF(A252="","",TEXT(A252,"dddd"))</f>
        <v/>
      </c>
      <c r="AU252" s="19">
        <f>IF(A252="","","CRR-"&amp;TEXT(A252,"yyyymmdd")&amp;"-"&amp;M252&amp;"-"&amp;TEXT(ROW()-3,"0000"))</f>
        <v/>
      </c>
      <c r="AV252" s="19">
        <f>IF(A252="","",IF(OR(B252="",C252="",E252="",F252="",M252="",N252=""),"Revisar campos obligatorios",IF(AND(P252="Atraso primera hora",Q252=""),"Falta justificación atraso primera hora",IF(AND(Z252="No cumple",AA252=""),"Falta justificación recambio &gt;15 min",IF(AND(ISNUMBER(SEARCH("suspend",N252)),OR(AG252="",AH252="")),"Falta causa/motivo suspensión","OK")))))</f>
        <v/>
      </c>
      <c r="AW252" s="19">
        <f>IF(N252="","",IF(ISNUMBER(SEARCH("suspend",N252)),IF(AND(AG252="",AH252=""),"Sin causa/motivo registrado",IF(AG252="",AH252,IF(AH252="",AG252,AG252&amp;": "&amp;AH252))),""))</f>
        <v/>
      </c>
    </row>
    <row r="253" ht="16" customHeight="1" s="151">
      <c r="A253" s="62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20">
        <f>IF(H253&lt;&gt;"",IFERROR(VLOOKUP(IFERROR(LEFT(H253,FIND("-",H253)-1),H253),'Catalogo MINSAL'!A:E,5,FALSE),""),IF(I253&lt;&gt;"",IFERROR(VLOOKUP(IFERROR(LEFT(I253,FIND("-",I253)-1),I253),'Catalogo MINSAL'!A:E,5,FALSE),""),""))</f>
        <v/>
      </c>
      <c r="K253" s="19" t="n"/>
      <c r="L253" s="19" t="n"/>
      <c r="M253" s="19" t="n"/>
      <c r="N253" s="19" t="n"/>
      <c r="O253" s="25" t="n"/>
      <c r="P253" s="27">
        <f>IFERROR(IF(OR(O253="",A253="",M253=""),"",IF(SUMPRODUCT(($A$4:$A$500=A253)*($M$4:$M$500=M253)*($O$4:$O$500&lt;&gt;"")*(MOD($O$4:$O$500,1)&lt;MOD(O253,1)))=0,IF(MOD(O253,1)&lt;=TIME(8,15,0),"Ingreso adecuado primera hora","Atraso primera hora"),"No aplica")),"")</f>
        <v/>
      </c>
      <c r="Q253" s="27" t="n"/>
      <c r="R253" s="25" t="n"/>
      <c r="S253" s="25" t="n"/>
      <c r="T253" s="25" t="n"/>
      <c r="U253" s="25">
        <f>IFERROR(VLOOKUP(M253,'Horario Pabellones'!$A$4:$D$17,2,FALSE),"")</f>
        <v/>
      </c>
      <c r="V253" s="25">
        <f>IFERROR(VLOOKUP(M253,'Horario Pabellones'!$A$4:$D$17,3,FALSE),"")</f>
        <v/>
      </c>
      <c r="W253" s="99">
        <f>IFERROR(VLOOKUP(M253,'Horario Pabellones'!$A$4:$D$17,4,FALSE),"")</f>
        <v/>
      </c>
      <c r="X253" s="89">
        <f>IFERROR(IF(OR(A253="",M253="",W253=""),"",(((_xludf.AGGREGATE(14,6,MOD($S$4:$S$500,1)/(($A$4:$A$500=A253)*($M$4:$M$500=M253)*($R$4:$R$500&lt;&gt;"")*($S$4:$S$500&lt;&gt;"")),1)-_xludf.AGGREGATE(15,6,MOD($R$4:$R$500,1)/(($A$4:$A$500=A253)*($M$4:$M$500=M253)*($R$4:$R$500&lt;&gt;"")*($S$4:$S$500&lt;&gt;"")),1))*1440)/60)/(W253/60)),"")</f>
        <v/>
      </c>
      <c r="Y253" s="26">
        <f>IFERROR(IF(OR(O253="",A253="",M253=""),"",(IF(ISNUMBER(O253),MOD(O253,1),TIMEVALUE(O253))-LOOKUP(2,1/(($A$4:$A$500=A253)*($M$4:$M$500=M253)*($T$4:$T$500&lt;&gt;"")*($T$4:$T$500&lt;IF(ISNUMBER(O253),MOD(O253,1),TIMEVALUE(O253)))),$T$4:$T$500))*1440),"")</f>
        <v/>
      </c>
      <c r="Z253" s="27">
        <f>IFERROR(IF(Y253="","",IF(ROUND(Y253,0)&lt;=15,"Cumple","No cumple")),"")</f>
        <v/>
      </c>
      <c r="AA253" s="27" t="n"/>
      <c r="AB253" s="26">
        <f>IFERROR(IF(OR(O253="",R253=""),"",IF(IF(ISNUMBER(R253),MOD(R253,1),TIMEVALUE(R253))&gt;=IF(ISNUMBER(O253),MOD(O253,1),TIMEVALUE(O253)),(IF(ISNUMBER(R253),MOD(R253,1),TIMEVALUE(R253))-IF(ISNUMBER(O253),MOD(O253,1),TIMEVALUE(O253)))*1440,(IF(ISNUMBER(R253),MOD(R253,1),TIMEVALUE(R253))+1-IF(ISNUMBER(O253),MOD(O253,1),TIMEVALUE(O253)))*1440)),"")</f>
        <v/>
      </c>
      <c r="AC253" s="26">
        <f>IFERROR(IF(OR(R253="",S253=""),"",IF(IF(ISNUMBER(S253),MOD(S253,1),TIMEVALUE(S253))&gt;=IF(ISNUMBER(R253),MOD(R253,1),TIMEVALUE(R253)),(IF(ISNUMBER(S253),MOD(S253,1),TIMEVALUE(S253))-IF(ISNUMBER(R253),MOD(R253,1),TIMEVALUE(R253)))*1440,(IF(ISNUMBER(S253),MOD(S253,1),TIMEVALUE(S253))+1-IF(ISNUMBER(R253),MOD(R253,1),TIMEVALUE(R253)))*1440)),"")</f>
        <v/>
      </c>
      <c r="AD253" s="29" t="n"/>
      <c r="AE253" s="26">
        <f>IFERROR(IF(OR(AC253="",AD253=""),"",AC253-AD253),"")</f>
        <v/>
      </c>
      <c r="AF253" s="27">
        <f>IFERROR(IF(AE253="","",IF(ROUND(AE253,0)&gt;15,"Subestimacion",IF(ROUND(AE253,0)&lt;-15,"Sobrestimacion","Asertivo"))),"")</f>
        <v/>
      </c>
      <c r="AG253" s="19" t="n"/>
      <c r="AH253" s="19" t="n"/>
      <c r="AI253" s="19" t="n"/>
      <c r="AJ253" s="19" t="n"/>
      <c r="AK253" s="19" t="n"/>
      <c r="AL253" s="19" t="n"/>
      <c r="AM253" s="19" t="n"/>
      <c r="AN253" s="19" t="n"/>
      <c r="AO253" s="19" t="n"/>
      <c r="AP253" s="127">
        <f>IF(A253="","",A253-WEEKDAY(A253,2)+1)</f>
        <v/>
      </c>
      <c r="AQ253" s="127">
        <f>IF(AO253="","",AO253+6)</f>
        <v/>
      </c>
      <c r="AR253" s="19">
        <f>IF(AO253="","","Semana "&amp;TEXT(AO253,"dd-mm-yyyy")&amp;" al "&amp;TEXT(AP253,"dd-mm-yyyy"))</f>
        <v/>
      </c>
      <c r="AS253" s="19">
        <f>IF(A253="","",TEXT(A253,"mmmm yyyy"))</f>
        <v/>
      </c>
      <c r="AT253" s="19">
        <f>IF(A253="","",TEXT(A253,"dddd"))</f>
        <v/>
      </c>
      <c r="AU253" s="19">
        <f>IF(A253="","","CRR-"&amp;TEXT(A253,"yyyymmdd")&amp;"-"&amp;M253&amp;"-"&amp;TEXT(ROW()-3,"0000"))</f>
        <v/>
      </c>
      <c r="AV253" s="19">
        <f>IF(A253="","",IF(OR(B253="",C253="",E253="",F253="",M253="",N253=""),"Revisar campos obligatorios",IF(AND(P253="Atraso primera hora",Q253=""),"Falta justificación atraso primera hora",IF(AND(Z253="No cumple",AA253=""),"Falta justificación recambio &gt;15 min",IF(AND(ISNUMBER(SEARCH("suspend",N253)),OR(AG253="",AH253="")),"Falta causa/motivo suspensión","OK")))))</f>
        <v/>
      </c>
      <c r="AW253" s="19">
        <f>IF(N253="","",IF(ISNUMBER(SEARCH("suspend",N253)),IF(AND(AG253="",AH253=""),"Sin causa/motivo registrado",IF(AG253="",AH253,IF(AH253="",AG253,AG253&amp;": "&amp;AH253))),""))</f>
        <v/>
      </c>
    </row>
    <row r="254" ht="16" customHeight="1" s="151">
      <c r="A254" s="62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20">
        <f>IF(H254&lt;&gt;"",IFERROR(VLOOKUP(IFERROR(LEFT(H254,FIND("-",H254)-1),H254),'Catalogo MINSAL'!A:E,5,FALSE),""),IF(I254&lt;&gt;"",IFERROR(VLOOKUP(IFERROR(LEFT(I254,FIND("-",I254)-1),I254),'Catalogo MINSAL'!A:E,5,FALSE),""),""))</f>
        <v/>
      </c>
      <c r="K254" s="19" t="n"/>
      <c r="L254" s="19" t="n"/>
      <c r="M254" s="19" t="n"/>
      <c r="N254" s="19" t="n"/>
      <c r="O254" s="25" t="n"/>
      <c r="P254" s="27">
        <f>IFERROR(IF(OR(O254="",A254="",M254=""),"",IF(SUMPRODUCT(($A$4:$A$500=A254)*($M$4:$M$500=M254)*($O$4:$O$500&lt;&gt;"")*(MOD($O$4:$O$500,1)&lt;MOD(O254,1)))=0,IF(MOD(O254,1)&lt;=TIME(8,15,0),"Ingreso adecuado primera hora","Atraso primera hora"),"No aplica")),"")</f>
        <v/>
      </c>
      <c r="Q254" s="27" t="n"/>
      <c r="R254" s="25" t="n"/>
      <c r="S254" s="25" t="n"/>
      <c r="T254" s="25" t="n"/>
      <c r="U254" s="25">
        <f>IFERROR(VLOOKUP(M254,'Horario Pabellones'!$A$4:$D$17,2,FALSE),"")</f>
        <v/>
      </c>
      <c r="V254" s="25">
        <f>IFERROR(VLOOKUP(M254,'Horario Pabellones'!$A$4:$D$17,3,FALSE),"")</f>
        <v/>
      </c>
      <c r="W254" s="99">
        <f>IFERROR(VLOOKUP(M254,'Horario Pabellones'!$A$4:$D$17,4,FALSE),"")</f>
        <v/>
      </c>
      <c r="X254" s="89">
        <f>IFERROR(IF(OR(A254="",M254="",W254=""),"",(((_xludf.AGGREGATE(14,6,MOD($S$4:$S$500,1)/(($A$4:$A$500=A254)*($M$4:$M$500=M254)*($R$4:$R$500&lt;&gt;"")*($S$4:$S$500&lt;&gt;"")),1)-_xludf.AGGREGATE(15,6,MOD($R$4:$R$500,1)/(($A$4:$A$500=A254)*($M$4:$M$500=M254)*($R$4:$R$500&lt;&gt;"")*($S$4:$S$500&lt;&gt;"")),1))*1440)/60)/(W254/60)),"")</f>
        <v/>
      </c>
      <c r="Y254" s="26">
        <f>IFERROR(IF(OR(O254="",A254="",M254=""),"",(IF(ISNUMBER(O254),MOD(O254,1),TIMEVALUE(O254))-LOOKUP(2,1/(($A$4:$A$500=A254)*($M$4:$M$500=M254)*($T$4:$T$500&lt;&gt;"")*($T$4:$T$500&lt;IF(ISNUMBER(O254),MOD(O254,1),TIMEVALUE(O254)))),$T$4:$T$500))*1440),"")</f>
        <v/>
      </c>
      <c r="Z254" s="27">
        <f>IFERROR(IF(Y254="","",IF(ROUND(Y254,0)&lt;=15,"Cumple","No cumple")),"")</f>
        <v/>
      </c>
      <c r="AA254" s="27" t="n"/>
      <c r="AB254" s="26">
        <f>IFERROR(IF(OR(O254="",R254=""),"",IF(IF(ISNUMBER(R254),MOD(R254,1),TIMEVALUE(R254))&gt;=IF(ISNUMBER(O254),MOD(O254,1),TIMEVALUE(O254)),(IF(ISNUMBER(R254),MOD(R254,1),TIMEVALUE(R254))-IF(ISNUMBER(O254),MOD(O254,1),TIMEVALUE(O254)))*1440,(IF(ISNUMBER(R254),MOD(R254,1),TIMEVALUE(R254))+1-IF(ISNUMBER(O254),MOD(O254,1),TIMEVALUE(O254)))*1440)),"")</f>
        <v/>
      </c>
      <c r="AC254" s="26">
        <f>IFERROR(IF(OR(R254="",S254=""),"",IF(IF(ISNUMBER(S254),MOD(S254,1),TIMEVALUE(S254))&gt;=IF(ISNUMBER(R254),MOD(R254,1),TIMEVALUE(R254)),(IF(ISNUMBER(S254),MOD(S254,1),TIMEVALUE(S254))-IF(ISNUMBER(R254),MOD(R254,1),TIMEVALUE(R254)))*1440,(IF(ISNUMBER(S254),MOD(S254,1),TIMEVALUE(S254))+1-IF(ISNUMBER(R254),MOD(R254,1),TIMEVALUE(R254)))*1440)),"")</f>
        <v/>
      </c>
      <c r="AD254" s="29" t="n"/>
      <c r="AE254" s="26">
        <f>IFERROR(IF(OR(AC254="",AD254=""),"",AC254-AD254),"")</f>
        <v/>
      </c>
      <c r="AF254" s="27">
        <f>IFERROR(IF(AE254="","",IF(ROUND(AE254,0)&gt;15,"Subestimacion",IF(ROUND(AE254,0)&lt;-15,"Sobrestimacion","Asertivo"))),"")</f>
        <v/>
      </c>
      <c r="AG254" s="19" t="n"/>
      <c r="AH254" s="19" t="n"/>
      <c r="AI254" s="19" t="n"/>
      <c r="AJ254" s="19" t="n"/>
      <c r="AK254" s="19" t="n"/>
      <c r="AL254" s="19" t="n"/>
      <c r="AM254" s="19" t="n"/>
      <c r="AN254" s="19" t="n"/>
      <c r="AO254" s="19" t="n"/>
      <c r="AP254" s="127">
        <f>IF(A254="","",A254-WEEKDAY(A254,2)+1)</f>
        <v/>
      </c>
      <c r="AQ254" s="127">
        <f>IF(AO254="","",AO254+6)</f>
        <v/>
      </c>
      <c r="AR254" s="19">
        <f>IF(AO254="","","Semana "&amp;TEXT(AO254,"dd-mm-yyyy")&amp;" al "&amp;TEXT(AP254,"dd-mm-yyyy"))</f>
        <v/>
      </c>
      <c r="AS254" s="19">
        <f>IF(A254="","",TEXT(A254,"mmmm yyyy"))</f>
        <v/>
      </c>
      <c r="AT254" s="19">
        <f>IF(A254="","",TEXT(A254,"dddd"))</f>
        <v/>
      </c>
      <c r="AU254" s="19">
        <f>IF(A254="","","CRR-"&amp;TEXT(A254,"yyyymmdd")&amp;"-"&amp;M254&amp;"-"&amp;TEXT(ROW()-3,"0000"))</f>
        <v/>
      </c>
      <c r="AV254" s="19">
        <f>IF(A254="","",IF(OR(B254="",C254="",E254="",F254="",M254="",N254=""),"Revisar campos obligatorios",IF(AND(P254="Atraso primera hora",Q254=""),"Falta justificación atraso primera hora",IF(AND(Z254="No cumple",AA254=""),"Falta justificación recambio &gt;15 min",IF(AND(ISNUMBER(SEARCH("suspend",N254)),OR(AG254="",AH254="")),"Falta causa/motivo suspensión","OK")))))</f>
        <v/>
      </c>
      <c r="AW254" s="19">
        <f>IF(N254="","",IF(ISNUMBER(SEARCH("suspend",N254)),IF(AND(AG254="",AH254=""),"Sin causa/motivo registrado",IF(AG254="",AH254,IF(AH254="",AG254,AG254&amp;": "&amp;AH254))),""))</f>
        <v/>
      </c>
    </row>
    <row r="255" ht="16" customHeight="1" s="151">
      <c r="A255" s="62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20">
        <f>IF(H255&lt;&gt;"",IFERROR(VLOOKUP(IFERROR(LEFT(H255,FIND("-",H255)-1),H255),'Catalogo MINSAL'!A:E,5,FALSE),""),IF(I255&lt;&gt;"",IFERROR(VLOOKUP(IFERROR(LEFT(I255,FIND("-",I255)-1),I255),'Catalogo MINSAL'!A:E,5,FALSE),""),""))</f>
        <v/>
      </c>
      <c r="K255" s="19" t="n"/>
      <c r="L255" s="19" t="n"/>
      <c r="M255" s="19" t="n"/>
      <c r="N255" s="19" t="n"/>
      <c r="O255" s="25" t="n"/>
      <c r="P255" s="27">
        <f>IFERROR(IF(OR(O255="",A255="",M255=""),"",IF(SUMPRODUCT(($A$4:$A$500=A255)*($M$4:$M$500=M255)*($O$4:$O$500&lt;&gt;"")*(MOD($O$4:$O$500,1)&lt;MOD(O255,1)))=0,IF(MOD(O255,1)&lt;=TIME(8,15,0),"Ingreso adecuado primera hora","Atraso primera hora"),"No aplica")),"")</f>
        <v/>
      </c>
      <c r="Q255" s="27" t="n"/>
      <c r="R255" s="25" t="n"/>
      <c r="S255" s="25" t="n"/>
      <c r="T255" s="25" t="n"/>
      <c r="U255" s="25">
        <f>IFERROR(VLOOKUP(M255,'Horario Pabellones'!$A$4:$D$17,2,FALSE),"")</f>
        <v/>
      </c>
      <c r="V255" s="25">
        <f>IFERROR(VLOOKUP(M255,'Horario Pabellones'!$A$4:$D$17,3,FALSE),"")</f>
        <v/>
      </c>
      <c r="W255" s="99">
        <f>IFERROR(VLOOKUP(M255,'Horario Pabellones'!$A$4:$D$17,4,FALSE),"")</f>
        <v/>
      </c>
      <c r="X255" s="89">
        <f>IFERROR(IF(OR(A255="",M255="",W255=""),"",(((_xludf.AGGREGATE(14,6,MOD($S$4:$S$500,1)/(($A$4:$A$500=A255)*($M$4:$M$500=M255)*($R$4:$R$500&lt;&gt;"")*($S$4:$S$500&lt;&gt;"")),1)-_xludf.AGGREGATE(15,6,MOD($R$4:$R$500,1)/(($A$4:$A$500=A255)*($M$4:$M$500=M255)*($R$4:$R$500&lt;&gt;"")*($S$4:$S$500&lt;&gt;"")),1))*1440)/60)/(W255/60)),"")</f>
        <v/>
      </c>
      <c r="Y255" s="26">
        <f>IFERROR(IF(OR(O255="",A255="",M255=""),"",(IF(ISNUMBER(O255),MOD(O255,1),TIMEVALUE(O255))-LOOKUP(2,1/(($A$4:$A$500=A255)*($M$4:$M$500=M255)*($T$4:$T$500&lt;&gt;"")*($T$4:$T$500&lt;IF(ISNUMBER(O255),MOD(O255,1),TIMEVALUE(O255)))),$T$4:$T$500))*1440),"")</f>
        <v/>
      </c>
      <c r="Z255" s="27">
        <f>IFERROR(IF(Y255="","",IF(ROUND(Y255,0)&lt;=15,"Cumple","No cumple")),"")</f>
        <v/>
      </c>
      <c r="AA255" s="27" t="n"/>
      <c r="AB255" s="26">
        <f>IFERROR(IF(OR(O255="",R255=""),"",IF(IF(ISNUMBER(R255),MOD(R255,1),TIMEVALUE(R255))&gt;=IF(ISNUMBER(O255),MOD(O255,1),TIMEVALUE(O255)),(IF(ISNUMBER(R255),MOD(R255,1),TIMEVALUE(R255))-IF(ISNUMBER(O255),MOD(O255,1),TIMEVALUE(O255)))*1440,(IF(ISNUMBER(R255),MOD(R255,1),TIMEVALUE(R255))+1-IF(ISNUMBER(O255),MOD(O255,1),TIMEVALUE(O255)))*1440)),"")</f>
        <v/>
      </c>
      <c r="AC255" s="26">
        <f>IFERROR(IF(OR(R255="",S255=""),"",IF(IF(ISNUMBER(S255),MOD(S255,1),TIMEVALUE(S255))&gt;=IF(ISNUMBER(R255),MOD(R255,1),TIMEVALUE(R255)),(IF(ISNUMBER(S255),MOD(S255,1),TIMEVALUE(S255))-IF(ISNUMBER(R255),MOD(R255,1),TIMEVALUE(R255)))*1440,(IF(ISNUMBER(S255),MOD(S255,1),TIMEVALUE(S255))+1-IF(ISNUMBER(R255),MOD(R255,1),TIMEVALUE(R255)))*1440)),"")</f>
        <v/>
      </c>
      <c r="AD255" s="29" t="n"/>
      <c r="AE255" s="26">
        <f>IFERROR(IF(OR(AC255="",AD255=""),"",AC255-AD255),"")</f>
        <v/>
      </c>
      <c r="AF255" s="27">
        <f>IFERROR(IF(AE255="","",IF(ROUND(AE255,0)&gt;15,"Subestimacion",IF(ROUND(AE255,0)&lt;-15,"Sobrestimacion","Asertivo"))),"")</f>
        <v/>
      </c>
      <c r="AG255" s="19" t="n"/>
      <c r="AH255" s="19" t="n"/>
      <c r="AI255" s="19" t="n"/>
      <c r="AJ255" s="19" t="n"/>
      <c r="AK255" s="19" t="n"/>
      <c r="AL255" s="19" t="n"/>
      <c r="AM255" s="19" t="n"/>
      <c r="AN255" s="19" t="n"/>
      <c r="AO255" s="19" t="n"/>
      <c r="AP255" s="127">
        <f>IF(A255="","",A255-WEEKDAY(A255,2)+1)</f>
        <v/>
      </c>
      <c r="AQ255" s="127">
        <f>IF(AO255="","",AO255+6)</f>
        <v/>
      </c>
      <c r="AR255" s="19">
        <f>IF(AO255="","","Semana "&amp;TEXT(AO255,"dd-mm-yyyy")&amp;" al "&amp;TEXT(AP255,"dd-mm-yyyy"))</f>
        <v/>
      </c>
      <c r="AS255" s="19">
        <f>IF(A255="","",TEXT(A255,"mmmm yyyy"))</f>
        <v/>
      </c>
      <c r="AT255" s="19">
        <f>IF(A255="","",TEXT(A255,"dddd"))</f>
        <v/>
      </c>
      <c r="AU255" s="19">
        <f>IF(A255="","","CRR-"&amp;TEXT(A255,"yyyymmdd")&amp;"-"&amp;M255&amp;"-"&amp;TEXT(ROW()-3,"0000"))</f>
        <v/>
      </c>
      <c r="AV255" s="19">
        <f>IF(A255="","",IF(OR(B255="",C255="",E255="",F255="",M255="",N255=""),"Revisar campos obligatorios",IF(AND(P255="Atraso primera hora",Q255=""),"Falta justificación atraso primera hora",IF(AND(Z255="No cumple",AA255=""),"Falta justificación recambio &gt;15 min",IF(AND(ISNUMBER(SEARCH("suspend",N255)),OR(AG255="",AH255="")),"Falta causa/motivo suspensión","OK")))))</f>
        <v/>
      </c>
      <c r="AW255" s="19">
        <f>IF(N255="","",IF(ISNUMBER(SEARCH("suspend",N255)),IF(AND(AG255="",AH255=""),"Sin causa/motivo registrado",IF(AG255="",AH255,IF(AH255="",AG255,AG255&amp;": "&amp;AH255))),""))</f>
        <v/>
      </c>
    </row>
    <row r="256" ht="16" customHeight="1" s="151">
      <c r="A256" s="62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20">
        <f>IF(H256&lt;&gt;"",IFERROR(VLOOKUP(IFERROR(LEFT(H256,FIND("-",H256)-1),H256),'Catalogo MINSAL'!A:E,5,FALSE),""),IF(I256&lt;&gt;"",IFERROR(VLOOKUP(IFERROR(LEFT(I256,FIND("-",I256)-1),I256),'Catalogo MINSAL'!A:E,5,FALSE),""),""))</f>
        <v/>
      </c>
      <c r="K256" s="19" t="n"/>
      <c r="L256" s="19" t="n"/>
      <c r="M256" s="19" t="n"/>
      <c r="N256" s="19" t="n"/>
      <c r="O256" s="25" t="n"/>
      <c r="P256" s="27">
        <f>IFERROR(IF(OR(O256="",A256="",M256=""),"",IF(SUMPRODUCT(($A$4:$A$500=A256)*($M$4:$M$500=M256)*($O$4:$O$500&lt;&gt;"")*(MOD($O$4:$O$500,1)&lt;MOD(O256,1)))=0,IF(MOD(O256,1)&lt;=TIME(8,15,0),"Ingreso adecuado primera hora","Atraso primera hora"),"No aplica")),"")</f>
        <v/>
      </c>
      <c r="Q256" s="27" t="n"/>
      <c r="R256" s="25" t="n"/>
      <c r="S256" s="25" t="n"/>
      <c r="T256" s="25" t="n"/>
      <c r="U256" s="25">
        <f>IFERROR(VLOOKUP(M256,'Horario Pabellones'!$A$4:$D$17,2,FALSE),"")</f>
        <v/>
      </c>
      <c r="V256" s="25">
        <f>IFERROR(VLOOKUP(M256,'Horario Pabellones'!$A$4:$D$17,3,FALSE),"")</f>
        <v/>
      </c>
      <c r="W256" s="99">
        <f>IFERROR(VLOOKUP(M256,'Horario Pabellones'!$A$4:$D$17,4,FALSE),"")</f>
        <v/>
      </c>
      <c r="X256" s="89">
        <f>IFERROR(IF(OR(A256="",M256="",W256=""),"",(((_xludf.AGGREGATE(14,6,MOD($S$4:$S$500,1)/(($A$4:$A$500=A256)*($M$4:$M$500=M256)*($R$4:$R$500&lt;&gt;"")*($S$4:$S$500&lt;&gt;"")),1)-_xludf.AGGREGATE(15,6,MOD($R$4:$R$500,1)/(($A$4:$A$500=A256)*($M$4:$M$500=M256)*($R$4:$R$500&lt;&gt;"")*($S$4:$S$500&lt;&gt;"")),1))*1440)/60)/(W256/60)),"")</f>
        <v/>
      </c>
      <c r="Y256" s="26">
        <f>IFERROR(IF(OR(O256="",A256="",M256=""),"",(IF(ISNUMBER(O256),MOD(O256,1),TIMEVALUE(O256))-LOOKUP(2,1/(($A$4:$A$500=A256)*($M$4:$M$500=M256)*($T$4:$T$500&lt;&gt;"")*($T$4:$T$500&lt;IF(ISNUMBER(O256),MOD(O256,1),TIMEVALUE(O256)))),$T$4:$T$500))*1440),"")</f>
        <v/>
      </c>
      <c r="Z256" s="27">
        <f>IFERROR(IF(Y256="","",IF(ROUND(Y256,0)&lt;=15,"Cumple","No cumple")),"")</f>
        <v/>
      </c>
      <c r="AA256" s="27" t="n"/>
      <c r="AB256" s="26">
        <f>IFERROR(IF(OR(O256="",R256=""),"",IF(IF(ISNUMBER(R256),MOD(R256,1),TIMEVALUE(R256))&gt;=IF(ISNUMBER(O256),MOD(O256,1),TIMEVALUE(O256)),(IF(ISNUMBER(R256),MOD(R256,1),TIMEVALUE(R256))-IF(ISNUMBER(O256),MOD(O256,1),TIMEVALUE(O256)))*1440,(IF(ISNUMBER(R256),MOD(R256,1),TIMEVALUE(R256))+1-IF(ISNUMBER(O256),MOD(O256,1),TIMEVALUE(O256)))*1440)),"")</f>
        <v/>
      </c>
      <c r="AC256" s="26">
        <f>IFERROR(IF(OR(R256="",S256=""),"",IF(IF(ISNUMBER(S256),MOD(S256,1),TIMEVALUE(S256))&gt;=IF(ISNUMBER(R256),MOD(R256,1),TIMEVALUE(R256)),(IF(ISNUMBER(S256),MOD(S256,1),TIMEVALUE(S256))-IF(ISNUMBER(R256),MOD(R256,1),TIMEVALUE(R256)))*1440,(IF(ISNUMBER(S256),MOD(S256,1),TIMEVALUE(S256))+1-IF(ISNUMBER(R256),MOD(R256,1),TIMEVALUE(R256)))*1440)),"")</f>
        <v/>
      </c>
      <c r="AD256" s="29" t="n"/>
      <c r="AE256" s="26">
        <f>IFERROR(IF(OR(AC256="",AD256=""),"",AC256-AD256),"")</f>
        <v/>
      </c>
      <c r="AF256" s="27">
        <f>IFERROR(IF(AE256="","",IF(ROUND(AE256,0)&gt;15,"Subestimacion",IF(ROUND(AE256,0)&lt;-15,"Sobrestimacion","Asertivo"))),"")</f>
        <v/>
      </c>
      <c r="AG256" s="19" t="n"/>
      <c r="AH256" s="19" t="n"/>
      <c r="AI256" s="19" t="n"/>
      <c r="AJ256" s="19" t="n"/>
      <c r="AK256" s="19" t="n"/>
      <c r="AL256" s="19" t="n"/>
      <c r="AM256" s="19" t="n"/>
      <c r="AN256" s="19" t="n"/>
      <c r="AO256" s="19" t="n"/>
      <c r="AP256" s="127">
        <f>IF(A256="","",A256-WEEKDAY(A256,2)+1)</f>
        <v/>
      </c>
      <c r="AQ256" s="127">
        <f>IF(AO256="","",AO256+6)</f>
        <v/>
      </c>
      <c r="AR256" s="19">
        <f>IF(AO256="","","Semana "&amp;TEXT(AO256,"dd-mm-yyyy")&amp;" al "&amp;TEXT(AP256,"dd-mm-yyyy"))</f>
        <v/>
      </c>
      <c r="AS256" s="19">
        <f>IF(A256="","",TEXT(A256,"mmmm yyyy"))</f>
        <v/>
      </c>
      <c r="AT256" s="19">
        <f>IF(A256="","",TEXT(A256,"dddd"))</f>
        <v/>
      </c>
      <c r="AU256" s="19">
        <f>IF(A256="","","CRR-"&amp;TEXT(A256,"yyyymmdd")&amp;"-"&amp;M256&amp;"-"&amp;TEXT(ROW()-3,"0000"))</f>
        <v/>
      </c>
      <c r="AV256" s="19">
        <f>IF(A256="","",IF(OR(B256="",C256="",E256="",F256="",M256="",N256=""),"Revisar campos obligatorios",IF(AND(P256="Atraso primera hora",Q256=""),"Falta justificación atraso primera hora",IF(AND(Z256="No cumple",AA256=""),"Falta justificación recambio &gt;15 min",IF(AND(ISNUMBER(SEARCH("suspend",N256)),OR(AG256="",AH256="")),"Falta causa/motivo suspensión","OK")))))</f>
        <v/>
      </c>
      <c r="AW256" s="19">
        <f>IF(N256="","",IF(ISNUMBER(SEARCH("suspend",N256)),IF(AND(AG256="",AH256=""),"Sin causa/motivo registrado",IF(AG256="",AH256,IF(AH256="",AG256,AG256&amp;": "&amp;AH256))),""))</f>
        <v/>
      </c>
    </row>
    <row r="257" ht="16" customHeight="1" s="151">
      <c r="A257" s="62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20">
        <f>IF(H257&lt;&gt;"",IFERROR(VLOOKUP(IFERROR(LEFT(H257,FIND("-",H257)-1),H257),'Catalogo MINSAL'!A:E,5,FALSE),""),IF(I257&lt;&gt;"",IFERROR(VLOOKUP(IFERROR(LEFT(I257,FIND("-",I257)-1),I257),'Catalogo MINSAL'!A:E,5,FALSE),""),""))</f>
        <v/>
      </c>
      <c r="K257" s="19" t="n"/>
      <c r="L257" s="19" t="n"/>
      <c r="M257" s="19" t="n"/>
      <c r="N257" s="19" t="n"/>
      <c r="O257" s="25" t="n"/>
      <c r="P257" s="27">
        <f>IFERROR(IF(OR(O257="",A257="",M257=""),"",IF(SUMPRODUCT(($A$4:$A$500=A257)*($M$4:$M$500=M257)*($O$4:$O$500&lt;&gt;"")*(MOD($O$4:$O$500,1)&lt;MOD(O257,1)))=0,IF(MOD(O257,1)&lt;=TIME(8,15,0),"Ingreso adecuado primera hora","Atraso primera hora"),"No aplica")),"")</f>
        <v/>
      </c>
      <c r="Q257" s="27" t="n"/>
      <c r="R257" s="25" t="n"/>
      <c r="S257" s="25" t="n"/>
      <c r="T257" s="25" t="n"/>
      <c r="U257" s="25">
        <f>IFERROR(VLOOKUP(M257,'Horario Pabellones'!$A$4:$D$17,2,FALSE),"")</f>
        <v/>
      </c>
      <c r="V257" s="25">
        <f>IFERROR(VLOOKUP(M257,'Horario Pabellones'!$A$4:$D$17,3,FALSE),"")</f>
        <v/>
      </c>
      <c r="W257" s="99">
        <f>IFERROR(VLOOKUP(M257,'Horario Pabellones'!$A$4:$D$17,4,FALSE),"")</f>
        <v/>
      </c>
      <c r="X257" s="89">
        <f>IFERROR(IF(OR(A257="",M257="",W257=""),"",(((_xludf.AGGREGATE(14,6,MOD($S$4:$S$500,1)/(($A$4:$A$500=A257)*($M$4:$M$500=M257)*($R$4:$R$500&lt;&gt;"")*($S$4:$S$500&lt;&gt;"")),1)-_xludf.AGGREGATE(15,6,MOD($R$4:$R$500,1)/(($A$4:$A$500=A257)*($M$4:$M$500=M257)*($R$4:$R$500&lt;&gt;"")*($S$4:$S$500&lt;&gt;"")),1))*1440)/60)/(W257/60)),"")</f>
        <v/>
      </c>
      <c r="Y257" s="26">
        <f>IFERROR(IF(OR(O257="",A257="",M257=""),"",(IF(ISNUMBER(O257),MOD(O257,1),TIMEVALUE(O257))-LOOKUP(2,1/(($A$4:$A$500=A257)*($M$4:$M$500=M257)*($T$4:$T$500&lt;&gt;"")*($T$4:$T$500&lt;IF(ISNUMBER(O257),MOD(O257,1),TIMEVALUE(O257)))),$T$4:$T$500))*1440),"")</f>
        <v/>
      </c>
      <c r="Z257" s="27">
        <f>IFERROR(IF(Y257="","",IF(ROUND(Y257,0)&lt;=15,"Cumple","No cumple")),"")</f>
        <v/>
      </c>
      <c r="AA257" s="27" t="n"/>
      <c r="AB257" s="26">
        <f>IFERROR(IF(OR(O257="",R257=""),"",IF(IF(ISNUMBER(R257),MOD(R257,1),TIMEVALUE(R257))&gt;=IF(ISNUMBER(O257),MOD(O257,1),TIMEVALUE(O257)),(IF(ISNUMBER(R257),MOD(R257,1),TIMEVALUE(R257))-IF(ISNUMBER(O257),MOD(O257,1),TIMEVALUE(O257)))*1440,(IF(ISNUMBER(R257),MOD(R257,1),TIMEVALUE(R257))+1-IF(ISNUMBER(O257),MOD(O257,1),TIMEVALUE(O257)))*1440)),"")</f>
        <v/>
      </c>
      <c r="AC257" s="26">
        <f>IFERROR(IF(OR(R257="",S257=""),"",IF(IF(ISNUMBER(S257),MOD(S257,1),TIMEVALUE(S257))&gt;=IF(ISNUMBER(R257),MOD(R257,1),TIMEVALUE(R257)),(IF(ISNUMBER(S257),MOD(S257,1),TIMEVALUE(S257))-IF(ISNUMBER(R257),MOD(R257,1),TIMEVALUE(R257)))*1440,(IF(ISNUMBER(S257),MOD(S257,1),TIMEVALUE(S257))+1-IF(ISNUMBER(R257),MOD(R257,1),TIMEVALUE(R257)))*1440)),"")</f>
        <v/>
      </c>
      <c r="AD257" s="29" t="n"/>
      <c r="AE257" s="26">
        <f>IFERROR(IF(OR(AC257="",AD257=""),"",AC257-AD257),"")</f>
        <v/>
      </c>
      <c r="AF257" s="27">
        <f>IFERROR(IF(AE257="","",IF(ROUND(AE257,0)&gt;15,"Subestimacion",IF(ROUND(AE257,0)&lt;-15,"Sobrestimacion","Asertivo"))),"")</f>
        <v/>
      </c>
      <c r="AG257" s="19" t="n"/>
      <c r="AH257" s="19" t="n"/>
      <c r="AI257" s="19" t="n"/>
      <c r="AJ257" s="19" t="n"/>
      <c r="AK257" s="19" t="n"/>
      <c r="AL257" s="19" t="n"/>
      <c r="AM257" s="19" t="n"/>
      <c r="AN257" s="19" t="n"/>
      <c r="AO257" s="19" t="n"/>
      <c r="AP257" s="127">
        <f>IF(A257="","",A257-WEEKDAY(A257,2)+1)</f>
        <v/>
      </c>
      <c r="AQ257" s="127">
        <f>IF(AO257="","",AO257+6)</f>
        <v/>
      </c>
      <c r="AR257" s="19">
        <f>IF(AO257="","","Semana "&amp;TEXT(AO257,"dd-mm-yyyy")&amp;" al "&amp;TEXT(AP257,"dd-mm-yyyy"))</f>
        <v/>
      </c>
      <c r="AS257" s="19">
        <f>IF(A257="","",TEXT(A257,"mmmm yyyy"))</f>
        <v/>
      </c>
      <c r="AT257" s="19">
        <f>IF(A257="","",TEXT(A257,"dddd"))</f>
        <v/>
      </c>
      <c r="AU257" s="19">
        <f>IF(A257="","","CRR-"&amp;TEXT(A257,"yyyymmdd")&amp;"-"&amp;M257&amp;"-"&amp;TEXT(ROW()-3,"0000"))</f>
        <v/>
      </c>
      <c r="AV257" s="19">
        <f>IF(A257="","",IF(OR(B257="",C257="",E257="",F257="",M257="",N257=""),"Revisar campos obligatorios",IF(AND(P257="Atraso primera hora",Q257=""),"Falta justificación atraso primera hora",IF(AND(Z257="No cumple",AA257=""),"Falta justificación recambio &gt;15 min",IF(AND(ISNUMBER(SEARCH("suspend",N257)),OR(AG257="",AH257="")),"Falta causa/motivo suspensión","OK")))))</f>
        <v/>
      </c>
      <c r="AW257" s="19">
        <f>IF(N257="","",IF(ISNUMBER(SEARCH("suspend",N257)),IF(AND(AG257="",AH257=""),"Sin causa/motivo registrado",IF(AG257="",AH257,IF(AH257="",AG257,AG257&amp;": "&amp;AH257))),""))</f>
        <v/>
      </c>
    </row>
    <row r="258" ht="16" customHeight="1" s="151">
      <c r="A258" s="62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20">
        <f>IF(H258&lt;&gt;"",IFERROR(VLOOKUP(IFERROR(LEFT(H258,FIND("-",H258)-1),H258),'Catalogo MINSAL'!A:E,5,FALSE),""),IF(I258&lt;&gt;"",IFERROR(VLOOKUP(IFERROR(LEFT(I258,FIND("-",I258)-1),I258),'Catalogo MINSAL'!A:E,5,FALSE),""),""))</f>
        <v/>
      </c>
      <c r="K258" s="19" t="n"/>
      <c r="L258" s="19" t="n"/>
      <c r="M258" s="19" t="n"/>
      <c r="N258" s="19" t="n"/>
      <c r="O258" s="25" t="n"/>
      <c r="P258" s="27">
        <f>IFERROR(IF(OR(O258="",A258="",M258=""),"",IF(SUMPRODUCT(($A$4:$A$500=A258)*($M$4:$M$500=M258)*($O$4:$O$500&lt;&gt;"")*(MOD($O$4:$O$500,1)&lt;MOD(O258,1)))=0,IF(MOD(O258,1)&lt;=TIME(8,15,0),"Ingreso adecuado primera hora","Atraso primera hora"),"No aplica")),"")</f>
        <v/>
      </c>
      <c r="Q258" s="27" t="n"/>
      <c r="R258" s="25" t="n"/>
      <c r="S258" s="25" t="n"/>
      <c r="T258" s="25" t="n"/>
      <c r="U258" s="25">
        <f>IFERROR(VLOOKUP(M258,'Horario Pabellones'!$A$4:$D$17,2,FALSE),"")</f>
        <v/>
      </c>
      <c r="V258" s="25">
        <f>IFERROR(VLOOKUP(M258,'Horario Pabellones'!$A$4:$D$17,3,FALSE),"")</f>
        <v/>
      </c>
      <c r="W258" s="99">
        <f>IFERROR(VLOOKUP(M258,'Horario Pabellones'!$A$4:$D$17,4,FALSE),"")</f>
        <v/>
      </c>
      <c r="X258" s="89">
        <f>IFERROR(IF(OR(A258="",M258="",W258=""),"",(((_xludf.AGGREGATE(14,6,MOD($S$4:$S$500,1)/(($A$4:$A$500=A258)*($M$4:$M$500=M258)*($R$4:$R$500&lt;&gt;"")*($S$4:$S$500&lt;&gt;"")),1)-_xludf.AGGREGATE(15,6,MOD($R$4:$R$500,1)/(($A$4:$A$500=A258)*($M$4:$M$500=M258)*($R$4:$R$500&lt;&gt;"")*($S$4:$S$500&lt;&gt;"")),1))*1440)/60)/(W258/60)),"")</f>
        <v/>
      </c>
      <c r="Y258" s="26">
        <f>IFERROR(IF(OR(O258="",A258="",M258=""),"",(IF(ISNUMBER(O258),MOD(O258,1),TIMEVALUE(O258))-LOOKUP(2,1/(($A$4:$A$500=A258)*($M$4:$M$500=M258)*($T$4:$T$500&lt;&gt;"")*($T$4:$T$500&lt;IF(ISNUMBER(O258),MOD(O258,1),TIMEVALUE(O258)))),$T$4:$T$500))*1440),"")</f>
        <v/>
      </c>
      <c r="Z258" s="27">
        <f>IFERROR(IF(Y258="","",IF(ROUND(Y258,0)&lt;=15,"Cumple","No cumple")),"")</f>
        <v/>
      </c>
      <c r="AA258" s="27" t="n"/>
      <c r="AB258" s="26">
        <f>IFERROR(IF(OR(O258="",R258=""),"",IF(IF(ISNUMBER(R258),MOD(R258,1),TIMEVALUE(R258))&gt;=IF(ISNUMBER(O258),MOD(O258,1),TIMEVALUE(O258)),(IF(ISNUMBER(R258),MOD(R258,1),TIMEVALUE(R258))-IF(ISNUMBER(O258),MOD(O258,1),TIMEVALUE(O258)))*1440,(IF(ISNUMBER(R258),MOD(R258,1),TIMEVALUE(R258))+1-IF(ISNUMBER(O258),MOD(O258,1),TIMEVALUE(O258)))*1440)),"")</f>
        <v/>
      </c>
      <c r="AC258" s="26">
        <f>IFERROR(IF(OR(R258="",S258=""),"",IF(IF(ISNUMBER(S258),MOD(S258,1),TIMEVALUE(S258))&gt;=IF(ISNUMBER(R258),MOD(R258,1),TIMEVALUE(R258)),(IF(ISNUMBER(S258),MOD(S258,1),TIMEVALUE(S258))-IF(ISNUMBER(R258),MOD(R258,1),TIMEVALUE(R258)))*1440,(IF(ISNUMBER(S258),MOD(S258,1),TIMEVALUE(S258))+1-IF(ISNUMBER(R258),MOD(R258,1),TIMEVALUE(R258)))*1440)),"")</f>
        <v/>
      </c>
      <c r="AD258" s="29" t="n"/>
      <c r="AE258" s="26">
        <f>IFERROR(IF(OR(AC258="",AD258=""),"",AC258-AD258),"")</f>
        <v/>
      </c>
      <c r="AF258" s="27">
        <f>IFERROR(IF(AE258="","",IF(ROUND(AE258,0)&gt;15,"Subestimacion",IF(ROUND(AE258,0)&lt;-15,"Sobrestimacion","Asertivo"))),"")</f>
        <v/>
      </c>
      <c r="AG258" s="19" t="n"/>
      <c r="AH258" s="19" t="n"/>
      <c r="AI258" s="19" t="n"/>
      <c r="AJ258" s="19" t="n"/>
      <c r="AK258" s="19" t="n"/>
      <c r="AL258" s="19" t="n"/>
      <c r="AM258" s="19" t="n"/>
      <c r="AN258" s="19" t="n"/>
      <c r="AO258" s="19" t="n"/>
      <c r="AP258" s="127">
        <f>IF(A258="","",A258-WEEKDAY(A258,2)+1)</f>
        <v/>
      </c>
      <c r="AQ258" s="127">
        <f>IF(AO258="","",AO258+6)</f>
        <v/>
      </c>
      <c r="AR258" s="19">
        <f>IF(AO258="","","Semana "&amp;TEXT(AO258,"dd-mm-yyyy")&amp;" al "&amp;TEXT(AP258,"dd-mm-yyyy"))</f>
        <v/>
      </c>
      <c r="AS258" s="19">
        <f>IF(A258="","",TEXT(A258,"mmmm yyyy"))</f>
        <v/>
      </c>
      <c r="AT258" s="19">
        <f>IF(A258="","",TEXT(A258,"dddd"))</f>
        <v/>
      </c>
      <c r="AU258" s="19">
        <f>IF(A258="","","CRR-"&amp;TEXT(A258,"yyyymmdd")&amp;"-"&amp;M258&amp;"-"&amp;TEXT(ROW()-3,"0000"))</f>
        <v/>
      </c>
      <c r="AV258" s="19">
        <f>IF(A258="","",IF(OR(B258="",C258="",E258="",F258="",M258="",N258=""),"Revisar campos obligatorios",IF(AND(P258="Atraso primera hora",Q258=""),"Falta justificación atraso primera hora",IF(AND(Z258="No cumple",AA258=""),"Falta justificación recambio &gt;15 min",IF(AND(ISNUMBER(SEARCH("suspend",N258)),OR(AG258="",AH258="")),"Falta causa/motivo suspensión","OK")))))</f>
        <v/>
      </c>
      <c r="AW258" s="19">
        <f>IF(N258="","",IF(ISNUMBER(SEARCH("suspend",N258)),IF(AND(AG258="",AH258=""),"Sin causa/motivo registrado",IF(AG258="",AH258,IF(AH258="",AG258,AG258&amp;": "&amp;AH258))),""))</f>
        <v/>
      </c>
    </row>
    <row r="259" ht="16" customHeight="1" s="151">
      <c r="A259" s="62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20">
        <f>IF(H259&lt;&gt;"",IFERROR(VLOOKUP(IFERROR(LEFT(H259,FIND("-",H259)-1),H259),'Catalogo MINSAL'!A:E,5,FALSE),""),IF(I259&lt;&gt;"",IFERROR(VLOOKUP(IFERROR(LEFT(I259,FIND("-",I259)-1),I259),'Catalogo MINSAL'!A:E,5,FALSE),""),""))</f>
        <v/>
      </c>
      <c r="K259" s="19" t="n"/>
      <c r="L259" s="19" t="n"/>
      <c r="M259" s="19" t="n"/>
      <c r="N259" s="19" t="n"/>
      <c r="O259" s="25" t="n"/>
      <c r="P259" s="27">
        <f>IFERROR(IF(OR(O259="",A259="",M259=""),"",IF(SUMPRODUCT(($A$4:$A$500=A259)*($M$4:$M$500=M259)*($O$4:$O$500&lt;&gt;"")*(MOD($O$4:$O$500,1)&lt;MOD(O259,1)))=0,IF(MOD(O259,1)&lt;=TIME(8,15,0),"Ingreso adecuado primera hora","Atraso primera hora"),"No aplica")),"")</f>
        <v/>
      </c>
      <c r="Q259" s="27" t="n"/>
      <c r="R259" s="25" t="n"/>
      <c r="S259" s="25" t="n"/>
      <c r="T259" s="25" t="n"/>
      <c r="U259" s="25">
        <f>IFERROR(VLOOKUP(M259,'Horario Pabellones'!$A$4:$D$17,2,FALSE),"")</f>
        <v/>
      </c>
      <c r="V259" s="25">
        <f>IFERROR(VLOOKUP(M259,'Horario Pabellones'!$A$4:$D$17,3,FALSE),"")</f>
        <v/>
      </c>
      <c r="W259" s="99">
        <f>IFERROR(VLOOKUP(M259,'Horario Pabellones'!$A$4:$D$17,4,FALSE),"")</f>
        <v/>
      </c>
      <c r="X259" s="89">
        <f>IFERROR(IF(OR(A259="",M259="",W259=""),"",(((_xludf.AGGREGATE(14,6,MOD($S$4:$S$500,1)/(($A$4:$A$500=A259)*($M$4:$M$500=M259)*($R$4:$R$500&lt;&gt;"")*($S$4:$S$500&lt;&gt;"")),1)-_xludf.AGGREGATE(15,6,MOD($R$4:$R$500,1)/(($A$4:$A$500=A259)*($M$4:$M$500=M259)*($R$4:$R$500&lt;&gt;"")*($S$4:$S$500&lt;&gt;"")),1))*1440)/60)/(W259/60)),"")</f>
        <v/>
      </c>
      <c r="Y259" s="26">
        <f>IFERROR(IF(OR(O259="",A259="",M259=""),"",(IF(ISNUMBER(O259),MOD(O259,1),TIMEVALUE(O259))-LOOKUP(2,1/(($A$4:$A$500=A259)*($M$4:$M$500=M259)*($T$4:$T$500&lt;&gt;"")*($T$4:$T$500&lt;IF(ISNUMBER(O259),MOD(O259,1),TIMEVALUE(O259)))),$T$4:$T$500))*1440),"")</f>
        <v/>
      </c>
      <c r="Z259" s="27">
        <f>IFERROR(IF(Y259="","",IF(ROUND(Y259,0)&lt;=15,"Cumple","No cumple")),"")</f>
        <v/>
      </c>
      <c r="AA259" s="27" t="n"/>
      <c r="AB259" s="26">
        <f>IFERROR(IF(OR(O259="",R259=""),"",IF(IF(ISNUMBER(R259),MOD(R259,1),TIMEVALUE(R259))&gt;=IF(ISNUMBER(O259),MOD(O259,1),TIMEVALUE(O259)),(IF(ISNUMBER(R259),MOD(R259,1),TIMEVALUE(R259))-IF(ISNUMBER(O259),MOD(O259,1),TIMEVALUE(O259)))*1440,(IF(ISNUMBER(R259),MOD(R259,1),TIMEVALUE(R259))+1-IF(ISNUMBER(O259),MOD(O259,1),TIMEVALUE(O259)))*1440)),"")</f>
        <v/>
      </c>
      <c r="AC259" s="26">
        <f>IFERROR(IF(OR(R259="",S259=""),"",IF(IF(ISNUMBER(S259),MOD(S259,1),TIMEVALUE(S259))&gt;=IF(ISNUMBER(R259),MOD(R259,1),TIMEVALUE(R259)),(IF(ISNUMBER(S259),MOD(S259,1),TIMEVALUE(S259))-IF(ISNUMBER(R259),MOD(R259,1),TIMEVALUE(R259)))*1440,(IF(ISNUMBER(S259),MOD(S259,1),TIMEVALUE(S259))+1-IF(ISNUMBER(R259),MOD(R259,1),TIMEVALUE(R259)))*1440)),"")</f>
        <v/>
      </c>
      <c r="AD259" s="29" t="n"/>
      <c r="AE259" s="26">
        <f>IFERROR(IF(OR(AC259="",AD259=""),"",AC259-AD259),"")</f>
        <v/>
      </c>
      <c r="AF259" s="27">
        <f>IFERROR(IF(AE259="","",IF(ROUND(AE259,0)&gt;15,"Subestimacion",IF(ROUND(AE259,0)&lt;-15,"Sobrestimacion","Asertivo"))),"")</f>
        <v/>
      </c>
      <c r="AG259" s="19" t="n"/>
      <c r="AH259" s="19" t="n"/>
      <c r="AI259" s="19" t="n"/>
      <c r="AJ259" s="19" t="n"/>
      <c r="AK259" s="19" t="n"/>
      <c r="AL259" s="19" t="n"/>
      <c r="AM259" s="19" t="n"/>
      <c r="AN259" s="19" t="n"/>
      <c r="AO259" s="19" t="n"/>
      <c r="AP259" s="127">
        <f>IF(A259="","",A259-WEEKDAY(A259,2)+1)</f>
        <v/>
      </c>
      <c r="AQ259" s="127">
        <f>IF(AO259="","",AO259+6)</f>
        <v/>
      </c>
      <c r="AR259" s="19">
        <f>IF(AO259="","","Semana "&amp;TEXT(AO259,"dd-mm-yyyy")&amp;" al "&amp;TEXT(AP259,"dd-mm-yyyy"))</f>
        <v/>
      </c>
      <c r="AS259" s="19">
        <f>IF(A259="","",TEXT(A259,"mmmm yyyy"))</f>
        <v/>
      </c>
      <c r="AT259" s="19">
        <f>IF(A259="","",TEXT(A259,"dddd"))</f>
        <v/>
      </c>
      <c r="AU259" s="19">
        <f>IF(A259="","","CRR-"&amp;TEXT(A259,"yyyymmdd")&amp;"-"&amp;M259&amp;"-"&amp;TEXT(ROW()-3,"0000"))</f>
        <v/>
      </c>
      <c r="AV259" s="19">
        <f>IF(A259="","",IF(OR(B259="",C259="",E259="",F259="",M259="",N259=""),"Revisar campos obligatorios",IF(AND(P259="Atraso primera hora",Q259=""),"Falta justificación atraso primera hora",IF(AND(Z259="No cumple",AA259=""),"Falta justificación recambio &gt;15 min",IF(AND(ISNUMBER(SEARCH("suspend",N259)),OR(AG259="",AH259="")),"Falta causa/motivo suspensión","OK")))))</f>
        <v/>
      </c>
      <c r="AW259" s="19">
        <f>IF(N259="","",IF(ISNUMBER(SEARCH("suspend",N259)),IF(AND(AG259="",AH259=""),"Sin causa/motivo registrado",IF(AG259="",AH259,IF(AH259="",AG259,AG259&amp;": "&amp;AH259))),""))</f>
        <v/>
      </c>
    </row>
    <row r="260" ht="16" customHeight="1" s="151">
      <c r="A260" s="62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20">
        <f>IF(H260&lt;&gt;"",IFERROR(VLOOKUP(IFERROR(LEFT(H260,FIND("-",H260)-1),H260),'Catalogo MINSAL'!A:E,5,FALSE),""),IF(I260&lt;&gt;"",IFERROR(VLOOKUP(IFERROR(LEFT(I260,FIND("-",I260)-1),I260),'Catalogo MINSAL'!A:E,5,FALSE),""),""))</f>
        <v/>
      </c>
      <c r="K260" s="19" t="n"/>
      <c r="L260" s="19" t="n"/>
      <c r="M260" s="19" t="n"/>
      <c r="N260" s="19" t="n"/>
      <c r="O260" s="25" t="n"/>
      <c r="P260" s="27">
        <f>IFERROR(IF(OR(O260="",A260="",M260=""),"",IF(SUMPRODUCT(($A$4:$A$500=A260)*($M$4:$M$500=M260)*($O$4:$O$500&lt;&gt;"")*(MOD($O$4:$O$500,1)&lt;MOD(O260,1)))=0,IF(MOD(O260,1)&lt;=TIME(8,15,0),"Ingreso adecuado primera hora","Atraso primera hora"),"No aplica")),"")</f>
        <v/>
      </c>
      <c r="Q260" s="27" t="n"/>
      <c r="R260" s="25" t="n"/>
      <c r="S260" s="25" t="n"/>
      <c r="T260" s="25" t="n"/>
      <c r="U260" s="25">
        <f>IFERROR(VLOOKUP(M260,'Horario Pabellones'!$A$4:$D$17,2,FALSE),"")</f>
        <v/>
      </c>
      <c r="V260" s="25">
        <f>IFERROR(VLOOKUP(M260,'Horario Pabellones'!$A$4:$D$17,3,FALSE),"")</f>
        <v/>
      </c>
      <c r="W260" s="99">
        <f>IFERROR(VLOOKUP(M260,'Horario Pabellones'!$A$4:$D$17,4,FALSE),"")</f>
        <v/>
      </c>
      <c r="X260" s="89">
        <f>IFERROR(IF(OR(A260="",M260="",W260=""),"",(((_xludf.AGGREGATE(14,6,MOD($S$4:$S$500,1)/(($A$4:$A$500=A260)*($M$4:$M$500=M260)*($R$4:$R$500&lt;&gt;"")*($S$4:$S$500&lt;&gt;"")),1)-_xludf.AGGREGATE(15,6,MOD($R$4:$R$500,1)/(($A$4:$A$500=A260)*($M$4:$M$500=M260)*($R$4:$R$500&lt;&gt;"")*($S$4:$S$500&lt;&gt;"")),1))*1440)/60)/(W260/60)),"")</f>
        <v/>
      </c>
      <c r="Y260" s="26">
        <f>IFERROR(IF(OR(O260="",A260="",M260=""),"",(IF(ISNUMBER(O260),MOD(O260,1),TIMEVALUE(O260))-LOOKUP(2,1/(($A$4:$A$500=A260)*($M$4:$M$500=M260)*($T$4:$T$500&lt;&gt;"")*($T$4:$T$500&lt;IF(ISNUMBER(O260),MOD(O260,1),TIMEVALUE(O260)))),$T$4:$T$500))*1440),"")</f>
        <v/>
      </c>
      <c r="Z260" s="27">
        <f>IFERROR(IF(Y260="","",IF(ROUND(Y260,0)&lt;=15,"Cumple","No cumple")),"")</f>
        <v/>
      </c>
      <c r="AA260" s="27" t="n"/>
      <c r="AB260" s="26">
        <f>IFERROR(IF(OR(O260="",R260=""),"",IF(IF(ISNUMBER(R260),MOD(R260,1),TIMEVALUE(R260))&gt;=IF(ISNUMBER(O260),MOD(O260,1),TIMEVALUE(O260)),(IF(ISNUMBER(R260),MOD(R260,1),TIMEVALUE(R260))-IF(ISNUMBER(O260),MOD(O260,1),TIMEVALUE(O260)))*1440,(IF(ISNUMBER(R260),MOD(R260,1),TIMEVALUE(R260))+1-IF(ISNUMBER(O260),MOD(O260,1),TIMEVALUE(O260)))*1440)),"")</f>
        <v/>
      </c>
      <c r="AC260" s="26">
        <f>IFERROR(IF(OR(R260="",S260=""),"",IF(IF(ISNUMBER(S260),MOD(S260,1),TIMEVALUE(S260))&gt;=IF(ISNUMBER(R260),MOD(R260,1),TIMEVALUE(R260)),(IF(ISNUMBER(S260),MOD(S260,1),TIMEVALUE(S260))-IF(ISNUMBER(R260),MOD(R260,1),TIMEVALUE(R260)))*1440,(IF(ISNUMBER(S260),MOD(S260,1),TIMEVALUE(S260))+1-IF(ISNUMBER(R260),MOD(R260,1),TIMEVALUE(R260)))*1440)),"")</f>
        <v/>
      </c>
      <c r="AD260" s="29" t="n"/>
      <c r="AE260" s="26">
        <f>IFERROR(IF(OR(AC260="",AD260=""),"",AC260-AD260),"")</f>
        <v/>
      </c>
      <c r="AF260" s="27">
        <f>IFERROR(IF(AE260="","",IF(ROUND(AE260,0)&gt;15,"Subestimacion",IF(ROUND(AE260,0)&lt;-15,"Sobrestimacion","Asertivo"))),"")</f>
        <v/>
      </c>
      <c r="AG260" s="19" t="n"/>
      <c r="AH260" s="19" t="n"/>
      <c r="AI260" s="19" t="n"/>
      <c r="AJ260" s="19" t="n"/>
      <c r="AK260" s="19" t="n"/>
      <c r="AL260" s="19" t="n"/>
      <c r="AM260" s="19" t="n"/>
      <c r="AN260" s="19" t="n"/>
      <c r="AO260" s="19" t="n"/>
      <c r="AP260" s="127">
        <f>IF(A260="","",A260-WEEKDAY(A260,2)+1)</f>
        <v/>
      </c>
      <c r="AQ260" s="127">
        <f>IF(AO260="","",AO260+6)</f>
        <v/>
      </c>
      <c r="AR260" s="19">
        <f>IF(AO260="","","Semana "&amp;TEXT(AO260,"dd-mm-yyyy")&amp;" al "&amp;TEXT(AP260,"dd-mm-yyyy"))</f>
        <v/>
      </c>
      <c r="AS260" s="19">
        <f>IF(A260="","",TEXT(A260,"mmmm yyyy"))</f>
        <v/>
      </c>
      <c r="AT260" s="19">
        <f>IF(A260="","",TEXT(A260,"dddd"))</f>
        <v/>
      </c>
      <c r="AU260" s="19">
        <f>IF(A260="","","CRR-"&amp;TEXT(A260,"yyyymmdd")&amp;"-"&amp;M260&amp;"-"&amp;TEXT(ROW()-3,"0000"))</f>
        <v/>
      </c>
      <c r="AV260" s="19">
        <f>IF(A260="","",IF(OR(B260="",C260="",E260="",F260="",M260="",N260=""),"Revisar campos obligatorios",IF(AND(P260="Atraso primera hora",Q260=""),"Falta justificación atraso primera hora",IF(AND(Z260="No cumple",AA260=""),"Falta justificación recambio &gt;15 min",IF(AND(ISNUMBER(SEARCH("suspend",N260)),OR(AG260="",AH260="")),"Falta causa/motivo suspensión","OK")))))</f>
        <v/>
      </c>
      <c r="AW260" s="19">
        <f>IF(N260="","",IF(ISNUMBER(SEARCH("suspend",N260)),IF(AND(AG260="",AH260=""),"Sin causa/motivo registrado",IF(AG260="",AH260,IF(AH260="",AG260,AG260&amp;": "&amp;AH260))),""))</f>
        <v/>
      </c>
    </row>
    <row r="261" ht="16" customHeight="1" s="151">
      <c r="A261" s="62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20">
        <f>IF(H261&lt;&gt;"",IFERROR(VLOOKUP(IFERROR(LEFT(H261,FIND("-",H261)-1),H261),'Catalogo MINSAL'!A:E,5,FALSE),""),IF(I261&lt;&gt;"",IFERROR(VLOOKUP(IFERROR(LEFT(I261,FIND("-",I261)-1),I261),'Catalogo MINSAL'!A:E,5,FALSE),""),""))</f>
        <v/>
      </c>
      <c r="K261" s="19" t="n"/>
      <c r="L261" s="19" t="n"/>
      <c r="M261" s="19" t="n"/>
      <c r="N261" s="19" t="n"/>
      <c r="O261" s="25" t="n"/>
      <c r="P261" s="27">
        <f>IFERROR(IF(OR(O261="",A261="",M261=""),"",IF(SUMPRODUCT(($A$4:$A$500=A261)*($M$4:$M$500=M261)*($O$4:$O$500&lt;&gt;"")*(MOD($O$4:$O$500,1)&lt;MOD(O261,1)))=0,IF(MOD(O261,1)&lt;=TIME(8,15,0),"Ingreso adecuado primera hora","Atraso primera hora"),"No aplica")),"")</f>
        <v/>
      </c>
      <c r="Q261" s="27" t="n"/>
      <c r="R261" s="25" t="n"/>
      <c r="S261" s="25" t="n"/>
      <c r="T261" s="25" t="n"/>
      <c r="U261" s="25">
        <f>IFERROR(VLOOKUP(M261,'Horario Pabellones'!$A$4:$D$17,2,FALSE),"")</f>
        <v/>
      </c>
      <c r="V261" s="25">
        <f>IFERROR(VLOOKUP(M261,'Horario Pabellones'!$A$4:$D$17,3,FALSE),"")</f>
        <v/>
      </c>
      <c r="W261" s="99">
        <f>IFERROR(VLOOKUP(M261,'Horario Pabellones'!$A$4:$D$17,4,FALSE),"")</f>
        <v/>
      </c>
      <c r="X261" s="89">
        <f>IFERROR(IF(OR(A261="",M261="",W261=""),"",(((_xludf.AGGREGATE(14,6,MOD($S$4:$S$500,1)/(($A$4:$A$500=A261)*($M$4:$M$500=M261)*($R$4:$R$500&lt;&gt;"")*($S$4:$S$500&lt;&gt;"")),1)-_xludf.AGGREGATE(15,6,MOD($R$4:$R$500,1)/(($A$4:$A$500=A261)*($M$4:$M$500=M261)*($R$4:$R$500&lt;&gt;"")*($S$4:$S$500&lt;&gt;"")),1))*1440)/60)/(W261/60)),"")</f>
        <v/>
      </c>
      <c r="Y261" s="26">
        <f>IFERROR(IF(OR(O261="",A261="",M261=""),"",(IF(ISNUMBER(O261),MOD(O261,1),TIMEVALUE(O261))-LOOKUP(2,1/(($A$4:$A$500=A261)*($M$4:$M$500=M261)*($T$4:$T$500&lt;&gt;"")*($T$4:$T$500&lt;IF(ISNUMBER(O261),MOD(O261,1),TIMEVALUE(O261)))),$T$4:$T$500))*1440),"")</f>
        <v/>
      </c>
      <c r="Z261" s="27">
        <f>IFERROR(IF(Y261="","",IF(ROUND(Y261,0)&lt;=15,"Cumple","No cumple")),"")</f>
        <v/>
      </c>
      <c r="AA261" s="27" t="n"/>
      <c r="AB261" s="26">
        <f>IFERROR(IF(OR(O261="",R261=""),"",IF(IF(ISNUMBER(R261),MOD(R261,1),TIMEVALUE(R261))&gt;=IF(ISNUMBER(O261),MOD(O261,1),TIMEVALUE(O261)),(IF(ISNUMBER(R261),MOD(R261,1),TIMEVALUE(R261))-IF(ISNUMBER(O261),MOD(O261,1),TIMEVALUE(O261)))*1440,(IF(ISNUMBER(R261),MOD(R261,1),TIMEVALUE(R261))+1-IF(ISNUMBER(O261),MOD(O261,1),TIMEVALUE(O261)))*1440)),"")</f>
        <v/>
      </c>
      <c r="AC261" s="26">
        <f>IFERROR(IF(OR(R261="",S261=""),"",IF(IF(ISNUMBER(S261),MOD(S261,1),TIMEVALUE(S261))&gt;=IF(ISNUMBER(R261),MOD(R261,1),TIMEVALUE(R261)),(IF(ISNUMBER(S261),MOD(S261,1),TIMEVALUE(S261))-IF(ISNUMBER(R261),MOD(R261,1),TIMEVALUE(R261)))*1440,(IF(ISNUMBER(S261),MOD(S261,1),TIMEVALUE(S261))+1-IF(ISNUMBER(R261),MOD(R261,1),TIMEVALUE(R261)))*1440)),"")</f>
        <v/>
      </c>
      <c r="AD261" s="29" t="n"/>
      <c r="AE261" s="26">
        <f>IFERROR(IF(OR(AC261="",AD261=""),"",AC261-AD261),"")</f>
        <v/>
      </c>
      <c r="AF261" s="27">
        <f>IFERROR(IF(AE261="","",IF(ROUND(AE261,0)&gt;15,"Subestimacion",IF(ROUND(AE261,0)&lt;-15,"Sobrestimacion","Asertivo"))),"")</f>
        <v/>
      </c>
      <c r="AG261" s="19" t="n"/>
      <c r="AH261" s="19" t="n"/>
      <c r="AI261" s="19" t="n"/>
      <c r="AJ261" s="19" t="n"/>
      <c r="AK261" s="19" t="n"/>
      <c r="AL261" s="19" t="n"/>
      <c r="AM261" s="19" t="n"/>
      <c r="AN261" s="19" t="n"/>
      <c r="AO261" s="19" t="n"/>
      <c r="AP261" s="127">
        <f>IF(A261="","",A261-WEEKDAY(A261,2)+1)</f>
        <v/>
      </c>
      <c r="AQ261" s="127">
        <f>IF(AO261="","",AO261+6)</f>
        <v/>
      </c>
      <c r="AR261" s="19">
        <f>IF(AO261="","","Semana "&amp;TEXT(AO261,"dd-mm-yyyy")&amp;" al "&amp;TEXT(AP261,"dd-mm-yyyy"))</f>
        <v/>
      </c>
      <c r="AS261" s="19">
        <f>IF(A261="","",TEXT(A261,"mmmm yyyy"))</f>
        <v/>
      </c>
      <c r="AT261" s="19">
        <f>IF(A261="","",TEXT(A261,"dddd"))</f>
        <v/>
      </c>
      <c r="AU261" s="19">
        <f>IF(A261="","","CRR-"&amp;TEXT(A261,"yyyymmdd")&amp;"-"&amp;M261&amp;"-"&amp;TEXT(ROW()-3,"0000"))</f>
        <v/>
      </c>
      <c r="AV261" s="19">
        <f>IF(A261="","",IF(OR(B261="",C261="",E261="",F261="",M261="",N261=""),"Revisar campos obligatorios",IF(AND(P261="Atraso primera hora",Q261=""),"Falta justificación atraso primera hora",IF(AND(Z261="No cumple",AA261=""),"Falta justificación recambio &gt;15 min",IF(AND(ISNUMBER(SEARCH("suspend",N261)),OR(AG261="",AH261="")),"Falta causa/motivo suspensión","OK")))))</f>
        <v/>
      </c>
      <c r="AW261" s="19">
        <f>IF(N261="","",IF(ISNUMBER(SEARCH("suspend",N261)),IF(AND(AG261="",AH261=""),"Sin causa/motivo registrado",IF(AG261="",AH261,IF(AH261="",AG261,AG261&amp;": "&amp;AH261))),""))</f>
        <v/>
      </c>
    </row>
    <row r="262" ht="16" customHeight="1" s="151">
      <c r="A262" s="62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20">
        <f>IF(H262&lt;&gt;"",IFERROR(VLOOKUP(IFERROR(LEFT(H262,FIND("-",H262)-1),H262),'Catalogo MINSAL'!A:E,5,FALSE),""),IF(I262&lt;&gt;"",IFERROR(VLOOKUP(IFERROR(LEFT(I262,FIND("-",I262)-1),I262),'Catalogo MINSAL'!A:E,5,FALSE),""),""))</f>
        <v/>
      </c>
      <c r="K262" s="19" t="n"/>
      <c r="L262" s="19" t="n"/>
      <c r="M262" s="19" t="n"/>
      <c r="N262" s="19" t="n"/>
      <c r="O262" s="25" t="n"/>
      <c r="P262" s="27">
        <f>IFERROR(IF(OR(O262="",A262="",M262=""),"",IF(SUMPRODUCT(($A$4:$A$500=A262)*($M$4:$M$500=M262)*($O$4:$O$500&lt;&gt;"")*(MOD($O$4:$O$500,1)&lt;MOD(O262,1)))=0,IF(MOD(O262,1)&lt;=TIME(8,15,0),"Ingreso adecuado primera hora","Atraso primera hora"),"No aplica")),"")</f>
        <v/>
      </c>
      <c r="Q262" s="27" t="n"/>
      <c r="R262" s="25" t="n"/>
      <c r="S262" s="25" t="n"/>
      <c r="T262" s="25" t="n"/>
      <c r="U262" s="25">
        <f>IFERROR(VLOOKUP(M262,'Horario Pabellones'!$A$4:$D$17,2,FALSE),"")</f>
        <v/>
      </c>
      <c r="V262" s="25">
        <f>IFERROR(VLOOKUP(M262,'Horario Pabellones'!$A$4:$D$17,3,FALSE),"")</f>
        <v/>
      </c>
      <c r="W262" s="99">
        <f>IFERROR(VLOOKUP(M262,'Horario Pabellones'!$A$4:$D$17,4,FALSE),"")</f>
        <v/>
      </c>
      <c r="X262" s="89">
        <f>IFERROR(IF(OR(A262="",M262="",W262=""),"",(((_xludf.AGGREGATE(14,6,MOD($S$4:$S$500,1)/(($A$4:$A$500=A262)*($M$4:$M$500=M262)*($R$4:$R$500&lt;&gt;"")*($S$4:$S$500&lt;&gt;"")),1)-_xludf.AGGREGATE(15,6,MOD($R$4:$R$500,1)/(($A$4:$A$500=A262)*($M$4:$M$500=M262)*($R$4:$R$500&lt;&gt;"")*($S$4:$S$500&lt;&gt;"")),1))*1440)/60)/(W262/60)),"")</f>
        <v/>
      </c>
      <c r="Y262" s="26">
        <f>IFERROR(IF(OR(O262="",A262="",M262=""),"",(IF(ISNUMBER(O262),MOD(O262,1),TIMEVALUE(O262))-LOOKUP(2,1/(($A$4:$A$500=A262)*($M$4:$M$500=M262)*($T$4:$T$500&lt;&gt;"")*($T$4:$T$500&lt;IF(ISNUMBER(O262),MOD(O262,1),TIMEVALUE(O262)))),$T$4:$T$500))*1440),"")</f>
        <v/>
      </c>
      <c r="Z262" s="27">
        <f>IFERROR(IF(Y262="","",IF(ROUND(Y262,0)&lt;=15,"Cumple","No cumple")),"")</f>
        <v/>
      </c>
      <c r="AA262" s="27" t="n"/>
      <c r="AB262" s="26">
        <f>IFERROR(IF(OR(O262="",R262=""),"",IF(IF(ISNUMBER(R262),MOD(R262,1),TIMEVALUE(R262))&gt;=IF(ISNUMBER(O262),MOD(O262,1),TIMEVALUE(O262)),(IF(ISNUMBER(R262),MOD(R262,1),TIMEVALUE(R262))-IF(ISNUMBER(O262),MOD(O262,1),TIMEVALUE(O262)))*1440,(IF(ISNUMBER(R262),MOD(R262,1),TIMEVALUE(R262))+1-IF(ISNUMBER(O262),MOD(O262,1),TIMEVALUE(O262)))*1440)),"")</f>
        <v/>
      </c>
      <c r="AC262" s="26">
        <f>IFERROR(IF(OR(R262="",S262=""),"",IF(IF(ISNUMBER(S262),MOD(S262,1),TIMEVALUE(S262))&gt;=IF(ISNUMBER(R262),MOD(R262,1),TIMEVALUE(R262)),(IF(ISNUMBER(S262),MOD(S262,1),TIMEVALUE(S262))-IF(ISNUMBER(R262),MOD(R262,1),TIMEVALUE(R262)))*1440,(IF(ISNUMBER(S262),MOD(S262,1),TIMEVALUE(S262))+1-IF(ISNUMBER(R262),MOD(R262,1),TIMEVALUE(R262)))*1440)),"")</f>
        <v/>
      </c>
      <c r="AD262" s="29" t="n"/>
      <c r="AE262" s="26">
        <f>IFERROR(IF(OR(AC262="",AD262=""),"",AC262-AD262),"")</f>
        <v/>
      </c>
      <c r="AF262" s="27">
        <f>IFERROR(IF(AE262="","",IF(ROUND(AE262,0)&gt;15,"Subestimacion",IF(ROUND(AE262,0)&lt;-15,"Sobrestimacion","Asertivo"))),"")</f>
        <v/>
      </c>
      <c r="AG262" s="19" t="n"/>
      <c r="AH262" s="19" t="n"/>
      <c r="AI262" s="19" t="n"/>
      <c r="AJ262" s="19" t="n"/>
      <c r="AK262" s="19" t="n"/>
      <c r="AL262" s="19" t="n"/>
      <c r="AM262" s="19" t="n"/>
      <c r="AN262" s="19" t="n"/>
      <c r="AO262" s="19" t="n"/>
      <c r="AP262" s="127">
        <f>IF(A262="","",A262-WEEKDAY(A262,2)+1)</f>
        <v/>
      </c>
      <c r="AQ262" s="127">
        <f>IF(AO262="","",AO262+6)</f>
        <v/>
      </c>
      <c r="AR262" s="19">
        <f>IF(AO262="","","Semana "&amp;TEXT(AO262,"dd-mm-yyyy")&amp;" al "&amp;TEXT(AP262,"dd-mm-yyyy"))</f>
        <v/>
      </c>
      <c r="AS262" s="19">
        <f>IF(A262="","",TEXT(A262,"mmmm yyyy"))</f>
        <v/>
      </c>
      <c r="AT262" s="19">
        <f>IF(A262="","",TEXT(A262,"dddd"))</f>
        <v/>
      </c>
      <c r="AU262" s="19">
        <f>IF(A262="","","CRR-"&amp;TEXT(A262,"yyyymmdd")&amp;"-"&amp;M262&amp;"-"&amp;TEXT(ROW()-3,"0000"))</f>
        <v/>
      </c>
      <c r="AV262" s="19">
        <f>IF(A262="","",IF(OR(B262="",C262="",E262="",F262="",M262="",N262=""),"Revisar campos obligatorios",IF(AND(P262="Atraso primera hora",Q262=""),"Falta justificación atraso primera hora",IF(AND(Z262="No cumple",AA262=""),"Falta justificación recambio &gt;15 min",IF(AND(ISNUMBER(SEARCH("suspend",N262)),OR(AG262="",AH262="")),"Falta causa/motivo suspensión","OK")))))</f>
        <v/>
      </c>
      <c r="AW262" s="19">
        <f>IF(N262="","",IF(ISNUMBER(SEARCH("suspend",N262)),IF(AND(AG262="",AH262=""),"Sin causa/motivo registrado",IF(AG262="",AH262,IF(AH262="",AG262,AG262&amp;": "&amp;AH262))),""))</f>
        <v/>
      </c>
    </row>
    <row r="263" ht="16" customHeight="1" s="151">
      <c r="A263" s="62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20">
        <f>IF(H263&lt;&gt;"",IFERROR(VLOOKUP(IFERROR(LEFT(H263,FIND("-",H263)-1),H263),'Catalogo MINSAL'!A:E,5,FALSE),""),IF(I263&lt;&gt;"",IFERROR(VLOOKUP(IFERROR(LEFT(I263,FIND("-",I263)-1),I263),'Catalogo MINSAL'!A:E,5,FALSE),""),""))</f>
        <v/>
      </c>
      <c r="K263" s="19" t="n"/>
      <c r="L263" s="19" t="n"/>
      <c r="M263" s="19" t="n"/>
      <c r="N263" s="19" t="n"/>
      <c r="O263" s="25" t="n"/>
      <c r="P263" s="27">
        <f>IFERROR(IF(OR(O263="",A263="",M263=""),"",IF(SUMPRODUCT(($A$4:$A$500=A263)*($M$4:$M$500=M263)*($O$4:$O$500&lt;&gt;"")*(MOD($O$4:$O$500,1)&lt;MOD(O263,1)))=0,IF(MOD(O263,1)&lt;=TIME(8,15,0),"Ingreso adecuado primera hora","Atraso primera hora"),"No aplica")),"")</f>
        <v/>
      </c>
      <c r="Q263" s="27" t="n"/>
      <c r="R263" s="25" t="n"/>
      <c r="S263" s="25" t="n"/>
      <c r="T263" s="25" t="n"/>
      <c r="U263" s="25">
        <f>IFERROR(VLOOKUP(M263,'Horario Pabellones'!$A$4:$D$17,2,FALSE),"")</f>
        <v/>
      </c>
      <c r="V263" s="25">
        <f>IFERROR(VLOOKUP(M263,'Horario Pabellones'!$A$4:$D$17,3,FALSE),"")</f>
        <v/>
      </c>
      <c r="W263" s="99">
        <f>IFERROR(VLOOKUP(M263,'Horario Pabellones'!$A$4:$D$17,4,FALSE),"")</f>
        <v/>
      </c>
      <c r="X263" s="89">
        <f>IFERROR(IF(OR(A263="",M263="",W263=""),"",(((_xludf.AGGREGATE(14,6,MOD($S$4:$S$500,1)/(($A$4:$A$500=A263)*($M$4:$M$500=M263)*($R$4:$R$500&lt;&gt;"")*($S$4:$S$500&lt;&gt;"")),1)-_xludf.AGGREGATE(15,6,MOD($R$4:$R$500,1)/(($A$4:$A$500=A263)*($M$4:$M$500=M263)*($R$4:$R$500&lt;&gt;"")*($S$4:$S$500&lt;&gt;"")),1))*1440)/60)/(W263/60)),"")</f>
        <v/>
      </c>
      <c r="Y263" s="26">
        <f>IFERROR(IF(OR(O263="",A263="",M263=""),"",(IF(ISNUMBER(O263),MOD(O263,1),TIMEVALUE(O263))-LOOKUP(2,1/(($A$4:$A$500=A263)*($M$4:$M$500=M263)*($T$4:$T$500&lt;&gt;"")*($T$4:$T$500&lt;IF(ISNUMBER(O263),MOD(O263,1),TIMEVALUE(O263)))),$T$4:$T$500))*1440),"")</f>
        <v/>
      </c>
      <c r="Z263" s="27">
        <f>IFERROR(IF(Y263="","",IF(ROUND(Y263,0)&lt;=15,"Cumple","No cumple")),"")</f>
        <v/>
      </c>
      <c r="AA263" s="27" t="n"/>
      <c r="AB263" s="26">
        <f>IFERROR(IF(OR(O263="",R263=""),"",IF(IF(ISNUMBER(R263),MOD(R263,1),TIMEVALUE(R263))&gt;=IF(ISNUMBER(O263),MOD(O263,1),TIMEVALUE(O263)),(IF(ISNUMBER(R263),MOD(R263,1),TIMEVALUE(R263))-IF(ISNUMBER(O263),MOD(O263,1),TIMEVALUE(O263)))*1440,(IF(ISNUMBER(R263),MOD(R263,1),TIMEVALUE(R263))+1-IF(ISNUMBER(O263),MOD(O263,1),TIMEVALUE(O263)))*1440)),"")</f>
        <v/>
      </c>
      <c r="AC263" s="26">
        <f>IFERROR(IF(OR(R263="",S263=""),"",IF(IF(ISNUMBER(S263),MOD(S263,1),TIMEVALUE(S263))&gt;=IF(ISNUMBER(R263),MOD(R263,1),TIMEVALUE(R263)),(IF(ISNUMBER(S263),MOD(S263,1),TIMEVALUE(S263))-IF(ISNUMBER(R263),MOD(R263,1),TIMEVALUE(R263)))*1440,(IF(ISNUMBER(S263),MOD(S263,1),TIMEVALUE(S263))+1-IF(ISNUMBER(R263),MOD(R263,1),TIMEVALUE(R263)))*1440)),"")</f>
        <v/>
      </c>
      <c r="AD263" s="29" t="n"/>
      <c r="AE263" s="26">
        <f>IFERROR(IF(OR(AC263="",AD263=""),"",AC263-AD263),"")</f>
        <v/>
      </c>
      <c r="AF263" s="27">
        <f>IFERROR(IF(AE263="","",IF(ROUND(AE263,0)&gt;15,"Subestimacion",IF(ROUND(AE263,0)&lt;-15,"Sobrestimacion","Asertivo"))),"")</f>
        <v/>
      </c>
      <c r="AG263" s="19" t="n"/>
      <c r="AH263" s="19" t="n"/>
      <c r="AI263" s="19" t="n"/>
      <c r="AJ263" s="19" t="n"/>
      <c r="AK263" s="19" t="n"/>
      <c r="AL263" s="19" t="n"/>
      <c r="AM263" s="19" t="n"/>
      <c r="AN263" s="19" t="n"/>
      <c r="AO263" s="19" t="n"/>
      <c r="AP263" s="127">
        <f>IF(A263="","",A263-WEEKDAY(A263,2)+1)</f>
        <v/>
      </c>
      <c r="AQ263" s="127">
        <f>IF(AO263="","",AO263+6)</f>
        <v/>
      </c>
      <c r="AR263" s="19">
        <f>IF(AO263="","","Semana "&amp;TEXT(AO263,"dd-mm-yyyy")&amp;" al "&amp;TEXT(AP263,"dd-mm-yyyy"))</f>
        <v/>
      </c>
      <c r="AS263" s="19">
        <f>IF(A263="","",TEXT(A263,"mmmm yyyy"))</f>
        <v/>
      </c>
      <c r="AT263" s="19">
        <f>IF(A263="","",TEXT(A263,"dddd"))</f>
        <v/>
      </c>
      <c r="AU263" s="19">
        <f>IF(A263="","","CRR-"&amp;TEXT(A263,"yyyymmdd")&amp;"-"&amp;M263&amp;"-"&amp;TEXT(ROW()-3,"0000"))</f>
        <v/>
      </c>
      <c r="AV263" s="19">
        <f>IF(A263="","",IF(OR(B263="",C263="",E263="",F263="",M263="",N263=""),"Revisar campos obligatorios",IF(AND(P263="Atraso primera hora",Q263=""),"Falta justificación atraso primera hora",IF(AND(Z263="No cumple",AA263=""),"Falta justificación recambio &gt;15 min",IF(AND(ISNUMBER(SEARCH("suspend",N263)),OR(AG263="",AH263="")),"Falta causa/motivo suspensión","OK")))))</f>
        <v/>
      </c>
      <c r="AW263" s="19">
        <f>IF(N263="","",IF(ISNUMBER(SEARCH("suspend",N263)),IF(AND(AG263="",AH263=""),"Sin causa/motivo registrado",IF(AG263="",AH263,IF(AH263="",AG263,AG263&amp;": "&amp;AH263))),""))</f>
        <v/>
      </c>
    </row>
    <row r="264" ht="16" customHeight="1" s="151">
      <c r="A264" s="62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20">
        <f>IF(H264&lt;&gt;"",IFERROR(VLOOKUP(IFERROR(LEFT(H264,FIND("-",H264)-1),H264),'Catalogo MINSAL'!A:E,5,FALSE),""),IF(I264&lt;&gt;"",IFERROR(VLOOKUP(IFERROR(LEFT(I264,FIND("-",I264)-1),I264),'Catalogo MINSAL'!A:E,5,FALSE),""),""))</f>
        <v/>
      </c>
      <c r="K264" s="19" t="n"/>
      <c r="L264" s="19" t="n"/>
      <c r="M264" s="19" t="n"/>
      <c r="N264" s="19" t="n"/>
      <c r="O264" s="25" t="n"/>
      <c r="P264" s="27">
        <f>IFERROR(IF(OR(O264="",A264="",M264=""),"",IF(SUMPRODUCT(($A$4:$A$500=A264)*($M$4:$M$500=M264)*($O$4:$O$500&lt;&gt;"")*(MOD($O$4:$O$500,1)&lt;MOD(O264,1)))=0,IF(MOD(O264,1)&lt;=TIME(8,15,0),"Ingreso adecuado primera hora","Atraso primera hora"),"No aplica")),"")</f>
        <v/>
      </c>
      <c r="Q264" s="27" t="n"/>
      <c r="R264" s="25" t="n"/>
      <c r="S264" s="25" t="n"/>
      <c r="T264" s="25" t="n"/>
      <c r="U264" s="25">
        <f>IFERROR(VLOOKUP(M264,'Horario Pabellones'!$A$4:$D$17,2,FALSE),"")</f>
        <v/>
      </c>
      <c r="V264" s="25">
        <f>IFERROR(VLOOKUP(M264,'Horario Pabellones'!$A$4:$D$17,3,FALSE),"")</f>
        <v/>
      </c>
      <c r="W264" s="99">
        <f>IFERROR(VLOOKUP(M264,'Horario Pabellones'!$A$4:$D$17,4,FALSE),"")</f>
        <v/>
      </c>
      <c r="X264" s="89">
        <f>IFERROR(IF(OR(A264="",M264="",W264=""),"",(((_xludf.AGGREGATE(14,6,MOD($S$4:$S$500,1)/(($A$4:$A$500=A264)*($M$4:$M$500=M264)*($R$4:$R$500&lt;&gt;"")*($S$4:$S$500&lt;&gt;"")),1)-_xludf.AGGREGATE(15,6,MOD($R$4:$R$500,1)/(($A$4:$A$500=A264)*($M$4:$M$500=M264)*($R$4:$R$500&lt;&gt;"")*($S$4:$S$500&lt;&gt;"")),1))*1440)/60)/(W264/60)),"")</f>
        <v/>
      </c>
      <c r="Y264" s="26">
        <f>IFERROR(IF(OR(O264="",A264="",M264=""),"",(IF(ISNUMBER(O264),MOD(O264,1),TIMEVALUE(O264))-LOOKUP(2,1/(($A$4:$A$500=A264)*($M$4:$M$500=M264)*($T$4:$T$500&lt;&gt;"")*($T$4:$T$500&lt;IF(ISNUMBER(O264),MOD(O264,1),TIMEVALUE(O264)))),$T$4:$T$500))*1440),"")</f>
        <v/>
      </c>
      <c r="Z264" s="27">
        <f>IFERROR(IF(Y264="","",IF(ROUND(Y264,0)&lt;=15,"Cumple","No cumple")),"")</f>
        <v/>
      </c>
      <c r="AA264" s="27" t="n"/>
      <c r="AB264" s="26">
        <f>IFERROR(IF(OR(O264="",R264=""),"",IF(IF(ISNUMBER(R264),MOD(R264,1),TIMEVALUE(R264))&gt;=IF(ISNUMBER(O264),MOD(O264,1),TIMEVALUE(O264)),(IF(ISNUMBER(R264),MOD(R264,1),TIMEVALUE(R264))-IF(ISNUMBER(O264),MOD(O264,1),TIMEVALUE(O264)))*1440,(IF(ISNUMBER(R264),MOD(R264,1),TIMEVALUE(R264))+1-IF(ISNUMBER(O264),MOD(O264,1),TIMEVALUE(O264)))*1440)),"")</f>
        <v/>
      </c>
      <c r="AC264" s="26">
        <f>IFERROR(IF(OR(R264="",S264=""),"",IF(IF(ISNUMBER(S264),MOD(S264,1),TIMEVALUE(S264))&gt;=IF(ISNUMBER(R264),MOD(R264,1),TIMEVALUE(R264)),(IF(ISNUMBER(S264),MOD(S264,1),TIMEVALUE(S264))-IF(ISNUMBER(R264),MOD(R264,1),TIMEVALUE(R264)))*1440,(IF(ISNUMBER(S264),MOD(S264,1),TIMEVALUE(S264))+1-IF(ISNUMBER(R264),MOD(R264,1),TIMEVALUE(R264)))*1440)),"")</f>
        <v/>
      </c>
      <c r="AD264" s="29" t="n"/>
      <c r="AE264" s="26">
        <f>IFERROR(IF(OR(AC264="",AD264=""),"",AC264-AD264),"")</f>
        <v/>
      </c>
      <c r="AF264" s="27">
        <f>IFERROR(IF(AE264="","",IF(ROUND(AE264,0)&gt;15,"Subestimacion",IF(ROUND(AE264,0)&lt;-15,"Sobrestimacion","Asertivo"))),"")</f>
        <v/>
      </c>
      <c r="AG264" s="19" t="n"/>
      <c r="AH264" s="19" t="n"/>
      <c r="AI264" s="19" t="n"/>
      <c r="AJ264" s="19" t="n"/>
      <c r="AK264" s="19" t="n"/>
      <c r="AL264" s="19" t="n"/>
      <c r="AM264" s="19" t="n"/>
      <c r="AN264" s="19" t="n"/>
      <c r="AO264" s="19" t="n"/>
      <c r="AP264" s="127">
        <f>IF(A264="","",A264-WEEKDAY(A264,2)+1)</f>
        <v/>
      </c>
      <c r="AQ264" s="127">
        <f>IF(AO264="","",AO264+6)</f>
        <v/>
      </c>
      <c r="AR264" s="19">
        <f>IF(AO264="","","Semana "&amp;TEXT(AO264,"dd-mm-yyyy")&amp;" al "&amp;TEXT(AP264,"dd-mm-yyyy"))</f>
        <v/>
      </c>
      <c r="AS264" s="19">
        <f>IF(A264="","",TEXT(A264,"mmmm yyyy"))</f>
        <v/>
      </c>
      <c r="AT264" s="19">
        <f>IF(A264="","",TEXT(A264,"dddd"))</f>
        <v/>
      </c>
      <c r="AU264" s="19">
        <f>IF(A264="","","CRR-"&amp;TEXT(A264,"yyyymmdd")&amp;"-"&amp;M264&amp;"-"&amp;TEXT(ROW()-3,"0000"))</f>
        <v/>
      </c>
      <c r="AV264" s="19">
        <f>IF(A264="","",IF(OR(B264="",C264="",E264="",F264="",M264="",N264=""),"Revisar campos obligatorios",IF(AND(P264="Atraso primera hora",Q264=""),"Falta justificación atraso primera hora",IF(AND(Z264="No cumple",AA264=""),"Falta justificación recambio &gt;15 min",IF(AND(ISNUMBER(SEARCH("suspend",N264)),OR(AG264="",AH264="")),"Falta causa/motivo suspensión","OK")))))</f>
        <v/>
      </c>
      <c r="AW264" s="19">
        <f>IF(N264="","",IF(ISNUMBER(SEARCH("suspend",N264)),IF(AND(AG264="",AH264=""),"Sin causa/motivo registrado",IF(AG264="",AH264,IF(AH264="",AG264,AG264&amp;": "&amp;AH264))),""))</f>
        <v/>
      </c>
    </row>
    <row r="265" ht="16" customHeight="1" s="151">
      <c r="A265" s="62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20">
        <f>IF(H265&lt;&gt;"",IFERROR(VLOOKUP(IFERROR(LEFT(H265,FIND("-",H265)-1),H265),'Catalogo MINSAL'!A:E,5,FALSE),""),IF(I265&lt;&gt;"",IFERROR(VLOOKUP(IFERROR(LEFT(I265,FIND("-",I265)-1),I265),'Catalogo MINSAL'!A:E,5,FALSE),""),""))</f>
        <v/>
      </c>
      <c r="K265" s="19" t="n"/>
      <c r="L265" s="19" t="n"/>
      <c r="M265" s="19" t="n"/>
      <c r="N265" s="19" t="n"/>
      <c r="O265" s="25" t="n"/>
      <c r="P265" s="27">
        <f>IFERROR(IF(OR(O265="",A265="",M265=""),"",IF(SUMPRODUCT(($A$4:$A$500=A265)*($M$4:$M$500=M265)*($O$4:$O$500&lt;&gt;"")*(MOD($O$4:$O$500,1)&lt;MOD(O265,1)))=0,IF(MOD(O265,1)&lt;=TIME(8,15,0),"Ingreso adecuado primera hora","Atraso primera hora"),"No aplica")),"")</f>
        <v/>
      </c>
      <c r="Q265" s="27" t="n"/>
      <c r="R265" s="25" t="n"/>
      <c r="S265" s="25" t="n"/>
      <c r="T265" s="25" t="n"/>
      <c r="U265" s="25">
        <f>IFERROR(VLOOKUP(M265,'Horario Pabellones'!$A$4:$D$17,2,FALSE),"")</f>
        <v/>
      </c>
      <c r="V265" s="25">
        <f>IFERROR(VLOOKUP(M265,'Horario Pabellones'!$A$4:$D$17,3,FALSE),"")</f>
        <v/>
      </c>
      <c r="W265" s="99">
        <f>IFERROR(VLOOKUP(M265,'Horario Pabellones'!$A$4:$D$17,4,FALSE),"")</f>
        <v/>
      </c>
      <c r="X265" s="89">
        <f>IFERROR(IF(OR(A265="",M265="",W265=""),"",(((_xludf.AGGREGATE(14,6,MOD($S$4:$S$500,1)/(($A$4:$A$500=A265)*($M$4:$M$500=M265)*($R$4:$R$500&lt;&gt;"")*($S$4:$S$500&lt;&gt;"")),1)-_xludf.AGGREGATE(15,6,MOD($R$4:$R$500,1)/(($A$4:$A$500=A265)*($M$4:$M$500=M265)*($R$4:$R$500&lt;&gt;"")*($S$4:$S$500&lt;&gt;"")),1))*1440)/60)/(W265/60)),"")</f>
        <v/>
      </c>
      <c r="Y265" s="26">
        <f>IFERROR(IF(OR(O265="",A265="",M265=""),"",(IF(ISNUMBER(O265),MOD(O265,1),TIMEVALUE(O265))-LOOKUP(2,1/(($A$4:$A$500=A265)*($M$4:$M$500=M265)*($T$4:$T$500&lt;&gt;"")*($T$4:$T$500&lt;IF(ISNUMBER(O265),MOD(O265,1),TIMEVALUE(O265)))),$T$4:$T$500))*1440),"")</f>
        <v/>
      </c>
      <c r="Z265" s="27">
        <f>IFERROR(IF(Y265="","",IF(ROUND(Y265,0)&lt;=15,"Cumple","No cumple")),"")</f>
        <v/>
      </c>
      <c r="AA265" s="27" t="n"/>
      <c r="AB265" s="26">
        <f>IFERROR(IF(OR(O265="",R265=""),"",IF(IF(ISNUMBER(R265),MOD(R265,1),TIMEVALUE(R265))&gt;=IF(ISNUMBER(O265),MOD(O265,1),TIMEVALUE(O265)),(IF(ISNUMBER(R265),MOD(R265,1),TIMEVALUE(R265))-IF(ISNUMBER(O265),MOD(O265,1),TIMEVALUE(O265)))*1440,(IF(ISNUMBER(R265),MOD(R265,1),TIMEVALUE(R265))+1-IF(ISNUMBER(O265),MOD(O265,1),TIMEVALUE(O265)))*1440)),"")</f>
        <v/>
      </c>
      <c r="AC265" s="26">
        <f>IFERROR(IF(OR(R265="",S265=""),"",IF(IF(ISNUMBER(S265),MOD(S265,1),TIMEVALUE(S265))&gt;=IF(ISNUMBER(R265),MOD(R265,1),TIMEVALUE(R265)),(IF(ISNUMBER(S265),MOD(S265,1),TIMEVALUE(S265))-IF(ISNUMBER(R265),MOD(R265,1),TIMEVALUE(R265)))*1440,(IF(ISNUMBER(S265),MOD(S265,1),TIMEVALUE(S265))+1-IF(ISNUMBER(R265),MOD(R265,1),TIMEVALUE(R265)))*1440)),"")</f>
        <v/>
      </c>
      <c r="AD265" s="29" t="n"/>
      <c r="AE265" s="26">
        <f>IFERROR(IF(OR(AC265="",AD265=""),"",AC265-AD265),"")</f>
        <v/>
      </c>
      <c r="AF265" s="27">
        <f>IFERROR(IF(AE265="","",IF(ROUND(AE265,0)&gt;15,"Subestimacion",IF(ROUND(AE265,0)&lt;-15,"Sobrestimacion","Asertivo"))),"")</f>
        <v/>
      </c>
      <c r="AG265" s="19" t="n"/>
      <c r="AH265" s="19" t="n"/>
      <c r="AI265" s="19" t="n"/>
      <c r="AJ265" s="19" t="n"/>
      <c r="AK265" s="19" t="n"/>
      <c r="AL265" s="19" t="n"/>
      <c r="AM265" s="19" t="n"/>
      <c r="AN265" s="19" t="n"/>
      <c r="AO265" s="19" t="n"/>
      <c r="AP265" s="127">
        <f>IF(A265="","",A265-WEEKDAY(A265,2)+1)</f>
        <v/>
      </c>
      <c r="AQ265" s="127">
        <f>IF(AO265="","",AO265+6)</f>
        <v/>
      </c>
      <c r="AR265" s="19">
        <f>IF(AO265="","","Semana "&amp;TEXT(AO265,"dd-mm-yyyy")&amp;" al "&amp;TEXT(AP265,"dd-mm-yyyy"))</f>
        <v/>
      </c>
      <c r="AS265" s="19">
        <f>IF(A265="","",TEXT(A265,"mmmm yyyy"))</f>
        <v/>
      </c>
      <c r="AT265" s="19">
        <f>IF(A265="","",TEXT(A265,"dddd"))</f>
        <v/>
      </c>
      <c r="AU265" s="19">
        <f>IF(A265="","","CRR-"&amp;TEXT(A265,"yyyymmdd")&amp;"-"&amp;M265&amp;"-"&amp;TEXT(ROW()-3,"0000"))</f>
        <v/>
      </c>
      <c r="AV265" s="19">
        <f>IF(A265="","",IF(OR(B265="",C265="",E265="",F265="",M265="",N265=""),"Revisar campos obligatorios",IF(AND(P265="Atraso primera hora",Q265=""),"Falta justificación atraso primera hora",IF(AND(Z265="No cumple",AA265=""),"Falta justificación recambio &gt;15 min",IF(AND(ISNUMBER(SEARCH("suspend",N265)),OR(AG265="",AH265="")),"Falta causa/motivo suspensión","OK")))))</f>
        <v/>
      </c>
      <c r="AW265" s="19">
        <f>IF(N265="","",IF(ISNUMBER(SEARCH("suspend",N265)),IF(AND(AG265="",AH265=""),"Sin causa/motivo registrado",IF(AG265="",AH265,IF(AH265="",AG265,AG265&amp;": "&amp;AH265))),""))</f>
        <v/>
      </c>
    </row>
    <row r="266" ht="16" customHeight="1" s="151">
      <c r="A266" s="62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20">
        <f>IF(H266&lt;&gt;"",IFERROR(VLOOKUP(IFERROR(LEFT(H266,FIND("-",H266)-1),H266),'Catalogo MINSAL'!A:E,5,FALSE),""),IF(I266&lt;&gt;"",IFERROR(VLOOKUP(IFERROR(LEFT(I266,FIND("-",I266)-1),I266),'Catalogo MINSAL'!A:E,5,FALSE),""),""))</f>
        <v/>
      </c>
      <c r="K266" s="19" t="n"/>
      <c r="L266" s="19" t="n"/>
      <c r="M266" s="19" t="n"/>
      <c r="N266" s="19" t="n"/>
      <c r="O266" s="25" t="n"/>
      <c r="P266" s="27">
        <f>IFERROR(IF(OR(O266="",A266="",M266=""),"",IF(SUMPRODUCT(($A$4:$A$500=A266)*($M$4:$M$500=M266)*($O$4:$O$500&lt;&gt;"")*(MOD($O$4:$O$500,1)&lt;MOD(O266,1)))=0,IF(MOD(O266,1)&lt;=TIME(8,15,0),"Ingreso adecuado primera hora","Atraso primera hora"),"No aplica")),"")</f>
        <v/>
      </c>
      <c r="Q266" s="27" t="n"/>
      <c r="R266" s="25" t="n"/>
      <c r="S266" s="25" t="n"/>
      <c r="T266" s="25" t="n"/>
      <c r="U266" s="25">
        <f>IFERROR(VLOOKUP(M266,'Horario Pabellones'!$A$4:$D$17,2,FALSE),"")</f>
        <v/>
      </c>
      <c r="V266" s="25">
        <f>IFERROR(VLOOKUP(M266,'Horario Pabellones'!$A$4:$D$17,3,FALSE),"")</f>
        <v/>
      </c>
      <c r="W266" s="99">
        <f>IFERROR(VLOOKUP(M266,'Horario Pabellones'!$A$4:$D$17,4,FALSE),"")</f>
        <v/>
      </c>
      <c r="X266" s="89">
        <f>IFERROR(IF(OR(A266="",M266="",W266=""),"",(((_xludf.AGGREGATE(14,6,MOD($S$4:$S$500,1)/(($A$4:$A$500=A266)*($M$4:$M$500=M266)*($R$4:$R$500&lt;&gt;"")*($S$4:$S$500&lt;&gt;"")),1)-_xludf.AGGREGATE(15,6,MOD($R$4:$R$500,1)/(($A$4:$A$500=A266)*($M$4:$M$500=M266)*($R$4:$R$500&lt;&gt;"")*($S$4:$S$500&lt;&gt;"")),1))*1440)/60)/(W266/60)),"")</f>
        <v/>
      </c>
      <c r="Y266" s="26">
        <f>IFERROR(IF(OR(O266="",A266="",M266=""),"",(IF(ISNUMBER(O266),MOD(O266,1),TIMEVALUE(O266))-LOOKUP(2,1/(($A$4:$A$500=A266)*($M$4:$M$500=M266)*($T$4:$T$500&lt;&gt;"")*($T$4:$T$500&lt;IF(ISNUMBER(O266),MOD(O266,1),TIMEVALUE(O266)))),$T$4:$T$500))*1440),"")</f>
        <v/>
      </c>
      <c r="Z266" s="27">
        <f>IFERROR(IF(Y266="","",IF(ROUND(Y266,0)&lt;=15,"Cumple","No cumple")),"")</f>
        <v/>
      </c>
      <c r="AA266" s="27" t="n"/>
      <c r="AB266" s="26">
        <f>IFERROR(IF(OR(O266="",R266=""),"",IF(IF(ISNUMBER(R266),MOD(R266,1),TIMEVALUE(R266))&gt;=IF(ISNUMBER(O266),MOD(O266,1),TIMEVALUE(O266)),(IF(ISNUMBER(R266),MOD(R266,1),TIMEVALUE(R266))-IF(ISNUMBER(O266),MOD(O266,1),TIMEVALUE(O266)))*1440,(IF(ISNUMBER(R266),MOD(R266,1),TIMEVALUE(R266))+1-IF(ISNUMBER(O266),MOD(O266,1),TIMEVALUE(O266)))*1440)),"")</f>
        <v/>
      </c>
      <c r="AC266" s="26">
        <f>IFERROR(IF(OR(R266="",S266=""),"",IF(IF(ISNUMBER(S266),MOD(S266,1),TIMEVALUE(S266))&gt;=IF(ISNUMBER(R266),MOD(R266,1),TIMEVALUE(R266)),(IF(ISNUMBER(S266),MOD(S266,1),TIMEVALUE(S266))-IF(ISNUMBER(R266),MOD(R266,1),TIMEVALUE(R266)))*1440,(IF(ISNUMBER(S266),MOD(S266,1),TIMEVALUE(S266))+1-IF(ISNUMBER(R266),MOD(R266,1),TIMEVALUE(R266)))*1440)),"")</f>
        <v/>
      </c>
      <c r="AD266" s="29" t="n"/>
      <c r="AE266" s="26">
        <f>IFERROR(IF(OR(AC266="",AD266=""),"",AC266-AD266),"")</f>
        <v/>
      </c>
      <c r="AF266" s="27">
        <f>IFERROR(IF(AE266="","",IF(ROUND(AE266,0)&gt;15,"Subestimacion",IF(ROUND(AE266,0)&lt;-15,"Sobrestimacion","Asertivo"))),"")</f>
        <v/>
      </c>
      <c r="AG266" s="19" t="n"/>
      <c r="AH266" s="19" t="n"/>
      <c r="AI266" s="19" t="n"/>
      <c r="AJ266" s="19" t="n"/>
      <c r="AK266" s="19" t="n"/>
      <c r="AL266" s="19" t="n"/>
      <c r="AM266" s="19" t="n"/>
      <c r="AN266" s="19" t="n"/>
      <c r="AO266" s="19" t="n"/>
      <c r="AP266" s="127">
        <f>IF(A266="","",A266-WEEKDAY(A266,2)+1)</f>
        <v/>
      </c>
      <c r="AQ266" s="127">
        <f>IF(AO266="","",AO266+6)</f>
        <v/>
      </c>
      <c r="AR266" s="19">
        <f>IF(AO266="","","Semana "&amp;TEXT(AO266,"dd-mm-yyyy")&amp;" al "&amp;TEXT(AP266,"dd-mm-yyyy"))</f>
        <v/>
      </c>
      <c r="AS266" s="19">
        <f>IF(A266="","",TEXT(A266,"mmmm yyyy"))</f>
        <v/>
      </c>
      <c r="AT266" s="19">
        <f>IF(A266="","",TEXT(A266,"dddd"))</f>
        <v/>
      </c>
      <c r="AU266" s="19">
        <f>IF(A266="","","CRR-"&amp;TEXT(A266,"yyyymmdd")&amp;"-"&amp;M266&amp;"-"&amp;TEXT(ROW()-3,"0000"))</f>
        <v/>
      </c>
      <c r="AV266" s="19">
        <f>IF(A266="","",IF(OR(B266="",C266="",E266="",F266="",M266="",N266=""),"Revisar campos obligatorios",IF(AND(P266="Atraso primera hora",Q266=""),"Falta justificación atraso primera hora",IF(AND(Z266="No cumple",AA266=""),"Falta justificación recambio &gt;15 min",IF(AND(ISNUMBER(SEARCH("suspend",N266)),OR(AG266="",AH266="")),"Falta causa/motivo suspensión","OK")))))</f>
        <v/>
      </c>
      <c r="AW266" s="19">
        <f>IF(N266="","",IF(ISNUMBER(SEARCH("suspend",N266)),IF(AND(AG266="",AH266=""),"Sin causa/motivo registrado",IF(AG266="",AH266,IF(AH266="",AG266,AG266&amp;": "&amp;AH266))),""))</f>
        <v/>
      </c>
    </row>
    <row r="267" ht="16" customHeight="1" s="151">
      <c r="A267" s="62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20">
        <f>IF(H267&lt;&gt;"",IFERROR(VLOOKUP(IFERROR(LEFT(H267,FIND("-",H267)-1),H267),'Catalogo MINSAL'!A:E,5,FALSE),""),IF(I267&lt;&gt;"",IFERROR(VLOOKUP(IFERROR(LEFT(I267,FIND("-",I267)-1),I267),'Catalogo MINSAL'!A:E,5,FALSE),""),""))</f>
        <v/>
      </c>
      <c r="K267" s="19" t="n"/>
      <c r="L267" s="19" t="n"/>
      <c r="M267" s="19" t="n"/>
      <c r="N267" s="19" t="n"/>
      <c r="O267" s="25" t="n"/>
      <c r="P267" s="27">
        <f>IFERROR(IF(OR(O267="",A267="",M267=""),"",IF(SUMPRODUCT(($A$4:$A$500=A267)*($M$4:$M$500=M267)*($O$4:$O$500&lt;&gt;"")*(MOD($O$4:$O$500,1)&lt;MOD(O267,1)))=0,IF(MOD(O267,1)&lt;=TIME(8,15,0),"Ingreso adecuado primera hora","Atraso primera hora"),"No aplica")),"")</f>
        <v/>
      </c>
      <c r="Q267" s="27" t="n"/>
      <c r="R267" s="25" t="n"/>
      <c r="S267" s="25" t="n"/>
      <c r="T267" s="25" t="n"/>
      <c r="U267" s="25">
        <f>IFERROR(VLOOKUP(M267,'Horario Pabellones'!$A$4:$D$17,2,FALSE),"")</f>
        <v/>
      </c>
      <c r="V267" s="25">
        <f>IFERROR(VLOOKUP(M267,'Horario Pabellones'!$A$4:$D$17,3,FALSE),"")</f>
        <v/>
      </c>
      <c r="W267" s="99">
        <f>IFERROR(VLOOKUP(M267,'Horario Pabellones'!$A$4:$D$17,4,FALSE),"")</f>
        <v/>
      </c>
      <c r="X267" s="89">
        <f>IFERROR(IF(OR(A267="",M267="",W267=""),"",(((_xludf.AGGREGATE(14,6,MOD($S$4:$S$500,1)/(($A$4:$A$500=A267)*($M$4:$M$500=M267)*($R$4:$R$500&lt;&gt;"")*($S$4:$S$500&lt;&gt;"")),1)-_xludf.AGGREGATE(15,6,MOD($R$4:$R$500,1)/(($A$4:$A$500=A267)*($M$4:$M$500=M267)*($R$4:$R$500&lt;&gt;"")*($S$4:$S$500&lt;&gt;"")),1))*1440)/60)/(W267/60)),"")</f>
        <v/>
      </c>
      <c r="Y267" s="26">
        <f>IFERROR(IF(OR(O267="",A267="",M267=""),"",(IF(ISNUMBER(O267),MOD(O267,1),TIMEVALUE(O267))-LOOKUP(2,1/(($A$4:$A$500=A267)*($M$4:$M$500=M267)*($T$4:$T$500&lt;&gt;"")*($T$4:$T$500&lt;IF(ISNUMBER(O267),MOD(O267,1),TIMEVALUE(O267)))),$T$4:$T$500))*1440),"")</f>
        <v/>
      </c>
      <c r="Z267" s="27">
        <f>IFERROR(IF(Y267="","",IF(ROUND(Y267,0)&lt;=15,"Cumple","No cumple")),"")</f>
        <v/>
      </c>
      <c r="AA267" s="27" t="n"/>
      <c r="AB267" s="26">
        <f>IFERROR(IF(OR(O267="",R267=""),"",IF(IF(ISNUMBER(R267),MOD(R267,1),TIMEVALUE(R267))&gt;=IF(ISNUMBER(O267),MOD(O267,1),TIMEVALUE(O267)),(IF(ISNUMBER(R267),MOD(R267,1),TIMEVALUE(R267))-IF(ISNUMBER(O267),MOD(O267,1),TIMEVALUE(O267)))*1440,(IF(ISNUMBER(R267),MOD(R267,1),TIMEVALUE(R267))+1-IF(ISNUMBER(O267),MOD(O267,1),TIMEVALUE(O267)))*1440)),"")</f>
        <v/>
      </c>
      <c r="AC267" s="26">
        <f>IFERROR(IF(OR(R267="",S267=""),"",IF(IF(ISNUMBER(S267),MOD(S267,1),TIMEVALUE(S267))&gt;=IF(ISNUMBER(R267),MOD(R267,1),TIMEVALUE(R267)),(IF(ISNUMBER(S267),MOD(S267,1),TIMEVALUE(S267))-IF(ISNUMBER(R267),MOD(R267,1),TIMEVALUE(R267)))*1440,(IF(ISNUMBER(S267),MOD(S267,1),TIMEVALUE(S267))+1-IF(ISNUMBER(R267),MOD(R267,1),TIMEVALUE(R267)))*1440)),"")</f>
        <v/>
      </c>
      <c r="AD267" s="29" t="n"/>
      <c r="AE267" s="26">
        <f>IFERROR(IF(OR(AC267="",AD267=""),"",AC267-AD267),"")</f>
        <v/>
      </c>
      <c r="AF267" s="27">
        <f>IFERROR(IF(AE267="","",IF(ROUND(AE267,0)&gt;15,"Subestimacion",IF(ROUND(AE267,0)&lt;-15,"Sobrestimacion","Asertivo"))),"")</f>
        <v/>
      </c>
      <c r="AG267" s="19" t="n"/>
      <c r="AH267" s="19" t="n"/>
      <c r="AI267" s="19" t="n"/>
      <c r="AJ267" s="19" t="n"/>
      <c r="AK267" s="19" t="n"/>
      <c r="AL267" s="19" t="n"/>
      <c r="AM267" s="19" t="n"/>
      <c r="AN267" s="19" t="n"/>
      <c r="AO267" s="19" t="n"/>
      <c r="AP267" s="127">
        <f>IF(A267="","",A267-WEEKDAY(A267,2)+1)</f>
        <v/>
      </c>
      <c r="AQ267" s="127">
        <f>IF(AO267="","",AO267+6)</f>
        <v/>
      </c>
      <c r="AR267" s="19">
        <f>IF(AO267="","","Semana "&amp;TEXT(AO267,"dd-mm-yyyy")&amp;" al "&amp;TEXT(AP267,"dd-mm-yyyy"))</f>
        <v/>
      </c>
      <c r="AS267" s="19">
        <f>IF(A267="","",TEXT(A267,"mmmm yyyy"))</f>
        <v/>
      </c>
      <c r="AT267" s="19">
        <f>IF(A267="","",TEXT(A267,"dddd"))</f>
        <v/>
      </c>
      <c r="AU267" s="19">
        <f>IF(A267="","","CRR-"&amp;TEXT(A267,"yyyymmdd")&amp;"-"&amp;M267&amp;"-"&amp;TEXT(ROW()-3,"0000"))</f>
        <v/>
      </c>
      <c r="AV267" s="19">
        <f>IF(A267="","",IF(OR(B267="",C267="",E267="",F267="",M267="",N267=""),"Revisar campos obligatorios",IF(AND(P267="Atraso primera hora",Q267=""),"Falta justificación atraso primera hora",IF(AND(Z267="No cumple",AA267=""),"Falta justificación recambio &gt;15 min",IF(AND(ISNUMBER(SEARCH("suspend",N267)),OR(AG267="",AH267="")),"Falta causa/motivo suspensión","OK")))))</f>
        <v/>
      </c>
      <c r="AW267" s="19">
        <f>IF(N267="","",IF(ISNUMBER(SEARCH("suspend",N267)),IF(AND(AG267="",AH267=""),"Sin causa/motivo registrado",IF(AG267="",AH267,IF(AH267="",AG267,AG267&amp;": "&amp;AH267))),""))</f>
        <v/>
      </c>
    </row>
    <row r="268" ht="16" customHeight="1" s="151">
      <c r="A268" s="62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20">
        <f>IF(H268&lt;&gt;"",IFERROR(VLOOKUP(IFERROR(LEFT(H268,FIND("-",H268)-1),H268),'Catalogo MINSAL'!A:E,5,FALSE),""),IF(I268&lt;&gt;"",IFERROR(VLOOKUP(IFERROR(LEFT(I268,FIND("-",I268)-1),I268),'Catalogo MINSAL'!A:E,5,FALSE),""),""))</f>
        <v/>
      </c>
      <c r="K268" s="19" t="n"/>
      <c r="L268" s="19" t="n"/>
      <c r="M268" s="19" t="n"/>
      <c r="N268" s="19" t="n"/>
      <c r="O268" s="25" t="n"/>
      <c r="P268" s="27">
        <f>IFERROR(IF(OR(O268="",A268="",M268=""),"",IF(SUMPRODUCT(($A$4:$A$500=A268)*($M$4:$M$500=M268)*($O$4:$O$500&lt;&gt;"")*(MOD($O$4:$O$500,1)&lt;MOD(O268,1)))=0,IF(MOD(O268,1)&lt;=TIME(8,15,0),"Ingreso adecuado primera hora","Atraso primera hora"),"No aplica")),"")</f>
        <v/>
      </c>
      <c r="Q268" s="27" t="n"/>
      <c r="R268" s="25" t="n"/>
      <c r="S268" s="25" t="n"/>
      <c r="T268" s="25" t="n"/>
      <c r="U268" s="25">
        <f>IFERROR(VLOOKUP(M268,'Horario Pabellones'!$A$4:$D$17,2,FALSE),"")</f>
        <v/>
      </c>
      <c r="V268" s="25">
        <f>IFERROR(VLOOKUP(M268,'Horario Pabellones'!$A$4:$D$17,3,FALSE),"")</f>
        <v/>
      </c>
      <c r="W268" s="99">
        <f>IFERROR(VLOOKUP(M268,'Horario Pabellones'!$A$4:$D$17,4,FALSE),"")</f>
        <v/>
      </c>
      <c r="X268" s="89">
        <f>IFERROR(IF(OR(A268="",M268="",W268=""),"",(((_xludf.AGGREGATE(14,6,MOD($S$4:$S$500,1)/(($A$4:$A$500=A268)*($M$4:$M$500=M268)*($R$4:$R$500&lt;&gt;"")*($S$4:$S$500&lt;&gt;"")),1)-_xludf.AGGREGATE(15,6,MOD($R$4:$R$500,1)/(($A$4:$A$500=A268)*($M$4:$M$500=M268)*($R$4:$R$500&lt;&gt;"")*($S$4:$S$500&lt;&gt;"")),1))*1440)/60)/(W268/60)),"")</f>
        <v/>
      </c>
      <c r="Y268" s="26">
        <f>IFERROR(IF(OR(O268="",A268="",M268=""),"",(IF(ISNUMBER(O268),MOD(O268,1),TIMEVALUE(O268))-LOOKUP(2,1/(($A$4:$A$500=A268)*($M$4:$M$500=M268)*($T$4:$T$500&lt;&gt;"")*($T$4:$T$500&lt;IF(ISNUMBER(O268),MOD(O268,1),TIMEVALUE(O268)))),$T$4:$T$500))*1440),"")</f>
        <v/>
      </c>
      <c r="Z268" s="27">
        <f>IFERROR(IF(Y268="","",IF(ROUND(Y268,0)&lt;=15,"Cumple","No cumple")),"")</f>
        <v/>
      </c>
      <c r="AA268" s="27" t="n"/>
      <c r="AB268" s="26">
        <f>IFERROR(IF(OR(O268="",R268=""),"",IF(IF(ISNUMBER(R268),MOD(R268,1),TIMEVALUE(R268))&gt;=IF(ISNUMBER(O268),MOD(O268,1),TIMEVALUE(O268)),(IF(ISNUMBER(R268),MOD(R268,1),TIMEVALUE(R268))-IF(ISNUMBER(O268),MOD(O268,1),TIMEVALUE(O268)))*1440,(IF(ISNUMBER(R268),MOD(R268,1),TIMEVALUE(R268))+1-IF(ISNUMBER(O268),MOD(O268,1),TIMEVALUE(O268)))*1440)),"")</f>
        <v/>
      </c>
      <c r="AC268" s="26">
        <f>IFERROR(IF(OR(R268="",S268=""),"",IF(IF(ISNUMBER(S268),MOD(S268,1),TIMEVALUE(S268))&gt;=IF(ISNUMBER(R268),MOD(R268,1),TIMEVALUE(R268)),(IF(ISNUMBER(S268),MOD(S268,1),TIMEVALUE(S268))-IF(ISNUMBER(R268),MOD(R268,1),TIMEVALUE(R268)))*1440,(IF(ISNUMBER(S268),MOD(S268,1),TIMEVALUE(S268))+1-IF(ISNUMBER(R268),MOD(R268,1),TIMEVALUE(R268)))*1440)),"")</f>
        <v/>
      </c>
      <c r="AD268" s="29" t="n"/>
      <c r="AE268" s="26">
        <f>IFERROR(IF(OR(AC268="",AD268=""),"",AC268-AD268),"")</f>
        <v/>
      </c>
      <c r="AF268" s="27">
        <f>IFERROR(IF(AE268="","",IF(ROUND(AE268,0)&gt;15,"Subestimacion",IF(ROUND(AE268,0)&lt;-15,"Sobrestimacion","Asertivo"))),"")</f>
        <v/>
      </c>
      <c r="AG268" s="19" t="n"/>
      <c r="AH268" s="19" t="n"/>
      <c r="AI268" s="19" t="n"/>
      <c r="AJ268" s="19" t="n"/>
      <c r="AK268" s="19" t="n"/>
      <c r="AL268" s="19" t="n"/>
      <c r="AM268" s="19" t="n"/>
      <c r="AN268" s="19" t="n"/>
      <c r="AO268" s="19" t="n"/>
      <c r="AP268" s="127">
        <f>IF(A268="","",A268-WEEKDAY(A268,2)+1)</f>
        <v/>
      </c>
      <c r="AQ268" s="127">
        <f>IF(AO268="","",AO268+6)</f>
        <v/>
      </c>
      <c r="AR268" s="19">
        <f>IF(AO268="","","Semana "&amp;TEXT(AO268,"dd-mm-yyyy")&amp;" al "&amp;TEXT(AP268,"dd-mm-yyyy"))</f>
        <v/>
      </c>
      <c r="AS268" s="19">
        <f>IF(A268="","",TEXT(A268,"mmmm yyyy"))</f>
        <v/>
      </c>
      <c r="AT268" s="19">
        <f>IF(A268="","",TEXT(A268,"dddd"))</f>
        <v/>
      </c>
      <c r="AU268" s="19">
        <f>IF(A268="","","CRR-"&amp;TEXT(A268,"yyyymmdd")&amp;"-"&amp;M268&amp;"-"&amp;TEXT(ROW()-3,"0000"))</f>
        <v/>
      </c>
      <c r="AV268" s="19">
        <f>IF(A268="","",IF(OR(B268="",C268="",E268="",F268="",M268="",N268=""),"Revisar campos obligatorios",IF(AND(P268="Atraso primera hora",Q268=""),"Falta justificación atraso primera hora",IF(AND(Z268="No cumple",AA268=""),"Falta justificación recambio &gt;15 min",IF(AND(ISNUMBER(SEARCH("suspend",N268)),OR(AG268="",AH268="")),"Falta causa/motivo suspensión","OK")))))</f>
        <v/>
      </c>
      <c r="AW268" s="19">
        <f>IF(N268="","",IF(ISNUMBER(SEARCH("suspend",N268)),IF(AND(AG268="",AH268=""),"Sin causa/motivo registrado",IF(AG268="",AH268,IF(AH268="",AG268,AG268&amp;": "&amp;AH268))),""))</f>
        <v/>
      </c>
    </row>
    <row r="269" ht="16" customHeight="1" s="151">
      <c r="A269" s="62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20">
        <f>IF(H269&lt;&gt;"",IFERROR(VLOOKUP(IFERROR(LEFT(H269,FIND("-",H269)-1),H269),'Catalogo MINSAL'!A:E,5,FALSE),""),IF(I269&lt;&gt;"",IFERROR(VLOOKUP(IFERROR(LEFT(I269,FIND("-",I269)-1),I269),'Catalogo MINSAL'!A:E,5,FALSE),""),""))</f>
        <v/>
      </c>
      <c r="K269" s="19" t="n"/>
      <c r="L269" s="19" t="n"/>
      <c r="M269" s="19" t="n"/>
      <c r="N269" s="19" t="n"/>
      <c r="O269" s="25" t="n"/>
      <c r="P269" s="27">
        <f>IFERROR(IF(OR(O269="",A269="",M269=""),"",IF(SUMPRODUCT(($A$4:$A$500=A269)*($M$4:$M$500=M269)*($O$4:$O$500&lt;&gt;"")*(MOD($O$4:$O$500,1)&lt;MOD(O269,1)))=0,IF(MOD(O269,1)&lt;=TIME(8,15,0),"Ingreso adecuado primera hora","Atraso primera hora"),"No aplica")),"")</f>
        <v/>
      </c>
      <c r="Q269" s="27" t="n"/>
      <c r="R269" s="25" t="n"/>
      <c r="S269" s="25" t="n"/>
      <c r="T269" s="25" t="n"/>
      <c r="U269" s="25">
        <f>IFERROR(VLOOKUP(M269,'Horario Pabellones'!$A$4:$D$17,2,FALSE),"")</f>
        <v/>
      </c>
      <c r="V269" s="25">
        <f>IFERROR(VLOOKUP(M269,'Horario Pabellones'!$A$4:$D$17,3,FALSE),"")</f>
        <v/>
      </c>
      <c r="W269" s="99">
        <f>IFERROR(VLOOKUP(M269,'Horario Pabellones'!$A$4:$D$17,4,FALSE),"")</f>
        <v/>
      </c>
      <c r="X269" s="89">
        <f>IFERROR(IF(OR(A269="",M269="",W269=""),"",(((_xludf.AGGREGATE(14,6,MOD($S$4:$S$500,1)/(($A$4:$A$500=A269)*($M$4:$M$500=M269)*($R$4:$R$500&lt;&gt;"")*($S$4:$S$500&lt;&gt;"")),1)-_xludf.AGGREGATE(15,6,MOD($R$4:$R$500,1)/(($A$4:$A$500=A269)*($M$4:$M$500=M269)*($R$4:$R$500&lt;&gt;"")*($S$4:$S$500&lt;&gt;"")),1))*1440)/60)/(W269/60)),"")</f>
        <v/>
      </c>
      <c r="Y269" s="26">
        <f>IFERROR(IF(OR(O269="",A269="",M269=""),"",(IF(ISNUMBER(O269),MOD(O269,1),TIMEVALUE(O269))-LOOKUP(2,1/(($A$4:$A$500=A269)*($M$4:$M$500=M269)*($T$4:$T$500&lt;&gt;"")*($T$4:$T$500&lt;IF(ISNUMBER(O269),MOD(O269,1),TIMEVALUE(O269)))),$T$4:$T$500))*1440),"")</f>
        <v/>
      </c>
      <c r="Z269" s="27">
        <f>IFERROR(IF(Y269="","",IF(ROUND(Y269,0)&lt;=15,"Cumple","No cumple")),"")</f>
        <v/>
      </c>
      <c r="AA269" s="27" t="n"/>
      <c r="AB269" s="26">
        <f>IFERROR(IF(OR(O269="",R269=""),"",IF(IF(ISNUMBER(R269),MOD(R269,1),TIMEVALUE(R269))&gt;=IF(ISNUMBER(O269),MOD(O269,1),TIMEVALUE(O269)),(IF(ISNUMBER(R269),MOD(R269,1),TIMEVALUE(R269))-IF(ISNUMBER(O269),MOD(O269,1),TIMEVALUE(O269)))*1440,(IF(ISNUMBER(R269),MOD(R269,1),TIMEVALUE(R269))+1-IF(ISNUMBER(O269),MOD(O269,1),TIMEVALUE(O269)))*1440)),"")</f>
        <v/>
      </c>
      <c r="AC269" s="26">
        <f>IFERROR(IF(OR(R269="",S269=""),"",IF(IF(ISNUMBER(S269),MOD(S269,1),TIMEVALUE(S269))&gt;=IF(ISNUMBER(R269),MOD(R269,1),TIMEVALUE(R269)),(IF(ISNUMBER(S269),MOD(S269,1),TIMEVALUE(S269))-IF(ISNUMBER(R269),MOD(R269,1),TIMEVALUE(R269)))*1440,(IF(ISNUMBER(S269),MOD(S269,1),TIMEVALUE(S269))+1-IF(ISNUMBER(R269),MOD(R269,1),TIMEVALUE(R269)))*1440)),"")</f>
        <v/>
      </c>
      <c r="AD269" s="29" t="n"/>
      <c r="AE269" s="26">
        <f>IFERROR(IF(OR(AC269="",AD269=""),"",AC269-AD269),"")</f>
        <v/>
      </c>
      <c r="AF269" s="27">
        <f>IFERROR(IF(AE269="","",IF(ROUND(AE269,0)&gt;15,"Subestimacion",IF(ROUND(AE269,0)&lt;-15,"Sobrestimacion","Asertivo"))),"")</f>
        <v/>
      </c>
      <c r="AG269" s="19" t="n"/>
      <c r="AH269" s="19" t="n"/>
      <c r="AI269" s="19" t="n"/>
      <c r="AJ269" s="19" t="n"/>
      <c r="AK269" s="19" t="n"/>
      <c r="AL269" s="19" t="n"/>
      <c r="AM269" s="19" t="n"/>
      <c r="AN269" s="19" t="n"/>
      <c r="AO269" s="19" t="n"/>
      <c r="AP269" s="127">
        <f>IF(A269="","",A269-WEEKDAY(A269,2)+1)</f>
        <v/>
      </c>
      <c r="AQ269" s="127">
        <f>IF(AO269="","",AO269+6)</f>
        <v/>
      </c>
      <c r="AR269" s="19">
        <f>IF(AO269="","","Semana "&amp;TEXT(AO269,"dd-mm-yyyy")&amp;" al "&amp;TEXT(AP269,"dd-mm-yyyy"))</f>
        <v/>
      </c>
      <c r="AS269" s="19">
        <f>IF(A269="","",TEXT(A269,"mmmm yyyy"))</f>
        <v/>
      </c>
      <c r="AT269" s="19">
        <f>IF(A269="","",TEXT(A269,"dddd"))</f>
        <v/>
      </c>
      <c r="AU269" s="19">
        <f>IF(A269="","","CRR-"&amp;TEXT(A269,"yyyymmdd")&amp;"-"&amp;M269&amp;"-"&amp;TEXT(ROW()-3,"0000"))</f>
        <v/>
      </c>
      <c r="AV269" s="19">
        <f>IF(A269="","",IF(OR(B269="",C269="",E269="",F269="",M269="",N269=""),"Revisar campos obligatorios",IF(AND(P269="Atraso primera hora",Q269=""),"Falta justificación atraso primera hora",IF(AND(Z269="No cumple",AA269=""),"Falta justificación recambio &gt;15 min",IF(AND(ISNUMBER(SEARCH("suspend",N269)),OR(AG269="",AH269="")),"Falta causa/motivo suspensión","OK")))))</f>
        <v/>
      </c>
      <c r="AW269" s="19">
        <f>IF(N269="","",IF(ISNUMBER(SEARCH("suspend",N269)),IF(AND(AG269="",AH269=""),"Sin causa/motivo registrado",IF(AG269="",AH269,IF(AH269="",AG269,AG269&amp;": "&amp;AH269))),""))</f>
        <v/>
      </c>
    </row>
    <row r="270" ht="16" customHeight="1" s="151">
      <c r="A270" s="62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20">
        <f>IF(H270&lt;&gt;"",IFERROR(VLOOKUP(IFERROR(LEFT(H270,FIND("-",H270)-1),H270),'Catalogo MINSAL'!A:E,5,FALSE),""),IF(I270&lt;&gt;"",IFERROR(VLOOKUP(IFERROR(LEFT(I270,FIND("-",I270)-1),I270),'Catalogo MINSAL'!A:E,5,FALSE),""),""))</f>
        <v/>
      </c>
      <c r="K270" s="19" t="n"/>
      <c r="L270" s="19" t="n"/>
      <c r="M270" s="19" t="n"/>
      <c r="N270" s="19" t="n"/>
      <c r="O270" s="25" t="n"/>
      <c r="P270" s="27">
        <f>IFERROR(IF(OR(O270="",A270="",M270=""),"",IF(SUMPRODUCT(($A$4:$A$500=A270)*($M$4:$M$500=M270)*($O$4:$O$500&lt;&gt;"")*(MOD($O$4:$O$500,1)&lt;MOD(O270,1)))=0,IF(MOD(O270,1)&lt;=TIME(8,15,0),"Ingreso adecuado primera hora","Atraso primera hora"),"No aplica")),"")</f>
        <v/>
      </c>
      <c r="Q270" s="27" t="n"/>
      <c r="R270" s="25" t="n"/>
      <c r="S270" s="25" t="n"/>
      <c r="T270" s="25" t="n"/>
      <c r="U270" s="25">
        <f>IFERROR(VLOOKUP(M270,'Horario Pabellones'!$A$4:$D$17,2,FALSE),"")</f>
        <v/>
      </c>
      <c r="V270" s="25">
        <f>IFERROR(VLOOKUP(M270,'Horario Pabellones'!$A$4:$D$17,3,FALSE),"")</f>
        <v/>
      </c>
      <c r="W270" s="99">
        <f>IFERROR(VLOOKUP(M270,'Horario Pabellones'!$A$4:$D$17,4,FALSE),"")</f>
        <v/>
      </c>
      <c r="X270" s="89">
        <f>IFERROR(IF(OR(A270="",M270="",W270=""),"",(((_xludf.AGGREGATE(14,6,MOD($S$4:$S$500,1)/(($A$4:$A$500=A270)*($M$4:$M$500=M270)*($R$4:$R$500&lt;&gt;"")*($S$4:$S$500&lt;&gt;"")),1)-_xludf.AGGREGATE(15,6,MOD($R$4:$R$500,1)/(($A$4:$A$500=A270)*($M$4:$M$500=M270)*($R$4:$R$500&lt;&gt;"")*($S$4:$S$500&lt;&gt;"")),1))*1440)/60)/(W270/60)),"")</f>
        <v/>
      </c>
      <c r="Y270" s="26">
        <f>IFERROR(IF(OR(O270="",A270="",M270=""),"",(IF(ISNUMBER(O270),MOD(O270,1),TIMEVALUE(O270))-LOOKUP(2,1/(($A$4:$A$500=A270)*($M$4:$M$500=M270)*($T$4:$T$500&lt;&gt;"")*($T$4:$T$500&lt;IF(ISNUMBER(O270),MOD(O270,1),TIMEVALUE(O270)))),$T$4:$T$500))*1440),"")</f>
        <v/>
      </c>
      <c r="Z270" s="27">
        <f>IFERROR(IF(Y270="","",IF(ROUND(Y270,0)&lt;=15,"Cumple","No cumple")),"")</f>
        <v/>
      </c>
      <c r="AA270" s="27" t="n"/>
      <c r="AB270" s="26">
        <f>IFERROR(IF(OR(O270="",R270=""),"",IF(IF(ISNUMBER(R270),MOD(R270,1),TIMEVALUE(R270))&gt;=IF(ISNUMBER(O270),MOD(O270,1),TIMEVALUE(O270)),(IF(ISNUMBER(R270),MOD(R270,1),TIMEVALUE(R270))-IF(ISNUMBER(O270),MOD(O270,1),TIMEVALUE(O270)))*1440,(IF(ISNUMBER(R270),MOD(R270,1),TIMEVALUE(R270))+1-IF(ISNUMBER(O270),MOD(O270,1),TIMEVALUE(O270)))*1440)),"")</f>
        <v/>
      </c>
      <c r="AC270" s="26">
        <f>IFERROR(IF(OR(R270="",S270=""),"",IF(IF(ISNUMBER(S270),MOD(S270,1),TIMEVALUE(S270))&gt;=IF(ISNUMBER(R270),MOD(R270,1),TIMEVALUE(R270)),(IF(ISNUMBER(S270),MOD(S270,1),TIMEVALUE(S270))-IF(ISNUMBER(R270),MOD(R270,1),TIMEVALUE(R270)))*1440,(IF(ISNUMBER(S270),MOD(S270,1),TIMEVALUE(S270))+1-IF(ISNUMBER(R270),MOD(R270,1),TIMEVALUE(R270)))*1440)),"")</f>
        <v/>
      </c>
      <c r="AD270" s="29" t="n"/>
      <c r="AE270" s="26">
        <f>IFERROR(IF(OR(AC270="",AD270=""),"",AC270-AD270),"")</f>
        <v/>
      </c>
      <c r="AF270" s="27">
        <f>IFERROR(IF(AE270="","",IF(ROUND(AE270,0)&gt;15,"Subestimacion",IF(ROUND(AE270,0)&lt;-15,"Sobrestimacion","Asertivo"))),"")</f>
        <v/>
      </c>
      <c r="AG270" s="19" t="n"/>
      <c r="AH270" s="19" t="n"/>
      <c r="AI270" s="19" t="n"/>
      <c r="AJ270" s="19" t="n"/>
      <c r="AK270" s="19" t="n"/>
      <c r="AL270" s="19" t="n"/>
      <c r="AM270" s="19" t="n"/>
      <c r="AN270" s="19" t="n"/>
      <c r="AO270" s="19" t="n"/>
      <c r="AP270" s="127">
        <f>IF(A270="","",A270-WEEKDAY(A270,2)+1)</f>
        <v/>
      </c>
      <c r="AQ270" s="127">
        <f>IF(AO270="","",AO270+6)</f>
        <v/>
      </c>
      <c r="AR270" s="19">
        <f>IF(AO270="","","Semana "&amp;TEXT(AO270,"dd-mm-yyyy")&amp;" al "&amp;TEXT(AP270,"dd-mm-yyyy"))</f>
        <v/>
      </c>
      <c r="AS270" s="19">
        <f>IF(A270="","",TEXT(A270,"mmmm yyyy"))</f>
        <v/>
      </c>
      <c r="AT270" s="19">
        <f>IF(A270="","",TEXT(A270,"dddd"))</f>
        <v/>
      </c>
      <c r="AU270" s="19">
        <f>IF(A270="","","CRR-"&amp;TEXT(A270,"yyyymmdd")&amp;"-"&amp;M270&amp;"-"&amp;TEXT(ROW()-3,"0000"))</f>
        <v/>
      </c>
      <c r="AV270" s="19">
        <f>IF(A270="","",IF(OR(B270="",C270="",E270="",F270="",M270="",N270=""),"Revisar campos obligatorios",IF(AND(P270="Atraso primera hora",Q270=""),"Falta justificación atraso primera hora",IF(AND(Z270="No cumple",AA270=""),"Falta justificación recambio &gt;15 min",IF(AND(ISNUMBER(SEARCH("suspend",N270)),OR(AG270="",AH270="")),"Falta causa/motivo suspensión","OK")))))</f>
        <v/>
      </c>
      <c r="AW270" s="19">
        <f>IF(N270="","",IF(ISNUMBER(SEARCH("suspend",N270)),IF(AND(AG270="",AH270=""),"Sin causa/motivo registrado",IF(AG270="",AH270,IF(AH270="",AG270,AG270&amp;": "&amp;AH270))),""))</f>
        <v/>
      </c>
    </row>
    <row r="271" ht="16" customHeight="1" s="151">
      <c r="A271" s="62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20">
        <f>IF(H271&lt;&gt;"",IFERROR(VLOOKUP(IFERROR(LEFT(H271,FIND("-",H271)-1),H271),'Catalogo MINSAL'!A:E,5,FALSE),""),IF(I271&lt;&gt;"",IFERROR(VLOOKUP(IFERROR(LEFT(I271,FIND("-",I271)-1),I271),'Catalogo MINSAL'!A:E,5,FALSE),""),""))</f>
        <v/>
      </c>
      <c r="K271" s="19" t="n"/>
      <c r="L271" s="19" t="n"/>
      <c r="M271" s="19" t="n"/>
      <c r="N271" s="19" t="n"/>
      <c r="O271" s="25" t="n"/>
      <c r="P271" s="27">
        <f>IFERROR(IF(OR(O271="",A271="",M271=""),"",IF(SUMPRODUCT(($A$4:$A$500=A271)*($M$4:$M$500=M271)*($O$4:$O$500&lt;&gt;"")*(MOD($O$4:$O$500,1)&lt;MOD(O271,1)))=0,IF(MOD(O271,1)&lt;=TIME(8,15,0),"Ingreso adecuado primera hora","Atraso primera hora"),"No aplica")),"")</f>
        <v/>
      </c>
      <c r="Q271" s="27" t="n"/>
      <c r="R271" s="25" t="n"/>
      <c r="S271" s="25" t="n"/>
      <c r="T271" s="25" t="n"/>
      <c r="U271" s="25">
        <f>IFERROR(VLOOKUP(M271,'Horario Pabellones'!$A$4:$D$17,2,FALSE),"")</f>
        <v/>
      </c>
      <c r="V271" s="25">
        <f>IFERROR(VLOOKUP(M271,'Horario Pabellones'!$A$4:$D$17,3,FALSE),"")</f>
        <v/>
      </c>
      <c r="W271" s="99">
        <f>IFERROR(VLOOKUP(M271,'Horario Pabellones'!$A$4:$D$17,4,FALSE),"")</f>
        <v/>
      </c>
      <c r="X271" s="89">
        <f>IFERROR(IF(OR(A271="",M271="",W271=""),"",(((_xludf.AGGREGATE(14,6,MOD($S$4:$S$500,1)/(($A$4:$A$500=A271)*($M$4:$M$500=M271)*($R$4:$R$500&lt;&gt;"")*($S$4:$S$500&lt;&gt;"")),1)-_xludf.AGGREGATE(15,6,MOD($R$4:$R$500,1)/(($A$4:$A$500=A271)*($M$4:$M$500=M271)*($R$4:$R$500&lt;&gt;"")*($S$4:$S$500&lt;&gt;"")),1))*1440)/60)/(W271/60)),"")</f>
        <v/>
      </c>
      <c r="Y271" s="26">
        <f>IFERROR(IF(OR(O271="",A271="",M271=""),"",(IF(ISNUMBER(O271),MOD(O271,1),TIMEVALUE(O271))-LOOKUP(2,1/(($A$4:$A$500=A271)*($M$4:$M$500=M271)*($T$4:$T$500&lt;&gt;"")*($T$4:$T$500&lt;IF(ISNUMBER(O271),MOD(O271,1),TIMEVALUE(O271)))),$T$4:$T$500))*1440),"")</f>
        <v/>
      </c>
      <c r="Z271" s="27">
        <f>IFERROR(IF(Y271="","",IF(ROUND(Y271,0)&lt;=15,"Cumple","No cumple")),"")</f>
        <v/>
      </c>
      <c r="AA271" s="27" t="n"/>
      <c r="AB271" s="26">
        <f>IFERROR(IF(OR(O271="",R271=""),"",IF(IF(ISNUMBER(R271),MOD(R271,1),TIMEVALUE(R271))&gt;=IF(ISNUMBER(O271),MOD(O271,1),TIMEVALUE(O271)),(IF(ISNUMBER(R271),MOD(R271,1),TIMEVALUE(R271))-IF(ISNUMBER(O271),MOD(O271,1),TIMEVALUE(O271)))*1440,(IF(ISNUMBER(R271),MOD(R271,1),TIMEVALUE(R271))+1-IF(ISNUMBER(O271),MOD(O271,1),TIMEVALUE(O271)))*1440)),"")</f>
        <v/>
      </c>
      <c r="AC271" s="26">
        <f>IFERROR(IF(OR(R271="",S271=""),"",IF(IF(ISNUMBER(S271),MOD(S271,1),TIMEVALUE(S271))&gt;=IF(ISNUMBER(R271),MOD(R271,1),TIMEVALUE(R271)),(IF(ISNUMBER(S271),MOD(S271,1),TIMEVALUE(S271))-IF(ISNUMBER(R271),MOD(R271,1),TIMEVALUE(R271)))*1440,(IF(ISNUMBER(S271),MOD(S271,1),TIMEVALUE(S271))+1-IF(ISNUMBER(R271),MOD(R271,1),TIMEVALUE(R271)))*1440)),"")</f>
        <v/>
      </c>
      <c r="AD271" s="29" t="n"/>
      <c r="AE271" s="26">
        <f>IFERROR(IF(OR(AC271="",AD271=""),"",AC271-AD271),"")</f>
        <v/>
      </c>
      <c r="AF271" s="27">
        <f>IFERROR(IF(AE271="","",IF(ROUND(AE271,0)&gt;15,"Subestimacion",IF(ROUND(AE271,0)&lt;-15,"Sobrestimacion","Asertivo"))),"")</f>
        <v/>
      </c>
      <c r="AG271" s="19" t="n"/>
      <c r="AH271" s="19" t="n"/>
      <c r="AI271" s="19" t="n"/>
      <c r="AJ271" s="19" t="n"/>
      <c r="AK271" s="19" t="n"/>
      <c r="AL271" s="19" t="n"/>
      <c r="AM271" s="19" t="n"/>
      <c r="AN271" s="19" t="n"/>
      <c r="AO271" s="19" t="n"/>
      <c r="AP271" s="127">
        <f>IF(A271="","",A271-WEEKDAY(A271,2)+1)</f>
        <v/>
      </c>
      <c r="AQ271" s="127">
        <f>IF(AO271="","",AO271+6)</f>
        <v/>
      </c>
      <c r="AR271" s="19">
        <f>IF(AO271="","","Semana "&amp;TEXT(AO271,"dd-mm-yyyy")&amp;" al "&amp;TEXT(AP271,"dd-mm-yyyy"))</f>
        <v/>
      </c>
      <c r="AS271" s="19">
        <f>IF(A271="","",TEXT(A271,"mmmm yyyy"))</f>
        <v/>
      </c>
      <c r="AT271" s="19">
        <f>IF(A271="","",TEXT(A271,"dddd"))</f>
        <v/>
      </c>
      <c r="AU271" s="19">
        <f>IF(A271="","","CRR-"&amp;TEXT(A271,"yyyymmdd")&amp;"-"&amp;M271&amp;"-"&amp;TEXT(ROW()-3,"0000"))</f>
        <v/>
      </c>
      <c r="AV271" s="19">
        <f>IF(A271="","",IF(OR(B271="",C271="",E271="",F271="",M271="",N271=""),"Revisar campos obligatorios",IF(AND(P271="Atraso primera hora",Q271=""),"Falta justificación atraso primera hora",IF(AND(Z271="No cumple",AA271=""),"Falta justificación recambio &gt;15 min",IF(AND(ISNUMBER(SEARCH("suspend",N271)),OR(AG271="",AH271="")),"Falta causa/motivo suspensión","OK")))))</f>
        <v/>
      </c>
      <c r="AW271" s="19">
        <f>IF(N271="","",IF(ISNUMBER(SEARCH("suspend",N271)),IF(AND(AG271="",AH271=""),"Sin causa/motivo registrado",IF(AG271="",AH271,IF(AH271="",AG271,AG271&amp;": "&amp;AH271))),""))</f>
        <v/>
      </c>
    </row>
    <row r="272" ht="16" customHeight="1" s="151">
      <c r="A272" s="62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20">
        <f>IF(H272&lt;&gt;"",IFERROR(VLOOKUP(IFERROR(LEFT(H272,FIND("-",H272)-1),H272),'Catalogo MINSAL'!A:E,5,FALSE),""),IF(I272&lt;&gt;"",IFERROR(VLOOKUP(IFERROR(LEFT(I272,FIND("-",I272)-1),I272),'Catalogo MINSAL'!A:E,5,FALSE),""),""))</f>
        <v/>
      </c>
      <c r="K272" s="19" t="n"/>
      <c r="L272" s="19" t="n"/>
      <c r="M272" s="19" t="n"/>
      <c r="N272" s="19" t="n"/>
      <c r="O272" s="25" t="n"/>
      <c r="P272" s="27">
        <f>IFERROR(IF(OR(O272="",A272="",M272=""),"",IF(SUMPRODUCT(($A$4:$A$500=A272)*($M$4:$M$500=M272)*($O$4:$O$500&lt;&gt;"")*(MOD($O$4:$O$500,1)&lt;MOD(O272,1)))=0,IF(MOD(O272,1)&lt;=TIME(8,15,0),"Ingreso adecuado primera hora","Atraso primera hora"),"No aplica")),"")</f>
        <v/>
      </c>
      <c r="Q272" s="27" t="n"/>
      <c r="R272" s="25" t="n"/>
      <c r="S272" s="25" t="n"/>
      <c r="T272" s="25" t="n"/>
      <c r="U272" s="25">
        <f>IFERROR(VLOOKUP(M272,'Horario Pabellones'!$A$4:$D$17,2,FALSE),"")</f>
        <v/>
      </c>
      <c r="V272" s="25">
        <f>IFERROR(VLOOKUP(M272,'Horario Pabellones'!$A$4:$D$17,3,FALSE),"")</f>
        <v/>
      </c>
      <c r="W272" s="99">
        <f>IFERROR(VLOOKUP(M272,'Horario Pabellones'!$A$4:$D$17,4,FALSE),"")</f>
        <v/>
      </c>
      <c r="X272" s="89">
        <f>IFERROR(IF(OR(A272="",M272="",W272=""),"",(((_xludf.AGGREGATE(14,6,MOD($S$4:$S$500,1)/(($A$4:$A$500=A272)*($M$4:$M$500=M272)*($R$4:$R$500&lt;&gt;"")*($S$4:$S$500&lt;&gt;"")),1)-_xludf.AGGREGATE(15,6,MOD($R$4:$R$500,1)/(($A$4:$A$500=A272)*($M$4:$M$500=M272)*($R$4:$R$500&lt;&gt;"")*($S$4:$S$500&lt;&gt;"")),1))*1440)/60)/(W272/60)),"")</f>
        <v/>
      </c>
      <c r="Y272" s="26">
        <f>IFERROR(IF(OR(O272="",A272="",M272=""),"",(IF(ISNUMBER(O272),MOD(O272,1),TIMEVALUE(O272))-LOOKUP(2,1/(($A$4:$A$500=A272)*($M$4:$M$500=M272)*($T$4:$T$500&lt;&gt;"")*($T$4:$T$500&lt;IF(ISNUMBER(O272),MOD(O272,1),TIMEVALUE(O272)))),$T$4:$T$500))*1440),"")</f>
        <v/>
      </c>
      <c r="Z272" s="27">
        <f>IFERROR(IF(Y272="","",IF(ROUND(Y272,0)&lt;=15,"Cumple","No cumple")),"")</f>
        <v/>
      </c>
      <c r="AA272" s="27" t="n"/>
      <c r="AB272" s="26">
        <f>IFERROR(IF(OR(O272="",R272=""),"",IF(IF(ISNUMBER(R272),MOD(R272,1),TIMEVALUE(R272))&gt;=IF(ISNUMBER(O272),MOD(O272,1),TIMEVALUE(O272)),(IF(ISNUMBER(R272),MOD(R272,1),TIMEVALUE(R272))-IF(ISNUMBER(O272),MOD(O272,1),TIMEVALUE(O272)))*1440,(IF(ISNUMBER(R272),MOD(R272,1),TIMEVALUE(R272))+1-IF(ISNUMBER(O272),MOD(O272,1),TIMEVALUE(O272)))*1440)),"")</f>
        <v/>
      </c>
      <c r="AC272" s="26">
        <f>IFERROR(IF(OR(R272="",S272=""),"",IF(IF(ISNUMBER(S272),MOD(S272,1),TIMEVALUE(S272))&gt;=IF(ISNUMBER(R272),MOD(R272,1),TIMEVALUE(R272)),(IF(ISNUMBER(S272),MOD(S272,1),TIMEVALUE(S272))-IF(ISNUMBER(R272),MOD(R272,1),TIMEVALUE(R272)))*1440,(IF(ISNUMBER(S272),MOD(S272,1),TIMEVALUE(S272))+1-IF(ISNUMBER(R272),MOD(R272,1),TIMEVALUE(R272)))*1440)),"")</f>
        <v/>
      </c>
      <c r="AD272" s="29" t="n"/>
      <c r="AE272" s="26">
        <f>IFERROR(IF(OR(AC272="",AD272=""),"",AC272-AD272),"")</f>
        <v/>
      </c>
      <c r="AF272" s="27">
        <f>IFERROR(IF(AE272="","",IF(ROUND(AE272,0)&gt;15,"Subestimacion",IF(ROUND(AE272,0)&lt;-15,"Sobrestimacion","Asertivo"))),"")</f>
        <v/>
      </c>
      <c r="AG272" s="19" t="n"/>
      <c r="AH272" s="19" t="n"/>
      <c r="AI272" s="19" t="n"/>
      <c r="AJ272" s="19" t="n"/>
      <c r="AK272" s="19" t="n"/>
      <c r="AL272" s="19" t="n"/>
      <c r="AM272" s="19" t="n"/>
      <c r="AN272" s="19" t="n"/>
      <c r="AO272" s="19" t="n"/>
      <c r="AP272" s="127">
        <f>IF(A272="","",A272-WEEKDAY(A272,2)+1)</f>
        <v/>
      </c>
      <c r="AQ272" s="127">
        <f>IF(AO272="","",AO272+6)</f>
        <v/>
      </c>
      <c r="AR272" s="19">
        <f>IF(AO272="","","Semana "&amp;TEXT(AO272,"dd-mm-yyyy")&amp;" al "&amp;TEXT(AP272,"dd-mm-yyyy"))</f>
        <v/>
      </c>
      <c r="AS272" s="19">
        <f>IF(A272="","",TEXT(A272,"mmmm yyyy"))</f>
        <v/>
      </c>
      <c r="AT272" s="19">
        <f>IF(A272="","",TEXT(A272,"dddd"))</f>
        <v/>
      </c>
      <c r="AU272" s="19">
        <f>IF(A272="","","CRR-"&amp;TEXT(A272,"yyyymmdd")&amp;"-"&amp;M272&amp;"-"&amp;TEXT(ROW()-3,"0000"))</f>
        <v/>
      </c>
      <c r="AV272" s="19">
        <f>IF(A272="","",IF(OR(B272="",C272="",E272="",F272="",M272="",N272=""),"Revisar campos obligatorios",IF(AND(P272="Atraso primera hora",Q272=""),"Falta justificación atraso primera hora",IF(AND(Z272="No cumple",AA272=""),"Falta justificación recambio &gt;15 min",IF(AND(ISNUMBER(SEARCH("suspend",N272)),OR(AG272="",AH272="")),"Falta causa/motivo suspensión","OK")))))</f>
        <v/>
      </c>
      <c r="AW272" s="19">
        <f>IF(N272="","",IF(ISNUMBER(SEARCH("suspend",N272)),IF(AND(AG272="",AH272=""),"Sin causa/motivo registrado",IF(AG272="",AH272,IF(AH272="",AG272,AG272&amp;": "&amp;AH272))),""))</f>
        <v/>
      </c>
    </row>
    <row r="273" ht="16" customHeight="1" s="151">
      <c r="A273" s="62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20">
        <f>IF(H273&lt;&gt;"",IFERROR(VLOOKUP(IFERROR(LEFT(H273,FIND("-",H273)-1),H273),'Catalogo MINSAL'!A:E,5,FALSE),""),IF(I273&lt;&gt;"",IFERROR(VLOOKUP(IFERROR(LEFT(I273,FIND("-",I273)-1),I273),'Catalogo MINSAL'!A:E,5,FALSE),""),""))</f>
        <v/>
      </c>
      <c r="K273" s="19" t="n"/>
      <c r="L273" s="19" t="n"/>
      <c r="M273" s="19" t="n"/>
      <c r="N273" s="19" t="n"/>
      <c r="O273" s="25" t="n"/>
      <c r="P273" s="27">
        <f>IFERROR(IF(OR(O273="",A273="",M273=""),"",IF(SUMPRODUCT(($A$4:$A$500=A273)*($M$4:$M$500=M273)*($O$4:$O$500&lt;&gt;"")*(MOD($O$4:$O$500,1)&lt;MOD(O273,1)))=0,IF(MOD(O273,1)&lt;=TIME(8,15,0),"Ingreso adecuado primera hora","Atraso primera hora"),"No aplica")),"")</f>
        <v/>
      </c>
      <c r="Q273" s="27" t="n"/>
      <c r="R273" s="25" t="n"/>
      <c r="S273" s="25" t="n"/>
      <c r="T273" s="25" t="n"/>
      <c r="U273" s="25">
        <f>IFERROR(VLOOKUP(M273,'Horario Pabellones'!$A$4:$D$17,2,FALSE),"")</f>
        <v/>
      </c>
      <c r="V273" s="25">
        <f>IFERROR(VLOOKUP(M273,'Horario Pabellones'!$A$4:$D$17,3,FALSE),"")</f>
        <v/>
      </c>
      <c r="W273" s="99">
        <f>IFERROR(VLOOKUP(M273,'Horario Pabellones'!$A$4:$D$17,4,FALSE),"")</f>
        <v/>
      </c>
      <c r="X273" s="89">
        <f>IFERROR(IF(OR(A273="",M273="",W273=""),"",(((_xludf.AGGREGATE(14,6,MOD($S$4:$S$500,1)/(($A$4:$A$500=A273)*($M$4:$M$500=M273)*($R$4:$R$500&lt;&gt;"")*($S$4:$S$500&lt;&gt;"")),1)-_xludf.AGGREGATE(15,6,MOD($R$4:$R$500,1)/(($A$4:$A$500=A273)*($M$4:$M$500=M273)*($R$4:$R$500&lt;&gt;"")*($S$4:$S$500&lt;&gt;"")),1))*1440)/60)/(W273/60)),"")</f>
        <v/>
      </c>
      <c r="Y273" s="26">
        <f>IFERROR(IF(OR(O273="",A273="",M273=""),"",(IF(ISNUMBER(O273),MOD(O273,1),TIMEVALUE(O273))-LOOKUP(2,1/(($A$4:$A$500=A273)*($M$4:$M$500=M273)*($T$4:$T$500&lt;&gt;"")*($T$4:$T$500&lt;IF(ISNUMBER(O273),MOD(O273,1),TIMEVALUE(O273)))),$T$4:$T$500))*1440),"")</f>
        <v/>
      </c>
      <c r="Z273" s="27">
        <f>IFERROR(IF(Y273="","",IF(ROUND(Y273,0)&lt;=15,"Cumple","No cumple")),"")</f>
        <v/>
      </c>
      <c r="AA273" s="27" t="n"/>
      <c r="AB273" s="26">
        <f>IFERROR(IF(OR(O273="",R273=""),"",IF(IF(ISNUMBER(R273),MOD(R273,1),TIMEVALUE(R273))&gt;=IF(ISNUMBER(O273),MOD(O273,1),TIMEVALUE(O273)),(IF(ISNUMBER(R273),MOD(R273,1),TIMEVALUE(R273))-IF(ISNUMBER(O273),MOD(O273,1),TIMEVALUE(O273)))*1440,(IF(ISNUMBER(R273),MOD(R273,1),TIMEVALUE(R273))+1-IF(ISNUMBER(O273),MOD(O273,1),TIMEVALUE(O273)))*1440)),"")</f>
        <v/>
      </c>
      <c r="AC273" s="26">
        <f>IFERROR(IF(OR(R273="",S273=""),"",IF(IF(ISNUMBER(S273),MOD(S273,1),TIMEVALUE(S273))&gt;=IF(ISNUMBER(R273),MOD(R273,1),TIMEVALUE(R273)),(IF(ISNUMBER(S273),MOD(S273,1),TIMEVALUE(S273))-IF(ISNUMBER(R273),MOD(R273,1),TIMEVALUE(R273)))*1440,(IF(ISNUMBER(S273),MOD(S273,1),TIMEVALUE(S273))+1-IF(ISNUMBER(R273),MOD(R273,1),TIMEVALUE(R273)))*1440)),"")</f>
        <v/>
      </c>
      <c r="AD273" s="29" t="n"/>
      <c r="AE273" s="26">
        <f>IFERROR(IF(OR(AC273="",AD273=""),"",AC273-AD273),"")</f>
        <v/>
      </c>
      <c r="AF273" s="27">
        <f>IFERROR(IF(AE273="","",IF(ROUND(AE273,0)&gt;15,"Subestimacion",IF(ROUND(AE273,0)&lt;-15,"Sobrestimacion","Asertivo"))),"")</f>
        <v/>
      </c>
      <c r="AG273" s="19" t="n"/>
      <c r="AH273" s="19" t="n"/>
      <c r="AI273" s="19" t="n"/>
      <c r="AJ273" s="19" t="n"/>
      <c r="AK273" s="19" t="n"/>
      <c r="AL273" s="19" t="n"/>
      <c r="AM273" s="19" t="n"/>
      <c r="AN273" s="19" t="n"/>
      <c r="AO273" s="19" t="n"/>
      <c r="AP273" s="127">
        <f>IF(A273="","",A273-WEEKDAY(A273,2)+1)</f>
        <v/>
      </c>
      <c r="AQ273" s="127">
        <f>IF(AO273="","",AO273+6)</f>
        <v/>
      </c>
      <c r="AR273" s="19">
        <f>IF(AO273="","","Semana "&amp;TEXT(AO273,"dd-mm-yyyy")&amp;" al "&amp;TEXT(AP273,"dd-mm-yyyy"))</f>
        <v/>
      </c>
      <c r="AS273" s="19">
        <f>IF(A273="","",TEXT(A273,"mmmm yyyy"))</f>
        <v/>
      </c>
      <c r="AT273" s="19">
        <f>IF(A273="","",TEXT(A273,"dddd"))</f>
        <v/>
      </c>
      <c r="AU273" s="19">
        <f>IF(A273="","","CRR-"&amp;TEXT(A273,"yyyymmdd")&amp;"-"&amp;M273&amp;"-"&amp;TEXT(ROW()-3,"0000"))</f>
        <v/>
      </c>
      <c r="AV273" s="19">
        <f>IF(A273="","",IF(OR(B273="",C273="",E273="",F273="",M273="",N273=""),"Revisar campos obligatorios",IF(AND(P273="Atraso primera hora",Q273=""),"Falta justificación atraso primera hora",IF(AND(Z273="No cumple",AA273=""),"Falta justificación recambio &gt;15 min",IF(AND(ISNUMBER(SEARCH("suspend",N273)),OR(AG273="",AH273="")),"Falta causa/motivo suspensión","OK")))))</f>
        <v/>
      </c>
      <c r="AW273" s="19">
        <f>IF(N273="","",IF(ISNUMBER(SEARCH("suspend",N273)),IF(AND(AG273="",AH273=""),"Sin causa/motivo registrado",IF(AG273="",AH273,IF(AH273="",AG273,AG273&amp;": "&amp;AH273))),""))</f>
        <v/>
      </c>
    </row>
    <row r="274" ht="16" customHeight="1" s="151">
      <c r="A274" s="62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20">
        <f>IF(H274&lt;&gt;"",IFERROR(VLOOKUP(IFERROR(LEFT(H274,FIND("-",H274)-1),H274),'Catalogo MINSAL'!A:E,5,FALSE),""),IF(I274&lt;&gt;"",IFERROR(VLOOKUP(IFERROR(LEFT(I274,FIND("-",I274)-1),I274),'Catalogo MINSAL'!A:E,5,FALSE),""),""))</f>
        <v/>
      </c>
      <c r="K274" s="19" t="n"/>
      <c r="L274" s="19" t="n"/>
      <c r="M274" s="19" t="n"/>
      <c r="N274" s="19" t="n"/>
      <c r="O274" s="25" t="n"/>
      <c r="P274" s="27">
        <f>IFERROR(IF(OR(O274="",A274="",M274=""),"",IF(SUMPRODUCT(($A$4:$A$500=A274)*($M$4:$M$500=M274)*($O$4:$O$500&lt;&gt;"")*(MOD($O$4:$O$500,1)&lt;MOD(O274,1)))=0,IF(MOD(O274,1)&lt;=TIME(8,15,0),"Ingreso adecuado primera hora","Atraso primera hora"),"No aplica")),"")</f>
        <v/>
      </c>
      <c r="Q274" s="27" t="n"/>
      <c r="R274" s="25" t="n"/>
      <c r="S274" s="25" t="n"/>
      <c r="T274" s="25" t="n"/>
      <c r="U274" s="25">
        <f>IFERROR(VLOOKUP(M274,'Horario Pabellones'!$A$4:$D$17,2,FALSE),"")</f>
        <v/>
      </c>
      <c r="V274" s="25">
        <f>IFERROR(VLOOKUP(M274,'Horario Pabellones'!$A$4:$D$17,3,FALSE),"")</f>
        <v/>
      </c>
      <c r="W274" s="99">
        <f>IFERROR(VLOOKUP(M274,'Horario Pabellones'!$A$4:$D$17,4,FALSE),"")</f>
        <v/>
      </c>
      <c r="X274" s="89">
        <f>IFERROR(IF(OR(A274="",M274="",W274=""),"",(((_xludf.AGGREGATE(14,6,MOD($S$4:$S$500,1)/(($A$4:$A$500=A274)*($M$4:$M$500=M274)*($R$4:$R$500&lt;&gt;"")*($S$4:$S$500&lt;&gt;"")),1)-_xludf.AGGREGATE(15,6,MOD($R$4:$R$500,1)/(($A$4:$A$500=A274)*($M$4:$M$500=M274)*($R$4:$R$500&lt;&gt;"")*($S$4:$S$500&lt;&gt;"")),1))*1440)/60)/(W274/60)),"")</f>
        <v/>
      </c>
      <c r="Y274" s="26">
        <f>IFERROR(IF(OR(O274="",A274="",M274=""),"",(IF(ISNUMBER(O274),MOD(O274,1),TIMEVALUE(O274))-LOOKUP(2,1/(($A$4:$A$500=A274)*($M$4:$M$500=M274)*($T$4:$T$500&lt;&gt;"")*($T$4:$T$500&lt;IF(ISNUMBER(O274),MOD(O274,1),TIMEVALUE(O274)))),$T$4:$T$500))*1440),"")</f>
        <v/>
      </c>
      <c r="Z274" s="27">
        <f>IFERROR(IF(Y274="","",IF(ROUND(Y274,0)&lt;=15,"Cumple","No cumple")),"")</f>
        <v/>
      </c>
      <c r="AA274" s="27" t="n"/>
      <c r="AB274" s="26">
        <f>IFERROR(IF(OR(O274="",R274=""),"",IF(IF(ISNUMBER(R274),MOD(R274,1),TIMEVALUE(R274))&gt;=IF(ISNUMBER(O274),MOD(O274,1),TIMEVALUE(O274)),(IF(ISNUMBER(R274),MOD(R274,1),TIMEVALUE(R274))-IF(ISNUMBER(O274),MOD(O274,1),TIMEVALUE(O274)))*1440,(IF(ISNUMBER(R274),MOD(R274,1),TIMEVALUE(R274))+1-IF(ISNUMBER(O274),MOD(O274,1),TIMEVALUE(O274)))*1440)),"")</f>
        <v/>
      </c>
      <c r="AC274" s="26">
        <f>IFERROR(IF(OR(R274="",S274=""),"",IF(IF(ISNUMBER(S274),MOD(S274,1),TIMEVALUE(S274))&gt;=IF(ISNUMBER(R274),MOD(R274,1),TIMEVALUE(R274)),(IF(ISNUMBER(S274),MOD(S274,1),TIMEVALUE(S274))-IF(ISNUMBER(R274),MOD(R274,1),TIMEVALUE(R274)))*1440,(IF(ISNUMBER(S274),MOD(S274,1),TIMEVALUE(S274))+1-IF(ISNUMBER(R274),MOD(R274,1),TIMEVALUE(R274)))*1440)),"")</f>
        <v/>
      </c>
      <c r="AD274" s="29" t="n"/>
      <c r="AE274" s="26">
        <f>IFERROR(IF(OR(AC274="",AD274=""),"",AC274-AD274),"")</f>
        <v/>
      </c>
      <c r="AF274" s="27">
        <f>IFERROR(IF(AE274="","",IF(ROUND(AE274,0)&gt;15,"Subestimacion",IF(ROUND(AE274,0)&lt;-15,"Sobrestimacion","Asertivo"))),"")</f>
        <v/>
      </c>
      <c r="AG274" s="19" t="n"/>
      <c r="AH274" s="19" t="n"/>
      <c r="AI274" s="19" t="n"/>
      <c r="AJ274" s="19" t="n"/>
      <c r="AK274" s="19" t="n"/>
      <c r="AL274" s="19" t="n"/>
      <c r="AM274" s="19" t="n"/>
      <c r="AN274" s="19" t="n"/>
      <c r="AO274" s="19" t="n"/>
      <c r="AP274" s="127">
        <f>IF(A274="","",A274-WEEKDAY(A274,2)+1)</f>
        <v/>
      </c>
      <c r="AQ274" s="127">
        <f>IF(AO274="","",AO274+6)</f>
        <v/>
      </c>
      <c r="AR274" s="19">
        <f>IF(AO274="","","Semana "&amp;TEXT(AO274,"dd-mm-yyyy")&amp;" al "&amp;TEXT(AP274,"dd-mm-yyyy"))</f>
        <v/>
      </c>
      <c r="AS274" s="19">
        <f>IF(A274="","",TEXT(A274,"mmmm yyyy"))</f>
        <v/>
      </c>
      <c r="AT274" s="19">
        <f>IF(A274="","",TEXT(A274,"dddd"))</f>
        <v/>
      </c>
      <c r="AU274" s="19">
        <f>IF(A274="","","CRR-"&amp;TEXT(A274,"yyyymmdd")&amp;"-"&amp;M274&amp;"-"&amp;TEXT(ROW()-3,"0000"))</f>
        <v/>
      </c>
      <c r="AV274" s="19">
        <f>IF(A274="","",IF(OR(B274="",C274="",E274="",F274="",M274="",N274=""),"Revisar campos obligatorios",IF(AND(P274="Atraso primera hora",Q274=""),"Falta justificación atraso primera hora",IF(AND(Z274="No cumple",AA274=""),"Falta justificación recambio &gt;15 min",IF(AND(ISNUMBER(SEARCH("suspend",N274)),OR(AG274="",AH274="")),"Falta causa/motivo suspensión","OK")))))</f>
        <v/>
      </c>
      <c r="AW274" s="19">
        <f>IF(N274="","",IF(ISNUMBER(SEARCH("suspend",N274)),IF(AND(AG274="",AH274=""),"Sin causa/motivo registrado",IF(AG274="",AH274,IF(AH274="",AG274,AG274&amp;": "&amp;AH274))),""))</f>
        <v/>
      </c>
    </row>
    <row r="275" ht="16" customHeight="1" s="151">
      <c r="A275" s="62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20">
        <f>IF(H275&lt;&gt;"",IFERROR(VLOOKUP(IFERROR(LEFT(H275,FIND("-",H275)-1),H275),'Catalogo MINSAL'!A:E,5,FALSE),""),IF(I275&lt;&gt;"",IFERROR(VLOOKUP(IFERROR(LEFT(I275,FIND("-",I275)-1),I275),'Catalogo MINSAL'!A:E,5,FALSE),""),""))</f>
        <v/>
      </c>
      <c r="K275" s="19" t="n"/>
      <c r="L275" s="19" t="n"/>
      <c r="M275" s="19" t="n"/>
      <c r="N275" s="19" t="n"/>
      <c r="O275" s="25" t="n"/>
      <c r="P275" s="27">
        <f>IFERROR(IF(OR(O275="",A275="",M275=""),"",IF(SUMPRODUCT(($A$4:$A$500=A275)*($M$4:$M$500=M275)*($O$4:$O$500&lt;&gt;"")*(MOD($O$4:$O$500,1)&lt;MOD(O275,1)))=0,IF(MOD(O275,1)&lt;=TIME(8,15,0),"Ingreso adecuado primera hora","Atraso primera hora"),"No aplica")),"")</f>
        <v/>
      </c>
      <c r="Q275" s="27" t="n"/>
      <c r="R275" s="25" t="n"/>
      <c r="S275" s="25" t="n"/>
      <c r="T275" s="25" t="n"/>
      <c r="U275" s="25">
        <f>IFERROR(VLOOKUP(M275,'Horario Pabellones'!$A$4:$D$17,2,FALSE),"")</f>
        <v/>
      </c>
      <c r="V275" s="25">
        <f>IFERROR(VLOOKUP(M275,'Horario Pabellones'!$A$4:$D$17,3,FALSE),"")</f>
        <v/>
      </c>
      <c r="W275" s="99">
        <f>IFERROR(VLOOKUP(M275,'Horario Pabellones'!$A$4:$D$17,4,FALSE),"")</f>
        <v/>
      </c>
      <c r="X275" s="89">
        <f>IFERROR(IF(OR(A275="",M275="",W275=""),"",(((_xludf.AGGREGATE(14,6,MOD($S$4:$S$500,1)/(($A$4:$A$500=A275)*($M$4:$M$500=M275)*($R$4:$R$500&lt;&gt;"")*($S$4:$S$500&lt;&gt;"")),1)-_xludf.AGGREGATE(15,6,MOD($R$4:$R$500,1)/(($A$4:$A$500=A275)*($M$4:$M$500=M275)*($R$4:$R$500&lt;&gt;"")*($S$4:$S$500&lt;&gt;"")),1))*1440)/60)/(W275/60)),"")</f>
        <v/>
      </c>
      <c r="Y275" s="26">
        <f>IFERROR(IF(OR(O275="",A275="",M275=""),"",(IF(ISNUMBER(O275),MOD(O275,1),TIMEVALUE(O275))-LOOKUP(2,1/(($A$4:$A$500=A275)*($M$4:$M$500=M275)*($T$4:$T$500&lt;&gt;"")*($T$4:$T$500&lt;IF(ISNUMBER(O275),MOD(O275,1),TIMEVALUE(O275)))),$T$4:$T$500))*1440),"")</f>
        <v/>
      </c>
      <c r="Z275" s="27">
        <f>IFERROR(IF(Y275="","",IF(ROUND(Y275,0)&lt;=15,"Cumple","No cumple")),"")</f>
        <v/>
      </c>
      <c r="AA275" s="27" t="n"/>
      <c r="AB275" s="26">
        <f>IFERROR(IF(OR(O275="",R275=""),"",IF(IF(ISNUMBER(R275),MOD(R275,1),TIMEVALUE(R275))&gt;=IF(ISNUMBER(O275),MOD(O275,1),TIMEVALUE(O275)),(IF(ISNUMBER(R275),MOD(R275,1),TIMEVALUE(R275))-IF(ISNUMBER(O275),MOD(O275,1),TIMEVALUE(O275)))*1440,(IF(ISNUMBER(R275),MOD(R275,1),TIMEVALUE(R275))+1-IF(ISNUMBER(O275),MOD(O275,1),TIMEVALUE(O275)))*1440)),"")</f>
        <v/>
      </c>
      <c r="AC275" s="26">
        <f>IFERROR(IF(OR(R275="",S275=""),"",IF(IF(ISNUMBER(S275),MOD(S275,1),TIMEVALUE(S275))&gt;=IF(ISNUMBER(R275),MOD(R275,1),TIMEVALUE(R275)),(IF(ISNUMBER(S275),MOD(S275,1),TIMEVALUE(S275))-IF(ISNUMBER(R275),MOD(R275,1),TIMEVALUE(R275)))*1440,(IF(ISNUMBER(S275),MOD(S275,1),TIMEVALUE(S275))+1-IF(ISNUMBER(R275),MOD(R275,1),TIMEVALUE(R275)))*1440)),"")</f>
        <v/>
      </c>
      <c r="AD275" s="29" t="n"/>
      <c r="AE275" s="26">
        <f>IFERROR(IF(OR(AC275="",AD275=""),"",AC275-AD275),"")</f>
        <v/>
      </c>
      <c r="AF275" s="27">
        <f>IFERROR(IF(AE275="","",IF(ROUND(AE275,0)&gt;15,"Subestimacion",IF(ROUND(AE275,0)&lt;-15,"Sobrestimacion","Asertivo"))),"")</f>
        <v/>
      </c>
      <c r="AG275" s="19" t="n"/>
      <c r="AH275" s="19" t="n"/>
      <c r="AI275" s="19" t="n"/>
      <c r="AJ275" s="19" t="n"/>
      <c r="AK275" s="19" t="n"/>
      <c r="AL275" s="19" t="n"/>
      <c r="AM275" s="19" t="n"/>
      <c r="AN275" s="19" t="n"/>
      <c r="AO275" s="19" t="n"/>
      <c r="AP275" s="127">
        <f>IF(A275="","",A275-WEEKDAY(A275,2)+1)</f>
        <v/>
      </c>
      <c r="AQ275" s="127">
        <f>IF(AO275="","",AO275+6)</f>
        <v/>
      </c>
      <c r="AR275" s="19">
        <f>IF(AO275="","","Semana "&amp;TEXT(AO275,"dd-mm-yyyy")&amp;" al "&amp;TEXT(AP275,"dd-mm-yyyy"))</f>
        <v/>
      </c>
      <c r="AS275" s="19">
        <f>IF(A275="","",TEXT(A275,"mmmm yyyy"))</f>
        <v/>
      </c>
      <c r="AT275" s="19">
        <f>IF(A275="","",TEXT(A275,"dddd"))</f>
        <v/>
      </c>
      <c r="AU275" s="19">
        <f>IF(A275="","","CRR-"&amp;TEXT(A275,"yyyymmdd")&amp;"-"&amp;M275&amp;"-"&amp;TEXT(ROW()-3,"0000"))</f>
        <v/>
      </c>
      <c r="AV275" s="19">
        <f>IF(A275="","",IF(OR(B275="",C275="",E275="",F275="",M275="",N275=""),"Revisar campos obligatorios",IF(AND(P275="Atraso primera hora",Q275=""),"Falta justificación atraso primera hora",IF(AND(Z275="No cumple",AA275=""),"Falta justificación recambio &gt;15 min",IF(AND(ISNUMBER(SEARCH("suspend",N275)),OR(AG275="",AH275="")),"Falta causa/motivo suspensión","OK")))))</f>
        <v/>
      </c>
      <c r="AW275" s="19">
        <f>IF(N275="","",IF(ISNUMBER(SEARCH("suspend",N275)),IF(AND(AG275="",AH275=""),"Sin causa/motivo registrado",IF(AG275="",AH275,IF(AH275="",AG275,AG275&amp;": "&amp;AH275))),""))</f>
        <v/>
      </c>
    </row>
    <row r="276" ht="16" customHeight="1" s="151">
      <c r="A276" s="62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20">
        <f>IF(H276&lt;&gt;"",IFERROR(VLOOKUP(IFERROR(LEFT(H276,FIND("-",H276)-1),H276),'Catalogo MINSAL'!A:E,5,FALSE),""),IF(I276&lt;&gt;"",IFERROR(VLOOKUP(IFERROR(LEFT(I276,FIND("-",I276)-1),I276),'Catalogo MINSAL'!A:E,5,FALSE),""),""))</f>
        <v/>
      </c>
      <c r="K276" s="19" t="n"/>
      <c r="L276" s="19" t="n"/>
      <c r="M276" s="19" t="n"/>
      <c r="N276" s="19" t="n"/>
      <c r="O276" s="25" t="n"/>
      <c r="P276" s="27">
        <f>IFERROR(IF(OR(O276="",A276="",M276=""),"",IF(SUMPRODUCT(($A$4:$A$500=A276)*($M$4:$M$500=M276)*($O$4:$O$500&lt;&gt;"")*(MOD($O$4:$O$500,1)&lt;MOD(O276,1)))=0,IF(MOD(O276,1)&lt;=TIME(8,15,0),"Ingreso adecuado primera hora","Atraso primera hora"),"No aplica")),"")</f>
        <v/>
      </c>
      <c r="Q276" s="27" t="n"/>
      <c r="R276" s="25" t="n"/>
      <c r="S276" s="25" t="n"/>
      <c r="T276" s="25" t="n"/>
      <c r="U276" s="25">
        <f>IFERROR(VLOOKUP(M276,'Horario Pabellones'!$A$4:$D$17,2,FALSE),"")</f>
        <v/>
      </c>
      <c r="V276" s="25">
        <f>IFERROR(VLOOKUP(M276,'Horario Pabellones'!$A$4:$D$17,3,FALSE),"")</f>
        <v/>
      </c>
      <c r="W276" s="99">
        <f>IFERROR(VLOOKUP(M276,'Horario Pabellones'!$A$4:$D$17,4,FALSE),"")</f>
        <v/>
      </c>
      <c r="X276" s="89">
        <f>IFERROR(IF(OR(A276="",M276="",W276=""),"",(((_xludf.AGGREGATE(14,6,MOD($S$4:$S$500,1)/(($A$4:$A$500=A276)*($M$4:$M$500=M276)*($R$4:$R$500&lt;&gt;"")*($S$4:$S$500&lt;&gt;"")),1)-_xludf.AGGREGATE(15,6,MOD($R$4:$R$500,1)/(($A$4:$A$500=A276)*($M$4:$M$500=M276)*($R$4:$R$500&lt;&gt;"")*($S$4:$S$500&lt;&gt;"")),1))*1440)/60)/(W276/60)),"")</f>
        <v/>
      </c>
      <c r="Y276" s="26">
        <f>IFERROR(IF(OR(O276="",A276="",M276=""),"",(IF(ISNUMBER(O276),MOD(O276,1),TIMEVALUE(O276))-LOOKUP(2,1/(($A$4:$A$500=A276)*($M$4:$M$500=M276)*($T$4:$T$500&lt;&gt;"")*($T$4:$T$500&lt;IF(ISNUMBER(O276),MOD(O276,1),TIMEVALUE(O276)))),$T$4:$T$500))*1440),"")</f>
        <v/>
      </c>
      <c r="Z276" s="27">
        <f>IFERROR(IF(Y276="","",IF(ROUND(Y276,0)&lt;=15,"Cumple","No cumple")),"")</f>
        <v/>
      </c>
      <c r="AA276" s="27" t="n"/>
      <c r="AB276" s="26">
        <f>IFERROR(IF(OR(O276="",R276=""),"",IF(IF(ISNUMBER(R276),MOD(R276,1),TIMEVALUE(R276))&gt;=IF(ISNUMBER(O276),MOD(O276,1),TIMEVALUE(O276)),(IF(ISNUMBER(R276),MOD(R276,1),TIMEVALUE(R276))-IF(ISNUMBER(O276),MOD(O276,1),TIMEVALUE(O276)))*1440,(IF(ISNUMBER(R276),MOD(R276,1),TIMEVALUE(R276))+1-IF(ISNUMBER(O276),MOD(O276,1),TIMEVALUE(O276)))*1440)),"")</f>
        <v/>
      </c>
      <c r="AC276" s="26">
        <f>IFERROR(IF(OR(R276="",S276=""),"",IF(IF(ISNUMBER(S276),MOD(S276,1),TIMEVALUE(S276))&gt;=IF(ISNUMBER(R276),MOD(R276,1),TIMEVALUE(R276)),(IF(ISNUMBER(S276),MOD(S276,1),TIMEVALUE(S276))-IF(ISNUMBER(R276),MOD(R276,1),TIMEVALUE(R276)))*1440,(IF(ISNUMBER(S276),MOD(S276,1),TIMEVALUE(S276))+1-IF(ISNUMBER(R276),MOD(R276,1),TIMEVALUE(R276)))*1440)),"")</f>
        <v/>
      </c>
      <c r="AD276" s="29" t="n"/>
      <c r="AE276" s="26">
        <f>IFERROR(IF(OR(AC276="",AD276=""),"",AC276-AD276),"")</f>
        <v/>
      </c>
      <c r="AF276" s="27">
        <f>IFERROR(IF(AE276="","",IF(ROUND(AE276,0)&gt;15,"Subestimacion",IF(ROUND(AE276,0)&lt;-15,"Sobrestimacion","Asertivo"))),"")</f>
        <v/>
      </c>
      <c r="AG276" s="19" t="n"/>
      <c r="AH276" s="19" t="n"/>
      <c r="AI276" s="19" t="n"/>
      <c r="AJ276" s="19" t="n"/>
      <c r="AK276" s="19" t="n"/>
      <c r="AL276" s="19" t="n"/>
      <c r="AM276" s="19" t="n"/>
      <c r="AN276" s="19" t="n"/>
      <c r="AO276" s="19" t="n"/>
      <c r="AP276" s="127">
        <f>IF(A276="","",A276-WEEKDAY(A276,2)+1)</f>
        <v/>
      </c>
      <c r="AQ276" s="127">
        <f>IF(AO276="","",AO276+6)</f>
        <v/>
      </c>
      <c r="AR276" s="19">
        <f>IF(AO276="","","Semana "&amp;TEXT(AO276,"dd-mm-yyyy")&amp;" al "&amp;TEXT(AP276,"dd-mm-yyyy"))</f>
        <v/>
      </c>
      <c r="AS276" s="19">
        <f>IF(A276="","",TEXT(A276,"mmmm yyyy"))</f>
        <v/>
      </c>
      <c r="AT276" s="19">
        <f>IF(A276="","",TEXT(A276,"dddd"))</f>
        <v/>
      </c>
      <c r="AU276" s="19">
        <f>IF(A276="","","CRR-"&amp;TEXT(A276,"yyyymmdd")&amp;"-"&amp;M276&amp;"-"&amp;TEXT(ROW()-3,"0000"))</f>
        <v/>
      </c>
      <c r="AV276" s="19">
        <f>IF(A276="","",IF(OR(B276="",C276="",E276="",F276="",M276="",N276=""),"Revisar campos obligatorios",IF(AND(P276="Atraso primera hora",Q276=""),"Falta justificación atraso primera hora",IF(AND(Z276="No cumple",AA276=""),"Falta justificación recambio &gt;15 min",IF(AND(ISNUMBER(SEARCH("suspend",N276)),OR(AG276="",AH276="")),"Falta causa/motivo suspensión","OK")))))</f>
        <v/>
      </c>
      <c r="AW276" s="19">
        <f>IF(N276="","",IF(ISNUMBER(SEARCH("suspend",N276)),IF(AND(AG276="",AH276=""),"Sin causa/motivo registrado",IF(AG276="",AH276,IF(AH276="",AG276,AG276&amp;": "&amp;AH276))),""))</f>
        <v/>
      </c>
    </row>
    <row r="277" ht="16" customHeight="1" s="151">
      <c r="A277" s="62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20">
        <f>IF(H277&lt;&gt;"",IFERROR(VLOOKUP(IFERROR(LEFT(H277,FIND("-",H277)-1),H277),'Catalogo MINSAL'!A:E,5,FALSE),""),IF(I277&lt;&gt;"",IFERROR(VLOOKUP(IFERROR(LEFT(I277,FIND("-",I277)-1),I277),'Catalogo MINSAL'!A:E,5,FALSE),""),""))</f>
        <v/>
      </c>
      <c r="K277" s="19" t="n"/>
      <c r="L277" s="19" t="n"/>
      <c r="M277" s="19" t="n"/>
      <c r="N277" s="19" t="n"/>
      <c r="O277" s="25" t="n"/>
      <c r="P277" s="27">
        <f>IFERROR(IF(OR(O277="",A277="",M277=""),"",IF(SUMPRODUCT(($A$4:$A$500=A277)*($M$4:$M$500=M277)*($O$4:$O$500&lt;&gt;"")*(MOD($O$4:$O$500,1)&lt;MOD(O277,1)))=0,IF(MOD(O277,1)&lt;=TIME(8,15,0),"Ingreso adecuado primera hora","Atraso primera hora"),"No aplica")),"")</f>
        <v/>
      </c>
      <c r="Q277" s="27" t="n"/>
      <c r="R277" s="25" t="n"/>
      <c r="S277" s="25" t="n"/>
      <c r="T277" s="25" t="n"/>
      <c r="U277" s="25">
        <f>IFERROR(VLOOKUP(M277,'Horario Pabellones'!$A$4:$D$17,2,FALSE),"")</f>
        <v/>
      </c>
      <c r="V277" s="25">
        <f>IFERROR(VLOOKUP(M277,'Horario Pabellones'!$A$4:$D$17,3,FALSE),"")</f>
        <v/>
      </c>
      <c r="W277" s="99">
        <f>IFERROR(VLOOKUP(M277,'Horario Pabellones'!$A$4:$D$17,4,FALSE),"")</f>
        <v/>
      </c>
      <c r="X277" s="89">
        <f>IFERROR(IF(OR(A277="",M277="",W277=""),"",(((_xludf.AGGREGATE(14,6,MOD($S$4:$S$500,1)/(($A$4:$A$500=A277)*($M$4:$M$500=M277)*($R$4:$R$500&lt;&gt;"")*($S$4:$S$500&lt;&gt;"")),1)-_xludf.AGGREGATE(15,6,MOD($R$4:$R$500,1)/(($A$4:$A$500=A277)*($M$4:$M$500=M277)*($R$4:$R$500&lt;&gt;"")*($S$4:$S$500&lt;&gt;"")),1))*1440)/60)/(W277/60)),"")</f>
        <v/>
      </c>
      <c r="Y277" s="26">
        <f>IFERROR(IF(OR(O277="",A277="",M277=""),"",(IF(ISNUMBER(O277),MOD(O277,1),TIMEVALUE(O277))-LOOKUP(2,1/(($A$4:$A$500=A277)*($M$4:$M$500=M277)*($T$4:$T$500&lt;&gt;"")*($T$4:$T$500&lt;IF(ISNUMBER(O277),MOD(O277,1),TIMEVALUE(O277)))),$T$4:$T$500))*1440),"")</f>
        <v/>
      </c>
      <c r="Z277" s="27">
        <f>IFERROR(IF(Y277="","",IF(ROUND(Y277,0)&lt;=15,"Cumple","No cumple")),"")</f>
        <v/>
      </c>
      <c r="AA277" s="27" t="n"/>
      <c r="AB277" s="26">
        <f>IFERROR(IF(OR(O277="",R277=""),"",IF(IF(ISNUMBER(R277),MOD(R277,1),TIMEVALUE(R277))&gt;=IF(ISNUMBER(O277),MOD(O277,1),TIMEVALUE(O277)),(IF(ISNUMBER(R277),MOD(R277,1),TIMEVALUE(R277))-IF(ISNUMBER(O277),MOD(O277,1),TIMEVALUE(O277)))*1440,(IF(ISNUMBER(R277),MOD(R277,1),TIMEVALUE(R277))+1-IF(ISNUMBER(O277),MOD(O277,1),TIMEVALUE(O277)))*1440)),"")</f>
        <v/>
      </c>
      <c r="AC277" s="26">
        <f>IFERROR(IF(OR(R277="",S277=""),"",IF(IF(ISNUMBER(S277),MOD(S277,1),TIMEVALUE(S277))&gt;=IF(ISNUMBER(R277),MOD(R277,1),TIMEVALUE(R277)),(IF(ISNUMBER(S277),MOD(S277,1),TIMEVALUE(S277))-IF(ISNUMBER(R277),MOD(R277,1),TIMEVALUE(R277)))*1440,(IF(ISNUMBER(S277),MOD(S277,1),TIMEVALUE(S277))+1-IF(ISNUMBER(R277),MOD(R277,1),TIMEVALUE(R277)))*1440)),"")</f>
        <v/>
      </c>
      <c r="AD277" s="29" t="n"/>
      <c r="AE277" s="26">
        <f>IFERROR(IF(OR(AC277="",AD277=""),"",AC277-AD277),"")</f>
        <v/>
      </c>
      <c r="AF277" s="27">
        <f>IFERROR(IF(AE277="","",IF(ROUND(AE277,0)&gt;15,"Subestimacion",IF(ROUND(AE277,0)&lt;-15,"Sobrestimacion","Asertivo"))),"")</f>
        <v/>
      </c>
      <c r="AG277" s="19" t="n"/>
      <c r="AH277" s="19" t="n"/>
      <c r="AI277" s="19" t="n"/>
      <c r="AJ277" s="19" t="n"/>
      <c r="AK277" s="19" t="n"/>
      <c r="AL277" s="19" t="n"/>
      <c r="AM277" s="19" t="n"/>
      <c r="AN277" s="19" t="n"/>
      <c r="AO277" s="19" t="n"/>
      <c r="AP277" s="127">
        <f>IF(A277="","",A277-WEEKDAY(A277,2)+1)</f>
        <v/>
      </c>
      <c r="AQ277" s="127">
        <f>IF(AO277="","",AO277+6)</f>
        <v/>
      </c>
      <c r="AR277" s="19">
        <f>IF(AO277="","","Semana "&amp;TEXT(AO277,"dd-mm-yyyy")&amp;" al "&amp;TEXT(AP277,"dd-mm-yyyy"))</f>
        <v/>
      </c>
      <c r="AS277" s="19">
        <f>IF(A277="","",TEXT(A277,"mmmm yyyy"))</f>
        <v/>
      </c>
      <c r="AT277" s="19">
        <f>IF(A277="","",TEXT(A277,"dddd"))</f>
        <v/>
      </c>
      <c r="AU277" s="19">
        <f>IF(A277="","","CRR-"&amp;TEXT(A277,"yyyymmdd")&amp;"-"&amp;M277&amp;"-"&amp;TEXT(ROW()-3,"0000"))</f>
        <v/>
      </c>
      <c r="AV277" s="19">
        <f>IF(A277="","",IF(OR(B277="",C277="",E277="",F277="",M277="",N277=""),"Revisar campos obligatorios",IF(AND(P277="Atraso primera hora",Q277=""),"Falta justificación atraso primera hora",IF(AND(Z277="No cumple",AA277=""),"Falta justificación recambio &gt;15 min",IF(AND(ISNUMBER(SEARCH("suspend",N277)),OR(AG277="",AH277="")),"Falta causa/motivo suspensión","OK")))))</f>
        <v/>
      </c>
      <c r="AW277" s="19">
        <f>IF(N277="","",IF(ISNUMBER(SEARCH("suspend",N277)),IF(AND(AG277="",AH277=""),"Sin causa/motivo registrado",IF(AG277="",AH277,IF(AH277="",AG277,AG277&amp;": "&amp;AH277))),""))</f>
        <v/>
      </c>
    </row>
    <row r="278" ht="16" customHeight="1" s="151">
      <c r="A278" s="62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20">
        <f>IF(H278&lt;&gt;"",IFERROR(VLOOKUP(IFERROR(LEFT(H278,FIND("-",H278)-1),H278),'Catalogo MINSAL'!A:E,5,FALSE),""),IF(I278&lt;&gt;"",IFERROR(VLOOKUP(IFERROR(LEFT(I278,FIND("-",I278)-1),I278),'Catalogo MINSAL'!A:E,5,FALSE),""),""))</f>
        <v/>
      </c>
      <c r="K278" s="19" t="n"/>
      <c r="L278" s="19" t="n"/>
      <c r="M278" s="19" t="n"/>
      <c r="N278" s="19" t="n"/>
      <c r="O278" s="25" t="n"/>
      <c r="P278" s="27">
        <f>IFERROR(IF(OR(O278="",A278="",M278=""),"",IF(SUMPRODUCT(($A$4:$A$500=A278)*($M$4:$M$500=M278)*($O$4:$O$500&lt;&gt;"")*(MOD($O$4:$O$500,1)&lt;MOD(O278,1)))=0,IF(MOD(O278,1)&lt;=TIME(8,15,0),"Ingreso adecuado primera hora","Atraso primera hora"),"No aplica")),"")</f>
        <v/>
      </c>
      <c r="Q278" s="27" t="n"/>
      <c r="R278" s="25" t="n"/>
      <c r="S278" s="25" t="n"/>
      <c r="T278" s="25" t="n"/>
      <c r="U278" s="25">
        <f>IFERROR(VLOOKUP(M278,'Horario Pabellones'!$A$4:$D$17,2,FALSE),"")</f>
        <v/>
      </c>
      <c r="V278" s="25">
        <f>IFERROR(VLOOKUP(M278,'Horario Pabellones'!$A$4:$D$17,3,FALSE),"")</f>
        <v/>
      </c>
      <c r="W278" s="99">
        <f>IFERROR(VLOOKUP(M278,'Horario Pabellones'!$A$4:$D$17,4,FALSE),"")</f>
        <v/>
      </c>
      <c r="X278" s="89">
        <f>IFERROR(IF(OR(A278="",M278="",W278=""),"",(((_xludf.AGGREGATE(14,6,MOD($S$4:$S$500,1)/(($A$4:$A$500=A278)*($M$4:$M$500=M278)*($R$4:$R$500&lt;&gt;"")*($S$4:$S$500&lt;&gt;"")),1)-_xludf.AGGREGATE(15,6,MOD($R$4:$R$500,1)/(($A$4:$A$500=A278)*($M$4:$M$500=M278)*($R$4:$R$500&lt;&gt;"")*($S$4:$S$500&lt;&gt;"")),1))*1440)/60)/(W278/60)),"")</f>
        <v/>
      </c>
      <c r="Y278" s="26">
        <f>IFERROR(IF(OR(O278="",A278="",M278=""),"",(IF(ISNUMBER(O278),MOD(O278,1),TIMEVALUE(O278))-LOOKUP(2,1/(($A$4:$A$500=A278)*($M$4:$M$500=M278)*($T$4:$T$500&lt;&gt;"")*($T$4:$T$500&lt;IF(ISNUMBER(O278),MOD(O278,1),TIMEVALUE(O278)))),$T$4:$T$500))*1440),"")</f>
        <v/>
      </c>
      <c r="Z278" s="27">
        <f>IFERROR(IF(Y278="","",IF(ROUND(Y278,0)&lt;=15,"Cumple","No cumple")),"")</f>
        <v/>
      </c>
      <c r="AA278" s="27" t="n"/>
      <c r="AB278" s="26">
        <f>IFERROR(IF(OR(O278="",R278=""),"",IF(IF(ISNUMBER(R278),MOD(R278,1),TIMEVALUE(R278))&gt;=IF(ISNUMBER(O278),MOD(O278,1),TIMEVALUE(O278)),(IF(ISNUMBER(R278),MOD(R278,1),TIMEVALUE(R278))-IF(ISNUMBER(O278),MOD(O278,1),TIMEVALUE(O278)))*1440,(IF(ISNUMBER(R278),MOD(R278,1),TIMEVALUE(R278))+1-IF(ISNUMBER(O278),MOD(O278,1),TIMEVALUE(O278)))*1440)),"")</f>
        <v/>
      </c>
      <c r="AC278" s="26">
        <f>IFERROR(IF(OR(R278="",S278=""),"",IF(IF(ISNUMBER(S278),MOD(S278,1),TIMEVALUE(S278))&gt;=IF(ISNUMBER(R278),MOD(R278,1),TIMEVALUE(R278)),(IF(ISNUMBER(S278),MOD(S278,1),TIMEVALUE(S278))-IF(ISNUMBER(R278),MOD(R278,1),TIMEVALUE(R278)))*1440,(IF(ISNUMBER(S278),MOD(S278,1),TIMEVALUE(S278))+1-IF(ISNUMBER(R278),MOD(R278,1),TIMEVALUE(R278)))*1440)),"")</f>
        <v/>
      </c>
      <c r="AD278" s="29" t="n"/>
      <c r="AE278" s="26">
        <f>IFERROR(IF(OR(AC278="",AD278=""),"",AC278-AD278),"")</f>
        <v/>
      </c>
      <c r="AF278" s="27">
        <f>IFERROR(IF(AE278="","",IF(ROUND(AE278,0)&gt;15,"Subestimacion",IF(ROUND(AE278,0)&lt;-15,"Sobrestimacion","Asertivo"))),"")</f>
        <v/>
      </c>
      <c r="AG278" s="19" t="n"/>
      <c r="AH278" s="19" t="n"/>
      <c r="AI278" s="19" t="n"/>
      <c r="AJ278" s="19" t="n"/>
      <c r="AK278" s="19" t="n"/>
      <c r="AL278" s="19" t="n"/>
      <c r="AM278" s="19" t="n"/>
      <c r="AN278" s="19" t="n"/>
      <c r="AO278" s="19" t="n"/>
      <c r="AP278" s="127">
        <f>IF(A278="","",A278-WEEKDAY(A278,2)+1)</f>
        <v/>
      </c>
      <c r="AQ278" s="127">
        <f>IF(AO278="","",AO278+6)</f>
        <v/>
      </c>
      <c r="AR278" s="19">
        <f>IF(AO278="","","Semana "&amp;TEXT(AO278,"dd-mm-yyyy")&amp;" al "&amp;TEXT(AP278,"dd-mm-yyyy"))</f>
        <v/>
      </c>
      <c r="AS278" s="19">
        <f>IF(A278="","",TEXT(A278,"mmmm yyyy"))</f>
        <v/>
      </c>
      <c r="AT278" s="19">
        <f>IF(A278="","",TEXT(A278,"dddd"))</f>
        <v/>
      </c>
      <c r="AU278" s="19">
        <f>IF(A278="","","CRR-"&amp;TEXT(A278,"yyyymmdd")&amp;"-"&amp;M278&amp;"-"&amp;TEXT(ROW()-3,"0000"))</f>
        <v/>
      </c>
      <c r="AV278" s="19">
        <f>IF(A278="","",IF(OR(B278="",C278="",E278="",F278="",M278="",N278=""),"Revisar campos obligatorios",IF(AND(P278="Atraso primera hora",Q278=""),"Falta justificación atraso primera hora",IF(AND(Z278="No cumple",AA278=""),"Falta justificación recambio &gt;15 min",IF(AND(ISNUMBER(SEARCH("suspend",N278)),OR(AG278="",AH278="")),"Falta causa/motivo suspensión","OK")))))</f>
        <v/>
      </c>
      <c r="AW278" s="19">
        <f>IF(N278="","",IF(ISNUMBER(SEARCH("suspend",N278)),IF(AND(AG278="",AH278=""),"Sin causa/motivo registrado",IF(AG278="",AH278,IF(AH278="",AG278,AG278&amp;": "&amp;AH278))),""))</f>
        <v/>
      </c>
    </row>
    <row r="279" ht="16" customHeight="1" s="151">
      <c r="A279" s="62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20">
        <f>IF(H279&lt;&gt;"",IFERROR(VLOOKUP(IFERROR(LEFT(H279,FIND("-",H279)-1),H279),'Catalogo MINSAL'!A:E,5,FALSE),""),IF(I279&lt;&gt;"",IFERROR(VLOOKUP(IFERROR(LEFT(I279,FIND("-",I279)-1),I279),'Catalogo MINSAL'!A:E,5,FALSE),""),""))</f>
        <v/>
      </c>
      <c r="K279" s="19" t="n"/>
      <c r="L279" s="19" t="n"/>
      <c r="M279" s="19" t="n"/>
      <c r="N279" s="19" t="n"/>
      <c r="O279" s="25" t="n"/>
      <c r="P279" s="27">
        <f>IFERROR(IF(OR(O279="",A279="",M279=""),"",IF(SUMPRODUCT(($A$4:$A$500=A279)*($M$4:$M$500=M279)*($O$4:$O$500&lt;&gt;"")*(MOD($O$4:$O$500,1)&lt;MOD(O279,1)))=0,IF(MOD(O279,1)&lt;=TIME(8,15,0),"Ingreso adecuado primera hora","Atraso primera hora"),"No aplica")),"")</f>
        <v/>
      </c>
      <c r="Q279" s="27" t="n"/>
      <c r="R279" s="25" t="n"/>
      <c r="S279" s="25" t="n"/>
      <c r="T279" s="25" t="n"/>
      <c r="U279" s="25">
        <f>IFERROR(VLOOKUP(M279,'Horario Pabellones'!$A$4:$D$17,2,FALSE),"")</f>
        <v/>
      </c>
      <c r="V279" s="25">
        <f>IFERROR(VLOOKUP(M279,'Horario Pabellones'!$A$4:$D$17,3,FALSE),"")</f>
        <v/>
      </c>
      <c r="W279" s="99">
        <f>IFERROR(VLOOKUP(M279,'Horario Pabellones'!$A$4:$D$17,4,FALSE),"")</f>
        <v/>
      </c>
      <c r="X279" s="89">
        <f>IFERROR(IF(OR(A279="",M279="",W279=""),"",(((_xludf.AGGREGATE(14,6,MOD($S$4:$S$500,1)/(($A$4:$A$500=A279)*($M$4:$M$500=M279)*($R$4:$R$500&lt;&gt;"")*($S$4:$S$500&lt;&gt;"")),1)-_xludf.AGGREGATE(15,6,MOD($R$4:$R$500,1)/(($A$4:$A$500=A279)*($M$4:$M$500=M279)*($R$4:$R$500&lt;&gt;"")*($S$4:$S$500&lt;&gt;"")),1))*1440)/60)/(W279/60)),"")</f>
        <v/>
      </c>
      <c r="Y279" s="26">
        <f>IFERROR(IF(OR(O279="",A279="",M279=""),"",(IF(ISNUMBER(O279),MOD(O279,1),TIMEVALUE(O279))-LOOKUP(2,1/(($A$4:$A$500=A279)*($M$4:$M$500=M279)*($T$4:$T$500&lt;&gt;"")*($T$4:$T$500&lt;IF(ISNUMBER(O279),MOD(O279,1),TIMEVALUE(O279)))),$T$4:$T$500))*1440),"")</f>
        <v/>
      </c>
      <c r="Z279" s="27">
        <f>IFERROR(IF(Y279="","",IF(ROUND(Y279,0)&lt;=15,"Cumple","No cumple")),"")</f>
        <v/>
      </c>
      <c r="AA279" s="27" t="n"/>
      <c r="AB279" s="26">
        <f>IFERROR(IF(OR(O279="",R279=""),"",IF(IF(ISNUMBER(R279),MOD(R279,1),TIMEVALUE(R279))&gt;=IF(ISNUMBER(O279),MOD(O279,1),TIMEVALUE(O279)),(IF(ISNUMBER(R279),MOD(R279,1),TIMEVALUE(R279))-IF(ISNUMBER(O279),MOD(O279,1),TIMEVALUE(O279)))*1440,(IF(ISNUMBER(R279),MOD(R279,1),TIMEVALUE(R279))+1-IF(ISNUMBER(O279),MOD(O279,1),TIMEVALUE(O279)))*1440)),"")</f>
        <v/>
      </c>
      <c r="AC279" s="26">
        <f>IFERROR(IF(OR(R279="",S279=""),"",IF(IF(ISNUMBER(S279),MOD(S279,1),TIMEVALUE(S279))&gt;=IF(ISNUMBER(R279),MOD(R279,1),TIMEVALUE(R279)),(IF(ISNUMBER(S279),MOD(S279,1),TIMEVALUE(S279))-IF(ISNUMBER(R279),MOD(R279,1),TIMEVALUE(R279)))*1440,(IF(ISNUMBER(S279),MOD(S279,1),TIMEVALUE(S279))+1-IF(ISNUMBER(R279),MOD(R279,1),TIMEVALUE(R279)))*1440)),"")</f>
        <v/>
      </c>
      <c r="AD279" s="29" t="n"/>
      <c r="AE279" s="26">
        <f>IFERROR(IF(OR(AC279="",AD279=""),"",AC279-AD279),"")</f>
        <v/>
      </c>
      <c r="AF279" s="27">
        <f>IFERROR(IF(AE279="","",IF(ROUND(AE279,0)&gt;15,"Subestimacion",IF(ROUND(AE279,0)&lt;-15,"Sobrestimacion","Asertivo"))),"")</f>
        <v/>
      </c>
      <c r="AG279" s="19" t="n"/>
      <c r="AH279" s="19" t="n"/>
      <c r="AI279" s="19" t="n"/>
      <c r="AJ279" s="19" t="n"/>
      <c r="AK279" s="19" t="n"/>
      <c r="AL279" s="19" t="n"/>
      <c r="AM279" s="19" t="n"/>
      <c r="AN279" s="19" t="n"/>
      <c r="AO279" s="19" t="n"/>
      <c r="AP279" s="127">
        <f>IF(A279="","",A279-WEEKDAY(A279,2)+1)</f>
        <v/>
      </c>
      <c r="AQ279" s="127">
        <f>IF(AO279="","",AO279+6)</f>
        <v/>
      </c>
      <c r="AR279" s="19">
        <f>IF(AO279="","","Semana "&amp;TEXT(AO279,"dd-mm-yyyy")&amp;" al "&amp;TEXT(AP279,"dd-mm-yyyy"))</f>
        <v/>
      </c>
      <c r="AS279" s="19">
        <f>IF(A279="","",TEXT(A279,"mmmm yyyy"))</f>
        <v/>
      </c>
      <c r="AT279" s="19">
        <f>IF(A279="","",TEXT(A279,"dddd"))</f>
        <v/>
      </c>
      <c r="AU279" s="19">
        <f>IF(A279="","","CRR-"&amp;TEXT(A279,"yyyymmdd")&amp;"-"&amp;M279&amp;"-"&amp;TEXT(ROW()-3,"0000"))</f>
        <v/>
      </c>
      <c r="AV279" s="19">
        <f>IF(A279="","",IF(OR(B279="",C279="",E279="",F279="",M279="",N279=""),"Revisar campos obligatorios",IF(AND(P279="Atraso primera hora",Q279=""),"Falta justificación atraso primera hora",IF(AND(Z279="No cumple",AA279=""),"Falta justificación recambio &gt;15 min",IF(AND(ISNUMBER(SEARCH("suspend",N279)),OR(AG279="",AH279="")),"Falta causa/motivo suspensión","OK")))))</f>
        <v/>
      </c>
      <c r="AW279" s="19">
        <f>IF(N279="","",IF(ISNUMBER(SEARCH("suspend",N279)),IF(AND(AG279="",AH279=""),"Sin causa/motivo registrado",IF(AG279="",AH279,IF(AH279="",AG279,AG279&amp;": "&amp;AH279))),""))</f>
        <v/>
      </c>
    </row>
    <row r="280" ht="16" customHeight="1" s="151">
      <c r="A280" s="62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20">
        <f>IF(H280&lt;&gt;"",IFERROR(VLOOKUP(IFERROR(LEFT(H280,FIND("-",H280)-1),H280),'Catalogo MINSAL'!A:E,5,FALSE),""),IF(I280&lt;&gt;"",IFERROR(VLOOKUP(IFERROR(LEFT(I280,FIND("-",I280)-1),I280),'Catalogo MINSAL'!A:E,5,FALSE),""),""))</f>
        <v/>
      </c>
      <c r="K280" s="19" t="n"/>
      <c r="L280" s="19" t="n"/>
      <c r="M280" s="19" t="n"/>
      <c r="N280" s="19" t="n"/>
      <c r="O280" s="25" t="n"/>
      <c r="P280" s="27">
        <f>IFERROR(IF(OR(O280="",A280="",M280=""),"",IF(SUMPRODUCT(($A$4:$A$500=A280)*($M$4:$M$500=M280)*($O$4:$O$500&lt;&gt;"")*(MOD($O$4:$O$500,1)&lt;MOD(O280,1)))=0,IF(MOD(O280,1)&lt;=TIME(8,15,0),"Ingreso adecuado primera hora","Atraso primera hora"),"No aplica")),"")</f>
        <v/>
      </c>
      <c r="Q280" s="27" t="n"/>
      <c r="R280" s="25" t="n"/>
      <c r="S280" s="25" t="n"/>
      <c r="T280" s="25" t="n"/>
      <c r="U280" s="25">
        <f>IFERROR(VLOOKUP(M280,'Horario Pabellones'!$A$4:$D$17,2,FALSE),"")</f>
        <v/>
      </c>
      <c r="V280" s="25">
        <f>IFERROR(VLOOKUP(M280,'Horario Pabellones'!$A$4:$D$17,3,FALSE),"")</f>
        <v/>
      </c>
      <c r="W280" s="99">
        <f>IFERROR(VLOOKUP(M280,'Horario Pabellones'!$A$4:$D$17,4,FALSE),"")</f>
        <v/>
      </c>
      <c r="X280" s="89">
        <f>IFERROR(IF(OR(A280="",M280="",W280=""),"",(((_xludf.AGGREGATE(14,6,MOD($S$4:$S$500,1)/(($A$4:$A$500=A280)*($M$4:$M$500=M280)*($R$4:$R$500&lt;&gt;"")*($S$4:$S$500&lt;&gt;"")),1)-_xludf.AGGREGATE(15,6,MOD($R$4:$R$500,1)/(($A$4:$A$500=A280)*($M$4:$M$500=M280)*($R$4:$R$500&lt;&gt;"")*($S$4:$S$500&lt;&gt;"")),1))*1440)/60)/(W280/60)),"")</f>
        <v/>
      </c>
      <c r="Y280" s="26">
        <f>IFERROR(IF(OR(O280="",A280="",M280=""),"",(IF(ISNUMBER(O280),MOD(O280,1),TIMEVALUE(O280))-LOOKUP(2,1/(($A$4:$A$500=A280)*($M$4:$M$500=M280)*($T$4:$T$500&lt;&gt;"")*($T$4:$T$500&lt;IF(ISNUMBER(O280),MOD(O280,1),TIMEVALUE(O280)))),$T$4:$T$500))*1440),"")</f>
        <v/>
      </c>
      <c r="Z280" s="27">
        <f>IFERROR(IF(Y280="","",IF(ROUND(Y280,0)&lt;=15,"Cumple","No cumple")),"")</f>
        <v/>
      </c>
      <c r="AA280" s="27" t="n"/>
      <c r="AB280" s="26">
        <f>IFERROR(IF(OR(O280="",R280=""),"",IF(IF(ISNUMBER(R280),MOD(R280,1),TIMEVALUE(R280))&gt;=IF(ISNUMBER(O280),MOD(O280,1),TIMEVALUE(O280)),(IF(ISNUMBER(R280),MOD(R280,1),TIMEVALUE(R280))-IF(ISNUMBER(O280),MOD(O280,1),TIMEVALUE(O280)))*1440,(IF(ISNUMBER(R280),MOD(R280,1),TIMEVALUE(R280))+1-IF(ISNUMBER(O280),MOD(O280,1),TIMEVALUE(O280)))*1440)),"")</f>
        <v/>
      </c>
      <c r="AC280" s="26">
        <f>IFERROR(IF(OR(R280="",S280=""),"",IF(IF(ISNUMBER(S280),MOD(S280,1),TIMEVALUE(S280))&gt;=IF(ISNUMBER(R280),MOD(R280,1),TIMEVALUE(R280)),(IF(ISNUMBER(S280),MOD(S280,1),TIMEVALUE(S280))-IF(ISNUMBER(R280),MOD(R280,1),TIMEVALUE(R280)))*1440,(IF(ISNUMBER(S280),MOD(S280,1),TIMEVALUE(S280))+1-IF(ISNUMBER(R280),MOD(R280,1),TIMEVALUE(R280)))*1440)),"")</f>
        <v/>
      </c>
      <c r="AD280" s="29" t="n"/>
      <c r="AE280" s="26">
        <f>IFERROR(IF(OR(AC280="",AD280=""),"",AC280-AD280),"")</f>
        <v/>
      </c>
      <c r="AF280" s="27">
        <f>IFERROR(IF(AE280="","",IF(ROUND(AE280,0)&gt;15,"Subestimacion",IF(ROUND(AE280,0)&lt;-15,"Sobrestimacion","Asertivo"))),"")</f>
        <v/>
      </c>
      <c r="AG280" s="19" t="n"/>
      <c r="AH280" s="19" t="n"/>
      <c r="AI280" s="19" t="n"/>
      <c r="AJ280" s="19" t="n"/>
      <c r="AK280" s="19" t="n"/>
      <c r="AL280" s="19" t="n"/>
      <c r="AM280" s="19" t="n"/>
      <c r="AN280" s="19" t="n"/>
      <c r="AO280" s="19" t="n"/>
      <c r="AP280" s="127">
        <f>IF(A280="","",A280-WEEKDAY(A280,2)+1)</f>
        <v/>
      </c>
      <c r="AQ280" s="127">
        <f>IF(AO280="","",AO280+6)</f>
        <v/>
      </c>
      <c r="AR280" s="19">
        <f>IF(AO280="","","Semana "&amp;TEXT(AO280,"dd-mm-yyyy")&amp;" al "&amp;TEXT(AP280,"dd-mm-yyyy"))</f>
        <v/>
      </c>
      <c r="AS280" s="19">
        <f>IF(A280="","",TEXT(A280,"mmmm yyyy"))</f>
        <v/>
      </c>
      <c r="AT280" s="19">
        <f>IF(A280="","",TEXT(A280,"dddd"))</f>
        <v/>
      </c>
      <c r="AU280" s="19">
        <f>IF(A280="","","CRR-"&amp;TEXT(A280,"yyyymmdd")&amp;"-"&amp;M280&amp;"-"&amp;TEXT(ROW()-3,"0000"))</f>
        <v/>
      </c>
      <c r="AV280" s="19">
        <f>IF(A280="","",IF(OR(B280="",C280="",E280="",F280="",M280="",N280=""),"Revisar campos obligatorios",IF(AND(P280="Atraso primera hora",Q280=""),"Falta justificación atraso primera hora",IF(AND(Z280="No cumple",AA280=""),"Falta justificación recambio &gt;15 min",IF(AND(ISNUMBER(SEARCH("suspend",N280)),OR(AG280="",AH280="")),"Falta causa/motivo suspensión","OK")))))</f>
        <v/>
      </c>
      <c r="AW280" s="19">
        <f>IF(N280="","",IF(ISNUMBER(SEARCH("suspend",N280)),IF(AND(AG280="",AH280=""),"Sin causa/motivo registrado",IF(AG280="",AH280,IF(AH280="",AG280,AG280&amp;": "&amp;AH280))),""))</f>
        <v/>
      </c>
    </row>
    <row r="281" ht="16" customHeight="1" s="151">
      <c r="A281" s="62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20">
        <f>IF(H281&lt;&gt;"",IFERROR(VLOOKUP(IFERROR(LEFT(H281,FIND("-",H281)-1),H281),'Catalogo MINSAL'!A:E,5,FALSE),""),IF(I281&lt;&gt;"",IFERROR(VLOOKUP(IFERROR(LEFT(I281,FIND("-",I281)-1),I281),'Catalogo MINSAL'!A:E,5,FALSE),""),""))</f>
        <v/>
      </c>
      <c r="K281" s="19" t="n"/>
      <c r="L281" s="19" t="n"/>
      <c r="M281" s="19" t="n"/>
      <c r="N281" s="19" t="n"/>
      <c r="O281" s="25" t="n"/>
      <c r="P281" s="27">
        <f>IFERROR(IF(OR(O281="",A281="",M281=""),"",IF(SUMPRODUCT(($A$4:$A$500=A281)*($M$4:$M$500=M281)*($O$4:$O$500&lt;&gt;"")*(MOD($O$4:$O$500,1)&lt;MOD(O281,1)))=0,IF(MOD(O281,1)&lt;=TIME(8,15,0),"Ingreso adecuado primera hora","Atraso primera hora"),"No aplica")),"")</f>
        <v/>
      </c>
      <c r="Q281" s="27" t="n"/>
      <c r="R281" s="25" t="n"/>
      <c r="S281" s="25" t="n"/>
      <c r="T281" s="25" t="n"/>
      <c r="U281" s="25">
        <f>IFERROR(VLOOKUP(M281,'Horario Pabellones'!$A$4:$D$17,2,FALSE),"")</f>
        <v/>
      </c>
      <c r="V281" s="25">
        <f>IFERROR(VLOOKUP(M281,'Horario Pabellones'!$A$4:$D$17,3,FALSE),"")</f>
        <v/>
      </c>
      <c r="W281" s="99">
        <f>IFERROR(VLOOKUP(M281,'Horario Pabellones'!$A$4:$D$17,4,FALSE),"")</f>
        <v/>
      </c>
      <c r="X281" s="89">
        <f>IFERROR(IF(OR(A281="",M281="",W281=""),"",(((_xludf.AGGREGATE(14,6,MOD($S$4:$S$500,1)/(($A$4:$A$500=A281)*($M$4:$M$500=M281)*($R$4:$R$500&lt;&gt;"")*($S$4:$S$500&lt;&gt;"")),1)-_xludf.AGGREGATE(15,6,MOD($R$4:$R$500,1)/(($A$4:$A$500=A281)*($M$4:$M$500=M281)*($R$4:$R$500&lt;&gt;"")*($S$4:$S$500&lt;&gt;"")),1))*1440)/60)/(W281/60)),"")</f>
        <v/>
      </c>
      <c r="Y281" s="26">
        <f>IFERROR(IF(OR(O281="",A281="",M281=""),"",(IF(ISNUMBER(O281),MOD(O281,1),TIMEVALUE(O281))-LOOKUP(2,1/(($A$4:$A$500=A281)*($M$4:$M$500=M281)*($T$4:$T$500&lt;&gt;"")*($T$4:$T$500&lt;IF(ISNUMBER(O281),MOD(O281,1),TIMEVALUE(O281)))),$T$4:$T$500))*1440),"")</f>
        <v/>
      </c>
      <c r="Z281" s="27">
        <f>IFERROR(IF(Y281="","",IF(ROUND(Y281,0)&lt;=15,"Cumple","No cumple")),"")</f>
        <v/>
      </c>
      <c r="AA281" s="27" t="n"/>
      <c r="AB281" s="26">
        <f>IFERROR(IF(OR(O281="",R281=""),"",IF(IF(ISNUMBER(R281),MOD(R281,1),TIMEVALUE(R281))&gt;=IF(ISNUMBER(O281),MOD(O281,1),TIMEVALUE(O281)),(IF(ISNUMBER(R281),MOD(R281,1),TIMEVALUE(R281))-IF(ISNUMBER(O281),MOD(O281,1),TIMEVALUE(O281)))*1440,(IF(ISNUMBER(R281),MOD(R281,1),TIMEVALUE(R281))+1-IF(ISNUMBER(O281),MOD(O281,1),TIMEVALUE(O281)))*1440)),"")</f>
        <v/>
      </c>
      <c r="AC281" s="26">
        <f>IFERROR(IF(OR(R281="",S281=""),"",IF(IF(ISNUMBER(S281),MOD(S281,1),TIMEVALUE(S281))&gt;=IF(ISNUMBER(R281),MOD(R281,1),TIMEVALUE(R281)),(IF(ISNUMBER(S281),MOD(S281,1),TIMEVALUE(S281))-IF(ISNUMBER(R281),MOD(R281,1),TIMEVALUE(R281)))*1440,(IF(ISNUMBER(S281),MOD(S281,1),TIMEVALUE(S281))+1-IF(ISNUMBER(R281),MOD(R281,1),TIMEVALUE(R281)))*1440)),"")</f>
        <v/>
      </c>
      <c r="AD281" s="29" t="n"/>
      <c r="AE281" s="26">
        <f>IFERROR(IF(OR(AC281="",AD281=""),"",AC281-AD281),"")</f>
        <v/>
      </c>
      <c r="AF281" s="27">
        <f>IFERROR(IF(AE281="","",IF(ROUND(AE281,0)&gt;15,"Subestimacion",IF(ROUND(AE281,0)&lt;-15,"Sobrestimacion","Asertivo"))),"")</f>
        <v/>
      </c>
      <c r="AG281" s="19" t="n"/>
      <c r="AH281" s="19" t="n"/>
      <c r="AI281" s="19" t="n"/>
      <c r="AJ281" s="19" t="n"/>
      <c r="AK281" s="19" t="n"/>
      <c r="AL281" s="19" t="n"/>
      <c r="AM281" s="19" t="n"/>
      <c r="AN281" s="19" t="n"/>
      <c r="AO281" s="19" t="n"/>
      <c r="AP281" s="127">
        <f>IF(A281="","",A281-WEEKDAY(A281,2)+1)</f>
        <v/>
      </c>
      <c r="AQ281" s="127">
        <f>IF(AO281="","",AO281+6)</f>
        <v/>
      </c>
      <c r="AR281" s="19">
        <f>IF(AO281="","","Semana "&amp;TEXT(AO281,"dd-mm-yyyy")&amp;" al "&amp;TEXT(AP281,"dd-mm-yyyy"))</f>
        <v/>
      </c>
      <c r="AS281" s="19">
        <f>IF(A281="","",TEXT(A281,"mmmm yyyy"))</f>
        <v/>
      </c>
      <c r="AT281" s="19">
        <f>IF(A281="","",TEXT(A281,"dddd"))</f>
        <v/>
      </c>
      <c r="AU281" s="19">
        <f>IF(A281="","","CRR-"&amp;TEXT(A281,"yyyymmdd")&amp;"-"&amp;M281&amp;"-"&amp;TEXT(ROW()-3,"0000"))</f>
        <v/>
      </c>
      <c r="AV281" s="19">
        <f>IF(A281="","",IF(OR(B281="",C281="",E281="",F281="",M281="",N281=""),"Revisar campos obligatorios",IF(AND(P281="Atraso primera hora",Q281=""),"Falta justificación atraso primera hora",IF(AND(Z281="No cumple",AA281=""),"Falta justificación recambio &gt;15 min",IF(AND(ISNUMBER(SEARCH("suspend",N281)),OR(AG281="",AH281="")),"Falta causa/motivo suspensión","OK")))))</f>
        <v/>
      </c>
      <c r="AW281" s="19">
        <f>IF(N281="","",IF(ISNUMBER(SEARCH("suspend",N281)),IF(AND(AG281="",AH281=""),"Sin causa/motivo registrado",IF(AG281="",AH281,IF(AH281="",AG281,AG281&amp;": "&amp;AH281))),""))</f>
        <v/>
      </c>
    </row>
    <row r="282" ht="16" customHeight="1" s="151">
      <c r="A282" s="62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20">
        <f>IF(H282&lt;&gt;"",IFERROR(VLOOKUP(IFERROR(LEFT(H282,FIND("-",H282)-1),H282),'Catalogo MINSAL'!A:E,5,FALSE),""),IF(I282&lt;&gt;"",IFERROR(VLOOKUP(IFERROR(LEFT(I282,FIND("-",I282)-1),I282),'Catalogo MINSAL'!A:E,5,FALSE),""),""))</f>
        <v/>
      </c>
      <c r="K282" s="19" t="n"/>
      <c r="L282" s="19" t="n"/>
      <c r="M282" s="19" t="n"/>
      <c r="N282" s="19" t="n"/>
      <c r="O282" s="25" t="n"/>
      <c r="P282" s="27">
        <f>IFERROR(IF(OR(O282="",A282="",M282=""),"",IF(SUMPRODUCT(($A$4:$A$500=A282)*($M$4:$M$500=M282)*($O$4:$O$500&lt;&gt;"")*(MOD($O$4:$O$500,1)&lt;MOD(O282,1)))=0,IF(MOD(O282,1)&lt;=TIME(8,15,0),"Ingreso adecuado primera hora","Atraso primera hora"),"No aplica")),"")</f>
        <v/>
      </c>
      <c r="Q282" s="27" t="n"/>
      <c r="R282" s="25" t="n"/>
      <c r="S282" s="25" t="n"/>
      <c r="T282" s="25" t="n"/>
      <c r="U282" s="25">
        <f>IFERROR(VLOOKUP(M282,'Horario Pabellones'!$A$4:$D$17,2,FALSE),"")</f>
        <v/>
      </c>
      <c r="V282" s="25">
        <f>IFERROR(VLOOKUP(M282,'Horario Pabellones'!$A$4:$D$17,3,FALSE),"")</f>
        <v/>
      </c>
      <c r="W282" s="99">
        <f>IFERROR(VLOOKUP(M282,'Horario Pabellones'!$A$4:$D$17,4,FALSE),"")</f>
        <v/>
      </c>
      <c r="X282" s="89">
        <f>IFERROR(IF(OR(A282="",M282="",W282=""),"",(((_xludf.AGGREGATE(14,6,MOD($S$4:$S$500,1)/(($A$4:$A$500=A282)*($M$4:$M$500=M282)*($R$4:$R$500&lt;&gt;"")*($S$4:$S$500&lt;&gt;"")),1)-_xludf.AGGREGATE(15,6,MOD($R$4:$R$500,1)/(($A$4:$A$500=A282)*($M$4:$M$500=M282)*($R$4:$R$500&lt;&gt;"")*($S$4:$S$500&lt;&gt;"")),1))*1440)/60)/(W282/60)),"")</f>
        <v/>
      </c>
      <c r="Y282" s="26">
        <f>IFERROR(IF(OR(O282="",A282="",M282=""),"",(IF(ISNUMBER(O282),MOD(O282,1),TIMEVALUE(O282))-LOOKUP(2,1/(($A$4:$A$500=A282)*($M$4:$M$500=M282)*($T$4:$T$500&lt;&gt;"")*($T$4:$T$500&lt;IF(ISNUMBER(O282),MOD(O282,1),TIMEVALUE(O282)))),$T$4:$T$500))*1440),"")</f>
        <v/>
      </c>
      <c r="Z282" s="27">
        <f>IFERROR(IF(Y282="","",IF(ROUND(Y282,0)&lt;=15,"Cumple","No cumple")),"")</f>
        <v/>
      </c>
      <c r="AA282" s="27" t="n"/>
      <c r="AB282" s="26">
        <f>IFERROR(IF(OR(O282="",R282=""),"",IF(IF(ISNUMBER(R282),MOD(R282,1),TIMEVALUE(R282))&gt;=IF(ISNUMBER(O282),MOD(O282,1),TIMEVALUE(O282)),(IF(ISNUMBER(R282),MOD(R282,1),TIMEVALUE(R282))-IF(ISNUMBER(O282),MOD(O282,1),TIMEVALUE(O282)))*1440,(IF(ISNUMBER(R282),MOD(R282,1),TIMEVALUE(R282))+1-IF(ISNUMBER(O282),MOD(O282,1),TIMEVALUE(O282)))*1440)),"")</f>
        <v/>
      </c>
      <c r="AC282" s="26">
        <f>IFERROR(IF(OR(R282="",S282=""),"",IF(IF(ISNUMBER(S282),MOD(S282,1),TIMEVALUE(S282))&gt;=IF(ISNUMBER(R282),MOD(R282,1),TIMEVALUE(R282)),(IF(ISNUMBER(S282),MOD(S282,1),TIMEVALUE(S282))-IF(ISNUMBER(R282),MOD(R282,1),TIMEVALUE(R282)))*1440,(IF(ISNUMBER(S282),MOD(S282,1),TIMEVALUE(S282))+1-IF(ISNUMBER(R282),MOD(R282,1),TIMEVALUE(R282)))*1440)),"")</f>
        <v/>
      </c>
      <c r="AD282" s="29" t="n"/>
      <c r="AE282" s="26">
        <f>IFERROR(IF(OR(AC282="",AD282=""),"",AC282-AD282),"")</f>
        <v/>
      </c>
      <c r="AF282" s="27">
        <f>IFERROR(IF(AE282="","",IF(ROUND(AE282,0)&gt;15,"Subestimacion",IF(ROUND(AE282,0)&lt;-15,"Sobrestimacion","Asertivo"))),"")</f>
        <v/>
      </c>
      <c r="AG282" s="19" t="n"/>
      <c r="AH282" s="19" t="n"/>
      <c r="AI282" s="19" t="n"/>
      <c r="AJ282" s="19" t="n"/>
      <c r="AK282" s="19" t="n"/>
      <c r="AL282" s="19" t="n"/>
      <c r="AM282" s="19" t="n"/>
      <c r="AN282" s="19" t="n"/>
      <c r="AO282" s="19" t="n"/>
      <c r="AP282" s="127">
        <f>IF(A282="","",A282-WEEKDAY(A282,2)+1)</f>
        <v/>
      </c>
      <c r="AQ282" s="127">
        <f>IF(AO282="","",AO282+6)</f>
        <v/>
      </c>
      <c r="AR282" s="19">
        <f>IF(AO282="","","Semana "&amp;TEXT(AO282,"dd-mm-yyyy")&amp;" al "&amp;TEXT(AP282,"dd-mm-yyyy"))</f>
        <v/>
      </c>
      <c r="AS282" s="19">
        <f>IF(A282="","",TEXT(A282,"mmmm yyyy"))</f>
        <v/>
      </c>
      <c r="AT282" s="19">
        <f>IF(A282="","",TEXT(A282,"dddd"))</f>
        <v/>
      </c>
      <c r="AU282" s="19">
        <f>IF(A282="","","CRR-"&amp;TEXT(A282,"yyyymmdd")&amp;"-"&amp;M282&amp;"-"&amp;TEXT(ROW()-3,"0000"))</f>
        <v/>
      </c>
      <c r="AV282" s="19">
        <f>IF(A282="","",IF(OR(B282="",C282="",E282="",F282="",M282="",N282=""),"Revisar campos obligatorios",IF(AND(P282="Atraso primera hora",Q282=""),"Falta justificación atraso primera hora",IF(AND(Z282="No cumple",AA282=""),"Falta justificación recambio &gt;15 min",IF(AND(ISNUMBER(SEARCH("suspend",N282)),OR(AG282="",AH282="")),"Falta causa/motivo suspensión","OK")))))</f>
        <v/>
      </c>
      <c r="AW282" s="19">
        <f>IF(N282="","",IF(ISNUMBER(SEARCH("suspend",N282)),IF(AND(AG282="",AH282=""),"Sin causa/motivo registrado",IF(AG282="",AH282,IF(AH282="",AG282,AG282&amp;": "&amp;AH282))),""))</f>
        <v/>
      </c>
    </row>
    <row r="283" ht="16" customHeight="1" s="151">
      <c r="A283" s="62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20">
        <f>IF(H283&lt;&gt;"",IFERROR(VLOOKUP(IFERROR(LEFT(H283,FIND("-",H283)-1),H283),'Catalogo MINSAL'!A:E,5,FALSE),""),IF(I283&lt;&gt;"",IFERROR(VLOOKUP(IFERROR(LEFT(I283,FIND("-",I283)-1),I283),'Catalogo MINSAL'!A:E,5,FALSE),""),""))</f>
        <v/>
      </c>
      <c r="K283" s="19" t="n"/>
      <c r="L283" s="19" t="n"/>
      <c r="M283" s="19" t="n"/>
      <c r="N283" s="19" t="n"/>
      <c r="O283" s="25" t="n"/>
      <c r="P283" s="27">
        <f>IFERROR(IF(OR(O283="",A283="",M283=""),"",IF(SUMPRODUCT(($A$4:$A$500=A283)*($M$4:$M$500=M283)*($O$4:$O$500&lt;&gt;"")*(MOD($O$4:$O$500,1)&lt;MOD(O283,1)))=0,IF(MOD(O283,1)&lt;=TIME(8,15,0),"Ingreso adecuado primera hora","Atraso primera hora"),"No aplica")),"")</f>
        <v/>
      </c>
      <c r="Q283" s="27" t="n"/>
      <c r="R283" s="25" t="n"/>
      <c r="S283" s="25" t="n"/>
      <c r="T283" s="25" t="n"/>
      <c r="U283" s="25">
        <f>IFERROR(VLOOKUP(M283,'Horario Pabellones'!$A$4:$D$17,2,FALSE),"")</f>
        <v/>
      </c>
      <c r="V283" s="25">
        <f>IFERROR(VLOOKUP(M283,'Horario Pabellones'!$A$4:$D$17,3,FALSE),"")</f>
        <v/>
      </c>
      <c r="W283" s="99">
        <f>IFERROR(VLOOKUP(M283,'Horario Pabellones'!$A$4:$D$17,4,FALSE),"")</f>
        <v/>
      </c>
      <c r="X283" s="89">
        <f>IFERROR(IF(OR(A283="",M283="",W283=""),"",(((_xludf.AGGREGATE(14,6,MOD($S$4:$S$500,1)/(($A$4:$A$500=A283)*($M$4:$M$500=M283)*($R$4:$R$500&lt;&gt;"")*($S$4:$S$500&lt;&gt;"")),1)-_xludf.AGGREGATE(15,6,MOD($R$4:$R$500,1)/(($A$4:$A$500=A283)*($M$4:$M$500=M283)*($R$4:$R$500&lt;&gt;"")*($S$4:$S$500&lt;&gt;"")),1))*1440)/60)/(W283/60)),"")</f>
        <v/>
      </c>
      <c r="Y283" s="26">
        <f>IFERROR(IF(OR(O283="",A283="",M283=""),"",(IF(ISNUMBER(O283),MOD(O283,1),TIMEVALUE(O283))-LOOKUP(2,1/(($A$4:$A$500=A283)*($M$4:$M$500=M283)*($T$4:$T$500&lt;&gt;"")*($T$4:$T$500&lt;IF(ISNUMBER(O283),MOD(O283,1),TIMEVALUE(O283)))),$T$4:$T$500))*1440),"")</f>
        <v/>
      </c>
      <c r="Z283" s="27">
        <f>IFERROR(IF(Y283="","",IF(ROUND(Y283,0)&lt;=15,"Cumple","No cumple")),"")</f>
        <v/>
      </c>
      <c r="AA283" s="27" t="n"/>
      <c r="AB283" s="26">
        <f>IFERROR(IF(OR(O283="",R283=""),"",IF(IF(ISNUMBER(R283),MOD(R283,1),TIMEVALUE(R283))&gt;=IF(ISNUMBER(O283),MOD(O283,1),TIMEVALUE(O283)),(IF(ISNUMBER(R283),MOD(R283,1),TIMEVALUE(R283))-IF(ISNUMBER(O283),MOD(O283,1),TIMEVALUE(O283)))*1440,(IF(ISNUMBER(R283),MOD(R283,1),TIMEVALUE(R283))+1-IF(ISNUMBER(O283),MOD(O283,1),TIMEVALUE(O283)))*1440)),"")</f>
        <v/>
      </c>
      <c r="AC283" s="26">
        <f>IFERROR(IF(OR(R283="",S283=""),"",IF(IF(ISNUMBER(S283),MOD(S283,1),TIMEVALUE(S283))&gt;=IF(ISNUMBER(R283),MOD(R283,1),TIMEVALUE(R283)),(IF(ISNUMBER(S283),MOD(S283,1),TIMEVALUE(S283))-IF(ISNUMBER(R283),MOD(R283,1),TIMEVALUE(R283)))*1440,(IF(ISNUMBER(S283),MOD(S283,1),TIMEVALUE(S283))+1-IF(ISNUMBER(R283),MOD(R283,1),TIMEVALUE(R283)))*1440)),"")</f>
        <v/>
      </c>
      <c r="AD283" s="29" t="n"/>
      <c r="AE283" s="26">
        <f>IFERROR(IF(OR(AC283="",AD283=""),"",AC283-AD283),"")</f>
        <v/>
      </c>
      <c r="AF283" s="27">
        <f>IFERROR(IF(AE283="","",IF(ROUND(AE283,0)&gt;15,"Subestimacion",IF(ROUND(AE283,0)&lt;-15,"Sobrestimacion","Asertivo"))),"")</f>
        <v/>
      </c>
      <c r="AG283" s="19" t="n"/>
      <c r="AH283" s="19" t="n"/>
      <c r="AI283" s="19" t="n"/>
      <c r="AJ283" s="19" t="n"/>
      <c r="AK283" s="19" t="n"/>
      <c r="AL283" s="19" t="n"/>
      <c r="AM283" s="19" t="n"/>
      <c r="AN283" s="19" t="n"/>
      <c r="AO283" s="19" t="n"/>
      <c r="AP283" s="127">
        <f>IF(A283="","",A283-WEEKDAY(A283,2)+1)</f>
        <v/>
      </c>
      <c r="AQ283" s="127">
        <f>IF(AO283="","",AO283+6)</f>
        <v/>
      </c>
      <c r="AR283" s="19">
        <f>IF(AO283="","","Semana "&amp;TEXT(AO283,"dd-mm-yyyy")&amp;" al "&amp;TEXT(AP283,"dd-mm-yyyy"))</f>
        <v/>
      </c>
      <c r="AS283" s="19">
        <f>IF(A283="","",TEXT(A283,"mmmm yyyy"))</f>
        <v/>
      </c>
      <c r="AT283" s="19">
        <f>IF(A283="","",TEXT(A283,"dddd"))</f>
        <v/>
      </c>
      <c r="AU283" s="19">
        <f>IF(A283="","","CRR-"&amp;TEXT(A283,"yyyymmdd")&amp;"-"&amp;M283&amp;"-"&amp;TEXT(ROW()-3,"0000"))</f>
        <v/>
      </c>
      <c r="AV283" s="19">
        <f>IF(A283="","",IF(OR(B283="",C283="",E283="",F283="",M283="",N283=""),"Revisar campos obligatorios",IF(AND(P283="Atraso primera hora",Q283=""),"Falta justificación atraso primera hora",IF(AND(Z283="No cumple",AA283=""),"Falta justificación recambio &gt;15 min",IF(AND(ISNUMBER(SEARCH("suspend",N283)),OR(AG283="",AH283="")),"Falta causa/motivo suspensión","OK")))))</f>
        <v/>
      </c>
      <c r="AW283" s="19">
        <f>IF(N283="","",IF(ISNUMBER(SEARCH("suspend",N283)),IF(AND(AG283="",AH283=""),"Sin causa/motivo registrado",IF(AG283="",AH283,IF(AH283="",AG283,AG283&amp;": "&amp;AH283))),""))</f>
        <v/>
      </c>
    </row>
    <row r="284" ht="16" customHeight="1" s="151">
      <c r="A284" s="62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20">
        <f>IF(H284&lt;&gt;"",IFERROR(VLOOKUP(IFERROR(LEFT(H284,FIND("-",H284)-1),H284),'Catalogo MINSAL'!A:E,5,FALSE),""),IF(I284&lt;&gt;"",IFERROR(VLOOKUP(IFERROR(LEFT(I284,FIND("-",I284)-1),I284),'Catalogo MINSAL'!A:E,5,FALSE),""),""))</f>
        <v/>
      </c>
      <c r="K284" s="19" t="n"/>
      <c r="L284" s="19" t="n"/>
      <c r="M284" s="19" t="n"/>
      <c r="N284" s="19" t="n"/>
      <c r="O284" s="25" t="n"/>
      <c r="P284" s="27">
        <f>IFERROR(IF(OR(O284="",A284="",M284=""),"",IF(SUMPRODUCT(($A$4:$A$500=A284)*($M$4:$M$500=M284)*($O$4:$O$500&lt;&gt;"")*(MOD($O$4:$O$500,1)&lt;MOD(O284,1)))=0,IF(MOD(O284,1)&lt;=TIME(8,15,0),"Ingreso adecuado primera hora","Atraso primera hora"),"No aplica")),"")</f>
        <v/>
      </c>
      <c r="Q284" s="27" t="n"/>
      <c r="R284" s="25" t="n"/>
      <c r="S284" s="25" t="n"/>
      <c r="T284" s="25" t="n"/>
      <c r="U284" s="25">
        <f>IFERROR(VLOOKUP(M284,'Horario Pabellones'!$A$4:$D$17,2,FALSE),"")</f>
        <v/>
      </c>
      <c r="V284" s="25">
        <f>IFERROR(VLOOKUP(M284,'Horario Pabellones'!$A$4:$D$17,3,FALSE),"")</f>
        <v/>
      </c>
      <c r="W284" s="99">
        <f>IFERROR(VLOOKUP(M284,'Horario Pabellones'!$A$4:$D$17,4,FALSE),"")</f>
        <v/>
      </c>
      <c r="X284" s="89">
        <f>IFERROR(IF(OR(A284="",M284="",W284=""),"",(((_xludf.AGGREGATE(14,6,MOD($S$4:$S$500,1)/(($A$4:$A$500=A284)*($M$4:$M$500=M284)*($R$4:$R$500&lt;&gt;"")*($S$4:$S$500&lt;&gt;"")),1)-_xludf.AGGREGATE(15,6,MOD($R$4:$R$500,1)/(($A$4:$A$500=A284)*($M$4:$M$500=M284)*($R$4:$R$500&lt;&gt;"")*($S$4:$S$500&lt;&gt;"")),1))*1440)/60)/(W284/60)),"")</f>
        <v/>
      </c>
      <c r="Y284" s="26">
        <f>IFERROR(IF(OR(O284="",A284="",M284=""),"",(IF(ISNUMBER(O284),MOD(O284,1),TIMEVALUE(O284))-LOOKUP(2,1/(($A$4:$A$500=A284)*($M$4:$M$500=M284)*($T$4:$T$500&lt;&gt;"")*($T$4:$T$500&lt;IF(ISNUMBER(O284),MOD(O284,1),TIMEVALUE(O284)))),$T$4:$T$500))*1440),"")</f>
        <v/>
      </c>
      <c r="Z284" s="27">
        <f>IFERROR(IF(Y284="","",IF(ROUND(Y284,0)&lt;=15,"Cumple","No cumple")),"")</f>
        <v/>
      </c>
      <c r="AA284" s="27" t="n"/>
      <c r="AB284" s="26">
        <f>IFERROR(IF(OR(O284="",R284=""),"",IF(IF(ISNUMBER(R284),MOD(R284,1),TIMEVALUE(R284))&gt;=IF(ISNUMBER(O284),MOD(O284,1),TIMEVALUE(O284)),(IF(ISNUMBER(R284),MOD(R284,1),TIMEVALUE(R284))-IF(ISNUMBER(O284),MOD(O284,1),TIMEVALUE(O284)))*1440,(IF(ISNUMBER(R284),MOD(R284,1),TIMEVALUE(R284))+1-IF(ISNUMBER(O284),MOD(O284,1),TIMEVALUE(O284)))*1440)),"")</f>
        <v/>
      </c>
      <c r="AC284" s="26">
        <f>IFERROR(IF(OR(R284="",S284=""),"",IF(IF(ISNUMBER(S284),MOD(S284,1),TIMEVALUE(S284))&gt;=IF(ISNUMBER(R284),MOD(R284,1),TIMEVALUE(R284)),(IF(ISNUMBER(S284),MOD(S284,1),TIMEVALUE(S284))-IF(ISNUMBER(R284),MOD(R284,1),TIMEVALUE(R284)))*1440,(IF(ISNUMBER(S284),MOD(S284,1),TIMEVALUE(S284))+1-IF(ISNUMBER(R284),MOD(R284,1),TIMEVALUE(R284)))*1440)),"")</f>
        <v/>
      </c>
      <c r="AD284" s="29" t="n"/>
      <c r="AE284" s="26">
        <f>IFERROR(IF(OR(AC284="",AD284=""),"",AC284-AD284),"")</f>
        <v/>
      </c>
      <c r="AF284" s="27">
        <f>IFERROR(IF(AE284="","",IF(ROUND(AE284,0)&gt;15,"Subestimacion",IF(ROUND(AE284,0)&lt;-15,"Sobrestimacion","Asertivo"))),"")</f>
        <v/>
      </c>
      <c r="AG284" s="19" t="n"/>
      <c r="AH284" s="19" t="n"/>
      <c r="AI284" s="19" t="n"/>
      <c r="AJ284" s="19" t="n"/>
      <c r="AK284" s="19" t="n"/>
      <c r="AL284" s="19" t="n"/>
      <c r="AM284" s="19" t="n"/>
      <c r="AN284" s="19" t="n"/>
      <c r="AO284" s="19" t="n"/>
      <c r="AP284" s="127">
        <f>IF(A284="","",A284-WEEKDAY(A284,2)+1)</f>
        <v/>
      </c>
      <c r="AQ284" s="127">
        <f>IF(AO284="","",AO284+6)</f>
        <v/>
      </c>
      <c r="AR284" s="19">
        <f>IF(AO284="","","Semana "&amp;TEXT(AO284,"dd-mm-yyyy")&amp;" al "&amp;TEXT(AP284,"dd-mm-yyyy"))</f>
        <v/>
      </c>
      <c r="AS284" s="19">
        <f>IF(A284="","",TEXT(A284,"mmmm yyyy"))</f>
        <v/>
      </c>
      <c r="AT284" s="19">
        <f>IF(A284="","",TEXT(A284,"dddd"))</f>
        <v/>
      </c>
      <c r="AU284" s="19">
        <f>IF(A284="","","CRR-"&amp;TEXT(A284,"yyyymmdd")&amp;"-"&amp;M284&amp;"-"&amp;TEXT(ROW()-3,"0000"))</f>
        <v/>
      </c>
      <c r="AV284" s="19">
        <f>IF(A284="","",IF(OR(B284="",C284="",E284="",F284="",M284="",N284=""),"Revisar campos obligatorios",IF(AND(P284="Atraso primera hora",Q284=""),"Falta justificación atraso primera hora",IF(AND(Z284="No cumple",AA284=""),"Falta justificación recambio &gt;15 min",IF(AND(ISNUMBER(SEARCH("suspend",N284)),OR(AG284="",AH284="")),"Falta causa/motivo suspensión","OK")))))</f>
        <v/>
      </c>
      <c r="AW284" s="19">
        <f>IF(N284="","",IF(ISNUMBER(SEARCH("suspend",N284)),IF(AND(AG284="",AH284=""),"Sin causa/motivo registrado",IF(AG284="",AH284,IF(AH284="",AG284,AG284&amp;": "&amp;AH284))),""))</f>
        <v/>
      </c>
    </row>
    <row r="285" ht="16" customHeight="1" s="151">
      <c r="A285" s="62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20">
        <f>IF(H285&lt;&gt;"",IFERROR(VLOOKUP(IFERROR(LEFT(H285,FIND("-",H285)-1),H285),'Catalogo MINSAL'!A:E,5,FALSE),""),IF(I285&lt;&gt;"",IFERROR(VLOOKUP(IFERROR(LEFT(I285,FIND("-",I285)-1),I285),'Catalogo MINSAL'!A:E,5,FALSE),""),""))</f>
        <v/>
      </c>
      <c r="K285" s="19" t="n"/>
      <c r="L285" s="19" t="n"/>
      <c r="M285" s="19" t="n"/>
      <c r="N285" s="19" t="n"/>
      <c r="O285" s="25" t="n"/>
      <c r="P285" s="27">
        <f>IFERROR(IF(OR(O285="",A285="",M285=""),"",IF(SUMPRODUCT(($A$4:$A$500=A285)*($M$4:$M$500=M285)*($O$4:$O$500&lt;&gt;"")*(MOD($O$4:$O$500,1)&lt;MOD(O285,1)))=0,IF(MOD(O285,1)&lt;=TIME(8,15,0),"Ingreso adecuado primera hora","Atraso primera hora"),"No aplica")),"")</f>
        <v/>
      </c>
      <c r="Q285" s="27" t="n"/>
      <c r="R285" s="25" t="n"/>
      <c r="S285" s="25" t="n"/>
      <c r="T285" s="25" t="n"/>
      <c r="U285" s="25">
        <f>IFERROR(VLOOKUP(M285,'Horario Pabellones'!$A$4:$D$17,2,FALSE),"")</f>
        <v/>
      </c>
      <c r="V285" s="25">
        <f>IFERROR(VLOOKUP(M285,'Horario Pabellones'!$A$4:$D$17,3,FALSE),"")</f>
        <v/>
      </c>
      <c r="W285" s="99">
        <f>IFERROR(VLOOKUP(M285,'Horario Pabellones'!$A$4:$D$17,4,FALSE),"")</f>
        <v/>
      </c>
      <c r="X285" s="89">
        <f>IFERROR(IF(OR(A285="",M285="",W285=""),"",(((_xludf.AGGREGATE(14,6,MOD($S$4:$S$500,1)/(($A$4:$A$500=A285)*($M$4:$M$500=M285)*($R$4:$R$500&lt;&gt;"")*($S$4:$S$500&lt;&gt;"")),1)-_xludf.AGGREGATE(15,6,MOD($R$4:$R$500,1)/(($A$4:$A$500=A285)*($M$4:$M$500=M285)*($R$4:$R$500&lt;&gt;"")*($S$4:$S$500&lt;&gt;"")),1))*1440)/60)/(W285/60)),"")</f>
        <v/>
      </c>
      <c r="Y285" s="26">
        <f>IFERROR(IF(OR(O285="",A285="",M285=""),"",(IF(ISNUMBER(O285),MOD(O285,1),TIMEVALUE(O285))-LOOKUP(2,1/(($A$4:$A$500=A285)*($M$4:$M$500=M285)*($T$4:$T$500&lt;&gt;"")*($T$4:$T$500&lt;IF(ISNUMBER(O285),MOD(O285,1),TIMEVALUE(O285)))),$T$4:$T$500))*1440),"")</f>
        <v/>
      </c>
      <c r="Z285" s="27">
        <f>IFERROR(IF(Y285="","",IF(ROUND(Y285,0)&lt;=15,"Cumple","No cumple")),"")</f>
        <v/>
      </c>
      <c r="AA285" s="27" t="n"/>
      <c r="AB285" s="26">
        <f>IFERROR(IF(OR(O285="",R285=""),"",IF(IF(ISNUMBER(R285),MOD(R285,1),TIMEVALUE(R285))&gt;=IF(ISNUMBER(O285),MOD(O285,1),TIMEVALUE(O285)),(IF(ISNUMBER(R285),MOD(R285,1),TIMEVALUE(R285))-IF(ISNUMBER(O285),MOD(O285,1),TIMEVALUE(O285)))*1440,(IF(ISNUMBER(R285),MOD(R285,1),TIMEVALUE(R285))+1-IF(ISNUMBER(O285),MOD(O285,1),TIMEVALUE(O285)))*1440)),"")</f>
        <v/>
      </c>
      <c r="AC285" s="26">
        <f>IFERROR(IF(OR(R285="",S285=""),"",IF(IF(ISNUMBER(S285),MOD(S285,1),TIMEVALUE(S285))&gt;=IF(ISNUMBER(R285),MOD(R285,1),TIMEVALUE(R285)),(IF(ISNUMBER(S285),MOD(S285,1),TIMEVALUE(S285))-IF(ISNUMBER(R285),MOD(R285,1),TIMEVALUE(R285)))*1440,(IF(ISNUMBER(S285),MOD(S285,1),TIMEVALUE(S285))+1-IF(ISNUMBER(R285),MOD(R285,1),TIMEVALUE(R285)))*1440)),"")</f>
        <v/>
      </c>
      <c r="AD285" s="29" t="n"/>
      <c r="AE285" s="26">
        <f>IFERROR(IF(OR(AC285="",AD285=""),"",AC285-AD285),"")</f>
        <v/>
      </c>
      <c r="AF285" s="27">
        <f>IFERROR(IF(AE285="","",IF(ROUND(AE285,0)&gt;15,"Subestimacion",IF(ROUND(AE285,0)&lt;-15,"Sobrestimacion","Asertivo"))),"")</f>
        <v/>
      </c>
      <c r="AG285" s="19" t="n"/>
      <c r="AH285" s="19" t="n"/>
      <c r="AI285" s="19" t="n"/>
      <c r="AJ285" s="19" t="n"/>
      <c r="AK285" s="19" t="n"/>
      <c r="AL285" s="19" t="n"/>
      <c r="AM285" s="19" t="n"/>
      <c r="AN285" s="19" t="n"/>
      <c r="AO285" s="19" t="n"/>
      <c r="AP285" s="127">
        <f>IF(A285="","",A285-WEEKDAY(A285,2)+1)</f>
        <v/>
      </c>
      <c r="AQ285" s="127">
        <f>IF(AO285="","",AO285+6)</f>
        <v/>
      </c>
      <c r="AR285" s="19">
        <f>IF(AO285="","","Semana "&amp;TEXT(AO285,"dd-mm-yyyy")&amp;" al "&amp;TEXT(AP285,"dd-mm-yyyy"))</f>
        <v/>
      </c>
      <c r="AS285" s="19">
        <f>IF(A285="","",TEXT(A285,"mmmm yyyy"))</f>
        <v/>
      </c>
      <c r="AT285" s="19">
        <f>IF(A285="","",TEXT(A285,"dddd"))</f>
        <v/>
      </c>
      <c r="AU285" s="19">
        <f>IF(A285="","","CRR-"&amp;TEXT(A285,"yyyymmdd")&amp;"-"&amp;M285&amp;"-"&amp;TEXT(ROW()-3,"0000"))</f>
        <v/>
      </c>
      <c r="AV285" s="19">
        <f>IF(A285="","",IF(OR(B285="",C285="",E285="",F285="",M285="",N285=""),"Revisar campos obligatorios",IF(AND(P285="Atraso primera hora",Q285=""),"Falta justificación atraso primera hora",IF(AND(Z285="No cumple",AA285=""),"Falta justificación recambio &gt;15 min",IF(AND(ISNUMBER(SEARCH("suspend",N285)),OR(AG285="",AH285="")),"Falta causa/motivo suspensión","OK")))))</f>
        <v/>
      </c>
      <c r="AW285" s="19">
        <f>IF(N285="","",IF(ISNUMBER(SEARCH("suspend",N285)),IF(AND(AG285="",AH285=""),"Sin causa/motivo registrado",IF(AG285="",AH285,IF(AH285="",AG285,AG285&amp;": "&amp;AH285))),""))</f>
        <v/>
      </c>
    </row>
    <row r="286" ht="16" customHeight="1" s="151">
      <c r="A286" s="62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20">
        <f>IF(H286&lt;&gt;"",IFERROR(VLOOKUP(IFERROR(LEFT(H286,FIND("-",H286)-1),H286),'Catalogo MINSAL'!A:E,5,FALSE),""),IF(I286&lt;&gt;"",IFERROR(VLOOKUP(IFERROR(LEFT(I286,FIND("-",I286)-1),I286),'Catalogo MINSAL'!A:E,5,FALSE),""),""))</f>
        <v/>
      </c>
      <c r="K286" s="19" t="n"/>
      <c r="L286" s="19" t="n"/>
      <c r="M286" s="19" t="n"/>
      <c r="N286" s="19" t="n"/>
      <c r="O286" s="25" t="n"/>
      <c r="P286" s="27">
        <f>IFERROR(IF(OR(O286="",A286="",M286=""),"",IF(SUMPRODUCT(($A$4:$A$500=A286)*($M$4:$M$500=M286)*($O$4:$O$500&lt;&gt;"")*(MOD($O$4:$O$500,1)&lt;MOD(O286,1)))=0,IF(MOD(O286,1)&lt;=TIME(8,15,0),"Ingreso adecuado primera hora","Atraso primera hora"),"No aplica")),"")</f>
        <v/>
      </c>
      <c r="Q286" s="27" t="n"/>
      <c r="R286" s="25" t="n"/>
      <c r="S286" s="25" t="n"/>
      <c r="T286" s="25" t="n"/>
      <c r="U286" s="25">
        <f>IFERROR(VLOOKUP(M286,'Horario Pabellones'!$A$4:$D$17,2,FALSE),"")</f>
        <v/>
      </c>
      <c r="V286" s="25">
        <f>IFERROR(VLOOKUP(M286,'Horario Pabellones'!$A$4:$D$17,3,FALSE),"")</f>
        <v/>
      </c>
      <c r="W286" s="99">
        <f>IFERROR(VLOOKUP(M286,'Horario Pabellones'!$A$4:$D$17,4,FALSE),"")</f>
        <v/>
      </c>
      <c r="X286" s="89">
        <f>IFERROR(IF(OR(A286="",M286="",W286=""),"",(((_xludf.AGGREGATE(14,6,MOD($S$4:$S$500,1)/(($A$4:$A$500=A286)*($M$4:$M$500=M286)*($R$4:$R$500&lt;&gt;"")*($S$4:$S$500&lt;&gt;"")),1)-_xludf.AGGREGATE(15,6,MOD($R$4:$R$500,1)/(($A$4:$A$500=A286)*($M$4:$M$500=M286)*($R$4:$R$500&lt;&gt;"")*($S$4:$S$500&lt;&gt;"")),1))*1440)/60)/(W286/60)),"")</f>
        <v/>
      </c>
      <c r="Y286" s="26">
        <f>IFERROR(IF(OR(O286="",A286="",M286=""),"",(IF(ISNUMBER(O286),MOD(O286,1),TIMEVALUE(O286))-LOOKUP(2,1/(($A$4:$A$500=A286)*($M$4:$M$500=M286)*($T$4:$T$500&lt;&gt;"")*($T$4:$T$500&lt;IF(ISNUMBER(O286),MOD(O286,1),TIMEVALUE(O286)))),$T$4:$T$500))*1440),"")</f>
        <v/>
      </c>
      <c r="Z286" s="27">
        <f>IFERROR(IF(Y286="","",IF(ROUND(Y286,0)&lt;=15,"Cumple","No cumple")),"")</f>
        <v/>
      </c>
      <c r="AA286" s="27" t="n"/>
      <c r="AB286" s="26">
        <f>IFERROR(IF(OR(O286="",R286=""),"",IF(IF(ISNUMBER(R286),MOD(R286,1),TIMEVALUE(R286))&gt;=IF(ISNUMBER(O286),MOD(O286,1),TIMEVALUE(O286)),(IF(ISNUMBER(R286),MOD(R286,1),TIMEVALUE(R286))-IF(ISNUMBER(O286),MOD(O286,1),TIMEVALUE(O286)))*1440,(IF(ISNUMBER(R286),MOD(R286,1),TIMEVALUE(R286))+1-IF(ISNUMBER(O286),MOD(O286,1),TIMEVALUE(O286)))*1440)),"")</f>
        <v/>
      </c>
      <c r="AC286" s="26">
        <f>IFERROR(IF(OR(R286="",S286=""),"",IF(IF(ISNUMBER(S286),MOD(S286,1),TIMEVALUE(S286))&gt;=IF(ISNUMBER(R286),MOD(R286,1),TIMEVALUE(R286)),(IF(ISNUMBER(S286),MOD(S286,1),TIMEVALUE(S286))-IF(ISNUMBER(R286),MOD(R286,1),TIMEVALUE(R286)))*1440,(IF(ISNUMBER(S286),MOD(S286,1),TIMEVALUE(S286))+1-IF(ISNUMBER(R286),MOD(R286,1),TIMEVALUE(R286)))*1440)),"")</f>
        <v/>
      </c>
      <c r="AD286" s="29" t="n"/>
      <c r="AE286" s="26">
        <f>IFERROR(IF(OR(AC286="",AD286=""),"",AC286-AD286),"")</f>
        <v/>
      </c>
      <c r="AF286" s="27">
        <f>IFERROR(IF(AE286="","",IF(ROUND(AE286,0)&gt;15,"Subestimacion",IF(ROUND(AE286,0)&lt;-15,"Sobrestimacion","Asertivo"))),"")</f>
        <v/>
      </c>
      <c r="AG286" s="19" t="n"/>
      <c r="AH286" s="19" t="n"/>
      <c r="AI286" s="19" t="n"/>
      <c r="AJ286" s="19" t="n"/>
      <c r="AK286" s="19" t="n"/>
      <c r="AL286" s="19" t="n"/>
      <c r="AM286" s="19" t="n"/>
      <c r="AN286" s="19" t="n"/>
      <c r="AO286" s="19" t="n"/>
      <c r="AP286" s="127">
        <f>IF(A286="","",A286-WEEKDAY(A286,2)+1)</f>
        <v/>
      </c>
      <c r="AQ286" s="127">
        <f>IF(AO286="","",AO286+6)</f>
        <v/>
      </c>
      <c r="AR286" s="19">
        <f>IF(AO286="","","Semana "&amp;TEXT(AO286,"dd-mm-yyyy")&amp;" al "&amp;TEXT(AP286,"dd-mm-yyyy"))</f>
        <v/>
      </c>
      <c r="AS286" s="19">
        <f>IF(A286="","",TEXT(A286,"mmmm yyyy"))</f>
        <v/>
      </c>
      <c r="AT286" s="19">
        <f>IF(A286="","",TEXT(A286,"dddd"))</f>
        <v/>
      </c>
      <c r="AU286" s="19">
        <f>IF(A286="","","CRR-"&amp;TEXT(A286,"yyyymmdd")&amp;"-"&amp;M286&amp;"-"&amp;TEXT(ROW()-3,"0000"))</f>
        <v/>
      </c>
      <c r="AV286" s="19">
        <f>IF(A286="","",IF(OR(B286="",C286="",E286="",F286="",M286="",N286=""),"Revisar campos obligatorios",IF(AND(P286="Atraso primera hora",Q286=""),"Falta justificación atraso primera hora",IF(AND(Z286="No cumple",AA286=""),"Falta justificación recambio &gt;15 min",IF(AND(ISNUMBER(SEARCH("suspend",N286)),OR(AG286="",AH286="")),"Falta causa/motivo suspensión","OK")))))</f>
        <v/>
      </c>
      <c r="AW286" s="19">
        <f>IF(N286="","",IF(ISNUMBER(SEARCH("suspend",N286)),IF(AND(AG286="",AH286=""),"Sin causa/motivo registrado",IF(AG286="",AH286,IF(AH286="",AG286,AG286&amp;": "&amp;AH286))),""))</f>
        <v/>
      </c>
    </row>
    <row r="287" ht="16" customHeight="1" s="151">
      <c r="A287" s="62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20">
        <f>IF(H287&lt;&gt;"",IFERROR(VLOOKUP(IFERROR(LEFT(H287,FIND("-",H287)-1),H287),'Catalogo MINSAL'!A:E,5,FALSE),""),IF(I287&lt;&gt;"",IFERROR(VLOOKUP(IFERROR(LEFT(I287,FIND("-",I287)-1),I287),'Catalogo MINSAL'!A:E,5,FALSE),""),""))</f>
        <v/>
      </c>
      <c r="K287" s="19" t="n"/>
      <c r="L287" s="19" t="n"/>
      <c r="M287" s="19" t="n"/>
      <c r="N287" s="19" t="n"/>
      <c r="O287" s="25" t="n"/>
      <c r="P287" s="27">
        <f>IFERROR(IF(OR(O287="",A287="",M287=""),"",IF(SUMPRODUCT(($A$4:$A$500=A287)*($M$4:$M$500=M287)*($O$4:$O$500&lt;&gt;"")*(MOD($O$4:$O$500,1)&lt;MOD(O287,1)))=0,IF(MOD(O287,1)&lt;=TIME(8,15,0),"Ingreso adecuado primera hora","Atraso primera hora"),"No aplica")),"")</f>
        <v/>
      </c>
      <c r="Q287" s="27" t="n"/>
      <c r="R287" s="25" t="n"/>
      <c r="S287" s="25" t="n"/>
      <c r="T287" s="25" t="n"/>
      <c r="U287" s="25">
        <f>IFERROR(VLOOKUP(M287,'Horario Pabellones'!$A$4:$D$17,2,FALSE),"")</f>
        <v/>
      </c>
      <c r="V287" s="25">
        <f>IFERROR(VLOOKUP(M287,'Horario Pabellones'!$A$4:$D$17,3,FALSE),"")</f>
        <v/>
      </c>
      <c r="W287" s="99">
        <f>IFERROR(VLOOKUP(M287,'Horario Pabellones'!$A$4:$D$17,4,FALSE),"")</f>
        <v/>
      </c>
      <c r="X287" s="89">
        <f>IFERROR(IF(OR(A287="",M287="",W287=""),"",(((_xludf.AGGREGATE(14,6,MOD($S$4:$S$500,1)/(($A$4:$A$500=A287)*($M$4:$M$500=M287)*($R$4:$R$500&lt;&gt;"")*($S$4:$S$500&lt;&gt;"")),1)-_xludf.AGGREGATE(15,6,MOD($R$4:$R$500,1)/(($A$4:$A$500=A287)*($M$4:$M$500=M287)*($R$4:$R$500&lt;&gt;"")*($S$4:$S$500&lt;&gt;"")),1))*1440)/60)/(W287/60)),"")</f>
        <v/>
      </c>
      <c r="Y287" s="26">
        <f>IFERROR(IF(OR(O287="",A287="",M287=""),"",(IF(ISNUMBER(O287),MOD(O287,1),TIMEVALUE(O287))-LOOKUP(2,1/(($A$4:$A$500=A287)*($M$4:$M$500=M287)*($T$4:$T$500&lt;&gt;"")*($T$4:$T$500&lt;IF(ISNUMBER(O287),MOD(O287,1),TIMEVALUE(O287)))),$T$4:$T$500))*1440),"")</f>
        <v/>
      </c>
      <c r="Z287" s="27">
        <f>IFERROR(IF(Y287="","",IF(ROUND(Y287,0)&lt;=15,"Cumple","No cumple")),"")</f>
        <v/>
      </c>
      <c r="AA287" s="27" t="n"/>
      <c r="AB287" s="26">
        <f>IFERROR(IF(OR(O287="",R287=""),"",IF(IF(ISNUMBER(R287),MOD(R287,1),TIMEVALUE(R287))&gt;=IF(ISNUMBER(O287),MOD(O287,1),TIMEVALUE(O287)),(IF(ISNUMBER(R287),MOD(R287,1),TIMEVALUE(R287))-IF(ISNUMBER(O287),MOD(O287,1),TIMEVALUE(O287)))*1440,(IF(ISNUMBER(R287),MOD(R287,1),TIMEVALUE(R287))+1-IF(ISNUMBER(O287),MOD(O287,1),TIMEVALUE(O287)))*1440)),"")</f>
        <v/>
      </c>
      <c r="AC287" s="26">
        <f>IFERROR(IF(OR(R287="",S287=""),"",IF(IF(ISNUMBER(S287),MOD(S287,1),TIMEVALUE(S287))&gt;=IF(ISNUMBER(R287),MOD(R287,1),TIMEVALUE(R287)),(IF(ISNUMBER(S287),MOD(S287,1),TIMEVALUE(S287))-IF(ISNUMBER(R287),MOD(R287,1),TIMEVALUE(R287)))*1440,(IF(ISNUMBER(S287),MOD(S287,1),TIMEVALUE(S287))+1-IF(ISNUMBER(R287),MOD(R287,1),TIMEVALUE(R287)))*1440)),"")</f>
        <v/>
      </c>
      <c r="AD287" s="29" t="n"/>
      <c r="AE287" s="26">
        <f>IFERROR(IF(OR(AC287="",AD287=""),"",AC287-AD287),"")</f>
        <v/>
      </c>
      <c r="AF287" s="27">
        <f>IFERROR(IF(AE287="","",IF(ROUND(AE287,0)&gt;15,"Subestimacion",IF(ROUND(AE287,0)&lt;-15,"Sobrestimacion","Asertivo"))),"")</f>
        <v/>
      </c>
      <c r="AG287" s="19" t="n"/>
      <c r="AH287" s="19" t="n"/>
      <c r="AI287" s="19" t="n"/>
      <c r="AJ287" s="19" t="n"/>
      <c r="AK287" s="19" t="n"/>
      <c r="AL287" s="19" t="n"/>
      <c r="AM287" s="19" t="n"/>
      <c r="AN287" s="19" t="n"/>
      <c r="AO287" s="19" t="n"/>
      <c r="AP287" s="127">
        <f>IF(A287="","",A287-WEEKDAY(A287,2)+1)</f>
        <v/>
      </c>
      <c r="AQ287" s="127">
        <f>IF(AO287="","",AO287+6)</f>
        <v/>
      </c>
      <c r="AR287" s="19">
        <f>IF(AO287="","","Semana "&amp;TEXT(AO287,"dd-mm-yyyy")&amp;" al "&amp;TEXT(AP287,"dd-mm-yyyy"))</f>
        <v/>
      </c>
      <c r="AS287" s="19">
        <f>IF(A287="","",TEXT(A287,"mmmm yyyy"))</f>
        <v/>
      </c>
      <c r="AT287" s="19">
        <f>IF(A287="","",TEXT(A287,"dddd"))</f>
        <v/>
      </c>
      <c r="AU287" s="19">
        <f>IF(A287="","","CRR-"&amp;TEXT(A287,"yyyymmdd")&amp;"-"&amp;M287&amp;"-"&amp;TEXT(ROW()-3,"0000"))</f>
        <v/>
      </c>
      <c r="AV287" s="19">
        <f>IF(A287="","",IF(OR(B287="",C287="",E287="",F287="",M287="",N287=""),"Revisar campos obligatorios",IF(AND(P287="Atraso primera hora",Q287=""),"Falta justificación atraso primera hora",IF(AND(Z287="No cumple",AA287=""),"Falta justificación recambio &gt;15 min",IF(AND(ISNUMBER(SEARCH("suspend",N287)),OR(AG287="",AH287="")),"Falta causa/motivo suspensión","OK")))))</f>
        <v/>
      </c>
      <c r="AW287" s="19">
        <f>IF(N287="","",IF(ISNUMBER(SEARCH("suspend",N287)),IF(AND(AG287="",AH287=""),"Sin causa/motivo registrado",IF(AG287="",AH287,IF(AH287="",AG287,AG287&amp;": "&amp;AH287))),""))</f>
        <v/>
      </c>
    </row>
    <row r="288" ht="16" customHeight="1" s="151">
      <c r="A288" s="62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20">
        <f>IF(H288&lt;&gt;"",IFERROR(VLOOKUP(IFERROR(LEFT(H288,FIND("-",H288)-1),H288),'Catalogo MINSAL'!A:E,5,FALSE),""),IF(I288&lt;&gt;"",IFERROR(VLOOKUP(IFERROR(LEFT(I288,FIND("-",I288)-1),I288),'Catalogo MINSAL'!A:E,5,FALSE),""),""))</f>
        <v/>
      </c>
      <c r="K288" s="19" t="n"/>
      <c r="L288" s="19" t="n"/>
      <c r="M288" s="19" t="n"/>
      <c r="N288" s="19" t="n"/>
      <c r="O288" s="25" t="n"/>
      <c r="P288" s="27">
        <f>IFERROR(IF(OR(O288="",A288="",M288=""),"",IF(SUMPRODUCT(($A$4:$A$500=A288)*($M$4:$M$500=M288)*($O$4:$O$500&lt;&gt;"")*(MOD($O$4:$O$500,1)&lt;MOD(O288,1)))=0,IF(MOD(O288,1)&lt;=TIME(8,15,0),"Ingreso adecuado primera hora","Atraso primera hora"),"No aplica")),"")</f>
        <v/>
      </c>
      <c r="Q288" s="27" t="n"/>
      <c r="R288" s="25" t="n"/>
      <c r="S288" s="25" t="n"/>
      <c r="T288" s="25" t="n"/>
      <c r="U288" s="25">
        <f>IFERROR(VLOOKUP(M288,'Horario Pabellones'!$A$4:$D$17,2,FALSE),"")</f>
        <v/>
      </c>
      <c r="V288" s="25">
        <f>IFERROR(VLOOKUP(M288,'Horario Pabellones'!$A$4:$D$17,3,FALSE),"")</f>
        <v/>
      </c>
      <c r="W288" s="99">
        <f>IFERROR(VLOOKUP(M288,'Horario Pabellones'!$A$4:$D$17,4,FALSE),"")</f>
        <v/>
      </c>
      <c r="X288" s="89">
        <f>IFERROR(IF(OR(A288="",M288="",W288=""),"",(((_xludf.AGGREGATE(14,6,MOD($S$4:$S$500,1)/(($A$4:$A$500=A288)*($M$4:$M$500=M288)*($R$4:$R$500&lt;&gt;"")*($S$4:$S$500&lt;&gt;"")),1)-_xludf.AGGREGATE(15,6,MOD($R$4:$R$500,1)/(($A$4:$A$500=A288)*($M$4:$M$500=M288)*($R$4:$R$500&lt;&gt;"")*($S$4:$S$500&lt;&gt;"")),1))*1440)/60)/(W288/60)),"")</f>
        <v/>
      </c>
      <c r="Y288" s="26">
        <f>IFERROR(IF(OR(O288="",A288="",M288=""),"",(IF(ISNUMBER(O288),MOD(O288,1),TIMEVALUE(O288))-LOOKUP(2,1/(($A$4:$A$500=A288)*($M$4:$M$500=M288)*($T$4:$T$500&lt;&gt;"")*($T$4:$T$500&lt;IF(ISNUMBER(O288),MOD(O288,1),TIMEVALUE(O288)))),$T$4:$T$500))*1440),"")</f>
        <v/>
      </c>
      <c r="Z288" s="27">
        <f>IFERROR(IF(Y288="","",IF(ROUND(Y288,0)&lt;=15,"Cumple","No cumple")),"")</f>
        <v/>
      </c>
      <c r="AA288" s="27" t="n"/>
      <c r="AB288" s="26">
        <f>IFERROR(IF(OR(O288="",R288=""),"",IF(IF(ISNUMBER(R288),MOD(R288,1),TIMEVALUE(R288))&gt;=IF(ISNUMBER(O288),MOD(O288,1),TIMEVALUE(O288)),(IF(ISNUMBER(R288),MOD(R288,1),TIMEVALUE(R288))-IF(ISNUMBER(O288),MOD(O288,1),TIMEVALUE(O288)))*1440,(IF(ISNUMBER(R288),MOD(R288,1),TIMEVALUE(R288))+1-IF(ISNUMBER(O288),MOD(O288,1),TIMEVALUE(O288)))*1440)),"")</f>
        <v/>
      </c>
      <c r="AC288" s="26">
        <f>IFERROR(IF(OR(R288="",S288=""),"",IF(IF(ISNUMBER(S288),MOD(S288,1),TIMEVALUE(S288))&gt;=IF(ISNUMBER(R288),MOD(R288,1),TIMEVALUE(R288)),(IF(ISNUMBER(S288),MOD(S288,1),TIMEVALUE(S288))-IF(ISNUMBER(R288),MOD(R288,1),TIMEVALUE(R288)))*1440,(IF(ISNUMBER(S288),MOD(S288,1),TIMEVALUE(S288))+1-IF(ISNUMBER(R288),MOD(R288,1),TIMEVALUE(R288)))*1440)),"")</f>
        <v/>
      </c>
      <c r="AD288" s="29" t="n"/>
      <c r="AE288" s="26">
        <f>IFERROR(IF(OR(AC288="",AD288=""),"",AC288-AD288),"")</f>
        <v/>
      </c>
      <c r="AF288" s="27">
        <f>IFERROR(IF(AE288="","",IF(ROUND(AE288,0)&gt;15,"Subestimacion",IF(ROUND(AE288,0)&lt;-15,"Sobrestimacion","Asertivo"))),"")</f>
        <v/>
      </c>
      <c r="AG288" s="19" t="n"/>
      <c r="AH288" s="19" t="n"/>
      <c r="AI288" s="19" t="n"/>
      <c r="AJ288" s="19" t="n"/>
      <c r="AK288" s="19" t="n"/>
      <c r="AL288" s="19" t="n"/>
      <c r="AM288" s="19" t="n"/>
      <c r="AN288" s="19" t="n"/>
      <c r="AO288" s="19" t="n"/>
      <c r="AP288" s="127">
        <f>IF(A288="","",A288-WEEKDAY(A288,2)+1)</f>
        <v/>
      </c>
      <c r="AQ288" s="127">
        <f>IF(AO288="","",AO288+6)</f>
        <v/>
      </c>
      <c r="AR288" s="19">
        <f>IF(AO288="","","Semana "&amp;TEXT(AO288,"dd-mm-yyyy")&amp;" al "&amp;TEXT(AP288,"dd-mm-yyyy"))</f>
        <v/>
      </c>
      <c r="AS288" s="19">
        <f>IF(A288="","",TEXT(A288,"mmmm yyyy"))</f>
        <v/>
      </c>
      <c r="AT288" s="19">
        <f>IF(A288="","",TEXT(A288,"dddd"))</f>
        <v/>
      </c>
      <c r="AU288" s="19">
        <f>IF(A288="","","CRR-"&amp;TEXT(A288,"yyyymmdd")&amp;"-"&amp;M288&amp;"-"&amp;TEXT(ROW()-3,"0000"))</f>
        <v/>
      </c>
      <c r="AV288" s="19">
        <f>IF(A288="","",IF(OR(B288="",C288="",E288="",F288="",M288="",N288=""),"Revisar campos obligatorios",IF(AND(P288="Atraso primera hora",Q288=""),"Falta justificación atraso primera hora",IF(AND(Z288="No cumple",AA288=""),"Falta justificación recambio &gt;15 min",IF(AND(ISNUMBER(SEARCH("suspend",N288)),OR(AG288="",AH288="")),"Falta causa/motivo suspensión","OK")))))</f>
        <v/>
      </c>
      <c r="AW288" s="19">
        <f>IF(N288="","",IF(ISNUMBER(SEARCH("suspend",N288)),IF(AND(AG288="",AH288=""),"Sin causa/motivo registrado",IF(AG288="",AH288,IF(AH288="",AG288,AG288&amp;": "&amp;AH288))),""))</f>
        <v/>
      </c>
    </row>
    <row r="289" ht="16" customHeight="1" s="151">
      <c r="A289" s="62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20">
        <f>IF(H289&lt;&gt;"",IFERROR(VLOOKUP(IFERROR(LEFT(H289,FIND("-",H289)-1),H289),'Catalogo MINSAL'!A:E,5,FALSE),""),IF(I289&lt;&gt;"",IFERROR(VLOOKUP(IFERROR(LEFT(I289,FIND("-",I289)-1),I289),'Catalogo MINSAL'!A:E,5,FALSE),""),""))</f>
        <v/>
      </c>
      <c r="K289" s="19" t="n"/>
      <c r="L289" s="19" t="n"/>
      <c r="M289" s="19" t="n"/>
      <c r="N289" s="19" t="n"/>
      <c r="O289" s="25" t="n"/>
      <c r="P289" s="27">
        <f>IFERROR(IF(OR(O289="",A289="",M289=""),"",IF(SUMPRODUCT(($A$4:$A$500=A289)*($M$4:$M$500=M289)*($O$4:$O$500&lt;&gt;"")*(MOD($O$4:$O$500,1)&lt;MOD(O289,1)))=0,IF(MOD(O289,1)&lt;=TIME(8,15,0),"Ingreso adecuado primera hora","Atraso primera hora"),"No aplica")),"")</f>
        <v/>
      </c>
      <c r="Q289" s="27" t="n"/>
      <c r="R289" s="25" t="n"/>
      <c r="S289" s="25" t="n"/>
      <c r="T289" s="25" t="n"/>
      <c r="U289" s="25">
        <f>IFERROR(VLOOKUP(M289,'Horario Pabellones'!$A$4:$D$17,2,FALSE),"")</f>
        <v/>
      </c>
      <c r="V289" s="25">
        <f>IFERROR(VLOOKUP(M289,'Horario Pabellones'!$A$4:$D$17,3,FALSE),"")</f>
        <v/>
      </c>
      <c r="W289" s="99">
        <f>IFERROR(VLOOKUP(M289,'Horario Pabellones'!$A$4:$D$17,4,FALSE),"")</f>
        <v/>
      </c>
      <c r="X289" s="89">
        <f>IFERROR(IF(OR(A289="",M289="",W289=""),"",(((_xludf.AGGREGATE(14,6,MOD($S$4:$S$500,1)/(($A$4:$A$500=A289)*($M$4:$M$500=M289)*($R$4:$R$500&lt;&gt;"")*($S$4:$S$500&lt;&gt;"")),1)-_xludf.AGGREGATE(15,6,MOD($R$4:$R$500,1)/(($A$4:$A$500=A289)*($M$4:$M$500=M289)*($R$4:$R$500&lt;&gt;"")*($S$4:$S$500&lt;&gt;"")),1))*1440)/60)/(W289/60)),"")</f>
        <v/>
      </c>
      <c r="Y289" s="26">
        <f>IFERROR(IF(OR(O289="",A289="",M289=""),"",(IF(ISNUMBER(O289),MOD(O289,1),TIMEVALUE(O289))-LOOKUP(2,1/(($A$4:$A$500=A289)*($M$4:$M$500=M289)*($T$4:$T$500&lt;&gt;"")*($T$4:$T$500&lt;IF(ISNUMBER(O289),MOD(O289,1),TIMEVALUE(O289)))),$T$4:$T$500))*1440),"")</f>
        <v/>
      </c>
      <c r="Z289" s="27">
        <f>IFERROR(IF(Y289="","",IF(ROUND(Y289,0)&lt;=15,"Cumple","No cumple")),"")</f>
        <v/>
      </c>
      <c r="AA289" s="27" t="n"/>
      <c r="AB289" s="26">
        <f>IFERROR(IF(OR(O289="",R289=""),"",IF(IF(ISNUMBER(R289),MOD(R289,1),TIMEVALUE(R289))&gt;=IF(ISNUMBER(O289),MOD(O289,1),TIMEVALUE(O289)),(IF(ISNUMBER(R289),MOD(R289,1),TIMEVALUE(R289))-IF(ISNUMBER(O289),MOD(O289,1),TIMEVALUE(O289)))*1440,(IF(ISNUMBER(R289),MOD(R289,1),TIMEVALUE(R289))+1-IF(ISNUMBER(O289),MOD(O289,1),TIMEVALUE(O289)))*1440)),"")</f>
        <v/>
      </c>
      <c r="AC289" s="26">
        <f>IFERROR(IF(OR(R289="",S289=""),"",IF(IF(ISNUMBER(S289),MOD(S289,1),TIMEVALUE(S289))&gt;=IF(ISNUMBER(R289),MOD(R289,1),TIMEVALUE(R289)),(IF(ISNUMBER(S289),MOD(S289,1),TIMEVALUE(S289))-IF(ISNUMBER(R289),MOD(R289,1),TIMEVALUE(R289)))*1440,(IF(ISNUMBER(S289),MOD(S289,1),TIMEVALUE(S289))+1-IF(ISNUMBER(R289),MOD(R289,1),TIMEVALUE(R289)))*1440)),"")</f>
        <v/>
      </c>
      <c r="AD289" s="29" t="n"/>
      <c r="AE289" s="26">
        <f>IFERROR(IF(OR(AC289="",AD289=""),"",AC289-AD289),"")</f>
        <v/>
      </c>
      <c r="AF289" s="27">
        <f>IFERROR(IF(AE289="","",IF(ROUND(AE289,0)&gt;15,"Subestimacion",IF(ROUND(AE289,0)&lt;-15,"Sobrestimacion","Asertivo"))),"")</f>
        <v/>
      </c>
      <c r="AG289" s="19" t="n"/>
      <c r="AH289" s="19" t="n"/>
      <c r="AI289" s="19" t="n"/>
      <c r="AJ289" s="19" t="n"/>
      <c r="AK289" s="19" t="n"/>
      <c r="AL289" s="19" t="n"/>
      <c r="AM289" s="19" t="n"/>
      <c r="AN289" s="19" t="n"/>
      <c r="AO289" s="19" t="n"/>
      <c r="AP289" s="127">
        <f>IF(A289="","",A289-WEEKDAY(A289,2)+1)</f>
        <v/>
      </c>
      <c r="AQ289" s="127">
        <f>IF(AO289="","",AO289+6)</f>
        <v/>
      </c>
      <c r="AR289" s="19">
        <f>IF(AO289="","","Semana "&amp;TEXT(AO289,"dd-mm-yyyy")&amp;" al "&amp;TEXT(AP289,"dd-mm-yyyy"))</f>
        <v/>
      </c>
      <c r="AS289" s="19">
        <f>IF(A289="","",TEXT(A289,"mmmm yyyy"))</f>
        <v/>
      </c>
      <c r="AT289" s="19">
        <f>IF(A289="","",TEXT(A289,"dddd"))</f>
        <v/>
      </c>
      <c r="AU289" s="19">
        <f>IF(A289="","","CRR-"&amp;TEXT(A289,"yyyymmdd")&amp;"-"&amp;M289&amp;"-"&amp;TEXT(ROW()-3,"0000"))</f>
        <v/>
      </c>
      <c r="AV289" s="19">
        <f>IF(A289="","",IF(OR(B289="",C289="",E289="",F289="",M289="",N289=""),"Revisar campos obligatorios",IF(AND(P289="Atraso primera hora",Q289=""),"Falta justificación atraso primera hora",IF(AND(Z289="No cumple",AA289=""),"Falta justificación recambio &gt;15 min",IF(AND(ISNUMBER(SEARCH("suspend",N289)),OR(AG289="",AH289="")),"Falta causa/motivo suspensión","OK")))))</f>
        <v/>
      </c>
      <c r="AW289" s="19">
        <f>IF(N289="","",IF(ISNUMBER(SEARCH("suspend",N289)),IF(AND(AG289="",AH289=""),"Sin causa/motivo registrado",IF(AG289="",AH289,IF(AH289="",AG289,AG289&amp;": "&amp;AH289))),""))</f>
        <v/>
      </c>
    </row>
    <row r="290" ht="16" customHeight="1" s="151">
      <c r="A290" s="62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20">
        <f>IF(H290&lt;&gt;"",IFERROR(VLOOKUP(IFERROR(LEFT(H290,FIND("-",H290)-1),H290),'Catalogo MINSAL'!A:E,5,FALSE),""),IF(I290&lt;&gt;"",IFERROR(VLOOKUP(IFERROR(LEFT(I290,FIND("-",I290)-1),I290),'Catalogo MINSAL'!A:E,5,FALSE),""),""))</f>
        <v/>
      </c>
      <c r="K290" s="19" t="n"/>
      <c r="L290" s="19" t="n"/>
      <c r="M290" s="19" t="n"/>
      <c r="N290" s="19" t="n"/>
      <c r="O290" s="25" t="n"/>
      <c r="P290" s="27">
        <f>IFERROR(IF(OR(O290="",A290="",M290=""),"",IF(SUMPRODUCT(($A$4:$A$500=A290)*($M$4:$M$500=M290)*($O$4:$O$500&lt;&gt;"")*(MOD($O$4:$O$500,1)&lt;MOD(O290,1)))=0,IF(MOD(O290,1)&lt;=TIME(8,15,0),"Ingreso adecuado primera hora","Atraso primera hora"),"No aplica")),"")</f>
        <v/>
      </c>
      <c r="Q290" s="27" t="n"/>
      <c r="R290" s="25" t="n"/>
      <c r="S290" s="25" t="n"/>
      <c r="T290" s="25" t="n"/>
      <c r="U290" s="25">
        <f>IFERROR(VLOOKUP(M290,'Horario Pabellones'!$A$4:$D$17,2,FALSE),"")</f>
        <v/>
      </c>
      <c r="V290" s="25">
        <f>IFERROR(VLOOKUP(M290,'Horario Pabellones'!$A$4:$D$17,3,FALSE),"")</f>
        <v/>
      </c>
      <c r="W290" s="99">
        <f>IFERROR(VLOOKUP(M290,'Horario Pabellones'!$A$4:$D$17,4,FALSE),"")</f>
        <v/>
      </c>
      <c r="X290" s="89">
        <f>IFERROR(IF(OR(A290="",M290="",W290=""),"",(((_xludf.AGGREGATE(14,6,MOD($S$4:$S$500,1)/(($A$4:$A$500=A290)*($M$4:$M$500=M290)*($R$4:$R$500&lt;&gt;"")*($S$4:$S$500&lt;&gt;"")),1)-_xludf.AGGREGATE(15,6,MOD($R$4:$R$500,1)/(($A$4:$A$500=A290)*($M$4:$M$500=M290)*($R$4:$R$500&lt;&gt;"")*($S$4:$S$500&lt;&gt;"")),1))*1440)/60)/(W290/60)),"")</f>
        <v/>
      </c>
      <c r="Y290" s="26">
        <f>IFERROR(IF(OR(O290="",A290="",M290=""),"",(IF(ISNUMBER(O290),MOD(O290,1),TIMEVALUE(O290))-LOOKUP(2,1/(($A$4:$A$500=A290)*($M$4:$M$500=M290)*($T$4:$T$500&lt;&gt;"")*($T$4:$T$500&lt;IF(ISNUMBER(O290),MOD(O290,1),TIMEVALUE(O290)))),$T$4:$T$500))*1440),"")</f>
        <v/>
      </c>
      <c r="Z290" s="27">
        <f>IFERROR(IF(Y290="","",IF(ROUND(Y290,0)&lt;=15,"Cumple","No cumple")),"")</f>
        <v/>
      </c>
      <c r="AA290" s="27" t="n"/>
      <c r="AB290" s="26">
        <f>IFERROR(IF(OR(O290="",R290=""),"",IF(IF(ISNUMBER(R290),MOD(R290,1),TIMEVALUE(R290))&gt;=IF(ISNUMBER(O290),MOD(O290,1),TIMEVALUE(O290)),(IF(ISNUMBER(R290),MOD(R290,1),TIMEVALUE(R290))-IF(ISNUMBER(O290),MOD(O290,1),TIMEVALUE(O290)))*1440,(IF(ISNUMBER(R290),MOD(R290,1),TIMEVALUE(R290))+1-IF(ISNUMBER(O290),MOD(O290,1),TIMEVALUE(O290)))*1440)),"")</f>
        <v/>
      </c>
      <c r="AC290" s="26">
        <f>IFERROR(IF(OR(R290="",S290=""),"",IF(IF(ISNUMBER(S290),MOD(S290,1),TIMEVALUE(S290))&gt;=IF(ISNUMBER(R290),MOD(R290,1),TIMEVALUE(R290)),(IF(ISNUMBER(S290),MOD(S290,1),TIMEVALUE(S290))-IF(ISNUMBER(R290),MOD(R290,1),TIMEVALUE(R290)))*1440,(IF(ISNUMBER(S290),MOD(S290,1),TIMEVALUE(S290))+1-IF(ISNUMBER(R290),MOD(R290,1),TIMEVALUE(R290)))*1440)),"")</f>
        <v/>
      </c>
      <c r="AD290" s="29" t="n"/>
      <c r="AE290" s="26">
        <f>IFERROR(IF(OR(AC290="",AD290=""),"",AC290-AD290),"")</f>
        <v/>
      </c>
      <c r="AF290" s="27">
        <f>IFERROR(IF(AE290="","",IF(ROUND(AE290,0)&gt;15,"Subestimacion",IF(ROUND(AE290,0)&lt;-15,"Sobrestimacion","Asertivo"))),"")</f>
        <v/>
      </c>
      <c r="AG290" s="19" t="n"/>
      <c r="AH290" s="19" t="n"/>
      <c r="AI290" s="19" t="n"/>
      <c r="AJ290" s="19" t="n"/>
      <c r="AK290" s="19" t="n"/>
      <c r="AL290" s="19" t="n"/>
      <c r="AM290" s="19" t="n"/>
      <c r="AN290" s="19" t="n"/>
      <c r="AO290" s="19" t="n"/>
      <c r="AP290" s="127">
        <f>IF(A290="","",A290-WEEKDAY(A290,2)+1)</f>
        <v/>
      </c>
      <c r="AQ290" s="127">
        <f>IF(AO290="","",AO290+6)</f>
        <v/>
      </c>
      <c r="AR290" s="19">
        <f>IF(AO290="","","Semana "&amp;TEXT(AO290,"dd-mm-yyyy")&amp;" al "&amp;TEXT(AP290,"dd-mm-yyyy"))</f>
        <v/>
      </c>
      <c r="AS290" s="19">
        <f>IF(A290="","",TEXT(A290,"mmmm yyyy"))</f>
        <v/>
      </c>
      <c r="AT290" s="19">
        <f>IF(A290="","",TEXT(A290,"dddd"))</f>
        <v/>
      </c>
      <c r="AU290" s="19">
        <f>IF(A290="","","CRR-"&amp;TEXT(A290,"yyyymmdd")&amp;"-"&amp;M290&amp;"-"&amp;TEXT(ROW()-3,"0000"))</f>
        <v/>
      </c>
      <c r="AV290" s="19">
        <f>IF(A290="","",IF(OR(B290="",C290="",E290="",F290="",M290="",N290=""),"Revisar campos obligatorios",IF(AND(P290="Atraso primera hora",Q290=""),"Falta justificación atraso primera hora",IF(AND(Z290="No cumple",AA290=""),"Falta justificación recambio &gt;15 min",IF(AND(ISNUMBER(SEARCH("suspend",N290)),OR(AG290="",AH290="")),"Falta causa/motivo suspensión","OK")))))</f>
        <v/>
      </c>
      <c r="AW290" s="19">
        <f>IF(N290="","",IF(ISNUMBER(SEARCH("suspend",N290)),IF(AND(AG290="",AH290=""),"Sin causa/motivo registrado",IF(AG290="",AH290,IF(AH290="",AG290,AG290&amp;": "&amp;AH290))),""))</f>
        <v/>
      </c>
    </row>
    <row r="291" ht="16" customHeight="1" s="151">
      <c r="A291" s="62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20">
        <f>IF(H291&lt;&gt;"",IFERROR(VLOOKUP(IFERROR(LEFT(H291,FIND("-",H291)-1),H291),'Catalogo MINSAL'!A:E,5,FALSE),""),IF(I291&lt;&gt;"",IFERROR(VLOOKUP(IFERROR(LEFT(I291,FIND("-",I291)-1),I291),'Catalogo MINSAL'!A:E,5,FALSE),""),""))</f>
        <v/>
      </c>
      <c r="K291" s="19" t="n"/>
      <c r="L291" s="19" t="n"/>
      <c r="M291" s="19" t="n"/>
      <c r="N291" s="19" t="n"/>
      <c r="O291" s="25" t="n"/>
      <c r="P291" s="27">
        <f>IFERROR(IF(OR(O291="",A291="",M291=""),"",IF(SUMPRODUCT(($A$4:$A$500=A291)*($M$4:$M$500=M291)*($O$4:$O$500&lt;&gt;"")*(MOD($O$4:$O$500,1)&lt;MOD(O291,1)))=0,IF(MOD(O291,1)&lt;=TIME(8,15,0),"Ingreso adecuado primera hora","Atraso primera hora"),"No aplica")),"")</f>
        <v/>
      </c>
      <c r="Q291" s="27" t="n"/>
      <c r="R291" s="25" t="n"/>
      <c r="S291" s="25" t="n"/>
      <c r="T291" s="25" t="n"/>
      <c r="U291" s="25">
        <f>IFERROR(VLOOKUP(M291,'Horario Pabellones'!$A$4:$D$17,2,FALSE),"")</f>
        <v/>
      </c>
      <c r="V291" s="25">
        <f>IFERROR(VLOOKUP(M291,'Horario Pabellones'!$A$4:$D$17,3,FALSE),"")</f>
        <v/>
      </c>
      <c r="W291" s="99">
        <f>IFERROR(VLOOKUP(M291,'Horario Pabellones'!$A$4:$D$17,4,FALSE),"")</f>
        <v/>
      </c>
      <c r="X291" s="89">
        <f>IFERROR(IF(OR(A291="",M291="",W291=""),"",(((_xludf.AGGREGATE(14,6,MOD($S$4:$S$500,1)/(($A$4:$A$500=A291)*($M$4:$M$500=M291)*($R$4:$R$500&lt;&gt;"")*($S$4:$S$500&lt;&gt;"")),1)-_xludf.AGGREGATE(15,6,MOD($R$4:$R$500,1)/(($A$4:$A$500=A291)*($M$4:$M$500=M291)*($R$4:$R$500&lt;&gt;"")*($S$4:$S$500&lt;&gt;"")),1))*1440)/60)/(W291/60)),"")</f>
        <v/>
      </c>
      <c r="Y291" s="26">
        <f>IFERROR(IF(OR(O291="",A291="",M291=""),"",(IF(ISNUMBER(O291),MOD(O291,1),TIMEVALUE(O291))-LOOKUP(2,1/(($A$4:$A$500=A291)*($M$4:$M$500=M291)*($T$4:$T$500&lt;&gt;"")*($T$4:$T$500&lt;IF(ISNUMBER(O291),MOD(O291,1),TIMEVALUE(O291)))),$T$4:$T$500))*1440),"")</f>
        <v/>
      </c>
      <c r="Z291" s="27">
        <f>IFERROR(IF(Y291="","",IF(ROUND(Y291,0)&lt;=15,"Cumple","No cumple")),"")</f>
        <v/>
      </c>
      <c r="AA291" s="27" t="n"/>
      <c r="AB291" s="26">
        <f>IFERROR(IF(OR(O291="",R291=""),"",IF(IF(ISNUMBER(R291),MOD(R291,1),TIMEVALUE(R291))&gt;=IF(ISNUMBER(O291),MOD(O291,1),TIMEVALUE(O291)),(IF(ISNUMBER(R291),MOD(R291,1),TIMEVALUE(R291))-IF(ISNUMBER(O291),MOD(O291,1),TIMEVALUE(O291)))*1440,(IF(ISNUMBER(R291),MOD(R291,1),TIMEVALUE(R291))+1-IF(ISNUMBER(O291),MOD(O291,1),TIMEVALUE(O291)))*1440)),"")</f>
        <v/>
      </c>
      <c r="AC291" s="26">
        <f>IFERROR(IF(OR(R291="",S291=""),"",IF(IF(ISNUMBER(S291),MOD(S291,1),TIMEVALUE(S291))&gt;=IF(ISNUMBER(R291),MOD(R291,1),TIMEVALUE(R291)),(IF(ISNUMBER(S291),MOD(S291,1),TIMEVALUE(S291))-IF(ISNUMBER(R291),MOD(R291,1),TIMEVALUE(R291)))*1440,(IF(ISNUMBER(S291),MOD(S291,1),TIMEVALUE(S291))+1-IF(ISNUMBER(R291),MOD(R291,1),TIMEVALUE(R291)))*1440)),"")</f>
        <v/>
      </c>
      <c r="AD291" s="29" t="n"/>
      <c r="AE291" s="26">
        <f>IFERROR(IF(OR(AC291="",AD291=""),"",AC291-AD291),"")</f>
        <v/>
      </c>
      <c r="AF291" s="27">
        <f>IFERROR(IF(AE291="","",IF(ROUND(AE291,0)&gt;15,"Subestimacion",IF(ROUND(AE291,0)&lt;-15,"Sobrestimacion","Asertivo"))),"")</f>
        <v/>
      </c>
      <c r="AG291" s="19" t="n"/>
      <c r="AH291" s="19" t="n"/>
      <c r="AI291" s="19" t="n"/>
      <c r="AJ291" s="19" t="n"/>
      <c r="AK291" s="19" t="n"/>
      <c r="AL291" s="19" t="n"/>
      <c r="AM291" s="19" t="n"/>
      <c r="AN291" s="19" t="n"/>
      <c r="AO291" s="19" t="n"/>
      <c r="AP291" s="127">
        <f>IF(A291="","",A291-WEEKDAY(A291,2)+1)</f>
        <v/>
      </c>
      <c r="AQ291" s="127">
        <f>IF(AO291="","",AO291+6)</f>
        <v/>
      </c>
      <c r="AR291" s="19">
        <f>IF(AO291="","","Semana "&amp;TEXT(AO291,"dd-mm-yyyy")&amp;" al "&amp;TEXT(AP291,"dd-mm-yyyy"))</f>
        <v/>
      </c>
      <c r="AS291" s="19">
        <f>IF(A291="","",TEXT(A291,"mmmm yyyy"))</f>
        <v/>
      </c>
      <c r="AT291" s="19">
        <f>IF(A291="","",TEXT(A291,"dddd"))</f>
        <v/>
      </c>
      <c r="AU291" s="19">
        <f>IF(A291="","","CRR-"&amp;TEXT(A291,"yyyymmdd")&amp;"-"&amp;M291&amp;"-"&amp;TEXT(ROW()-3,"0000"))</f>
        <v/>
      </c>
      <c r="AV291" s="19">
        <f>IF(A291="","",IF(OR(B291="",C291="",E291="",F291="",M291="",N291=""),"Revisar campos obligatorios",IF(AND(P291="Atraso primera hora",Q291=""),"Falta justificación atraso primera hora",IF(AND(Z291="No cumple",AA291=""),"Falta justificación recambio &gt;15 min",IF(AND(ISNUMBER(SEARCH("suspend",N291)),OR(AG291="",AH291="")),"Falta causa/motivo suspensión","OK")))))</f>
        <v/>
      </c>
      <c r="AW291" s="19">
        <f>IF(N291="","",IF(ISNUMBER(SEARCH("suspend",N291)),IF(AND(AG291="",AH291=""),"Sin causa/motivo registrado",IF(AG291="",AH291,IF(AH291="",AG291,AG291&amp;": "&amp;AH291))),""))</f>
        <v/>
      </c>
    </row>
    <row r="292" ht="16" customHeight="1" s="151">
      <c r="A292" s="62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20">
        <f>IF(H292&lt;&gt;"",IFERROR(VLOOKUP(IFERROR(LEFT(H292,FIND("-",H292)-1),H292),'Catalogo MINSAL'!A:E,5,FALSE),""),IF(I292&lt;&gt;"",IFERROR(VLOOKUP(IFERROR(LEFT(I292,FIND("-",I292)-1),I292),'Catalogo MINSAL'!A:E,5,FALSE),""),""))</f>
        <v/>
      </c>
      <c r="K292" s="19" t="n"/>
      <c r="L292" s="19" t="n"/>
      <c r="M292" s="19" t="n"/>
      <c r="N292" s="19" t="n"/>
      <c r="O292" s="25" t="n"/>
      <c r="P292" s="27">
        <f>IFERROR(IF(OR(O292="",A292="",M292=""),"",IF(SUMPRODUCT(($A$4:$A$500=A292)*($M$4:$M$500=M292)*($O$4:$O$500&lt;&gt;"")*(MOD($O$4:$O$500,1)&lt;MOD(O292,1)))=0,IF(MOD(O292,1)&lt;=TIME(8,15,0),"Ingreso adecuado primera hora","Atraso primera hora"),"No aplica")),"")</f>
        <v/>
      </c>
      <c r="Q292" s="27" t="n"/>
      <c r="R292" s="25" t="n"/>
      <c r="S292" s="25" t="n"/>
      <c r="T292" s="25" t="n"/>
      <c r="U292" s="25">
        <f>IFERROR(VLOOKUP(M292,'Horario Pabellones'!$A$4:$D$17,2,FALSE),"")</f>
        <v/>
      </c>
      <c r="V292" s="25">
        <f>IFERROR(VLOOKUP(M292,'Horario Pabellones'!$A$4:$D$17,3,FALSE),"")</f>
        <v/>
      </c>
      <c r="W292" s="99">
        <f>IFERROR(VLOOKUP(M292,'Horario Pabellones'!$A$4:$D$17,4,FALSE),"")</f>
        <v/>
      </c>
      <c r="X292" s="89">
        <f>IFERROR(IF(OR(A292="",M292="",W292=""),"",(((_xludf.AGGREGATE(14,6,MOD($S$4:$S$500,1)/(($A$4:$A$500=A292)*($M$4:$M$500=M292)*($R$4:$R$500&lt;&gt;"")*($S$4:$S$500&lt;&gt;"")),1)-_xludf.AGGREGATE(15,6,MOD($R$4:$R$500,1)/(($A$4:$A$500=A292)*($M$4:$M$500=M292)*($R$4:$R$500&lt;&gt;"")*($S$4:$S$500&lt;&gt;"")),1))*1440)/60)/(W292/60)),"")</f>
        <v/>
      </c>
      <c r="Y292" s="26">
        <f>IFERROR(IF(OR(O292="",A292="",M292=""),"",(IF(ISNUMBER(O292),MOD(O292,1),TIMEVALUE(O292))-LOOKUP(2,1/(($A$4:$A$500=A292)*($M$4:$M$500=M292)*($T$4:$T$500&lt;&gt;"")*($T$4:$T$500&lt;IF(ISNUMBER(O292),MOD(O292,1),TIMEVALUE(O292)))),$T$4:$T$500))*1440),"")</f>
        <v/>
      </c>
      <c r="Z292" s="27">
        <f>IFERROR(IF(Y292="","",IF(ROUND(Y292,0)&lt;=15,"Cumple","No cumple")),"")</f>
        <v/>
      </c>
      <c r="AA292" s="27" t="n"/>
      <c r="AB292" s="26">
        <f>IFERROR(IF(OR(O292="",R292=""),"",IF(IF(ISNUMBER(R292),MOD(R292,1),TIMEVALUE(R292))&gt;=IF(ISNUMBER(O292),MOD(O292,1),TIMEVALUE(O292)),(IF(ISNUMBER(R292),MOD(R292,1),TIMEVALUE(R292))-IF(ISNUMBER(O292),MOD(O292,1),TIMEVALUE(O292)))*1440,(IF(ISNUMBER(R292),MOD(R292,1),TIMEVALUE(R292))+1-IF(ISNUMBER(O292),MOD(O292,1),TIMEVALUE(O292)))*1440)),"")</f>
        <v/>
      </c>
      <c r="AC292" s="26">
        <f>IFERROR(IF(OR(R292="",S292=""),"",IF(IF(ISNUMBER(S292),MOD(S292,1),TIMEVALUE(S292))&gt;=IF(ISNUMBER(R292),MOD(R292,1),TIMEVALUE(R292)),(IF(ISNUMBER(S292),MOD(S292,1),TIMEVALUE(S292))-IF(ISNUMBER(R292),MOD(R292,1),TIMEVALUE(R292)))*1440,(IF(ISNUMBER(S292),MOD(S292,1),TIMEVALUE(S292))+1-IF(ISNUMBER(R292),MOD(R292,1),TIMEVALUE(R292)))*1440)),"")</f>
        <v/>
      </c>
      <c r="AD292" s="29" t="n"/>
      <c r="AE292" s="26">
        <f>IFERROR(IF(OR(AC292="",AD292=""),"",AC292-AD292),"")</f>
        <v/>
      </c>
      <c r="AF292" s="27">
        <f>IFERROR(IF(AE292="","",IF(ROUND(AE292,0)&gt;15,"Subestimacion",IF(ROUND(AE292,0)&lt;-15,"Sobrestimacion","Asertivo"))),"")</f>
        <v/>
      </c>
      <c r="AG292" s="19" t="n"/>
      <c r="AH292" s="19" t="n"/>
      <c r="AI292" s="19" t="n"/>
      <c r="AJ292" s="19" t="n"/>
      <c r="AK292" s="19" t="n"/>
      <c r="AL292" s="19" t="n"/>
      <c r="AM292" s="19" t="n"/>
      <c r="AN292" s="19" t="n"/>
      <c r="AO292" s="19" t="n"/>
      <c r="AP292" s="127">
        <f>IF(A292="","",A292-WEEKDAY(A292,2)+1)</f>
        <v/>
      </c>
      <c r="AQ292" s="127">
        <f>IF(AO292="","",AO292+6)</f>
        <v/>
      </c>
      <c r="AR292" s="19">
        <f>IF(AO292="","","Semana "&amp;TEXT(AO292,"dd-mm-yyyy")&amp;" al "&amp;TEXT(AP292,"dd-mm-yyyy"))</f>
        <v/>
      </c>
      <c r="AS292" s="19">
        <f>IF(A292="","",TEXT(A292,"mmmm yyyy"))</f>
        <v/>
      </c>
      <c r="AT292" s="19">
        <f>IF(A292="","",TEXT(A292,"dddd"))</f>
        <v/>
      </c>
      <c r="AU292" s="19">
        <f>IF(A292="","","CRR-"&amp;TEXT(A292,"yyyymmdd")&amp;"-"&amp;M292&amp;"-"&amp;TEXT(ROW()-3,"0000"))</f>
        <v/>
      </c>
      <c r="AV292" s="19">
        <f>IF(A292="","",IF(OR(B292="",C292="",E292="",F292="",M292="",N292=""),"Revisar campos obligatorios",IF(AND(P292="Atraso primera hora",Q292=""),"Falta justificación atraso primera hora",IF(AND(Z292="No cumple",AA292=""),"Falta justificación recambio &gt;15 min",IF(AND(ISNUMBER(SEARCH("suspend",N292)),OR(AG292="",AH292="")),"Falta causa/motivo suspensión","OK")))))</f>
        <v/>
      </c>
      <c r="AW292" s="19">
        <f>IF(N292="","",IF(ISNUMBER(SEARCH("suspend",N292)),IF(AND(AG292="",AH292=""),"Sin causa/motivo registrado",IF(AG292="",AH292,IF(AH292="",AG292,AG292&amp;": "&amp;AH292))),""))</f>
        <v/>
      </c>
    </row>
    <row r="293" ht="16" customHeight="1" s="151">
      <c r="A293" s="62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20">
        <f>IF(H293&lt;&gt;"",IFERROR(VLOOKUP(IFERROR(LEFT(H293,FIND("-",H293)-1),H293),'Catalogo MINSAL'!A:E,5,FALSE),""),IF(I293&lt;&gt;"",IFERROR(VLOOKUP(IFERROR(LEFT(I293,FIND("-",I293)-1),I293),'Catalogo MINSAL'!A:E,5,FALSE),""),""))</f>
        <v/>
      </c>
      <c r="K293" s="19" t="n"/>
      <c r="L293" s="19" t="n"/>
      <c r="M293" s="19" t="n"/>
      <c r="N293" s="19" t="n"/>
      <c r="O293" s="25" t="n"/>
      <c r="P293" s="27">
        <f>IFERROR(IF(OR(O293="",A293="",M293=""),"",IF(SUMPRODUCT(($A$4:$A$500=A293)*($M$4:$M$500=M293)*($O$4:$O$500&lt;&gt;"")*(MOD($O$4:$O$500,1)&lt;MOD(O293,1)))=0,IF(MOD(O293,1)&lt;=TIME(8,15,0),"Ingreso adecuado primera hora","Atraso primera hora"),"No aplica")),"")</f>
        <v/>
      </c>
      <c r="Q293" s="27" t="n"/>
      <c r="R293" s="25" t="n"/>
      <c r="S293" s="25" t="n"/>
      <c r="T293" s="25" t="n"/>
      <c r="U293" s="25">
        <f>IFERROR(VLOOKUP(M293,'Horario Pabellones'!$A$4:$D$17,2,FALSE),"")</f>
        <v/>
      </c>
      <c r="V293" s="25">
        <f>IFERROR(VLOOKUP(M293,'Horario Pabellones'!$A$4:$D$17,3,FALSE),"")</f>
        <v/>
      </c>
      <c r="W293" s="99">
        <f>IFERROR(VLOOKUP(M293,'Horario Pabellones'!$A$4:$D$17,4,FALSE),"")</f>
        <v/>
      </c>
      <c r="X293" s="89">
        <f>IFERROR(IF(OR(A293="",M293="",W293=""),"",(((_xludf.AGGREGATE(14,6,MOD($S$4:$S$500,1)/(($A$4:$A$500=A293)*($M$4:$M$500=M293)*($R$4:$R$500&lt;&gt;"")*($S$4:$S$500&lt;&gt;"")),1)-_xludf.AGGREGATE(15,6,MOD($R$4:$R$500,1)/(($A$4:$A$500=A293)*($M$4:$M$500=M293)*($R$4:$R$500&lt;&gt;"")*($S$4:$S$500&lt;&gt;"")),1))*1440)/60)/(W293/60)),"")</f>
        <v/>
      </c>
      <c r="Y293" s="26">
        <f>IFERROR(IF(OR(O293="",A293="",M293=""),"",(IF(ISNUMBER(O293),MOD(O293,1),TIMEVALUE(O293))-LOOKUP(2,1/(($A$4:$A$500=A293)*($M$4:$M$500=M293)*($T$4:$T$500&lt;&gt;"")*($T$4:$T$500&lt;IF(ISNUMBER(O293),MOD(O293,1),TIMEVALUE(O293)))),$T$4:$T$500))*1440),"")</f>
        <v/>
      </c>
      <c r="Z293" s="27">
        <f>IFERROR(IF(Y293="","",IF(ROUND(Y293,0)&lt;=15,"Cumple","No cumple")),"")</f>
        <v/>
      </c>
      <c r="AA293" s="27" t="n"/>
      <c r="AB293" s="26">
        <f>IFERROR(IF(OR(O293="",R293=""),"",IF(IF(ISNUMBER(R293),MOD(R293,1),TIMEVALUE(R293))&gt;=IF(ISNUMBER(O293),MOD(O293,1),TIMEVALUE(O293)),(IF(ISNUMBER(R293),MOD(R293,1),TIMEVALUE(R293))-IF(ISNUMBER(O293),MOD(O293,1),TIMEVALUE(O293)))*1440,(IF(ISNUMBER(R293),MOD(R293,1),TIMEVALUE(R293))+1-IF(ISNUMBER(O293),MOD(O293,1),TIMEVALUE(O293)))*1440)),"")</f>
        <v/>
      </c>
      <c r="AC293" s="26">
        <f>IFERROR(IF(OR(R293="",S293=""),"",IF(IF(ISNUMBER(S293),MOD(S293,1),TIMEVALUE(S293))&gt;=IF(ISNUMBER(R293),MOD(R293,1),TIMEVALUE(R293)),(IF(ISNUMBER(S293),MOD(S293,1),TIMEVALUE(S293))-IF(ISNUMBER(R293),MOD(R293,1),TIMEVALUE(R293)))*1440,(IF(ISNUMBER(S293),MOD(S293,1),TIMEVALUE(S293))+1-IF(ISNUMBER(R293),MOD(R293,1),TIMEVALUE(R293)))*1440)),"")</f>
        <v/>
      </c>
      <c r="AD293" s="29" t="n"/>
      <c r="AE293" s="26">
        <f>IFERROR(IF(OR(AC293="",AD293=""),"",AC293-AD293),"")</f>
        <v/>
      </c>
      <c r="AF293" s="27">
        <f>IFERROR(IF(AE293="","",IF(ROUND(AE293,0)&gt;15,"Subestimacion",IF(ROUND(AE293,0)&lt;-15,"Sobrestimacion","Asertivo"))),"")</f>
        <v/>
      </c>
      <c r="AG293" s="19" t="n"/>
      <c r="AH293" s="19" t="n"/>
      <c r="AI293" s="19" t="n"/>
      <c r="AJ293" s="19" t="n"/>
      <c r="AK293" s="19" t="n"/>
      <c r="AL293" s="19" t="n"/>
      <c r="AM293" s="19" t="n"/>
      <c r="AN293" s="19" t="n"/>
      <c r="AO293" s="19" t="n"/>
      <c r="AP293" s="127">
        <f>IF(A293="","",A293-WEEKDAY(A293,2)+1)</f>
        <v/>
      </c>
      <c r="AQ293" s="127">
        <f>IF(AO293="","",AO293+6)</f>
        <v/>
      </c>
      <c r="AR293" s="19">
        <f>IF(AO293="","","Semana "&amp;TEXT(AO293,"dd-mm-yyyy")&amp;" al "&amp;TEXT(AP293,"dd-mm-yyyy"))</f>
        <v/>
      </c>
      <c r="AS293" s="19">
        <f>IF(A293="","",TEXT(A293,"mmmm yyyy"))</f>
        <v/>
      </c>
      <c r="AT293" s="19">
        <f>IF(A293="","",TEXT(A293,"dddd"))</f>
        <v/>
      </c>
      <c r="AU293" s="19">
        <f>IF(A293="","","CRR-"&amp;TEXT(A293,"yyyymmdd")&amp;"-"&amp;M293&amp;"-"&amp;TEXT(ROW()-3,"0000"))</f>
        <v/>
      </c>
      <c r="AV293" s="19">
        <f>IF(A293="","",IF(OR(B293="",C293="",E293="",F293="",M293="",N293=""),"Revisar campos obligatorios",IF(AND(P293="Atraso primera hora",Q293=""),"Falta justificación atraso primera hora",IF(AND(Z293="No cumple",AA293=""),"Falta justificación recambio &gt;15 min",IF(AND(ISNUMBER(SEARCH("suspend",N293)),OR(AG293="",AH293="")),"Falta causa/motivo suspensión","OK")))))</f>
        <v/>
      </c>
      <c r="AW293" s="19">
        <f>IF(N293="","",IF(ISNUMBER(SEARCH("suspend",N293)),IF(AND(AG293="",AH293=""),"Sin causa/motivo registrado",IF(AG293="",AH293,IF(AH293="",AG293,AG293&amp;": "&amp;AH293))),""))</f>
        <v/>
      </c>
    </row>
    <row r="294" ht="16" customHeight="1" s="151">
      <c r="A294" s="62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20">
        <f>IF(H294&lt;&gt;"",IFERROR(VLOOKUP(IFERROR(LEFT(H294,FIND("-",H294)-1),H294),'Catalogo MINSAL'!A:E,5,FALSE),""),IF(I294&lt;&gt;"",IFERROR(VLOOKUP(IFERROR(LEFT(I294,FIND("-",I294)-1),I294),'Catalogo MINSAL'!A:E,5,FALSE),""),""))</f>
        <v/>
      </c>
      <c r="K294" s="19" t="n"/>
      <c r="L294" s="19" t="n"/>
      <c r="M294" s="19" t="n"/>
      <c r="N294" s="19" t="n"/>
      <c r="O294" s="25" t="n"/>
      <c r="P294" s="27">
        <f>IFERROR(IF(OR(O294="",A294="",M294=""),"",IF(SUMPRODUCT(($A$4:$A$500=A294)*($M$4:$M$500=M294)*($O$4:$O$500&lt;&gt;"")*(MOD($O$4:$O$500,1)&lt;MOD(O294,1)))=0,IF(MOD(O294,1)&lt;=TIME(8,15,0),"Ingreso adecuado primera hora","Atraso primera hora"),"No aplica")),"")</f>
        <v/>
      </c>
      <c r="Q294" s="27" t="n"/>
      <c r="R294" s="25" t="n"/>
      <c r="S294" s="25" t="n"/>
      <c r="T294" s="25" t="n"/>
      <c r="U294" s="25">
        <f>IFERROR(VLOOKUP(M294,'Horario Pabellones'!$A$4:$D$17,2,FALSE),"")</f>
        <v/>
      </c>
      <c r="V294" s="25">
        <f>IFERROR(VLOOKUP(M294,'Horario Pabellones'!$A$4:$D$17,3,FALSE),"")</f>
        <v/>
      </c>
      <c r="W294" s="99">
        <f>IFERROR(VLOOKUP(M294,'Horario Pabellones'!$A$4:$D$17,4,FALSE),"")</f>
        <v/>
      </c>
      <c r="X294" s="89">
        <f>IFERROR(IF(OR(A294="",M294="",W294=""),"",(((_xludf.AGGREGATE(14,6,MOD($S$4:$S$500,1)/(($A$4:$A$500=A294)*($M$4:$M$500=M294)*($R$4:$R$500&lt;&gt;"")*($S$4:$S$500&lt;&gt;"")),1)-_xludf.AGGREGATE(15,6,MOD($R$4:$R$500,1)/(($A$4:$A$500=A294)*($M$4:$M$500=M294)*($R$4:$R$500&lt;&gt;"")*($S$4:$S$500&lt;&gt;"")),1))*1440)/60)/(W294/60)),"")</f>
        <v/>
      </c>
      <c r="Y294" s="26">
        <f>IFERROR(IF(OR(O294="",A294="",M294=""),"",(IF(ISNUMBER(O294),MOD(O294,1),TIMEVALUE(O294))-LOOKUP(2,1/(($A$4:$A$500=A294)*($M$4:$M$500=M294)*($T$4:$T$500&lt;&gt;"")*($T$4:$T$500&lt;IF(ISNUMBER(O294),MOD(O294,1),TIMEVALUE(O294)))),$T$4:$T$500))*1440),"")</f>
        <v/>
      </c>
      <c r="Z294" s="27">
        <f>IFERROR(IF(Y294="","",IF(ROUND(Y294,0)&lt;=15,"Cumple","No cumple")),"")</f>
        <v/>
      </c>
      <c r="AA294" s="27" t="n"/>
      <c r="AB294" s="26">
        <f>IFERROR(IF(OR(O294="",R294=""),"",IF(IF(ISNUMBER(R294),MOD(R294,1),TIMEVALUE(R294))&gt;=IF(ISNUMBER(O294),MOD(O294,1),TIMEVALUE(O294)),(IF(ISNUMBER(R294),MOD(R294,1),TIMEVALUE(R294))-IF(ISNUMBER(O294),MOD(O294,1),TIMEVALUE(O294)))*1440,(IF(ISNUMBER(R294),MOD(R294,1),TIMEVALUE(R294))+1-IF(ISNUMBER(O294),MOD(O294,1),TIMEVALUE(O294)))*1440)),"")</f>
        <v/>
      </c>
      <c r="AC294" s="26">
        <f>IFERROR(IF(OR(R294="",S294=""),"",IF(IF(ISNUMBER(S294),MOD(S294,1),TIMEVALUE(S294))&gt;=IF(ISNUMBER(R294),MOD(R294,1),TIMEVALUE(R294)),(IF(ISNUMBER(S294),MOD(S294,1),TIMEVALUE(S294))-IF(ISNUMBER(R294),MOD(R294,1),TIMEVALUE(R294)))*1440,(IF(ISNUMBER(S294),MOD(S294,1),TIMEVALUE(S294))+1-IF(ISNUMBER(R294),MOD(R294,1),TIMEVALUE(R294)))*1440)),"")</f>
        <v/>
      </c>
      <c r="AD294" s="29" t="n"/>
      <c r="AE294" s="26">
        <f>IFERROR(IF(OR(AC294="",AD294=""),"",AC294-AD294),"")</f>
        <v/>
      </c>
      <c r="AF294" s="27">
        <f>IFERROR(IF(AE294="","",IF(ROUND(AE294,0)&gt;15,"Subestimacion",IF(ROUND(AE294,0)&lt;-15,"Sobrestimacion","Asertivo"))),"")</f>
        <v/>
      </c>
      <c r="AG294" s="19" t="n"/>
      <c r="AH294" s="19" t="n"/>
      <c r="AI294" s="19" t="n"/>
      <c r="AJ294" s="19" t="n"/>
      <c r="AK294" s="19" t="n"/>
      <c r="AL294" s="19" t="n"/>
      <c r="AM294" s="19" t="n"/>
      <c r="AN294" s="19" t="n"/>
      <c r="AO294" s="19" t="n"/>
      <c r="AP294" s="127">
        <f>IF(A294="","",A294-WEEKDAY(A294,2)+1)</f>
        <v/>
      </c>
      <c r="AQ294" s="127">
        <f>IF(AO294="","",AO294+6)</f>
        <v/>
      </c>
      <c r="AR294" s="19">
        <f>IF(AO294="","","Semana "&amp;TEXT(AO294,"dd-mm-yyyy")&amp;" al "&amp;TEXT(AP294,"dd-mm-yyyy"))</f>
        <v/>
      </c>
      <c r="AS294" s="19">
        <f>IF(A294="","",TEXT(A294,"mmmm yyyy"))</f>
        <v/>
      </c>
      <c r="AT294" s="19">
        <f>IF(A294="","",TEXT(A294,"dddd"))</f>
        <v/>
      </c>
      <c r="AU294" s="19">
        <f>IF(A294="","","CRR-"&amp;TEXT(A294,"yyyymmdd")&amp;"-"&amp;M294&amp;"-"&amp;TEXT(ROW()-3,"0000"))</f>
        <v/>
      </c>
      <c r="AV294" s="19">
        <f>IF(A294="","",IF(OR(B294="",C294="",E294="",F294="",M294="",N294=""),"Revisar campos obligatorios",IF(AND(P294="Atraso primera hora",Q294=""),"Falta justificación atraso primera hora",IF(AND(Z294="No cumple",AA294=""),"Falta justificación recambio &gt;15 min",IF(AND(ISNUMBER(SEARCH("suspend",N294)),OR(AG294="",AH294="")),"Falta causa/motivo suspensión","OK")))))</f>
        <v/>
      </c>
      <c r="AW294" s="19">
        <f>IF(N294="","",IF(ISNUMBER(SEARCH("suspend",N294)),IF(AND(AG294="",AH294=""),"Sin causa/motivo registrado",IF(AG294="",AH294,IF(AH294="",AG294,AG294&amp;": "&amp;AH294))),""))</f>
        <v/>
      </c>
    </row>
    <row r="295" ht="16" customHeight="1" s="151">
      <c r="A295" s="62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20">
        <f>IF(H295&lt;&gt;"",IFERROR(VLOOKUP(IFERROR(LEFT(H295,FIND("-",H295)-1),H295),'Catalogo MINSAL'!A:E,5,FALSE),""),IF(I295&lt;&gt;"",IFERROR(VLOOKUP(IFERROR(LEFT(I295,FIND("-",I295)-1),I295),'Catalogo MINSAL'!A:E,5,FALSE),""),""))</f>
        <v/>
      </c>
      <c r="K295" s="19" t="n"/>
      <c r="L295" s="19" t="n"/>
      <c r="M295" s="19" t="n"/>
      <c r="N295" s="19" t="n"/>
      <c r="O295" s="25" t="n"/>
      <c r="P295" s="27">
        <f>IFERROR(IF(OR(O295="",A295="",M295=""),"",IF(SUMPRODUCT(($A$4:$A$500=A295)*($M$4:$M$500=M295)*($O$4:$O$500&lt;&gt;"")*(MOD($O$4:$O$500,1)&lt;MOD(O295,1)))=0,IF(MOD(O295,1)&lt;=TIME(8,15,0),"Ingreso adecuado primera hora","Atraso primera hora"),"No aplica")),"")</f>
        <v/>
      </c>
      <c r="Q295" s="27" t="n"/>
      <c r="R295" s="25" t="n"/>
      <c r="S295" s="25" t="n"/>
      <c r="T295" s="25" t="n"/>
      <c r="U295" s="25">
        <f>IFERROR(VLOOKUP(M295,'Horario Pabellones'!$A$4:$D$17,2,FALSE),"")</f>
        <v/>
      </c>
      <c r="V295" s="25">
        <f>IFERROR(VLOOKUP(M295,'Horario Pabellones'!$A$4:$D$17,3,FALSE),"")</f>
        <v/>
      </c>
      <c r="W295" s="99">
        <f>IFERROR(VLOOKUP(M295,'Horario Pabellones'!$A$4:$D$17,4,FALSE),"")</f>
        <v/>
      </c>
      <c r="X295" s="89">
        <f>IFERROR(IF(OR(A295="",M295="",W295=""),"",(((_xludf.AGGREGATE(14,6,MOD($S$4:$S$500,1)/(($A$4:$A$500=A295)*($M$4:$M$500=M295)*($R$4:$R$500&lt;&gt;"")*($S$4:$S$500&lt;&gt;"")),1)-_xludf.AGGREGATE(15,6,MOD($R$4:$R$500,1)/(($A$4:$A$500=A295)*($M$4:$M$500=M295)*($R$4:$R$500&lt;&gt;"")*($S$4:$S$500&lt;&gt;"")),1))*1440)/60)/(W295/60)),"")</f>
        <v/>
      </c>
      <c r="Y295" s="26">
        <f>IFERROR(IF(OR(O295="",A295="",M295=""),"",(IF(ISNUMBER(O295),MOD(O295,1),TIMEVALUE(O295))-LOOKUP(2,1/(($A$4:$A$500=A295)*($M$4:$M$500=M295)*($T$4:$T$500&lt;&gt;"")*($T$4:$T$500&lt;IF(ISNUMBER(O295),MOD(O295,1),TIMEVALUE(O295)))),$T$4:$T$500))*1440),"")</f>
        <v/>
      </c>
      <c r="Z295" s="27">
        <f>IFERROR(IF(Y295="","",IF(ROUND(Y295,0)&lt;=15,"Cumple","No cumple")),"")</f>
        <v/>
      </c>
      <c r="AA295" s="27" t="n"/>
      <c r="AB295" s="26">
        <f>IFERROR(IF(OR(O295="",R295=""),"",IF(IF(ISNUMBER(R295),MOD(R295,1),TIMEVALUE(R295))&gt;=IF(ISNUMBER(O295),MOD(O295,1),TIMEVALUE(O295)),(IF(ISNUMBER(R295),MOD(R295,1),TIMEVALUE(R295))-IF(ISNUMBER(O295),MOD(O295,1),TIMEVALUE(O295)))*1440,(IF(ISNUMBER(R295),MOD(R295,1),TIMEVALUE(R295))+1-IF(ISNUMBER(O295),MOD(O295,1),TIMEVALUE(O295)))*1440)),"")</f>
        <v/>
      </c>
      <c r="AC295" s="26">
        <f>IFERROR(IF(OR(R295="",S295=""),"",IF(IF(ISNUMBER(S295),MOD(S295,1),TIMEVALUE(S295))&gt;=IF(ISNUMBER(R295),MOD(R295,1),TIMEVALUE(R295)),(IF(ISNUMBER(S295),MOD(S295,1),TIMEVALUE(S295))-IF(ISNUMBER(R295),MOD(R295,1),TIMEVALUE(R295)))*1440,(IF(ISNUMBER(S295),MOD(S295,1),TIMEVALUE(S295))+1-IF(ISNUMBER(R295),MOD(R295,1),TIMEVALUE(R295)))*1440)),"")</f>
        <v/>
      </c>
      <c r="AD295" s="29" t="n"/>
      <c r="AE295" s="26">
        <f>IFERROR(IF(OR(AC295="",AD295=""),"",AC295-AD295),"")</f>
        <v/>
      </c>
      <c r="AF295" s="27">
        <f>IFERROR(IF(AE295="","",IF(ROUND(AE295,0)&gt;15,"Subestimacion",IF(ROUND(AE295,0)&lt;-15,"Sobrestimacion","Asertivo"))),"")</f>
        <v/>
      </c>
      <c r="AG295" s="19" t="n"/>
      <c r="AH295" s="19" t="n"/>
      <c r="AI295" s="19" t="n"/>
      <c r="AJ295" s="19" t="n"/>
      <c r="AK295" s="19" t="n"/>
      <c r="AL295" s="19" t="n"/>
      <c r="AM295" s="19" t="n"/>
      <c r="AN295" s="19" t="n"/>
      <c r="AO295" s="19" t="n"/>
      <c r="AP295" s="127">
        <f>IF(A295="","",A295-WEEKDAY(A295,2)+1)</f>
        <v/>
      </c>
      <c r="AQ295" s="127">
        <f>IF(AO295="","",AO295+6)</f>
        <v/>
      </c>
      <c r="AR295" s="19">
        <f>IF(AO295="","","Semana "&amp;TEXT(AO295,"dd-mm-yyyy")&amp;" al "&amp;TEXT(AP295,"dd-mm-yyyy"))</f>
        <v/>
      </c>
      <c r="AS295" s="19">
        <f>IF(A295="","",TEXT(A295,"mmmm yyyy"))</f>
        <v/>
      </c>
      <c r="AT295" s="19">
        <f>IF(A295="","",TEXT(A295,"dddd"))</f>
        <v/>
      </c>
      <c r="AU295" s="19">
        <f>IF(A295="","","CRR-"&amp;TEXT(A295,"yyyymmdd")&amp;"-"&amp;M295&amp;"-"&amp;TEXT(ROW()-3,"0000"))</f>
        <v/>
      </c>
      <c r="AV295" s="19">
        <f>IF(A295="","",IF(OR(B295="",C295="",E295="",F295="",M295="",N295=""),"Revisar campos obligatorios",IF(AND(P295="Atraso primera hora",Q295=""),"Falta justificación atraso primera hora",IF(AND(Z295="No cumple",AA295=""),"Falta justificación recambio &gt;15 min",IF(AND(ISNUMBER(SEARCH("suspend",N295)),OR(AG295="",AH295="")),"Falta causa/motivo suspensión","OK")))))</f>
        <v/>
      </c>
      <c r="AW295" s="19">
        <f>IF(N295="","",IF(ISNUMBER(SEARCH("suspend",N295)),IF(AND(AG295="",AH295=""),"Sin causa/motivo registrado",IF(AG295="",AH295,IF(AH295="",AG295,AG295&amp;": "&amp;AH295))),""))</f>
        <v/>
      </c>
    </row>
    <row r="296" ht="16" customHeight="1" s="151">
      <c r="A296" s="62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20">
        <f>IF(H296&lt;&gt;"",IFERROR(VLOOKUP(IFERROR(LEFT(H296,FIND("-",H296)-1),H296),'Catalogo MINSAL'!A:E,5,FALSE),""),IF(I296&lt;&gt;"",IFERROR(VLOOKUP(IFERROR(LEFT(I296,FIND("-",I296)-1),I296),'Catalogo MINSAL'!A:E,5,FALSE),""),""))</f>
        <v/>
      </c>
      <c r="K296" s="19" t="n"/>
      <c r="L296" s="19" t="n"/>
      <c r="M296" s="19" t="n"/>
      <c r="N296" s="19" t="n"/>
      <c r="O296" s="25" t="n"/>
      <c r="P296" s="27">
        <f>IFERROR(IF(OR(O296="",A296="",M296=""),"",IF(SUMPRODUCT(($A$4:$A$500=A296)*($M$4:$M$500=M296)*($O$4:$O$500&lt;&gt;"")*(MOD($O$4:$O$500,1)&lt;MOD(O296,1)))=0,IF(MOD(O296,1)&lt;=TIME(8,15,0),"Ingreso adecuado primera hora","Atraso primera hora"),"No aplica")),"")</f>
        <v/>
      </c>
      <c r="Q296" s="27" t="n"/>
      <c r="R296" s="25" t="n"/>
      <c r="S296" s="25" t="n"/>
      <c r="T296" s="25" t="n"/>
      <c r="U296" s="25">
        <f>IFERROR(VLOOKUP(M296,'Horario Pabellones'!$A$4:$D$17,2,FALSE),"")</f>
        <v/>
      </c>
      <c r="V296" s="25">
        <f>IFERROR(VLOOKUP(M296,'Horario Pabellones'!$A$4:$D$17,3,FALSE),"")</f>
        <v/>
      </c>
      <c r="W296" s="99">
        <f>IFERROR(VLOOKUP(M296,'Horario Pabellones'!$A$4:$D$17,4,FALSE),"")</f>
        <v/>
      </c>
      <c r="X296" s="89">
        <f>IFERROR(IF(OR(A296="",M296="",W296=""),"",(((_xludf.AGGREGATE(14,6,MOD($S$4:$S$500,1)/(($A$4:$A$500=A296)*($M$4:$M$500=M296)*($R$4:$R$500&lt;&gt;"")*($S$4:$S$500&lt;&gt;"")),1)-_xludf.AGGREGATE(15,6,MOD($R$4:$R$500,1)/(($A$4:$A$500=A296)*($M$4:$M$500=M296)*($R$4:$R$500&lt;&gt;"")*($S$4:$S$500&lt;&gt;"")),1))*1440)/60)/(W296/60)),"")</f>
        <v/>
      </c>
      <c r="Y296" s="26">
        <f>IFERROR(IF(OR(O296="",A296="",M296=""),"",(IF(ISNUMBER(O296),MOD(O296,1),TIMEVALUE(O296))-LOOKUP(2,1/(($A$4:$A$500=A296)*($M$4:$M$500=M296)*($T$4:$T$500&lt;&gt;"")*($T$4:$T$500&lt;IF(ISNUMBER(O296),MOD(O296,1),TIMEVALUE(O296)))),$T$4:$T$500))*1440),"")</f>
        <v/>
      </c>
      <c r="Z296" s="27">
        <f>IFERROR(IF(Y296="","",IF(ROUND(Y296,0)&lt;=15,"Cumple","No cumple")),"")</f>
        <v/>
      </c>
      <c r="AA296" s="27" t="n"/>
      <c r="AB296" s="26">
        <f>IFERROR(IF(OR(O296="",R296=""),"",IF(IF(ISNUMBER(R296),MOD(R296,1),TIMEVALUE(R296))&gt;=IF(ISNUMBER(O296),MOD(O296,1),TIMEVALUE(O296)),(IF(ISNUMBER(R296),MOD(R296,1),TIMEVALUE(R296))-IF(ISNUMBER(O296),MOD(O296,1),TIMEVALUE(O296)))*1440,(IF(ISNUMBER(R296),MOD(R296,1),TIMEVALUE(R296))+1-IF(ISNUMBER(O296),MOD(O296,1),TIMEVALUE(O296)))*1440)),"")</f>
        <v/>
      </c>
      <c r="AC296" s="26">
        <f>IFERROR(IF(OR(R296="",S296=""),"",IF(IF(ISNUMBER(S296),MOD(S296,1),TIMEVALUE(S296))&gt;=IF(ISNUMBER(R296),MOD(R296,1),TIMEVALUE(R296)),(IF(ISNUMBER(S296),MOD(S296,1),TIMEVALUE(S296))-IF(ISNUMBER(R296),MOD(R296,1),TIMEVALUE(R296)))*1440,(IF(ISNUMBER(S296),MOD(S296,1),TIMEVALUE(S296))+1-IF(ISNUMBER(R296),MOD(R296,1),TIMEVALUE(R296)))*1440)),"")</f>
        <v/>
      </c>
      <c r="AD296" s="29" t="n"/>
      <c r="AE296" s="26">
        <f>IFERROR(IF(OR(AC296="",AD296=""),"",AC296-AD296),"")</f>
        <v/>
      </c>
      <c r="AF296" s="27">
        <f>IFERROR(IF(AE296="","",IF(ROUND(AE296,0)&gt;15,"Subestimacion",IF(ROUND(AE296,0)&lt;-15,"Sobrestimacion","Asertivo"))),"")</f>
        <v/>
      </c>
      <c r="AG296" s="19" t="n"/>
      <c r="AH296" s="19" t="n"/>
      <c r="AI296" s="19" t="n"/>
      <c r="AJ296" s="19" t="n"/>
      <c r="AK296" s="19" t="n"/>
      <c r="AL296" s="19" t="n"/>
      <c r="AM296" s="19" t="n"/>
      <c r="AN296" s="19" t="n"/>
      <c r="AO296" s="19" t="n"/>
      <c r="AP296" s="127">
        <f>IF(A296="","",A296-WEEKDAY(A296,2)+1)</f>
        <v/>
      </c>
      <c r="AQ296" s="127">
        <f>IF(AO296="","",AO296+6)</f>
        <v/>
      </c>
      <c r="AR296" s="19">
        <f>IF(AO296="","","Semana "&amp;TEXT(AO296,"dd-mm-yyyy")&amp;" al "&amp;TEXT(AP296,"dd-mm-yyyy"))</f>
        <v/>
      </c>
      <c r="AS296" s="19">
        <f>IF(A296="","",TEXT(A296,"mmmm yyyy"))</f>
        <v/>
      </c>
      <c r="AT296" s="19">
        <f>IF(A296="","",TEXT(A296,"dddd"))</f>
        <v/>
      </c>
      <c r="AU296" s="19">
        <f>IF(A296="","","CRR-"&amp;TEXT(A296,"yyyymmdd")&amp;"-"&amp;M296&amp;"-"&amp;TEXT(ROW()-3,"0000"))</f>
        <v/>
      </c>
      <c r="AV296" s="19">
        <f>IF(A296="","",IF(OR(B296="",C296="",E296="",F296="",M296="",N296=""),"Revisar campos obligatorios",IF(AND(P296="Atraso primera hora",Q296=""),"Falta justificación atraso primera hora",IF(AND(Z296="No cumple",AA296=""),"Falta justificación recambio &gt;15 min",IF(AND(ISNUMBER(SEARCH("suspend",N296)),OR(AG296="",AH296="")),"Falta causa/motivo suspensión","OK")))))</f>
        <v/>
      </c>
      <c r="AW296" s="19">
        <f>IF(N296="","",IF(ISNUMBER(SEARCH("suspend",N296)),IF(AND(AG296="",AH296=""),"Sin causa/motivo registrado",IF(AG296="",AH296,IF(AH296="",AG296,AG296&amp;": "&amp;AH296))),""))</f>
        <v/>
      </c>
    </row>
    <row r="297" ht="16" customHeight="1" s="151">
      <c r="A297" s="62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20">
        <f>IF(H297&lt;&gt;"",IFERROR(VLOOKUP(IFERROR(LEFT(H297,FIND("-",H297)-1),H297),'Catalogo MINSAL'!A:E,5,FALSE),""),IF(I297&lt;&gt;"",IFERROR(VLOOKUP(IFERROR(LEFT(I297,FIND("-",I297)-1),I297),'Catalogo MINSAL'!A:E,5,FALSE),""),""))</f>
        <v/>
      </c>
      <c r="K297" s="19" t="n"/>
      <c r="L297" s="19" t="n"/>
      <c r="M297" s="19" t="n"/>
      <c r="N297" s="19" t="n"/>
      <c r="O297" s="25" t="n"/>
      <c r="P297" s="27">
        <f>IFERROR(IF(OR(O297="",A297="",M297=""),"",IF(SUMPRODUCT(($A$4:$A$500=A297)*($M$4:$M$500=M297)*($O$4:$O$500&lt;&gt;"")*(MOD($O$4:$O$500,1)&lt;MOD(O297,1)))=0,IF(MOD(O297,1)&lt;=TIME(8,15,0),"Ingreso adecuado primera hora","Atraso primera hora"),"No aplica")),"")</f>
        <v/>
      </c>
      <c r="Q297" s="27" t="n"/>
      <c r="R297" s="25" t="n"/>
      <c r="S297" s="25" t="n"/>
      <c r="T297" s="25" t="n"/>
      <c r="U297" s="25">
        <f>IFERROR(VLOOKUP(M297,'Horario Pabellones'!$A$4:$D$17,2,FALSE),"")</f>
        <v/>
      </c>
      <c r="V297" s="25">
        <f>IFERROR(VLOOKUP(M297,'Horario Pabellones'!$A$4:$D$17,3,FALSE),"")</f>
        <v/>
      </c>
      <c r="W297" s="99">
        <f>IFERROR(VLOOKUP(M297,'Horario Pabellones'!$A$4:$D$17,4,FALSE),"")</f>
        <v/>
      </c>
      <c r="X297" s="89">
        <f>IFERROR(IF(OR(A297="",M297="",W297=""),"",(((_xludf.AGGREGATE(14,6,MOD($S$4:$S$500,1)/(($A$4:$A$500=A297)*($M$4:$M$500=M297)*($R$4:$R$500&lt;&gt;"")*($S$4:$S$500&lt;&gt;"")),1)-_xludf.AGGREGATE(15,6,MOD($R$4:$R$500,1)/(($A$4:$A$500=A297)*($M$4:$M$500=M297)*($R$4:$R$500&lt;&gt;"")*($S$4:$S$500&lt;&gt;"")),1))*1440)/60)/(W297/60)),"")</f>
        <v/>
      </c>
      <c r="Y297" s="26">
        <f>IFERROR(IF(OR(O297="",A297="",M297=""),"",(IF(ISNUMBER(O297),MOD(O297,1),TIMEVALUE(O297))-LOOKUP(2,1/(($A$4:$A$500=A297)*($M$4:$M$500=M297)*($T$4:$T$500&lt;&gt;"")*($T$4:$T$500&lt;IF(ISNUMBER(O297),MOD(O297,1),TIMEVALUE(O297)))),$T$4:$T$500))*1440),"")</f>
        <v/>
      </c>
      <c r="Z297" s="27">
        <f>IFERROR(IF(Y297="","",IF(ROUND(Y297,0)&lt;=15,"Cumple","No cumple")),"")</f>
        <v/>
      </c>
      <c r="AA297" s="27" t="n"/>
      <c r="AB297" s="26">
        <f>IFERROR(IF(OR(O297="",R297=""),"",IF(IF(ISNUMBER(R297),MOD(R297,1),TIMEVALUE(R297))&gt;=IF(ISNUMBER(O297),MOD(O297,1),TIMEVALUE(O297)),(IF(ISNUMBER(R297),MOD(R297,1),TIMEVALUE(R297))-IF(ISNUMBER(O297),MOD(O297,1),TIMEVALUE(O297)))*1440,(IF(ISNUMBER(R297),MOD(R297,1),TIMEVALUE(R297))+1-IF(ISNUMBER(O297),MOD(O297,1),TIMEVALUE(O297)))*1440)),"")</f>
        <v/>
      </c>
      <c r="AC297" s="26">
        <f>IFERROR(IF(OR(R297="",S297=""),"",IF(IF(ISNUMBER(S297),MOD(S297,1),TIMEVALUE(S297))&gt;=IF(ISNUMBER(R297),MOD(R297,1),TIMEVALUE(R297)),(IF(ISNUMBER(S297),MOD(S297,1),TIMEVALUE(S297))-IF(ISNUMBER(R297),MOD(R297,1),TIMEVALUE(R297)))*1440,(IF(ISNUMBER(S297),MOD(S297,1),TIMEVALUE(S297))+1-IF(ISNUMBER(R297),MOD(R297,1),TIMEVALUE(R297)))*1440)),"")</f>
        <v/>
      </c>
      <c r="AD297" s="29" t="n"/>
      <c r="AE297" s="26">
        <f>IFERROR(IF(OR(AC297="",AD297=""),"",AC297-AD297),"")</f>
        <v/>
      </c>
      <c r="AF297" s="27">
        <f>IFERROR(IF(AE297="","",IF(ROUND(AE297,0)&gt;15,"Subestimacion",IF(ROUND(AE297,0)&lt;-15,"Sobrestimacion","Asertivo"))),"")</f>
        <v/>
      </c>
      <c r="AG297" s="19" t="n"/>
      <c r="AH297" s="19" t="n"/>
      <c r="AI297" s="19" t="n"/>
      <c r="AJ297" s="19" t="n"/>
      <c r="AK297" s="19" t="n"/>
      <c r="AL297" s="19" t="n"/>
      <c r="AM297" s="19" t="n"/>
      <c r="AN297" s="19" t="n"/>
      <c r="AO297" s="19" t="n"/>
      <c r="AP297" s="127">
        <f>IF(A297="","",A297-WEEKDAY(A297,2)+1)</f>
        <v/>
      </c>
      <c r="AQ297" s="127">
        <f>IF(AO297="","",AO297+6)</f>
        <v/>
      </c>
      <c r="AR297" s="19">
        <f>IF(AO297="","","Semana "&amp;TEXT(AO297,"dd-mm-yyyy")&amp;" al "&amp;TEXT(AP297,"dd-mm-yyyy"))</f>
        <v/>
      </c>
      <c r="AS297" s="19">
        <f>IF(A297="","",TEXT(A297,"mmmm yyyy"))</f>
        <v/>
      </c>
      <c r="AT297" s="19">
        <f>IF(A297="","",TEXT(A297,"dddd"))</f>
        <v/>
      </c>
      <c r="AU297" s="19">
        <f>IF(A297="","","CRR-"&amp;TEXT(A297,"yyyymmdd")&amp;"-"&amp;M297&amp;"-"&amp;TEXT(ROW()-3,"0000"))</f>
        <v/>
      </c>
      <c r="AV297" s="19">
        <f>IF(A297="","",IF(OR(B297="",C297="",E297="",F297="",M297="",N297=""),"Revisar campos obligatorios",IF(AND(P297="Atraso primera hora",Q297=""),"Falta justificación atraso primera hora",IF(AND(Z297="No cumple",AA297=""),"Falta justificación recambio &gt;15 min",IF(AND(ISNUMBER(SEARCH("suspend",N297)),OR(AG297="",AH297="")),"Falta causa/motivo suspensión","OK")))))</f>
        <v/>
      </c>
      <c r="AW297" s="19">
        <f>IF(N297="","",IF(ISNUMBER(SEARCH("suspend",N297)),IF(AND(AG297="",AH297=""),"Sin causa/motivo registrado",IF(AG297="",AH297,IF(AH297="",AG297,AG297&amp;": "&amp;AH297))),""))</f>
        <v/>
      </c>
    </row>
    <row r="298" ht="16" customHeight="1" s="151">
      <c r="A298" s="62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20">
        <f>IF(H298&lt;&gt;"",IFERROR(VLOOKUP(IFERROR(LEFT(H298,FIND("-",H298)-1),H298),'Catalogo MINSAL'!A:E,5,FALSE),""),IF(I298&lt;&gt;"",IFERROR(VLOOKUP(IFERROR(LEFT(I298,FIND("-",I298)-1),I298),'Catalogo MINSAL'!A:E,5,FALSE),""),""))</f>
        <v/>
      </c>
      <c r="K298" s="19" t="n"/>
      <c r="L298" s="19" t="n"/>
      <c r="M298" s="19" t="n"/>
      <c r="N298" s="19" t="n"/>
      <c r="O298" s="25" t="n"/>
      <c r="P298" s="27">
        <f>IFERROR(IF(OR(O298="",A298="",M298=""),"",IF(SUMPRODUCT(($A$4:$A$500=A298)*($M$4:$M$500=M298)*($O$4:$O$500&lt;&gt;"")*(MOD($O$4:$O$500,1)&lt;MOD(O298,1)))=0,IF(MOD(O298,1)&lt;=TIME(8,15,0),"Ingreso adecuado primera hora","Atraso primera hora"),"No aplica")),"")</f>
        <v/>
      </c>
      <c r="Q298" s="27" t="n"/>
      <c r="R298" s="25" t="n"/>
      <c r="S298" s="25" t="n"/>
      <c r="T298" s="25" t="n"/>
      <c r="U298" s="25">
        <f>IFERROR(VLOOKUP(M298,'Horario Pabellones'!$A$4:$D$17,2,FALSE),"")</f>
        <v/>
      </c>
      <c r="V298" s="25">
        <f>IFERROR(VLOOKUP(M298,'Horario Pabellones'!$A$4:$D$17,3,FALSE),"")</f>
        <v/>
      </c>
      <c r="W298" s="99">
        <f>IFERROR(VLOOKUP(M298,'Horario Pabellones'!$A$4:$D$17,4,FALSE),"")</f>
        <v/>
      </c>
      <c r="X298" s="89">
        <f>IFERROR(IF(OR(A298="",M298="",W298=""),"",(((_xludf.AGGREGATE(14,6,MOD($S$4:$S$500,1)/(($A$4:$A$500=A298)*($M$4:$M$500=M298)*($R$4:$R$500&lt;&gt;"")*($S$4:$S$500&lt;&gt;"")),1)-_xludf.AGGREGATE(15,6,MOD($R$4:$R$500,1)/(($A$4:$A$500=A298)*($M$4:$M$500=M298)*($R$4:$R$500&lt;&gt;"")*($S$4:$S$500&lt;&gt;"")),1))*1440)/60)/(W298/60)),"")</f>
        <v/>
      </c>
      <c r="Y298" s="26">
        <f>IFERROR(IF(OR(O298="",A298="",M298=""),"",(IF(ISNUMBER(O298),MOD(O298,1),TIMEVALUE(O298))-LOOKUP(2,1/(($A$4:$A$500=A298)*($M$4:$M$500=M298)*($T$4:$T$500&lt;&gt;"")*($T$4:$T$500&lt;IF(ISNUMBER(O298),MOD(O298,1),TIMEVALUE(O298)))),$T$4:$T$500))*1440),"")</f>
        <v/>
      </c>
      <c r="Z298" s="27">
        <f>IFERROR(IF(Y298="","",IF(ROUND(Y298,0)&lt;=15,"Cumple","No cumple")),"")</f>
        <v/>
      </c>
      <c r="AA298" s="27" t="n"/>
      <c r="AB298" s="26">
        <f>IFERROR(IF(OR(O298="",R298=""),"",IF(IF(ISNUMBER(R298),MOD(R298,1),TIMEVALUE(R298))&gt;=IF(ISNUMBER(O298),MOD(O298,1),TIMEVALUE(O298)),(IF(ISNUMBER(R298),MOD(R298,1),TIMEVALUE(R298))-IF(ISNUMBER(O298),MOD(O298,1),TIMEVALUE(O298)))*1440,(IF(ISNUMBER(R298),MOD(R298,1),TIMEVALUE(R298))+1-IF(ISNUMBER(O298),MOD(O298,1),TIMEVALUE(O298)))*1440)),"")</f>
        <v/>
      </c>
      <c r="AC298" s="26">
        <f>IFERROR(IF(OR(R298="",S298=""),"",IF(IF(ISNUMBER(S298),MOD(S298,1),TIMEVALUE(S298))&gt;=IF(ISNUMBER(R298),MOD(R298,1),TIMEVALUE(R298)),(IF(ISNUMBER(S298),MOD(S298,1),TIMEVALUE(S298))-IF(ISNUMBER(R298),MOD(R298,1),TIMEVALUE(R298)))*1440,(IF(ISNUMBER(S298),MOD(S298,1),TIMEVALUE(S298))+1-IF(ISNUMBER(R298),MOD(R298,1),TIMEVALUE(R298)))*1440)),"")</f>
        <v/>
      </c>
      <c r="AD298" s="29" t="n"/>
      <c r="AE298" s="26">
        <f>IFERROR(IF(OR(AC298="",AD298=""),"",AC298-AD298),"")</f>
        <v/>
      </c>
      <c r="AF298" s="27">
        <f>IFERROR(IF(AE298="","",IF(ROUND(AE298,0)&gt;15,"Subestimacion",IF(ROUND(AE298,0)&lt;-15,"Sobrestimacion","Asertivo"))),"")</f>
        <v/>
      </c>
      <c r="AG298" s="19" t="n"/>
      <c r="AH298" s="19" t="n"/>
      <c r="AI298" s="19" t="n"/>
      <c r="AJ298" s="19" t="n"/>
      <c r="AK298" s="19" t="n"/>
      <c r="AL298" s="19" t="n"/>
      <c r="AM298" s="19" t="n"/>
      <c r="AN298" s="19" t="n"/>
      <c r="AO298" s="19" t="n"/>
      <c r="AP298" s="127">
        <f>IF(A298="","",A298-WEEKDAY(A298,2)+1)</f>
        <v/>
      </c>
      <c r="AQ298" s="127">
        <f>IF(AO298="","",AO298+6)</f>
        <v/>
      </c>
      <c r="AR298" s="19">
        <f>IF(AO298="","","Semana "&amp;TEXT(AO298,"dd-mm-yyyy")&amp;" al "&amp;TEXT(AP298,"dd-mm-yyyy"))</f>
        <v/>
      </c>
      <c r="AS298" s="19">
        <f>IF(A298="","",TEXT(A298,"mmmm yyyy"))</f>
        <v/>
      </c>
      <c r="AT298" s="19">
        <f>IF(A298="","",TEXT(A298,"dddd"))</f>
        <v/>
      </c>
      <c r="AU298" s="19">
        <f>IF(A298="","","CRR-"&amp;TEXT(A298,"yyyymmdd")&amp;"-"&amp;M298&amp;"-"&amp;TEXT(ROW()-3,"0000"))</f>
        <v/>
      </c>
      <c r="AV298" s="19">
        <f>IF(A298="","",IF(OR(B298="",C298="",E298="",F298="",M298="",N298=""),"Revisar campos obligatorios",IF(AND(P298="Atraso primera hora",Q298=""),"Falta justificación atraso primera hora",IF(AND(Z298="No cumple",AA298=""),"Falta justificación recambio &gt;15 min",IF(AND(ISNUMBER(SEARCH("suspend",N298)),OR(AG298="",AH298="")),"Falta causa/motivo suspensión","OK")))))</f>
        <v/>
      </c>
      <c r="AW298" s="19">
        <f>IF(N298="","",IF(ISNUMBER(SEARCH("suspend",N298)),IF(AND(AG298="",AH298=""),"Sin causa/motivo registrado",IF(AG298="",AH298,IF(AH298="",AG298,AG298&amp;": "&amp;AH298))),""))</f>
        <v/>
      </c>
    </row>
    <row r="299" ht="16" customHeight="1" s="151">
      <c r="A299" s="62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20">
        <f>IF(H299&lt;&gt;"",IFERROR(VLOOKUP(IFERROR(LEFT(H299,FIND("-",H299)-1),H299),'Catalogo MINSAL'!A:E,5,FALSE),""),IF(I299&lt;&gt;"",IFERROR(VLOOKUP(IFERROR(LEFT(I299,FIND("-",I299)-1),I299),'Catalogo MINSAL'!A:E,5,FALSE),""),""))</f>
        <v/>
      </c>
      <c r="K299" s="19" t="n"/>
      <c r="L299" s="19" t="n"/>
      <c r="M299" s="19" t="n"/>
      <c r="N299" s="19" t="n"/>
      <c r="O299" s="25" t="n"/>
      <c r="P299" s="27">
        <f>IFERROR(IF(OR(O299="",A299="",M299=""),"",IF(SUMPRODUCT(($A$4:$A$500=A299)*($M$4:$M$500=M299)*($O$4:$O$500&lt;&gt;"")*(MOD($O$4:$O$500,1)&lt;MOD(O299,1)))=0,IF(MOD(O299,1)&lt;=TIME(8,15,0),"Ingreso adecuado primera hora","Atraso primera hora"),"No aplica")),"")</f>
        <v/>
      </c>
      <c r="Q299" s="27" t="n"/>
      <c r="R299" s="25" t="n"/>
      <c r="S299" s="25" t="n"/>
      <c r="T299" s="25" t="n"/>
      <c r="U299" s="25">
        <f>IFERROR(VLOOKUP(M299,'Horario Pabellones'!$A$4:$D$17,2,FALSE),"")</f>
        <v/>
      </c>
      <c r="V299" s="25">
        <f>IFERROR(VLOOKUP(M299,'Horario Pabellones'!$A$4:$D$17,3,FALSE),"")</f>
        <v/>
      </c>
      <c r="W299" s="99">
        <f>IFERROR(VLOOKUP(M299,'Horario Pabellones'!$A$4:$D$17,4,FALSE),"")</f>
        <v/>
      </c>
      <c r="X299" s="89">
        <f>IFERROR(IF(OR(A299="",M299="",W299=""),"",(((_xludf.AGGREGATE(14,6,MOD($S$4:$S$500,1)/(($A$4:$A$500=A299)*($M$4:$M$500=M299)*($R$4:$R$500&lt;&gt;"")*($S$4:$S$500&lt;&gt;"")),1)-_xludf.AGGREGATE(15,6,MOD($R$4:$R$500,1)/(($A$4:$A$500=A299)*($M$4:$M$500=M299)*($R$4:$R$500&lt;&gt;"")*($S$4:$S$500&lt;&gt;"")),1))*1440)/60)/(W299/60)),"")</f>
        <v/>
      </c>
      <c r="Y299" s="26">
        <f>IFERROR(IF(OR(O299="",A299="",M299=""),"",(IF(ISNUMBER(O299),MOD(O299,1),TIMEVALUE(O299))-LOOKUP(2,1/(($A$4:$A$500=A299)*($M$4:$M$500=M299)*($T$4:$T$500&lt;&gt;"")*($T$4:$T$500&lt;IF(ISNUMBER(O299),MOD(O299,1),TIMEVALUE(O299)))),$T$4:$T$500))*1440),"")</f>
        <v/>
      </c>
      <c r="Z299" s="27">
        <f>IFERROR(IF(Y299="","",IF(ROUND(Y299,0)&lt;=15,"Cumple","No cumple")),"")</f>
        <v/>
      </c>
      <c r="AA299" s="27" t="n"/>
      <c r="AB299" s="26">
        <f>IFERROR(IF(OR(O299="",R299=""),"",IF(IF(ISNUMBER(R299),MOD(R299,1),TIMEVALUE(R299))&gt;=IF(ISNUMBER(O299),MOD(O299,1),TIMEVALUE(O299)),(IF(ISNUMBER(R299),MOD(R299,1),TIMEVALUE(R299))-IF(ISNUMBER(O299),MOD(O299,1),TIMEVALUE(O299)))*1440,(IF(ISNUMBER(R299),MOD(R299,1),TIMEVALUE(R299))+1-IF(ISNUMBER(O299),MOD(O299,1),TIMEVALUE(O299)))*1440)),"")</f>
        <v/>
      </c>
      <c r="AC299" s="26">
        <f>IFERROR(IF(OR(R299="",S299=""),"",IF(IF(ISNUMBER(S299),MOD(S299,1),TIMEVALUE(S299))&gt;=IF(ISNUMBER(R299),MOD(R299,1),TIMEVALUE(R299)),(IF(ISNUMBER(S299),MOD(S299,1),TIMEVALUE(S299))-IF(ISNUMBER(R299),MOD(R299,1),TIMEVALUE(R299)))*1440,(IF(ISNUMBER(S299),MOD(S299,1),TIMEVALUE(S299))+1-IF(ISNUMBER(R299),MOD(R299,1),TIMEVALUE(R299)))*1440)),"")</f>
        <v/>
      </c>
      <c r="AD299" s="29" t="n"/>
      <c r="AE299" s="26">
        <f>IFERROR(IF(OR(AC299="",AD299=""),"",AC299-AD299),"")</f>
        <v/>
      </c>
      <c r="AF299" s="27">
        <f>IFERROR(IF(AE299="","",IF(ROUND(AE299,0)&gt;15,"Subestimacion",IF(ROUND(AE299,0)&lt;-15,"Sobrestimacion","Asertivo"))),"")</f>
        <v/>
      </c>
      <c r="AG299" s="19" t="n"/>
      <c r="AH299" s="19" t="n"/>
      <c r="AI299" s="19" t="n"/>
      <c r="AJ299" s="19" t="n"/>
      <c r="AK299" s="19" t="n"/>
      <c r="AL299" s="19" t="n"/>
      <c r="AM299" s="19" t="n"/>
      <c r="AN299" s="19" t="n"/>
      <c r="AO299" s="19" t="n"/>
      <c r="AP299" s="127">
        <f>IF(A299="","",A299-WEEKDAY(A299,2)+1)</f>
        <v/>
      </c>
      <c r="AQ299" s="127">
        <f>IF(AO299="","",AO299+6)</f>
        <v/>
      </c>
      <c r="AR299" s="19">
        <f>IF(AO299="","","Semana "&amp;TEXT(AO299,"dd-mm-yyyy")&amp;" al "&amp;TEXT(AP299,"dd-mm-yyyy"))</f>
        <v/>
      </c>
      <c r="AS299" s="19">
        <f>IF(A299="","",TEXT(A299,"mmmm yyyy"))</f>
        <v/>
      </c>
      <c r="AT299" s="19">
        <f>IF(A299="","",TEXT(A299,"dddd"))</f>
        <v/>
      </c>
      <c r="AU299" s="19">
        <f>IF(A299="","","CRR-"&amp;TEXT(A299,"yyyymmdd")&amp;"-"&amp;M299&amp;"-"&amp;TEXT(ROW()-3,"0000"))</f>
        <v/>
      </c>
      <c r="AV299" s="19">
        <f>IF(A299="","",IF(OR(B299="",C299="",E299="",F299="",M299="",N299=""),"Revisar campos obligatorios",IF(AND(P299="Atraso primera hora",Q299=""),"Falta justificación atraso primera hora",IF(AND(Z299="No cumple",AA299=""),"Falta justificación recambio &gt;15 min",IF(AND(ISNUMBER(SEARCH("suspend",N299)),OR(AG299="",AH299="")),"Falta causa/motivo suspensión","OK")))))</f>
        <v/>
      </c>
      <c r="AW299" s="19">
        <f>IF(N299="","",IF(ISNUMBER(SEARCH("suspend",N299)),IF(AND(AG299="",AH299=""),"Sin causa/motivo registrado",IF(AG299="",AH299,IF(AH299="",AG299,AG299&amp;": "&amp;AH299))),""))</f>
        <v/>
      </c>
    </row>
    <row r="300" ht="16" customHeight="1" s="151">
      <c r="A300" s="62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20">
        <f>IF(H300&lt;&gt;"",IFERROR(VLOOKUP(IFERROR(LEFT(H300,FIND("-",H300)-1),H300),'Catalogo MINSAL'!A:E,5,FALSE),""),IF(I300&lt;&gt;"",IFERROR(VLOOKUP(IFERROR(LEFT(I300,FIND("-",I300)-1),I300),'Catalogo MINSAL'!A:E,5,FALSE),""),""))</f>
        <v/>
      </c>
      <c r="K300" s="19" t="n"/>
      <c r="L300" s="19" t="n"/>
      <c r="M300" s="19" t="n"/>
      <c r="N300" s="19" t="n"/>
      <c r="O300" s="25" t="n"/>
      <c r="P300" s="27">
        <f>IFERROR(IF(OR(O300="",A300="",M300=""),"",IF(SUMPRODUCT(($A$4:$A$500=A300)*($M$4:$M$500=M300)*($O$4:$O$500&lt;&gt;"")*(MOD($O$4:$O$500,1)&lt;MOD(O300,1)))=0,IF(MOD(O300,1)&lt;=TIME(8,15,0),"Ingreso adecuado primera hora","Atraso primera hora"),"No aplica")),"")</f>
        <v/>
      </c>
      <c r="Q300" s="27" t="n"/>
      <c r="R300" s="25" t="n"/>
      <c r="S300" s="25" t="n"/>
      <c r="T300" s="25" t="n"/>
      <c r="U300" s="25">
        <f>IFERROR(VLOOKUP(M300,'Horario Pabellones'!$A$4:$D$17,2,FALSE),"")</f>
        <v/>
      </c>
      <c r="V300" s="25">
        <f>IFERROR(VLOOKUP(M300,'Horario Pabellones'!$A$4:$D$17,3,FALSE),"")</f>
        <v/>
      </c>
      <c r="W300" s="99">
        <f>IFERROR(VLOOKUP(M300,'Horario Pabellones'!$A$4:$D$17,4,FALSE),"")</f>
        <v/>
      </c>
      <c r="X300" s="89">
        <f>IFERROR(IF(OR(A300="",M300="",W300=""),"",(((_xludf.AGGREGATE(14,6,MOD($S$4:$S$500,1)/(($A$4:$A$500=A300)*($M$4:$M$500=M300)*($R$4:$R$500&lt;&gt;"")*($S$4:$S$500&lt;&gt;"")),1)-_xludf.AGGREGATE(15,6,MOD($R$4:$R$500,1)/(($A$4:$A$500=A300)*($M$4:$M$500=M300)*($R$4:$R$500&lt;&gt;"")*($S$4:$S$500&lt;&gt;"")),1))*1440)/60)/(W300/60)),"")</f>
        <v/>
      </c>
      <c r="Y300" s="26">
        <f>IFERROR(IF(OR(O300="",A300="",M300=""),"",(IF(ISNUMBER(O300),MOD(O300,1),TIMEVALUE(O300))-LOOKUP(2,1/(($A$4:$A$500=A300)*($M$4:$M$500=M300)*($T$4:$T$500&lt;&gt;"")*($T$4:$T$500&lt;IF(ISNUMBER(O300),MOD(O300,1),TIMEVALUE(O300)))),$T$4:$T$500))*1440),"")</f>
        <v/>
      </c>
      <c r="Z300" s="27">
        <f>IFERROR(IF(Y300="","",IF(ROUND(Y300,0)&lt;=15,"Cumple","No cumple")),"")</f>
        <v/>
      </c>
      <c r="AA300" s="27" t="n"/>
      <c r="AB300" s="26">
        <f>IFERROR(IF(OR(O300="",R300=""),"",IF(IF(ISNUMBER(R300),MOD(R300,1),TIMEVALUE(R300))&gt;=IF(ISNUMBER(O300),MOD(O300,1),TIMEVALUE(O300)),(IF(ISNUMBER(R300),MOD(R300,1),TIMEVALUE(R300))-IF(ISNUMBER(O300),MOD(O300,1),TIMEVALUE(O300)))*1440,(IF(ISNUMBER(R300),MOD(R300,1),TIMEVALUE(R300))+1-IF(ISNUMBER(O300),MOD(O300,1),TIMEVALUE(O300)))*1440)),"")</f>
        <v/>
      </c>
      <c r="AC300" s="26">
        <f>IFERROR(IF(OR(R300="",S300=""),"",IF(IF(ISNUMBER(S300),MOD(S300,1),TIMEVALUE(S300))&gt;=IF(ISNUMBER(R300),MOD(R300,1),TIMEVALUE(R300)),(IF(ISNUMBER(S300),MOD(S300,1),TIMEVALUE(S300))-IF(ISNUMBER(R300),MOD(R300,1),TIMEVALUE(R300)))*1440,(IF(ISNUMBER(S300),MOD(S300,1),TIMEVALUE(S300))+1-IF(ISNUMBER(R300),MOD(R300,1),TIMEVALUE(R300)))*1440)),"")</f>
        <v/>
      </c>
      <c r="AD300" s="29" t="n"/>
      <c r="AE300" s="26">
        <f>IFERROR(IF(OR(AC300="",AD300=""),"",AC300-AD300),"")</f>
        <v/>
      </c>
      <c r="AF300" s="27">
        <f>IFERROR(IF(AE300="","",IF(ROUND(AE300,0)&gt;15,"Subestimacion",IF(ROUND(AE300,0)&lt;-15,"Sobrestimacion","Asertivo"))),"")</f>
        <v/>
      </c>
      <c r="AG300" s="19" t="n"/>
      <c r="AH300" s="19" t="n"/>
      <c r="AI300" s="19" t="n"/>
      <c r="AJ300" s="19" t="n"/>
      <c r="AK300" s="19" t="n"/>
      <c r="AL300" s="19" t="n"/>
      <c r="AM300" s="19" t="n"/>
      <c r="AN300" s="19" t="n"/>
      <c r="AO300" s="19" t="n"/>
      <c r="AP300" s="127">
        <f>IF(A300="","",A300-WEEKDAY(A300,2)+1)</f>
        <v/>
      </c>
      <c r="AQ300" s="127">
        <f>IF(AO300="","",AO300+6)</f>
        <v/>
      </c>
      <c r="AR300" s="19">
        <f>IF(AO300="","","Semana "&amp;TEXT(AO300,"dd-mm-yyyy")&amp;" al "&amp;TEXT(AP300,"dd-mm-yyyy"))</f>
        <v/>
      </c>
      <c r="AS300" s="19">
        <f>IF(A300="","",TEXT(A300,"mmmm yyyy"))</f>
        <v/>
      </c>
      <c r="AT300" s="19">
        <f>IF(A300="","",TEXT(A300,"dddd"))</f>
        <v/>
      </c>
      <c r="AU300" s="19">
        <f>IF(A300="","","CRR-"&amp;TEXT(A300,"yyyymmdd")&amp;"-"&amp;M300&amp;"-"&amp;TEXT(ROW()-3,"0000"))</f>
        <v/>
      </c>
      <c r="AV300" s="19">
        <f>IF(A300="","",IF(OR(B300="",C300="",E300="",F300="",M300="",N300=""),"Revisar campos obligatorios",IF(AND(P300="Atraso primera hora",Q300=""),"Falta justificación atraso primera hora",IF(AND(Z300="No cumple",AA300=""),"Falta justificación recambio &gt;15 min",IF(AND(ISNUMBER(SEARCH("suspend",N300)),OR(AG300="",AH300="")),"Falta causa/motivo suspensión","OK")))))</f>
        <v/>
      </c>
      <c r="AW300" s="19">
        <f>IF(N300="","",IF(ISNUMBER(SEARCH("suspend",N300)),IF(AND(AG300="",AH300=""),"Sin causa/motivo registrado",IF(AG300="",AH300,IF(AH300="",AG300,AG300&amp;": "&amp;AH300))),""))</f>
        <v/>
      </c>
    </row>
    <row r="301" ht="16" customHeight="1" s="151">
      <c r="A301" s="62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20">
        <f>IF(H301&lt;&gt;"",IFERROR(VLOOKUP(IFERROR(LEFT(H301,FIND("-",H301)-1),H301),'Catalogo MINSAL'!A:E,5,FALSE),""),IF(I301&lt;&gt;"",IFERROR(VLOOKUP(IFERROR(LEFT(I301,FIND("-",I301)-1),I301),'Catalogo MINSAL'!A:E,5,FALSE),""),""))</f>
        <v/>
      </c>
      <c r="K301" s="19" t="n"/>
      <c r="L301" s="19" t="n"/>
      <c r="M301" s="19" t="n"/>
      <c r="N301" s="19" t="n"/>
      <c r="O301" s="25" t="n"/>
      <c r="P301" s="27">
        <f>IFERROR(IF(OR(O301="",A301="",M301=""),"",IF(SUMPRODUCT(($A$4:$A$500=A301)*($M$4:$M$500=M301)*($O$4:$O$500&lt;&gt;"")*(MOD($O$4:$O$500,1)&lt;MOD(O301,1)))=0,IF(MOD(O301,1)&lt;=TIME(8,15,0),"Ingreso adecuado primera hora","Atraso primera hora"),"No aplica")),"")</f>
        <v/>
      </c>
      <c r="Q301" s="27" t="n"/>
      <c r="R301" s="25" t="n"/>
      <c r="S301" s="25" t="n"/>
      <c r="T301" s="25" t="n"/>
      <c r="U301" s="25">
        <f>IFERROR(VLOOKUP(M301,'Horario Pabellones'!$A$4:$D$17,2,FALSE),"")</f>
        <v/>
      </c>
      <c r="V301" s="25">
        <f>IFERROR(VLOOKUP(M301,'Horario Pabellones'!$A$4:$D$17,3,FALSE),"")</f>
        <v/>
      </c>
      <c r="W301" s="99">
        <f>IFERROR(VLOOKUP(M301,'Horario Pabellones'!$A$4:$D$17,4,FALSE),"")</f>
        <v/>
      </c>
      <c r="X301" s="89">
        <f>IFERROR(IF(OR(A301="",M301="",W301=""),"",(((_xludf.AGGREGATE(14,6,MOD($S$4:$S$500,1)/(($A$4:$A$500=A301)*($M$4:$M$500=M301)*($R$4:$R$500&lt;&gt;"")*($S$4:$S$500&lt;&gt;"")),1)-_xludf.AGGREGATE(15,6,MOD($R$4:$R$500,1)/(($A$4:$A$500=A301)*($M$4:$M$500=M301)*($R$4:$R$500&lt;&gt;"")*($S$4:$S$500&lt;&gt;"")),1))*1440)/60)/(W301/60)),"")</f>
        <v/>
      </c>
      <c r="Y301" s="26">
        <f>IFERROR(IF(OR(O301="",A301="",M301=""),"",(IF(ISNUMBER(O301),MOD(O301,1),TIMEVALUE(O301))-LOOKUP(2,1/(($A$4:$A$500=A301)*($M$4:$M$500=M301)*($T$4:$T$500&lt;&gt;"")*($T$4:$T$500&lt;IF(ISNUMBER(O301),MOD(O301,1),TIMEVALUE(O301)))),$T$4:$T$500))*1440),"")</f>
        <v/>
      </c>
      <c r="Z301" s="27">
        <f>IFERROR(IF(Y301="","",IF(ROUND(Y301,0)&lt;=15,"Cumple","No cumple")),"")</f>
        <v/>
      </c>
      <c r="AA301" s="27" t="n"/>
      <c r="AB301" s="26">
        <f>IFERROR(IF(OR(O301="",R301=""),"",IF(IF(ISNUMBER(R301),MOD(R301,1),TIMEVALUE(R301))&gt;=IF(ISNUMBER(O301),MOD(O301,1),TIMEVALUE(O301)),(IF(ISNUMBER(R301),MOD(R301,1),TIMEVALUE(R301))-IF(ISNUMBER(O301),MOD(O301,1),TIMEVALUE(O301)))*1440,(IF(ISNUMBER(R301),MOD(R301,1),TIMEVALUE(R301))+1-IF(ISNUMBER(O301),MOD(O301,1),TIMEVALUE(O301)))*1440)),"")</f>
        <v/>
      </c>
      <c r="AC301" s="26">
        <f>IFERROR(IF(OR(R301="",S301=""),"",IF(IF(ISNUMBER(S301),MOD(S301,1),TIMEVALUE(S301))&gt;=IF(ISNUMBER(R301),MOD(R301,1),TIMEVALUE(R301)),(IF(ISNUMBER(S301),MOD(S301,1),TIMEVALUE(S301))-IF(ISNUMBER(R301),MOD(R301,1),TIMEVALUE(R301)))*1440,(IF(ISNUMBER(S301),MOD(S301,1),TIMEVALUE(S301))+1-IF(ISNUMBER(R301),MOD(R301,1),TIMEVALUE(R301)))*1440)),"")</f>
        <v/>
      </c>
      <c r="AD301" s="29" t="n"/>
      <c r="AE301" s="26">
        <f>IFERROR(IF(OR(AC301="",AD301=""),"",AC301-AD301),"")</f>
        <v/>
      </c>
      <c r="AF301" s="27">
        <f>IFERROR(IF(AE301="","",IF(ROUND(AE301,0)&gt;15,"Subestimacion",IF(ROUND(AE301,0)&lt;-15,"Sobrestimacion","Asertivo"))),"")</f>
        <v/>
      </c>
      <c r="AG301" s="19" t="n"/>
      <c r="AH301" s="19" t="n"/>
      <c r="AI301" s="19" t="n"/>
      <c r="AJ301" s="19" t="n"/>
      <c r="AK301" s="19" t="n"/>
      <c r="AL301" s="19" t="n"/>
      <c r="AM301" s="19" t="n"/>
      <c r="AN301" s="19" t="n"/>
      <c r="AO301" s="19" t="n"/>
      <c r="AP301" s="127">
        <f>IF(A301="","",A301-WEEKDAY(A301,2)+1)</f>
        <v/>
      </c>
      <c r="AQ301" s="127">
        <f>IF(AO301="","",AO301+6)</f>
        <v/>
      </c>
      <c r="AR301" s="19">
        <f>IF(AO301="","","Semana "&amp;TEXT(AO301,"dd-mm-yyyy")&amp;" al "&amp;TEXT(AP301,"dd-mm-yyyy"))</f>
        <v/>
      </c>
      <c r="AS301" s="19">
        <f>IF(A301="","",TEXT(A301,"mmmm yyyy"))</f>
        <v/>
      </c>
      <c r="AT301" s="19">
        <f>IF(A301="","",TEXT(A301,"dddd"))</f>
        <v/>
      </c>
      <c r="AU301" s="19">
        <f>IF(A301="","","CRR-"&amp;TEXT(A301,"yyyymmdd")&amp;"-"&amp;M301&amp;"-"&amp;TEXT(ROW()-3,"0000"))</f>
        <v/>
      </c>
      <c r="AV301" s="19">
        <f>IF(A301="","",IF(OR(B301="",C301="",E301="",F301="",M301="",N301=""),"Revisar campos obligatorios",IF(AND(P301="Atraso primera hora",Q301=""),"Falta justificación atraso primera hora",IF(AND(Z301="No cumple",AA301=""),"Falta justificación recambio &gt;15 min",IF(AND(ISNUMBER(SEARCH("suspend",N301)),OR(AG301="",AH301="")),"Falta causa/motivo suspensión","OK")))))</f>
        <v/>
      </c>
      <c r="AW301" s="19">
        <f>IF(N301="","",IF(ISNUMBER(SEARCH("suspend",N301)),IF(AND(AG301="",AH301=""),"Sin causa/motivo registrado",IF(AG301="",AH301,IF(AH301="",AG301,AG301&amp;": "&amp;AH301))),""))</f>
        <v/>
      </c>
    </row>
    <row r="302" ht="16" customHeight="1" s="151">
      <c r="A302" s="62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20">
        <f>IF(H302&lt;&gt;"",IFERROR(VLOOKUP(IFERROR(LEFT(H302,FIND("-",H302)-1),H302),'Catalogo MINSAL'!A:E,5,FALSE),""),IF(I302&lt;&gt;"",IFERROR(VLOOKUP(IFERROR(LEFT(I302,FIND("-",I302)-1),I302),'Catalogo MINSAL'!A:E,5,FALSE),""),""))</f>
        <v/>
      </c>
      <c r="K302" s="19" t="n"/>
      <c r="L302" s="19" t="n"/>
      <c r="M302" s="19" t="n"/>
      <c r="N302" s="19" t="n"/>
      <c r="O302" s="25" t="n"/>
      <c r="P302" s="27">
        <f>IFERROR(IF(OR(O302="",A302="",M302=""),"",IF(SUMPRODUCT(($A$4:$A$500=A302)*($M$4:$M$500=M302)*($O$4:$O$500&lt;&gt;"")*(MOD($O$4:$O$500,1)&lt;MOD(O302,1)))=0,IF(MOD(O302,1)&lt;=TIME(8,15,0),"Ingreso adecuado primera hora","Atraso primera hora"),"No aplica")),"")</f>
        <v/>
      </c>
      <c r="Q302" s="27" t="n"/>
      <c r="R302" s="25" t="n"/>
      <c r="S302" s="25" t="n"/>
      <c r="T302" s="25" t="n"/>
      <c r="U302" s="25">
        <f>IFERROR(VLOOKUP(M302,'Horario Pabellones'!$A$4:$D$17,2,FALSE),"")</f>
        <v/>
      </c>
      <c r="V302" s="25">
        <f>IFERROR(VLOOKUP(M302,'Horario Pabellones'!$A$4:$D$17,3,FALSE),"")</f>
        <v/>
      </c>
      <c r="W302" s="99">
        <f>IFERROR(VLOOKUP(M302,'Horario Pabellones'!$A$4:$D$17,4,FALSE),"")</f>
        <v/>
      </c>
      <c r="X302" s="89">
        <f>IFERROR(IF(OR(A302="",M302="",W302=""),"",(((_xludf.AGGREGATE(14,6,MOD($S$4:$S$500,1)/(($A$4:$A$500=A302)*($M$4:$M$500=M302)*($R$4:$R$500&lt;&gt;"")*($S$4:$S$500&lt;&gt;"")),1)-_xludf.AGGREGATE(15,6,MOD($R$4:$R$500,1)/(($A$4:$A$500=A302)*($M$4:$M$500=M302)*($R$4:$R$500&lt;&gt;"")*($S$4:$S$500&lt;&gt;"")),1))*1440)/60)/(W302/60)),"")</f>
        <v/>
      </c>
      <c r="Y302" s="26">
        <f>IFERROR(IF(OR(O302="",A302="",M302=""),"",(IF(ISNUMBER(O302),MOD(O302,1),TIMEVALUE(O302))-LOOKUP(2,1/(($A$4:$A$500=A302)*($M$4:$M$500=M302)*($T$4:$T$500&lt;&gt;"")*($T$4:$T$500&lt;IF(ISNUMBER(O302),MOD(O302,1),TIMEVALUE(O302)))),$T$4:$T$500))*1440),"")</f>
        <v/>
      </c>
      <c r="Z302" s="27">
        <f>IFERROR(IF(Y302="","",IF(ROUND(Y302,0)&lt;=15,"Cumple","No cumple")),"")</f>
        <v/>
      </c>
      <c r="AA302" s="27" t="n"/>
      <c r="AB302" s="26">
        <f>IFERROR(IF(OR(O302="",R302=""),"",IF(IF(ISNUMBER(R302),MOD(R302,1),TIMEVALUE(R302))&gt;=IF(ISNUMBER(O302),MOD(O302,1),TIMEVALUE(O302)),(IF(ISNUMBER(R302),MOD(R302,1),TIMEVALUE(R302))-IF(ISNUMBER(O302),MOD(O302,1),TIMEVALUE(O302)))*1440,(IF(ISNUMBER(R302),MOD(R302,1),TIMEVALUE(R302))+1-IF(ISNUMBER(O302),MOD(O302,1),TIMEVALUE(O302)))*1440)),"")</f>
        <v/>
      </c>
      <c r="AC302" s="26">
        <f>IFERROR(IF(OR(R302="",S302=""),"",IF(IF(ISNUMBER(S302),MOD(S302,1),TIMEVALUE(S302))&gt;=IF(ISNUMBER(R302),MOD(R302,1),TIMEVALUE(R302)),(IF(ISNUMBER(S302),MOD(S302,1),TIMEVALUE(S302))-IF(ISNUMBER(R302),MOD(R302,1),TIMEVALUE(R302)))*1440,(IF(ISNUMBER(S302),MOD(S302,1),TIMEVALUE(S302))+1-IF(ISNUMBER(R302),MOD(R302,1),TIMEVALUE(R302)))*1440)),"")</f>
        <v/>
      </c>
      <c r="AD302" s="29" t="n"/>
      <c r="AE302" s="26">
        <f>IFERROR(IF(OR(AC302="",AD302=""),"",AC302-AD302),"")</f>
        <v/>
      </c>
      <c r="AF302" s="27">
        <f>IFERROR(IF(AE302="","",IF(ROUND(AE302,0)&gt;15,"Subestimacion",IF(ROUND(AE302,0)&lt;-15,"Sobrestimacion","Asertivo"))),"")</f>
        <v/>
      </c>
      <c r="AG302" s="19" t="n"/>
      <c r="AH302" s="19" t="n"/>
      <c r="AI302" s="19" t="n"/>
      <c r="AJ302" s="19" t="n"/>
      <c r="AK302" s="19" t="n"/>
      <c r="AL302" s="19" t="n"/>
      <c r="AM302" s="19" t="n"/>
      <c r="AN302" s="19" t="n"/>
      <c r="AO302" s="19" t="n"/>
      <c r="AP302" s="127">
        <f>IF(A302="","",A302-WEEKDAY(A302,2)+1)</f>
        <v/>
      </c>
      <c r="AQ302" s="127">
        <f>IF(AO302="","",AO302+6)</f>
        <v/>
      </c>
      <c r="AR302" s="19">
        <f>IF(AO302="","","Semana "&amp;TEXT(AO302,"dd-mm-yyyy")&amp;" al "&amp;TEXT(AP302,"dd-mm-yyyy"))</f>
        <v/>
      </c>
      <c r="AS302" s="19">
        <f>IF(A302="","",TEXT(A302,"mmmm yyyy"))</f>
        <v/>
      </c>
      <c r="AT302" s="19">
        <f>IF(A302="","",TEXT(A302,"dddd"))</f>
        <v/>
      </c>
      <c r="AU302" s="19">
        <f>IF(A302="","","CRR-"&amp;TEXT(A302,"yyyymmdd")&amp;"-"&amp;M302&amp;"-"&amp;TEXT(ROW()-3,"0000"))</f>
        <v/>
      </c>
      <c r="AV302" s="19">
        <f>IF(A302="","",IF(OR(B302="",C302="",E302="",F302="",M302="",N302=""),"Revisar campos obligatorios",IF(AND(P302="Atraso primera hora",Q302=""),"Falta justificación atraso primera hora",IF(AND(Z302="No cumple",AA302=""),"Falta justificación recambio &gt;15 min",IF(AND(ISNUMBER(SEARCH("suspend",N302)),OR(AG302="",AH302="")),"Falta causa/motivo suspensión","OK")))))</f>
        <v/>
      </c>
      <c r="AW302" s="19">
        <f>IF(N302="","",IF(ISNUMBER(SEARCH("suspend",N302)),IF(AND(AG302="",AH302=""),"Sin causa/motivo registrado",IF(AG302="",AH302,IF(AH302="",AG302,AG302&amp;": "&amp;AH302))),""))</f>
        <v/>
      </c>
    </row>
    <row r="303" ht="16" customHeight="1" s="151">
      <c r="A303" s="62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20">
        <f>IF(H303&lt;&gt;"",IFERROR(VLOOKUP(IFERROR(LEFT(H303,FIND("-",H303)-1),H303),'Catalogo MINSAL'!A:E,5,FALSE),""),IF(I303&lt;&gt;"",IFERROR(VLOOKUP(IFERROR(LEFT(I303,FIND("-",I303)-1),I303),'Catalogo MINSAL'!A:E,5,FALSE),""),""))</f>
        <v/>
      </c>
      <c r="K303" s="19" t="n"/>
      <c r="L303" s="19" t="n"/>
      <c r="M303" s="19" t="n"/>
      <c r="N303" s="19" t="n"/>
      <c r="O303" s="25" t="n"/>
      <c r="P303" s="27">
        <f>IFERROR(IF(OR(O303="",A303="",M303=""),"",IF(SUMPRODUCT(($A$4:$A$500=A303)*($M$4:$M$500=M303)*($O$4:$O$500&lt;&gt;"")*(MOD($O$4:$O$500,1)&lt;MOD(O303,1)))=0,IF(MOD(O303,1)&lt;=TIME(8,15,0),"Ingreso adecuado primera hora","Atraso primera hora"),"No aplica")),"")</f>
        <v/>
      </c>
      <c r="Q303" s="27" t="n"/>
      <c r="R303" s="25" t="n"/>
      <c r="S303" s="25" t="n"/>
      <c r="T303" s="25" t="n"/>
      <c r="U303" s="25">
        <f>IFERROR(VLOOKUP(M303,'Horario Pabellones'!$A$4:$D$17,2,FALSE),"")</f>
        <v/>
      </c>
      <c r="V303" s="25">
        <f>IFERROR(VLOOKUP(M303,'Horario Pabellones'!$A$4:$D$17,3,FALSE),"")</f>
        <v/>
      </c>
      <c r="W303" s="99">
        <f>IFERROR(VLOOKUP(M303,'Horario Pabellones'!$A$4:$D$17,4,FALSE),"")</f>
        <v/>
      </c>
      <c r="X303" s="89">
        <f>IFERROR(IF(OR(A303="",M303="",W303=""),"",(((_xludf.AGGREGATE(14,6,MOD($S$4:$S$500,1)/(($A$4:$A$500=A303)*($M$4:$M$500=M303)*($R$4:$R$500&lt;&gt;"")*($S$4:$S$500&lt;&gt;"")),1)-_xludf.AGGREGATE(15,6,MOD($R$4:$R$500,1)/(($A$4:$A$500=A303)*($M$4:$M$500=M303)*($R$4:$R$500&lt;&gt;"")*($S$4:$S$500&lt;&gt;"")),1))*1440)/60)/(W303/60)),"")</f>
        <v/>
      </c>
      <c r="Y303" s="26">
        <f>IFERROR(IF(OR(O303="",A303="",M303=""),"",(IF(ISNUMBER(O303),MOD(O303,1),TIMEVALUE(O303))-LOOKUP(2,1/(($A$4:$A$500=A303)*($M$4:$M$500=M303)*($T$4:$T$500&lt;&gt;"")*($T$4:$T$500&lt;IF(ISNUMBER(O303),MOD(O303,1),TIMEVALUE(O303)))),$T$4:$T$500))*1440),"")</f>
        <v/>
      </c>
      <c r="Z303" s="27">
        <f>IFERROR(IF(Y303="","",IF(ROUND(Y303,0)&lt;=15,"Cumple","No cumple")),"")</f>
        <v/>
      </c>
      <c r="AA303" s="27" t="n"/>
      <c r="AB303" s="26">
        <f>IFERROR(IF(OR(O303="",R303=""),"",IF(IF(ISNUMBER(R303),MOD(R303,1),TIMEVALUE(R303))&gt;=IF(ISNUMBER(O303),MOD(O303,1),TIMEVALUE(O303)),(IF(ISNUMBER(R303),MOD(R303,1),TIMEVALUE(R303))-IF(ISNUMBER(O303),MOD(O303,1),TIMEVALUE(O303)))*1440,(IF(ISNUMBER(R303),MOD(R303,1),TIMEVALUE(R303))+1-IF(ISNUMBER(O303),MOD(O303,1),TIMEVALUE(O303)))*1440)),"")</f>
        <v/>
      </c>
      <c r="AC303" s="26">
        <f>IFERROR(IF(OR(R303="",S303=""),"",IF(IF(ISNUMBER(S303),MOD(S303,1),TIMEVALUE(S303))&gt;=IF(ISNUMBER(R303),MOD(R303,1),TIMEVALUE(R303)),(IF(ISNUMBER(S303),MOD(S303,1),TIMEVALUE(S303))-IF(ISNUMBER(R303),MOD(R303,1),TIMEVALUE(R303)))*1440,(IF(ISNUMBER(S303),MOD(S303,1),TIMEVALUE(S303))+1-IF(ISNUMBER(R303),MOD(R303,1),TIMEVALUE(R303)))*1440)),"")</f>
        <v/>
      </c>
      <c r="AD303" s="29" t="n"/>
      <c r="AE303" s="26">
        <f>IFERROR(IF(OR(AC303="",AD303=""),"",AC303-AD303),"")</f>
        <v/>
      </c>
      <c r="AF303" s="27">
        <f>IFERROR(IF(AE303="","",IF(ROUND(AE303,0)&gt;15,"Subestimacion",IF(ROUND(AE303,0)&lt;-15,"Sobrestimacion","Asertivo"))),"")</f>
        <v/>
      </c>
      <c r="AG303" s="19" t="n"/>
      <c r="AH303" s="19" t="n"/>
      <c r="AI303" s="19" t="n"/>
      <c r="AJ303" s="19" t="n"/>
      <c r="AK303" s="19" t="n"/>
      <c r="AL303" s="19" t="n"/>
      <c r="AM303" s="19" t="n"/>
      <c r="AN303" s="19" t="n"/>
      <c r="AO303" s="19" t="n"/>
      <c r="AP303" s="127">
        <f>IF(A303="","",A303-WEEKDAY(A303,2)+1)</f>
        <v/>
      </c>
      <c r="AQ303" s="127">
        <f>IF(AO303="","",AO303+6)</f>
        <v/>
      </c>
      <c r="AR303" s="19">
        <f>IF(AO303="","","Semana "&amp;TEXT(AO303,"dd-mm-yyyy")&amp;" al "&amp;TEXT(AP303,"dd-mm-yyyy"))</f>
        <v/>
      </c>
      <c r="AS303" s="19">
        <f>IF(A303="","",TEXT(A303,"mmmm yyyy"))</f>
        <v/>
      </c>
      <c r="AT303" s="19">
        <f>IF(A303="","",TEXT(A303,"dddd"))</f>
        <v/>
      </c>
      <c r="AU303" s="19">
        <f>IF(A303="","","CRR-"&amp;TEXT(A303,"yyyymmdd")&amp;"-"&amp;M303&amp;"-"&amp;TEXT(ROW()-3,"0000"))</f>
        <v/>
      </c>
      <c r="AV303" s="19">
        <f>IF(A303="","",IF(OR(B303="",C303="",E303="",F303="",M303="",N303=""),"Revisar campos obligatorios",IF(AND(P303="Atraso primera hora",Q303=""),"Falta justificación atraso primera hora",IF(AND(Z303="No cumple",AA303=""),"Falta justificación recambio &gt;15 min",IF(AND(ISNUMBER(SEARCH("suspend",N303)),OR(AG303="",AH303="")),"Falta causa/motivo suspensión","OK")))))</f>
        <v/>
      </c>
      <c r="AW303" s="19">
        <f>IF(N303="","",IF(ISNUMBER(SEARCH("suspend",N303)),IF(AND(AG303="",AH303=""),"Sin causa/motivo registrado",IF(AG303="",AH303,IF(AH303="",AG303,AG303&amp;": "&amp;AH303))),""))</f>
        <v/>
      </c>
    </row>
    <row r="304" ht="16" customHeight="1" s="151">
      <c r="A304" s="62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20">
        <f>IF(H304&lt;&gt;"",IFERROR(VLOOKUP(IFERROR(LEFT(H304,FIND("-",H304)-1),H304),'Catalogo MINSAL'!A:E,5,FALSE),""),IF(I304&lt;&gt;"",IFERROR(VLOOKUP(IFERROR(LEFT(I304,FIND("-",I304)-1),I304),'Catalogo MINSAL'!A:E,5,FALSE),""),""))</f>
        <v/>
      </c>
      <c r="K304" s="19" t="n"/>
      <c r="L304" s="19" t="n"/>
      <c r="M304" s="19" t="n"/>
      <c r="N304" s="19" t="n"/>
      <c r="O304" s="25" t="n"/>
      <c r="P304" s="27">
        <f>IFERROR(IF(OR(O304="",A304="",M304=""),"",IF(SUMPRODUCT(($A$4:$A$500=A304)*($M$4:$M$500=M304)*($O$4:$O$500&lt;&gt;"")*(MOD($O$4:$O$500,1)&lt;MOD(O304,1)))=0,IF(MOD(O304,1)&lt;=TIME(8,15,0),"Ingreso adecuado primera hora","Atraso primera hora"),"No aplica")),"")</f>
        <v/>
      </c>
      <c r="Q304" s="27" t="n"/>
      <c r="R304" s="25" t="n"/>
      <c r="S304" s="25" t="n"/>
      <c r="T304" s="25" t="n"/>
      <c r="U304" s="25">
        <f>IFERROR(VLOOKUP(M304,'Horario Pabellones'!$A$4:$D$17,2,FALSE),"")</f>
        <v/>
      </c>
      <c r="V304" s="25">
        <f>IFERROR(VLOOKUP(M304,'Horario Pabellones'!$A$4:$D$17,3,FALSE),"")</f>
        <v/>
      </c>
      <c r="W304" s="99">
        <f>IFERROR(VLOOKUP(M304,'Horario Pabellones'!$A$4:$D$17,4,FALSE),"")</f>
        <v/>
      </c>
      <c r="X304" s="89">
        <f>IFERROR(IF(OR(A304="",M304="",W304=""),"",(((_xludf.AGGREGATE(14,6,MOD($S$4:$S$500,1)/(($A$4:$A$500=A304)*($M$4:$M$500=M304)*($R$4:$R$500&lt;&gt;"")*($S$4:$S$500&lt;&gt;"")),1)-_xludf.AGGREGATE(15,6,MOD($R$4:$R$500,1)/(($A$4:$A$500=A304)*($M$4:$M$500=M304)*($R$4:$R$500&lt;&gt;"")*($S$4:$S$500&lt;&gt;"")),1))*1440)/60)/(W304/60)),"")</f>
        <v/>
      </c>
      <c r="Y304" s="26">
        <f>IFERROR(IF(OR(O304="",A304="",M304=""),"",(IF(ISNUMBER(O304),MOD(O304,1),TIMEVALUE(O304))-LOOKUP(2,1/(($A$4:$A$500=A304)*($M$4:$M$500=M304)*($T$4:$T$500&lt;&gt;"")*($T$4:$T$500&lt;IF(ISNUMBER(O304),MOD(O304,1),TIMEVALUE(O304)))),$T$4:$T$500))*1440),"")</f>
        <v/>
      </c>
      <c r="Z304" s="27">
        <f>IFERROR(IF(Y304="","",IF(ROUND(Y304,0)&lt;=15,"Cumple","No cumple")),"")</f>
        <v/>
      </c>
      <c r="AA304" s="27" t="n"/>
      <c r="AB304" s="26">
        <f>IFERROR(IF(OR(O304="",R304=""),"",IF(IF(ISNUMBER(R304),MOD(R304,1),TIMEVALUE(R304))&gt;=IF(ISNUMBER(O304),MOD(O304,1),TIMEVALUE(O304)),(IF(ISNUMBER(R304),MOD(R304,1),TIMEVALUE(R304))-IF(ISNUMBER(O304),MOD(O304,1),TIMEVALUE(O304)))*1440,(IF(ISNUMBER(R304),MOD(R304,1),TIMEVALUE(R304))+1-IF(ISNUMBER(O304),MOD(O304,1),TIMEVALUE(O304)))*1440)),"")</f>
        <v/>
      </c>
      <c r="AC304" s="26">
        <f>IFERROR(IF(OR(R304="",S304=""),"",IF(IF(ISNUMBER(S304),MOD(S304,1),TIMEVALUE(S304))&gt;=IF(ISNUMBER(R304),MOD(R304,1),TIMEVALUE(R304)),(IF(ISNUMBER(S304),MOD(S304,1),TIMEVALUE(S304))-IF(ISNUMBER(R304),MOD(R304,1),TIMEVALUE(R304)))*1440,(IF(ISNUMBER(S304),MOD(S304,1),TIMEVALUE(S304))+1-IF(ISNUMBER(R304),MOD(R304,1),TIMEVALUE(R304)))*1440)),"")</f>
        <v/>
      </c>
      <c r="AD304" s="29" t="n"/>
      <c r="AE304" s="26">
        <f>IFERROR(IF(OR(AC304="",AD304=""),"",AC304-AD304),"")</f>
        <v/>
      </c>
      <c r="AF304" s="27">
        <f>IFERROR(IF(AE304="","",IF(ROUND(AE304,0)&gt;15,"Subestimacion",IF(ROUND(AE304,0)&lt;-15,"Sobrestimacion","Asertivo"))),"")</f>
        <v/>
      </c>
      <c r="AG304" s="19" t="n"/>
      <c r="AH304" s="19" t="n"/>
      <c r="AI304" s="19" t="n"/>
      <c r="AJ304" s="19" t="n"/>
      <c r="AK304" s="19" t="n"/>
      <c r="AL304" s="19" t="n"/>
      <c r="AM304" s="19" t="n"/>
      <c r="AN304" s="19" t="n"/>
      <c r="AO304" s="19" t="n"/>
      <c r="AP304" s="127">
        <f>IF(A304="","",A304-WEEKDAY(A304,2)+1)</f>
        <v/>
      </c>
      <c r="AQ304" s="127">
        <f>IF(AO304="","",AO304+6)</f>
        <v/>
      </c>
      <c r="AR304" s="19">
        <f>IF(AO304="","","Semana "&amp;TEXT(AO304,"dd-mm-yyyy")&amp;" al "&amp;TEXT(AP304,"dd-mm-yyyy"))</f>
        <v/>
      </c>
      <c r="AS304" s="19">
        <f>IF(A304="","",TEXT(A304,"mmmm yyyy"))</f>
        <v/>
      </c>
      <c r="AT304" s="19">
        <f>IF(A304="","",TEXT(A304,"dddd"))</f>
        <v/>
      </c>
      <c r="AU304" s="19">
        <f>IF(A304="","","CRR-"&amp;TEXT(A304,"yyyymmdd")&amp;"-"&amp;M304&amp;"-"&amp;TEXT(ROW()-3,"0000"))</f>
        <v/>
      </c>
      <c r="AV304" s="19">
        <f>IF(A304="","",IF(OR(B304="",C304="",E304="",F304="",M304="",N304=""),"Revisar campos obligatorios",IF(AND(P304="Atraso primera hora",Q304=""),"Falta justificación atraso primera hora",IF(AND(Z304="No cumple",AA304=""),"Falta justificación recambio &gt;15 min",IF(AND(ISNUMBER(SEARCH("suspend",N304)),OR(AG304="",AH304="")),"Falta causa/motivo suspensión","OK")))))</f>
        <v/>
      </c>
      <c r="AW304" s="19">
        <f>IF(N304="","",IF(ISNUMBER(SEARCH("suspend",N304)),IF(AND(AG304="",AH304=""),"Sin causa/motivo registrado",IF(AG304="",AH304,IF(AH304="",AG304,AG304&amp;": "&amp;AH304))),""))</f>
        <v/>
      </c>
    </row>
    <row r="305" ht="16" customHeight="1" s="151">
      <c r="A305" s="62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20">
        <f>IF(H305&lt;&gt;"",IFERROR(VLOOKUP(IFERROR(LEFT(H305,FIND("-",H305)-1),H305),'Catalogo MINSAL'!A:E,5,FALSE),""),IF(I305&lt;&gt;"",IFERROR(VLOOKUP(IFERROR(LEFT(I305,FIND("-",I305)-1),I305),'Catalogo MINSAL'!A:E,5,FALSE),""),""))</f>
        <v/>
      </c>
      <c r="K305" s="19" t="n"/>
      <c r="L305" s="19" t="n"/>
      <c r="M305" s="19" t="n"/>
      <c r="N305" s="19" t="n"/>
      <c r="O305" s="25" t="n"/>
      <c r="P305" s="27">
        <f>IFERROR(IF(OR(O305="",A305="",M305=""),"",IF(SUMPRODUCT(($A$4:$A$500=A305)*($M$4:$M$500=M305)*($O$4:$O$500&lt;&gt;"")*(MOD($O$4:$O$500,1)&lt;MOD(O305,1)))=0,IF(MOD(O305,1)&lt;=TIME(8,15,0),"Ingreso adecuado primera hora","Atraso primera hora"),"No aplica")),"")</f>
        <v/>
      </c>
      <c r="Q305" s="27" t="n"/>
      <c r="R305" s="25" t="n"/>
      <c r="S305" s="25" t="n"/>
      <c r="T305" s="25" t="n"/>
      <c r="U305" s="25">
        <f>IFERROR(VLOOKUP(M305,'Horario Pabellones'!$A$4:$D$17,2,FALSE),"")</f>
        <v/>
      </c>
      <c r="V305" s="25">
        <f>IFERROR(VLOOKUP(M305,'Horario Pabellones'!$A$4:$D$17,3,FALSE),"")</f>
        <v/>
      </c>
      <c r="W305" s="99">
        <f>IFERROR(VLOOKUP(M305,'Horario Pabellones'!$A$4:$D$17,4,FALSE),"")</f>
        <v/>
      </c>
      <c r="X305" s="89">
        <f>IFERROR(IF(OR(A305="",M305="",W305=""),"",(((_xludf.AGGREGATE(14,6,MOD($S$4:$S$500,1)/(($A$4:$A$500=A305)*($M$4:$M$500=M305)*($R$4:$R$500&lt;&gt;"")*($S$4:$S$500&lt;&gt;"")),1)-_xludf.AGGREGATE(15,6,MOD($R$4:$R$500,1)/(($A$4:$A$500=A305)*($M$4:$M$500=M305)*($R$4:$R$500&lt;&gt;"")*($S$4:$S$500&lt;&gt;"")),1))*1440)/60)/(W305/60)),"")</f>
        <v/>
      </c>
      <c r="Y305" s="26">
        <f>IFERROR(IF(OR(O305="",A305="",M305=""),"",(IF(ISNUMBER(O305),MOD(O305,1),TIMEVALUE(O305))-LOOKUP(2,1/(($A$4:$A$500=A305)*($M$4:$M$500=M305)*($T$4:$T$500&lt;&gt;"")*($T$4:$T$500&lt;IF(ISNUMBER(O305),MOD(O305,1),TIMEVALUE(O305)))),$T$4:$T$500))*1440),"")</f>
        <v/>
      </c>
      <c r="Z305" s="27">
        <f>IFERROR(IF(Y305="","",IF(ROUND(Y305,0)&lt;=15,"Cumple","No cumple")),"")</f>
        <v/>
      </c>
      <c r="AA305" s="27" t="n"/>
      <c r="AB305" s="26">
        <f>IFERROR(IF(OR(O305="",R305=""),"",IF(IF(ISNUMBER(R305),MOD(R305,1),TIMEVALUE(R305))&gt;=IF(ISNUMBER(O305),MOD(O305,1),TIMEVALUE(O305)),(IF(ISNUMBER(R305),MOD(R305,1),TIMEVALUE(R305))-IF(ISNUMBER(O305),MOD(O305,1),TIMEVALUE(O305)))*1440,(IF(ISNUMBER(R305),MOD(R305,1),TIMEVALUE(R305))+1-IF(ISNUMBER(O305),MOD(O305,1),TIMEVALUE(O305)))*1440)),"")</f>
        <v/>
      </c>
      <c r="AC305" s="26">
        <f>IFERROR(IF(OR(R305="",S305=""),"",IF(IF(ISNUMBER(S305),MOD(S305,1),TIMEVALUE(S305))&gt;=IF(ISNUMBER(R305),MOD(R305,1),TIMEVALUE(R305)),(IF(ISNUMBER(S305),MOD(S305,1),TIMEVALUE(S305))-IF(ISNUMBER(R305),MOD(R305,1),TIMEVALUE(R305)))*1440,(IF(ISNUMBER(S305),MOD(S305,1),TIMEVALUE(S305))+1-IF(ISNUMBER(R305),MOD(R305,1),TIMEVALUE(R305)))*1440)),"")</f>
        <v/>
      </c>
      <c r="AD305" s="29" t="n"/>
      <c r="AE305" s="26">
        <f>IFERROR(IF(OR(AC305="",AD305=""),"",AC305-AD305),"")</f>
        <v/>
      </c>
      <c r="AF305" s="27">
        <f>IFERROR(IF(AE305="","",IF(ROUND(AE305,0)&gt;15,"Subestimacion",IF(ROUND(AE305,0)&lt;-15,"Sobrestimacion","Asertivo"))),"")</f>
        <v/>
      </c>
      <c r="AG305" s="19" t="n"/>
      <c r="AH305" s="19" t="n"/>
      <c r="AI305" s="19" t="n"/>
      <c r="AJ305" s="19" t="n"/>
      <c r="AK305" s="19" t="n"/>
      <c r="AL305" s="19" t="n"/>
      <c r="AM305" s="19" t="n"/>
      <c r="AN305" s="19" t="n"/>
      <c r="AO305" s="19" t="n"/>
      <c r="AP305" s="127">
        <f>IF(A305="","",A305-WEEKDAY(A305,2)+1)</f>
        <v/>
      </c>
      <c r="AQ305" s="127">
        <f>IF(AO305="","",AO305+6)</f>
        <v/>
      </c>
      <c r="AR305" s="19">
        <f>IF(AO305="","","Semana "&amp;TEXT(AO305,"dd-mm-yyyy")&amp;" al "&amp;TEXT(AP305,"dd-mm-yyyy"))</f>
        <v/>
      </c>
      <c r="AS305" s="19">
        <f>IF(A305="","",TEXT(A305,"mmmm yyyy"))</f>
        <v/>
      </c>
      <c r="AT305" s="19">
        <f>IF(A305="","",TEXT(A305,"dddd"))</f>
        <v/>
      </c>
      <c r="AU305" s="19">
        <f>IF(A305="","","CRR-"&amp;TEXT(A305,"yyyymmdd")&amp;"-"&amp;M305&amp;"-"&amp;TEXT(ROW()-3,"0000"))</f>
        <v/>
      </c>
      <c r="AV305" s="19">
        <f>IF(A305="","",IF(OR(B305="",C305="",E305="",F305="",M305="",N305=""),"Revisar campos obligatorios",IF(AND(P305="Atraso primera hora",Q305=""),"Falta justificación atraso primera hora",IF(AND(Z305="No cumple",AA305=""),"Falta justificación recambio &gt;15 min",IF(AND(ISNUMBER(SEARCH("suspend",N305)),OR(AG305="",AH305="")),"Falta causa/motivo suspensión","OK")))))</f>
        <v/>
      </c>
      <c r="AW305" s="19">
        <f>IF(N305="","",IF(ISNUMBER(SEARCH("suspend",N305)),IF(AND(AG305="",AH305=""),"Sin causa/motivo registrado",IF(AG305="",AH305,IF(AH305="",AG305,AG305&amp;": "&amp;AH305))),""))</f>
        <v/>
      </c>
    </row>
    <row r="306" ht="16" customHeight="1" s="151">
      <c r="A306" s="62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20">
        <f>IF(H306&lt;&gt;"",IFERROR(VLOOKUP(IFERROR(LEFT(H306,FIND("-",H306)-1),H306),'Catalogo MINSAL'!A:E,5,FALSE),""),IF(I306&lt;&gt;"",IFERROR(VLOOKUP(IFERROR(LEFT(I306,FIND("-",I306)-1),I306),'Catalogo MINSAL'!A:E,5,FALSE),""),""))</f>
        <v/>
      </c>
      <c r="K306" s="19" t="n"/>
      <c r="L306" s="19" t="n"/>
      <c r="M306" s="19" t="n"/>
      <c r="N306" s="19" t="n"/>
      <c r="O306" s="25" t="n"/>
      <c r="P306" s="27">
        <f>IFERROR(IF(OR(O306="",A306="",M306=""),"",IF(SUMPRODUCT(($A$4:$A$500=A306)*($M$4:$M$500=M306)*($O$4:$O$500&lt;&gt;"")*(MOD($O$4:$O$500,1)&lt;MOD(O306,1)))=0,IF(MOD(O306,1)&lt;=TIME(8,15,0),"Ingreso adecuado primera hora","Atraso primera hora"),"No aplica")),"")</f>
        <v/>
      </c>
      <c r="Q306" s="27" t="n"/>
      <c r="R306" s="25" t="n"/>
      <c r="S306" s="25" t="n"/>
      <c r="T306" s="25" t="n"/>
      <c r="U306" s="25">
        <f>IFERROR(VLOOKUP(M306,'Horario Pabellones'!$A$4:$D$17,2,FALSE),"")</f>
        <v/>
      </c>
      <c r="V306" s="25">
        <f>IFERROR(VLOOKUP(M306,'Horario Pabellones'!$A$4:$D$17,3,FALSE),"")</f>
        <v/>
      </c>
      <c r="W306" s="99">
        <f>IFERROR(VLOOKUP(M306,'Horario Pabellones'!$A$4:$D$17,4,FALSE),"")</f>
        <v/>
      </c>
      <c r="X306" s="89">
        <f>IFERROR(IF(OR(A306="",M306="",W306=""),"",(((_xludf.AGGREGATE(14,6,MOD($S$4:$S$500,1)/(($A$4:$A$500=A306)*($M$4:$M$500=M306)*($R$4:$R$500&lt;&gt;"")*($S$4:$S$500&lt;&gt;"")),1)-_xludf.AGGREGATE(15,6,MOD($R$4:$R$500,1)/(($A$4:$A$500=A306)*($M$4:$M$500=M306)*($R$4:$R$500&lt;&gt;"")*($S$4:$S$500&lt;&gt;"")),1))*1440)/60)/(W306/60)),"")</f>
        <v/>
      </c>
      <c r="Y306" s="26">
        <f>IFERROR(IF(OR(O306="",A306="",M306=""),"",(IF(ISNUMBER(O306),MOD(O306,1),TIMEVALUE(O306))-LOOKUP(2,1/(($A$4:$A$500=A306)*($M$4:$M$500=M306)*($T$4:$T$500&lt;&gt;"")*($T$4:$T$500&lt;IF(ISNUMBER(O306),MOD(O306,1),TIMEVALUE(O306)))),$T$4:$T$500))*1440),"")</f>
        <v/>
      </c>
      <c r="Z306" s="27">
        <f>IFERROR(IF(Y306="","",IF(ROUND(Y306,0)&lt;=15,"Cumple","No cumple")),"")</f>
        <v/>
      </c>
      <c r="AA306" s="27" t="n"/>
      <c r="AB306" s="26">
        <f>IFERROR(IF(OR(O306="",R306=""),"",IF(IF(ISNUMBER(R306),MOD(R306,1),TIMEVALUE(R306))&gt;=IF(ISNUMBER(O306),MOD(O306,1),TIMEVALUE(O306)),(IF(ISNUMBER(R306),MOD(R306,1),TIMEVALUE(R306))-IF(ISNUMBER(O306),MOD(O306,1),TIMEVALUE(O306)))*1440,(IF(ISNUMBER(R306),MOD(R306,1),TIMEVALUE(R306))+1-IF(ISNUMBER(O306),MOD(O306,1),TIMEVALUE(O306)))*1440)),"")</f>
        <v/>
      </c>
      <c r="AC306" s="26">
        <f>IFERROR(IF(OR(R306="",S306=""),"",IF(IF(ISNUMBER(S306),MOD(S306,1),TIMEVALUE(S306))&gt;=IF(ISNUMBER(R306),MOD(R306,1),TIMEVALUE(R306)),(IF(ISNUMBER(S306),MOD(S306,1),TIMEVALUE(S306))-IF(ISNUMBER(R306),MOD(R306,1),TIMEVALUE(R306)))*1440,(IF(ISNUMBER(S306),MOD(S306,1),TIMEVALUE(S306))+1-IF(ISNUMBER(R306),MOD(R306,1),TIMEVALUE(R306)))*1440)),"")</f>
        <v/>
      </c>
      <c r="AD306" s="29" t="n"/>
      <c r="AE306" s="26">
        <f>IFERROR(IF(OR(AC306="",AD306=""),"",AC306-AD306),"")</f>
        <v/>
      </c>
      <c r="AF306" s="27">
        <f>IFERROR(IF(AE306="","",IF(ROUND(AE306,0)&gt;15,"Subestimacion",IF(ROUND(AE306,0)&lt;-15,"Sobrestimacion","Asertivo"))),"")</f>
        <v/>
      </c>
      <c r="AG306" s="19" t="n"/>
      <c r="AH306" s="19" t="n"/>
      <c r="AI306" s="19" t="n"/>
      <c r="AJ306" s="19" t="n"/>
      <c r="AK306" s="19" t="n"/>
      <c r="AL306" s="19" t="n"/>
      <c r="AM306" s="19" t="n"/>
      <c r="AN306" s="19" t="n"/>
      <c r="AO306" s="19" t="n"/>
      <c r="AP306" s="127">
        <f>IF(A306="","",A306-WEEKDAY(A306,2)+1)</f>
        <v/>
      </c>
      <c r="AQ306" s="127">
        <f>IF(AO306="","",AO306+6)</f>
        <v/>
      </c>
      <c r="AR306" s="19">
        <f>IF(AO306="","","Semana "&amp;TEXT(AO306,"dd-mm-yyyy")&amp;" al "&amp;TEXT(AP306,"dd-mm-yyyy"))</f>
        <v/>
      </c>
      <c r="AS306" s="19">
        <f>IF(A306="","",TEXT(A306,"mmmm yyyy"))</f>
        <v/>
      </c>
      <c r="AT306" s="19">
        <f>IF(A306="","",TEXT(A306,"dddd"))</f>
        <v/>
      </c>
      <c r="AU306" s="19">
        <f>IF(A306="","","CRR-"&amp;TEXT(A306,"yyyymmdd")&amp;"-"&amp;M306&amp;"-"&amp;TEXT(ROW()-3,"0000"))</f>
        <v/>
      </c>
      <c r="AV306" s="19">
        <f>IF(A306="","",IF(OR(B306="",C306="",E306="",F306="",M306="",N306=""),"Revisar campos obligatorios",IF(AND(P306="Atraso primera hora",Q306=""),"Falta justificación atraso primera hora",IF(AND(Z306="No cumple",AA306=""),"Falta justificación recambio &gt;15 min",IF(AND(ISNUMBER(SEARCH("suspend",N306)),OR(AG306="",AH306="")),"Falta causa/motivo suspensión","OK")))))</f>
        <v/>
      </c>
      <c r="AW306" s="19">
        <f>IF(N306="","",IF(ISNUMBER(SEARCH("suspend",N306)),IF(AND(AG306="",AH306=""),"Sin causa/motivo registrado",IF(AG306="",AH306,IF(AH306="",AG306,AG306&amp;": "&amp;AH306))),""))</f>
        <v/>
      </c>
    </row>
    <row r="307" ht="16" customHeight="1" s="151">
      <c r="A307" s="62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20">
        <f>IF(H307&lt;&gt;"",IFERROR(VLOOKUP(IFERROR(LEFT(H307,FIND("-",H307)-1),H307),'Catalogo MINSAL'!A:E,5,FALSE),""),IF(I307&lt;&gt;"",IFERROR(VLOOKUP(IFERROR(LEFT(I307,FIND("-",I307)-1),I307),'Catalogo MINSAL'!A:E,5,FALSE),""),""))</f>
        <v/>
      </c>
      <c r="K307" s="19" t="n"/>
      <c r="L307" s="19" t="n"/>
      <c r="M307" s="19" t="n"/>
      <c r="N307" s="19" t="n"/>
      <c r="O307" s="25" t="n"/>
      <c r="P307" s="27">
        <f>IFERROR(IF(OR(O307="",A307="",M307=""),"",IF(SUMPRODUCT(($A$4:$A$500=A307)*($M$4:$M$500=M307)*($O$4:$O$500&lt;&gt;"")*(MOD($O$4:$O$500,1)&lt;MOD(O307,1)))=0,IF(MOD(O307,1)&lt;=TIME(8,15,0),"Ingreso adecuado primera hora","Atraso primera hora"),"No aplica")),"")</f>
        <v/>
      </c>
      <c r="Q307" s="27" t="n"/>
      <c r="R307" s="25" t="n"/>
      <c r="S307" s="25" t="n"/>
      <c r="T307" s="25" t="n"/>
      <c r="U307" s="25">
        <f>IFERROR(VLOOKUP(M307,'Horario Pabellones'!$A$4:$D$17,2,FALSE),"")</f>
        <v/>
      </c>
      <c r="V307" s="25">
        <f>IFERROR(VLOOKUP(M307,'Horario Pabellones'!$A$4:$D$17,3,FALSE),"")</f>
        <v/>
      </c>
      <c r="W307" s="99">
        <f>IFERROR(VLOOKUP(M307,'Horario Pabellones'!$A$4:$D$17,4,FALSE),"")</f>
        <v/>
      </c>
      <c r="X307" s="89">
        <f>IFERROR(IF(OR(A307="",M307="",W307=""),"",(((_xludf.AGGREGATE(14,6,MOD($S$4:$S$500,1)/(($A$4:$A$500=A307)*($M$4:$M$500=M307)*($R$4:$R$500&lt;&gt;"")*($S$4:$S$500&lt;&gt;"")),1)-_xludf.AGGREGATE(15,6,MOD($R$4:$R$500,1)/(($A$4:$A$500=A307)*($M$4:$M$500=M307)*($R$4:$R$500&lt;&gt;"")*($S$4:$S$500&lt;&gt;"")),1))*1440)/60)/(W307/60)),"")</f>
        <v/>
      </c>
      <c r="Y307" s="26">
        <f>IFERROR(IF(OR(O307="",A307="",M307=""),"",(IF(ISNUMBER(O307),MOD(O307,1),TIMEVALUE(O307))-LOOKUP(2,1/(($A$4:$A$500=A307)*($M$4:$M$500=M307)*($T$4:$T$500&lt;&gt;"")*($T$4:$T$500&lt;IF(ISNUMBER(O307),MOD(O307,1),TIMEVALUE(O307)))),$T$4:$T$500))*1440),"")</f>
        <v/>
      </c>
      <c r="Z307" s="27">
        <f>IFERROR(IF(Y307="","",IF(ROUND(Y307,0)&lt;=15,"Cumple","No cumple")),"")</f>
        <v/>
      </c>
      <c r="AA307" s="27" t="n"/>
      <c r="AB307" s="26">
        <f>IFERROR(IF(OR(O307="",R307=""),"",IF(IF(ISNUMBER(R307),MOD(R307,1),TIMEVALUE(R307))&gt;=IF(ISNUMBER(O307),MOD(O307,1),TIMEVALUE(O307)),(IF(ISNUMBER(R307),MOD(R307,1),TIMEVALUE(R307))-IF(ISNUMBER(O307),MOD(O307,1),TIMEVALUE(O307)))*1440,(IF(ISNUMBER(R307),MOD(R307,1),TIMEVALUE(R307))+1-IF(ISNUMBER(O307),MOD(O307,1),TIMEVALUE(O307)))*1440)),"")</f>
        <v/>
      </c>
      <c r="AC307" s="26">
        <f>IFERROR(IF(OR(R307="",S307=""),"",IF(IF(ISNUMBER(S307),MOD(S307,1),TIMEVALUE(S307))&gt;=IF(ISNUMBER(R307),MOD(R307,1),TIMEVALUE(R307)),(IF(ISNUMBER(S307),MOD(S307,1),TIMEVALUE(S307))-IF(ISNUMBER(R307),MOD(R307,1),TIMEVALUE(R307)))*1440,(IF(ISNUMBER(S307),MOD(S307,1),TIMEVALUE(S307))+1-IF(ISNUMBER(R307),MOD(R307,1),TIMEVALUE(R307)))*1440)),"")</f>
        <v/>
      </c>
      <c r="AD307" s="29" t="n"/>
      <c r="AE307" s="26">
        <f>IFERROR(IF(OR(AC307="",AD307=""),"",AC307-AD307),"")</f>
        <v/>
      </c>
      <c r="AF307" s="27">
        <f>IFERROR(IF(AE307="","",IF(ROUND(AE307,0)&gt;15,"Subestimacion",IF(ROUND(AE307,0)&lt;-15,"Sobrestimacion","Asertivo"))),"")</f>
        <v/>
      </c>
      <c r="AG307" s="19" t="n"/>
      <c r="AH307" s="19" t="n"/>
      <c r="AI307" s="19" t="n"/>
      <c r="AJ307" s="19" t="n"/>
      <c r="AK307" s="19" t="n"/>
      <c r="AL307" s="19" t="n"/>
      <c r="AM307" s="19" t="n"/>
      <c r="AN307" s="19" t="n"/>
      <c r="AO307" s="19" t="n"/>
      <c r="AP307" s="127">
        <f>IF(A307="","",A307-WEEKDAY(A307,2)+1)</f>
        <v/>
      </c>
      <c r="AQ307" s="127">
        <f>IF(AO307="","",AO307+6)</f>
        <v/>
      </c>
      <c r="AR307" s="19">
        <f>IF(AO307="","","Semana "&amp;TEXT(AO307,"dd-mm-yyyy")&amp;" al "&amp;TEXT(AP307,"dd-mm-yyyy"))</f>
        <v/>
      </c>
      <c r="AS307" s="19">
        <f>IF(A307="","",TEXT(A307,"mmmm yyyy"))</f>
        <v/>
      </c>
      <c r="AT307" s="19">
        <f>IF(A307="","",TEXT(A307,"dddd"))</f>
        <v/>
      </c>
      <c r="AU307" s="19">
        <f>IF(A307="","","CRR-"&amp;TEXT(A307,"yyyymmdd")&amp;"-"&amp;M307&amp;"-"&amp;TEXT(ROW()-3,"0000"))</f>
        <v/>
      </c>
      <c r="AV307" s="19">
        <f>IF(A307="","",IF(OR(B307="",C307="",E307="",F307="",M307="",N307=""),"Revisar campos obligatorios",IF(AND(P307="Atraso primera hora",Q307=""),"Falta justificación atraso primera hora",IF(AND(Z307="No cumple",AA307=""),"Falta justificación recambio &gt;15 min",IF(AND(ISNUMBER(SEARCH("suspend",N307)),OR(AG307="",AH307="")),"Falta causa/motivo suspensión","OK")))))</f>
        <v/>
      </c>
      <c r="AW307" s="19">
        <f>IF(N307="","",IF(ISNUMBER(SEARCH("suspend",N307)),IF(AND(AG307="",AH307=""),"Sin causa/motivo registrado",IF(AG307="",AH307,IF(AH307="",AG307,AG307&amp;": "&amp;AH307))),""))</f>
        <v/>
      </c>
    </row>
    <row r="308" ht="16" customHeight="1" s="151">
      <c r="A308" s="62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20">
        <f>IF(H308&lt;&gt;"",IFERROR(VLOOKUP(IFERROR(LEFT(H308,FIND("-",H308)-1),H308),'Catalogo MINSAL'!A:E,5,FALSE),""),IF(I308&lt;&gt;"",IFERROR(VLOOKUP(IFERROR(LEFT(I308,FIND("-",I308)-1),I308),'Catalogo MINSAL'!A:E,5,FALSE),""),""))</f>
        <v/>
      </c>
      <c r="K308" s="19" t="n"/>
      <c r="L308" s="19" t="n"/>
      <c r="M308" s="19" t="n"/>
      <c r="N308" s="19" t="n"/>
      <c r="O308" s="25" t="n"/>
      <c r="P308" s="27">
        <f>IFERROR(IF(OR(O308="",A308="",M308=""),"",IF(SUMPRODUCT(($A$4:$A$500=A308)*($M$4:$M$500=M308)*($O$4:$O$500&lt;&gt;"")*(MOD($O$4:$O$500,1)&lt;MOD(O308,1)))=0,IF(MOD(O308,1)&lt;=TIME(8,15,0),"Ingreso adecuado primera hora","Atraso primera hora"),"No aplica")),"")</f>
        <v/>
      </c>
      <c r="Q308" s="27" t="n"/>
      <c r="R308" s="25" t="n"/>
      <c r="S308" s="25" t="n"/>
      <c r="T308" s="25" t="n"/>
      <c r="U308" s="25">
        <f>IFERROR(VLOOKUP(M308,'Horario Pabellones'!$A$4:$D$17,2,FALSE),"")</f>
        <v/>
      </c>
      <c r="V308" s="25">
        <f>IFERROR(VLOOKUP(M308,'Horario Pabellones'!$A$4:$D$17,3,FALSE),"")</f>
        <v/>
      </c>
      <c r="W308" s="99">
        <f>IFERROR(VLOOKUP(M308,'Horario Pabellones'!$A$4:$D$17,4,FALSE),"")</f>
        <v/>
      </c>
      <c r="X308" s="89">
        <f>IFERROR(IF(OR(A308="",M308="",W308=""),"",(((_xludf.AGGREGATE(14,6,MOD($S$4:$S$500,1)/(($A$4:$A$500=A308)*($M$4:$M$500=M308)*($R$4:$R$500&lt;&gt;"")*($S$4:$S$500&lt;&gt;"")),1)-_xludf.AGGREGATE(15,6,MOD($R$4:$R$500,1)/(($A$4:$A$500=A308)*($M$4:$M$500=M308)*($R$4:$R$500&lt;&gt;"")*($S$4:$S$500&lt;&gt;"")),1))*1440)/60)/(W308/60)),"")</f>
        <v/>
      </c>
      <c r="Y308" s="26">
        <f>IFERROR(IF(OR(O308="",A308="",M308=""),"",(IF(ISNUMBER(O308),MOD(O308,1),TIMEVALUE(O308))-LOOKUP(2,1/(($A$4:$A$500=A308)*($M$4:$M$500=M308)*($T$4:$T$500&lt;&gt;"")*($T$4:$T$500&lt;IF(ISNUMBER(O308),MOD(O308,1),TIMEVALUE(O308)))),$T$4:$T$500))*1440),"")</f>
        <v/>
      </c>
      <c r="Z308" s="27">
        <f>IFERROR(IF(Y308="","",IF(ROUND(Y308,0)&lt;=15,"Cumple","No cumple")),"")</f>
        <v/>
      </c>
      <c r="AA308" s="27" t="n"/>
      <c r="AB308" s="26">
        <f>IFERROR(IF(OR(O308="",R308=""),"",IF(IF(ISNUMBER(R308),MOD(R308,1),TIMEVALUE(R308))&gt;=IF(ISNUMBER(O308),MOD(O308,1),TIMEVALUE(O308)),(IF(ISNUMBER(R308),MOD(R308,1),TIMEVALUE(R308))-IF(ISNUMBER(O308),MOD(O308,1),TIMEVALUE(O308)))*1440,(IF(ISNUMBER(R308),MOD(R308,1),TIMEVALUE(R308))+1-IF(ISNUMBER(O308),MOD(O308,1),TIMEVALUE(O308)))*1440)),"")</f>
        <v/>
      </c>
      <c r="AC308" s="26">
        <f>IFERROR(IF(OR(R308="",S308=""),"",IF(IF(ISNUMBER(S308),MOD(S308,1),TIMEVALUE(S308))&gt;=IF(ISNUMBER(R308),MOD(R308,1),TIMEVALUE(R308)),(IF(ISNUMBER(S308),MOD(S308,1),TIMEVALUE(S308))-IF(ISNUMBER(R308),MOD(R308,1),TIMEVALUE(R308)))*1440,(IF(ISNUMBER(S308),MOD(S308,1),TIMEVALUE(S308))+1-IF(ISNUMBER(R308),MOD(R308,1),TIMEVALUE(R308)))*1440)),"")</f>
        <v/>
      </c>
      <c r="AD308" s="29" t="n"/>
      <c r="AE308" s="26">
        <f>IFERROR(IF(OR(AC308="",AD308=""),"",AC308-AD308),"")</f>
        <v/>
      </c>
      <c r="AF308" s="27">
        <f>IFERROR(IF(AE308="","",IF(ROUND(AE308,0)&gt;15,"Subestimacion",IF(ROUND(AE308,0)&lt;-15,"Sobrestimacion","Asertivo"))),"")</f>
        <v/>
      </c>
      <c r="AG308" s="19" t="n"/>
      <c r="AH308" s="19" t="n"/>
      <c r="AI308" s="19" t="n"/>
      <c r="AJ308" s="19" t="n"/>
      <c r="AK308" s="19" t="n"/>
      <c r="AL308" s="19" t="n"/>
      <c r="AM308" s="19" t="n"/>
      <c r="AN308" s="19" t="n"/>
      <c r="AO308" s="19" t="n"/>
      <c r="AP308" s="127">
        <f>IF(A308="","",A308-WEEKDAY(A308,2)+1)</f>
        <v/>
      </c>
      <c r="AQ308" s="127">
        <f>IF(AO308="","",AO308+6)</f>
        <v/>
      </c>
      <c r="AR308" s="19">
        <f>IF(AO308="","","Semana "&amp;TEXT(AO308,"dd-mm-yyyy")&amp;" al "&amp;TEXT(AP308,"dd-mm-yyyy"))</f>
        <v/>
      </c>
      <c r="AS308" s="19">
        <f>IF(A308="","",TEXT(A308,"mmmm yyyy"))</f>
        <v/>
      </c>
      <c r="AT308" s="19">
        <f>IF(A308="","",TEXT(A308,"dddd"))</f>
        <v/>
      </c>
      <c r="AU308" s="19">
        <f>IF(A308="","","CRR-"&amp;TEXT(A308,"yyyymmdd")&amp;"-"&amp;M308&amp;"-"&amp;TEXT(ROW()-3,"0000"))</f>
        <v/>
      </c>
      <c r="AV308" s="19">
        <f>IF(A308="","",IF(OR(B308="",C308="",E308="",F308="",M308="",N308=""),"Revisar campos obligatorios",IF(AND(P308="Atraso primera hora",Q308=""),"Falta justificación atraso primera hora",IF(AND(Z308="No cumple",AA308=""),"Falta justificación recambio &gt;15 min",IF(AND(ISNUMBER(SEARCH("suspend",N308)),OR(AG308="",AH308="")),"Falta causa/motivo suspensión","OK")))))</f>
        <v/>
      </c>
      <c r="AW308" s="19">
        <f>IF(N308="","",IF(ISNUMBER(SEARCH("suspend",N308)),IF(AND(AG308="",AH308=""),"Sin causa/motivo registrado",IF(AG308="",AH308,IF(AH308="",AG308,AG308&amp;": "&amp;AH308))),""))</f>
        <v/>
      </c>
    </row>
    <row r="309" ht="16" customHeight="1" s="151">
      <c r="A309" s="62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20">
        <f>IF(H309&lt;&gt;"",IFERROR(VLOOKUP(IFERROR(LEFT(H309,FIND("-",H309)-1),H309),'Catalogo MINSAL'!A:E,5,FALSE),""),IF(I309&lt;&gt;"",IFERROR(VLOOKUP(IFERROR(LEFT(I309,FIND("-",I309)-1),I309),'Catalogo MINSAL'!A:E,5,FALSE),""),""))</f>
        <v/>
      </c>
      <c r="K309" s="19" t="n"/>
      <c r="L309" s="19" t="n"/>
      <c r="M309" s="19" t="n"/>
      <c r="N309" s="19" t="n"/>
      <c r="O309" s="25" t="n"/>
      <c r="P309" s="27">
        <f>IFERROR(IF(OR(O309="",A309="",M309=""),"",IF(SUMPRODUCT(($A$4:$A$500=A309)*($M$4:$M$500=M309)*($O$4:$O$500&lt;&gt;"")*(MOD($O$4:$O$500,1)&lt;MOD(O309,1)))=0,IF(MOD(O309,1)&lt;=TIME(8,15,0),"Ingreso adecuado primera hora","Atraso primera hora"),"No aplica")),"")</f>
        <v/>
      </c>
      <c r="Q309" s="27" t="n"/>
      <c r="R309" s="25" t="n"/>
      <c r="S309" s="25" t="n"/>
      <c r="T309" s="25" t="n"/>
      <c r="U309" s="25">
        <f>IFERROR(VLOOKUP(M309,'Horario Pabellones'!$A$4:$D$17,2,FALSE),"")</f>
        <v/>
      </c>
      <c r="V309" s="25">
        <f>IFERROR(VLOOKUP(M309,'Horario Pabellones'!$A$4:$D$17,3,FALSE),"")</f>
        <v/>
      </c>
      <c r="W309" s="99">
        <f>IFERROR(VLOOKUP(M309,'Horario Pabellones'!$A$4:$D$17,4,FALSE),"")</f>
        <v/>
      </c>
      <c r="X309" s="89">
        <f>IFERROR(IF(OR(A309="",M309="",W309=""),"",(((_xludf.AGGREGATE(14,6,MOD($S$4:$S$500,1)/(($A$4:$A$500=A309)*($M$4:$M$500=M309)*($R$4:$R$500&lt;&gt;"")*($S$4:$S$500&lt;&gt;"")),1)-_xludf.AGGREGATE(15,6,MOD($R$4:$R$500,1)/(($A$4:$A$500=A309)*($M$4:$M$500=M309)*($R$4:$R$500&lt;&gt;"")*($S$4:$S$500&lt;&gt;"")),1))*1440)/60)/(W309/60)),"")</f>
        <v/>
      </c>
      <c r="Y309" s="26">
        <f>IFERROR(IF(OR(O309="",A309="",M309=""),"",(IF(ISNUMBER(O309),MOD(O309,1),TIMEVALUE(O309))-LOOKUP(2,1/(($A$4:$A$500=A309)*($M$4:$M$500=M309)*($T$4:$T$500&lt;&gt;"")*($T$4:$T$500&lt;IF(ISNUMBER(O309),MOD(O309,1),TIMEVALUE(O309)))),$T$4:$T$500))*1440),"")</f>
        <v/>
      </c>
      <c r="Z309" s="27">
        <f>IFERROR(IF(Y309="","",IF(ROUND(Y309,0)&lt;=15,"Cumple","No cumple")),"")</f>
        <v/>
      </c>
      <c r="AA309" s="27" t="n"/>
      <c r="AB309" s="26">
        <f>IFERROR(IF(OR(O309="",R309=""),"",IF(IF(ISNUMBER(R309),MOD(R309,1),TIMEVALUE(R309))&gt;=IF(ISNUMBER(O309),MOD(O309,1),TIMEVALUE(O309)),(IF(ISNUMBER(R309),MOD(R309,1),TIMEVALUE(R309))-IF(ISNUMBER(O309),MOD(O309,1),TIMEVALUE(O309)))*1440,(IF(ISNUMBER(R309),MOD(R309,1),TIMEVALUE(R309))+1-IF(ISNUMBER(O309),MOD(O309,1),TIMEVALUE(O309)))*1440)),"")</f>
        <v/>
      </c>
      <c r="AC309" s="26">
        <f>IFERROR(IF(OR(R309="",S309=""),"",IF(IF(ISNUMBER(S309),MOD(S309,1),TIMEVALUE(S309))&gt;=IF(ISNUMBER(R309),MOD(R309,1),TIMEVALUE(R309)),(IF(ISNUMBER(S309),MOD(S309,1),TIMEVALUE(S309))-IF(ISNUMBER(R309),MOD(R309,1),TIMEVALUE(R309)))*1440,(IF(ISNUMBER(S309),MOD(S309,1),TIMEVALUE(S309))+1-IF(ISNUMBER(R309),MOD(R309,1),TIMEVALUE(R309)))*1440)),"")</f>
        <v/>
      </c>
      <c r="AD309" s="29" t="n"/>
      <c r="AE309" s="26">
        <f>IFERROR(IF(OR(AC309="",AD309=""),"",AC309-AD309),"")</f>
        <v/>
      </c>
      <c r="AF309" s="27">
        <f>IFERROR(IF(AE309="","",IF(ROUND(AE309,0)&gt;15,"Subestimacion",IF(ROUND(AE309,0)&lt;-15,"Sobrestimacion","Asertivo"))),"")</f>
        <v/>
      </c>
      <c r="AG309" s="19" t="n"/>
      <c r="AH309" s="19" t="n"/>
      <c r="AI309" s="19" t="n"/>
      <c r="AJ309" s="19" t="n"/>
      <c r="AK309" s="19" t="n"/>
      <c r="AL309" s="19" t="n"/>
      <c r="AM309" s="19" t="n"/>
      <c r="AN309" s="19" t="n"/>
      <c r="AO309" s="19" t="n"/>
      <c r="AP309" s="127">
        <f>IF(A309="","",A309-WEEKDAY(A309,2)+1)</f>
        <v/>
      </c>
      <c r="AQ309" s="127">
        <f>IF(AO309="","",AO309+6)</f>
        <v/>
      </c>
      <c r="AR309" s="19">
        <f>IF(AO309="","","Semana "&amp;TEXT(AO309,"dd-mm-yyyy")&amp;" al "&amp;TEXT(AP309,"dd-mm-yyyy"))</f>
        <v/>
      </c>
      <c r="AS309" s="19">
        <f>IF(A309="","",TEXT(A309,"mmmm yyyy"))</f>
        <v/>
      </c>
      <c r="AT309" s="19">
        <f>IF(A309="","",TEXT(A309,"dddd"))</f>
        <v/>
      </c>
      <c r="AU309" s="19">
        <f>IF(A309="","","CRR-"&amp;TEXT(A309,"yyyymmdd")&amp;"-"&amp;M309&amp;"-"&amp;TEXT(ROW()-3,"0000"))</f>
        <v/>
      </c>
      <c r="AV309" s="19">
        <f>IF(A309="","",IF(OR(B309="",C309="",E309="",F309="",M309="",N309=""),"Revisar campos obligatorios",IF(AND(P309="Atraso primera hora",Q309=""),"Falta justificación atraso primera hora",IF(AND(Z309="No cumple",AA309=""),"Falta justificación recambio &gt;15 min",IF(AND(ISNUMBER(SEARCH("suspend",N309)),OR(AG309="",AH309="")),"Falta causa/motivo suspensión","OK")))))</f>
        <v/>
      </c>
      <c r="AW309" s="19">
        <f>IF(N309="","",IF(ISNUMBER(SEARCH("suspend",N309)),IF(AND(AG309="",AH309=""),"Sin causa/motivo registrado",IF(AG309="",AH309,IF(AH309="",AG309,AG309&amp;": "&amp;AH309))),""))</f>
        <v/>
      </c>
    </row>
    <row r="310" ht="16" customHeight="1" s="151">
      <c r="A310" s="62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20">
        <f>IF(H310&lt;&gt;"",IFERROR(VLOOKUP(IFERROR(LEFT(H310,FIND("-",H310)-1),H310),'Catalogo MINSAL'!A:E,5,FALSE),""),IF(I310&lt;&gt;"",IFERROR(VLOOKUP(IFERROR(LEFT(I310,FIND("-",I310)-1),I310),'Catalogo MINSAL'!A:E,5,FALSE),""),""))</f>
        <v/>
      </c>
      <c r="K310" s="19" t="n"/>
      <c r="L310" s="19" t="n"/>
      <c r="M310" s="19" t="n"/>
      <c r="N310" s="19" t="n"/>
      <c r="O310" s="25" t="n"/>
      <c r="P310" s="27">
        <f>IFERROR(IF(OR(O310="",A310="",M310=""),"",IF(SUMPRODUCT(($A$4:$A$500=A310)*($M$4:$M$500=M310)*($O$4:$O$500&lt;&gt;"")*(MOD($O$4:$O$500,1)&lt;MOD(O310,1)))=0,IF(MOD(O310,1)&lt;=TIME(8,15,0),"Ingreso adecuado primera hora","Atraso primera hora"),"No aplica")),"")</f>
        <v/>
      </c>
      <c r="Q310" s="27" t="n"/>
      <c r="R310" s="25" t="n"/>
      <c r="S310" s="25" t="n"/>
      <c r="T310" s="25" t="n"/>
      <c r="U310" s="25">
        <f>IFERROR(VLOOKUP(M310,'Horario Pabellones'!$A$4:$D$17,2,FALSE),"")</f>
        <v/>
      </c>
      <c r="V310" s="25">
        <f>IFERROR(VLOOKUP(M310,'Horario Pabellones'!$A$4:$D$17,3,FALSE),"")</f>
        <v/>
      </c>
      <c r="W310" s="99">
        <f>IFERROR(VLOOKUP(M310,'Horario Pabellones'!$A$4:$D$17,4,FALSE),"")</f>
        <v/>
      </c>
      <c r="X310" s="89">
        <f>IFERROR(IF(OR(A310="",M310="",W310=""),"",(((_xludf.AGGREGATE(14,6,MOD($S$4:$S$500,1)/(($A$4:$A$500=A310)*($M$4:$M$500=M310)*($R$4:$R$500&lt;&gt;"")*($S$4:$S$500&lt;&gt;"")),1)-_xludf.AGGREGATE(15,6,MOD($R$4:$R$500,1)/(($A$4:$A$500=A310)*($M$4:$M$500=M310)*($R$4:$R$500&lt;&gt;"")*($S$4:$S$500&lt;&gt;"")),1))*1440)/60)/(W310/60)),"")</f>
        <v/>
      </c>
      <c r="Y310" s="26">
        <f>IFERROR(IF(OR(O310="",A310="",M310=""),"",(IF(ISNUMBER(O310),MOD(O310,1),TIMEVALUE(O310))-LOOKUP(2,1/(($A$4:$A$500=A310)*($M$4:$M$500=M310)*($T$4:$T$500&lt;&gt;"")*($T$4:$T$500&lt;IF(ISNUMBER(O310),MOD(O310,1),TIMEVALUE(O310)))),$T$4:$T$500))*1440),"")</f>
        <v/>
      </c>
      <c r="Z310" s="27">
        <f>IFERROR(IF(Y310="","",IF(ROUND(Y310,0)&lt;=15,"Cumple","No cumple")),"")</f>
        <v/>
      </c>
      <c r="AA310" s="27" t="n"/>
      <c r="AB310" s="26">
        <f>IFERROR(IF(OR(O310="",R310=""),"",IF(IF(ISNUMBER(R310),MOD(R310,1),TIMEVALUE(R310))&gt;=IF(ISNUMBER(O310),MOD(O310,1),TIMEVALUE(O310)),(IF(ISNUMBER(R310),MOD(R310,1),TIMEVALUE(R310))-IF(ISNUMBER(O310),MOD(O310,1),TIMEVALUE(O310)))*1440,(IF(ISNUMBER(R310),MOD(R310,1),TIMEVALUE(R310))+1-IF(ISNUMBER(O310),MOD(O310,1),TIMEVALUE(O310)))*1440)),"")</f>
        <v/>
      </c>
      <c r="AC310" s="26">
        <f>IFERROR(IF(OR(R310="",S310=""),"",IF(IF(ISNUMBER(S310),MOD(S310,1),TIMEVALUE(S310))&gt;=IF(ISNUMBER(R310),MOD(R310,1),TIMEVALUE(R310)),(IF(ISNUMBER(S310),MOD(S310,1),TIMEVALUE(S310))-IF(ISNUMBER(R310),MOD(R310,1),TIMEVALUE(R310)))*1440,(IF(ISNUMBER(S310),MOD(S310,1),TIMEVALUE(S310))+1-IF(ISNUMBER(R310),MOD(R310,1),TIMEVALUE(R310)))*1440)),"")</f>
        <v/>
      </c>
      <c r="AD310" s="29" t="n"/>
      <c r="AE310" s="26">
        <f>IFERROR(IF(OR(AC310="",AD310=""),"",AC310-AD310),"")</f>
        <v/>
      </c>
      <c r="AF310" s="27">
        <f>IFERROR(IF(AE310="","",IF(ROUND(AE310,0)&gt;15,"Subestimacion",IF(ROUND(AE310,0)&lt;-15,"Sobrestimacion","Asertivo"))),"")</f>
        <v/>
      </c>
      <c r="AG310" s="19" t="n"/>
      <c r="AH310" s="19" t="n"/>
      <c r="AI310" s="19" t="n"/>
      <c r="AJ310" s="19" t="n"/>
      <c r="AK310" s="19" t="n"/>
      <c r="AL310" s="19" t="n"/>
      <c r="AM310" s="19" t="n"/>
      <c r="AN310" s="19" t="n"/>
      <c r="AO310" s="19" t="n"/>
      <c r="AP310" s="127">
        <f>IF(A310="","",A310-WEEKDAY(A310,2)+1)</f>
        <v/>
      </c>
      <c r="AQ310" s="127">
        <f>IF(AO310="","",AO310+6)</f>
        <v/>
      </c>
      <c r="AR310" s="19">
        <f>IF(AO310="","","Semana "&amp;TEXT(AO310,"dd-mm-yyyy")&amp;" al "&amp;TEXT(AP310,"dd-mm-yyyy"))</f>
        <v/>
      </c>
      <c r="AS310" s="19">
        <f>IF(A310="","",TEXT(A310,"mmmm yyyy"))</f>
        <v/>
      </c>
      <c r="AT310" s="19">
        <f>IF(A310="","",TEXT(A310,"dddd"))</f>
        <v/>
      </c>
      <c r="AU310" s="19">
        <f>IF(A310="","","CRR-"&amp;TEXT(A310,"yyyymmdd")&amp;"-"&amp;M310&amp;"-"&amp;TEXT(ROW()-3,"0000"))</f>
        <v/>
      </c>
      <c r="AV310" s="19">
        <f>IF(A310="","",IF(OR(B310="",C310="",E310="",F310="",M310="",N310=""),"Revisar campos obligatorios",IF(AND(P310="Atraso primera hora",Q310=""),"Falta justificación atraso primera hora",IF(AND(Z310="No cumple",AA310=""),"Falta justificación recambio &gt;15 min",IF(AND(ISNUMBER(SEARCH("suspend",N310)),OR(AG310="",AH310="")),"Falta causa/motivo suspensión","OK")))))</f>
        <v/>
      </c>
      <c r="AW310" s="19">
        <f>IF(N310="","",IF(ISNUMBER(SEARCH("suspend",N310)),IF(AND(AG310="",AH310=""),"Sin causa/motivo registrado",IF(AG310="",AH310,IF(AH310="",AG310,AG310&amp;": "&amp;AH310))),""))</f>
        <v/>
      </c>
    </row>
    <row r="311" ht="16" customHeight="1" s="151">
      <c r="A311" s="62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20">
        <f>IF(H311&lt;&gt;"",IFERROR(VLOOKUP(IFERROR(LEFT(H311,FIND("-",H311)-1),H311),'Catalogo MINSAL'!A:E,5,FALSE),""),IF(I311&lt;&gt;"",IFERROR(VLOOKUP(IFERROR(LEFT(I311,FIND("-",I311)-1),I311),'Catalogo MINSAL'!A:E,5,FALSE),""),""))</f>
        <v/>
      </c>
      <c r="K311" s="19" t="n"/>
      <c r="L311" s="19" t="n"/>
      <c r="M311" s="19" t="n"/>
      <c r="N311" s="19" t="n"/>
      <c r="O311" s="25" t="n"/>
      <c r="P311" s="27">
        <f>IFERROR(IF(OR(O311="",A311="",M311=""),"",IF(SUMPRODUCT(($A$4:$A$500=A311)*($M$4:$M$500=M311)*($O$4:$O$500&lt;&gt;"")*(MOD($O$4:$O$500,1)&lt;MOD(O311,1)))=0,IF(MOD(O311,1)&lt;=TIME(8,15,0),"Ingreso adecuado primera hora","Atraso primera hora"),"No aplica")),"")</f>
        <v/>
      </c>
      <c r="Q311" s="27" t="n"/>
      <c r="R311" s="25" t="n"/>
      <c r="S311" s="25" t="n"/>
      <c r="T311" s="25" t="n"/>
      <c r="U311" s="25">
        <f>IFERROR(VLOOKUP(M311,'Horario Pabellones'!$A$4:$D$17,2,FALSE),"")</f>
        <v/>
      </c>
      <c r="V311" s="25">
        <f>IFERROR(VLOOKUP(M311,'Horario Pabellones'!$A$4:$D$17,3,FALSE),"")</f>
        <v/>
      </c>
      <c r="W311" s="99">
        <f>IFERROR(VLOOKUP(M311,'Horario Pabellones'!$A$4:$D$17,4,FALSE),"")</f>
        <v/>
      </c>
      <c r="X311" s="89">
        <f>IFERROR(IF(OR(A311="",M311="",W311=""),"",(((_xludf.AGGREGATE(14,6,MOD($S$4:$S$500,1)/(($A$4:$A$500=A311)*($M$4:$M$500=M311)*($R$4:$R$500&lt;&gt;"")*($S$4:$S$500&lt;&gt;"")),1)-_xludf.AGGREGATE(15,6,MOD($R$4:$R$500,1)/(($A$4:$A$500=A311)*($M$4:$M$500=M311)*($R$4:$R$500&lt;&gt;"")*($S$4:$S$500&lt;&gt;"")),1))*1440)/60)/(W311/60)),"")</f>
        <v/>
      </c>
      <c r="Y311" s="26">
        <f>IFERROR(IF(OR(O311="",A311="",M311=""),"",(IF(ISNUMBER(O311),MOD(O311,1),TIMEVALUE(O311))-LOOKUP(2,1/(($A$4:$A$500=A311)*($M$4:$M$500=M311)*($T$4:$T$500&lt;&gt;"")*($T$4:$T$500&lt;IF(ISNUMBER(O311),MOD(O311,1),TIMEVALUE(O311)))),$T$4:$T$500))*1440),"")</f>
        <v/>
      </c>
      <c r="Z311" s="27">
        <f>IFERROR(IF(Y311="","",IF(ROUND(Y311,0)&lt;=15,"Cumple","No cumple")),"")</f>
        <v/>
      </c>
      <c r="AA311" s="27" t="n"/>
      <c r="AB311" s="26">
        <f>IFERROR(IF(OR(O311="",R311=""),"",IF(IF(ISNUMBER(R311),MOD(R311,1),TIMEVALUE(R311))&gt;=IF(ISNUMBER(O311),MOD(O311,1),TIMEVALUE(O311)),(IF(ISNUMBER(R311),MOD(R311,1),TIMEVALUE(R311))-IF(ISNUMBER(O311),MOD(O311,1),TIMEVALUE(O311)))*1440,(IF(ISNUMBER(R311),MOD(R311,1),TIMEVALUE(R311))+1-IF(ISNUMBER(O311),MOD(O311,1),TIMEVALUE(O311)))*1440)),"")</f>
        <v/>
      </c>
      <c r="AC311" s="26">
        <f>IFERROR(IF(OR(R311="",S311=""),"",IF(IF(ISNUMBER(S311),MOD(S311,1),TIMEVALUE(S311))&gt;=IF(ISNUMBER(R311),MOD(R311,1),TIMEVALUE(R311)),(IF(ISNUMBER(S311),MOD(S311,1),TIMEVALUE(S311))-IF(ISNUMBER(R311),MOD(R311,1),TIMEVALUE(R311)))*1440,(IF(ISNUMBER(S311),MOD(S311,1),TIMEVALUE(S311))+1-IF(ISNUMBER(R311),MOD(R311,1),TIMEVALUE(R311)))*1440)),"")</f>
        <v/>
      </c>
      <c r="AD311" s="29" t="n"/>
      <c r="AE311" s="26">
        <f>IFERROR(IF(OR(AC311="",AD311=""),"",AC311-AD311),"")</f>
        <v/>
      </c>
      <c r="AF311" s="27">
        <f>IFERROR(IF(AE311="","",IF(ROUND(AE311,0)&gt;15,"Subestimacion",IF(ROUND(AE311,0)&lt;-15,"Sobrestimacion","Asertivo"))),"")</f>
        <v/>
      </c>
      <c r="AG311" s="19" t="n"/>
      <c r="AH311" s="19" t="n"/>
      <c r="AI311" s="19" t="n"/>
      <c r="AJ311" s="19" t="n"/>
      <c r="AK311" s="19" t="n"/>
      <c r="AL311" s="19" t="n"/>
      <c r="AM311" s="19" t="n"/>
      <c r="AN311" s="19" t="n"/>
      <c r="AO311" s="19" t="n"/>
      <c r="AP311" s="127">
        <f>IF(A311="","",A311-WEEKDAY(A311,2)+1)</f>
        <v/>
      </c>
      <c r="AQ311" s="127">
        <f>IF(AO311="","",AO311+6)</f>
        <v/>
      </c>
      <c r="AR311" s="19">
        <f>IF(AO311="","","Semana "&amp;TEXT(AO311,"dd-mm-yyyy")&amp;" al "&amp;TEXT(AP311,"dd-mm-yyyy"))</f>
        <v/>
      </c>
      <c r="AS311" s="19">
        <f>IF(A311="","",TEXT(A311,"mmmm yyyy"))</f>
        <v/>
      </c>
      <c r="AT311" s="19">
        <f>IF(A311="","",TEXT(A311,"dddd"))</f>
        <v/>
      </c>
      <c r="AU311" s="19">
        <f>IF(A311="","","CRR-"&amp;TEXT(A311,"yyyymmdd")&amp;"-"&amp;M311&amp;"-"&amp;TEXT(ROW()-3,"0000"))</f>
        <v/>
      </c>
      <c r="AV311" s="19">
        <f>IF(A311="","",IF(OR(B311="",C311="",E311="",F311="",M311="",N311=""),"Revisar campos obligatorios",IF(AND(P311="Atraso primera hora",Q311=""),"Falta justificación atraso primera hora",IF(AND(Z311="No cumple",AA311=""),"Falta justificación recambio &gt;15 min",IF(AND(ISNUMBER(SEARCH("suspend",N311)),OR(AG311="",AH311="")),"Falta causa/motivo suspensión","OK")))))</f>
        <v/>
      </c>
      <c r="AW311" s="19">
        <f>IF(N311="","",IF(ISNUMBER(SEARCH("suspend",N311)),IF(AND(AG311="",AH311=""),"Sin causa/motivo registrado",IF(AG311="",AH311,IF(AH311="",AG311,AG311&amp;": "&amp;AH311))),""))</f>
        <v/>
      </c>
    </row>
    <row r="312" ht="16" customHeight="1" s="151">
      <c r="A312" s="62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20">
        <f>IF(H312&lt;&gt;"",IFERROR(VLOOKUP(IFERROR(LEFT(H312,FIND("-",H312)-1),H312),'Catalogo MINSAL'!A:E,5,FALSE),""),IF(I312&lt;&gt;"",IFERROR(VLOOKUP(IFERROR(LEFT(I312,FIND("-",I312)-1),I312),'Catalogo MINSAL'!A:E,5,FALSE),""),""))</f>
        <v/>
      </c>
      <c r="K312" s="19" t="n"/>
      <c r="L312" s="19" t="n"/>
      <c r="M312" s="19" t="n"/>
      <c r="N312" s="19" t="n"/>
      <c r="O312" s="25" t="n"/>
      <c r="P312" s="27">
        <f>IFERROR(IF(OR(O312="",A312="",M312=""),"",IF(SUMPRODUCT(($A$4:$A$500=A312)*($M$4:$M$500=M312)*($O$4:$O$500&lt;&gt;"")*(MOD($O$4:$O$500,1)&lt;MOD(O312,1)))=0,IF(MOD(O312,1)&lt;=TIME(8,15,0),"Ingreso adecuado primera hora","Atraso primera hora"),"No aplica")),"")</f>
        <v/>
      </c>
      <c r="Q312" s="27" t="n"/>
      <c r="R312" s="25" t="n"/>
      <c r="S312" s="25" t="n"/>
      <c r="T312" s="25" t="n"/>
      <c r="U312" s="25">
        <f>IFERROR(VLOOKUP(M312,'Horario Pabellones'!$A$4:$D$17,2,FALSE),"")</f>
        <v/>
      </c>
      <c r="V312" s="25">
        <f>IFERROR(VLOOKUP(M312,'Horario Pabellones'!$A$4:$D$17,3,FALSE),"")</f>
        <v/>
      </c>
      <c r="W312" s="99">
        <f>IFERROR(VLOOKUP(M312,'Horario Pabellones'!$A$4:$D$17,4,FALSE),"")</f>
        <v/>
      </c>
      <c r="X312" s="89">
        <f>IFERROR(IF(OR(A312="",M312="",W312=""),"",(((_xludf.AGGREGATE(14,6,MOD($S$4:$S$500,1)/(($A$4:$A$500=A312)*($M$4:$M$500=M312)*($R$4:$R$500&lt;&gt;"")*($S$4:$S$500&lt;&gt;"")),1)-_xludf.AGGREGATE(15,6,MOD($R$4:$R$500,1)/(($A$4:$A$500=A312)*($M$4:$M$500=M312)*($R$4:$R$500&lt;&gt;"")*($S$4:$S$500&lt;&gt;"")),1))*1440)/60)/(W312/60)),"")</f>
        <v/>
      </c>
      <c r="Y312" s="26">
        <f>IFERROR(IF(OR(O312="",A312="",M312=""),"",(IF(ISNUMBER(O312),MOD(O312,1),TIMEVALUE(O312))-LOOKUP(2,1/(($A$4:$A$500=A312)*($M$4:$M$500=M312)*($T$4:$T$500&lt;&gt;"")*($T$4:$T$500&lt;IF(ISNUMBER(O312),MOD(O312,1),TIMEVALUE(O312)))),$T$4:$T$500))*1440),"")</f>
        <v/>
      </c>
      <c r="Z312" s="27">
        <f>IFERROR(IF(Y312="","",IF(ROUND(Y312,0)&lt;=15,"Cumple","No cumple")),"")</f>
        <v/>
      </c>
      <c r="AA312" s="27" t="n"/>
      <c r="AB312" s="26">
        <f>IFERROR(IF(OR(O312="",R312=""),"",IF(IF(ISNUMBER(R312),MOD(R312,1),TIMEVALUE(R312))&gt;=IF(ISNUMBER(O312),MOD(O312,1),TIMEVALUE(O312)),(IF(ISNUMBER(R312),MOD(R312,1),TIMEVALUE(R312))-IF(ISNUMBER(O312),MOD(O312,1),TIMEVALUE(O312)))*1440,(IF(ISNUMBER(R312),MOD(R312,1),TIMEVALUE(R312))+1-IF(ISNUMBER(O312),MOD(O312,1),TIMEVALUE(O312)))*1440)),"")</f>
        <v/>
      </c>
      <c r="AC312" s="26">
        <f>IFERROR(IF(OR(R312="",S312=""),"",IF(IF(ISNUMBER(S312),MOD(S312,1),TIMEVALUE(S312))&gt;=IF(ISNUMBER(R312),MOD(R312,1),TIMEVALUE(R312)),(IF(ISNUMBER(S312),MOD(S312,1),TIMEVALUE(S312))-IF(ISNUMBER(R312),MOD(R312,1),TIMEVALUE(R312)))*1440,(IF(ISNUMBER(S312),MOD(S312,1),TIMEVALUE(S312))+1-IF(ISNUMBER(R312),MOD(R312,1),TIMEVALUE(R312)))*1440)),"")</f>
        <v/>
      </c>
      <c r="AD312" s="29" t="n"/>
      <c r="AE312" s="26">
        <f>IFERROR(IF(OR(AC312="",AD312=""),"",AC312-AD312),"")</f>
        <v/>
      </c>
      <c r="AF312" s="27">
        <f>IFERROR(IF(AE312="","",IF(ROUND(AE312,0)&gt;15,"Subestimacion",IF(ROUND(AE312,0)&lt;-15,"Sobrestimacion","Asertivo"))),"")</f>
        <v/>
      </c>
      <c r="AG312" s="19" t="n"/>
      <c r="AH312" s="19" t="n"/>
      <c r="AI312" s="19" t="n"/>
      <c r="AJ312" s="19" t="n"/>
      <c r="AK312" s="19" t="n"/>
      <c r="AL312" s="19" t="n"/>
      <c r="AM312" s="19" t="n"/>
      <c r="AN312" s="19" t="n"/>
      <c r="AO312" s="19" t="n"/>
      <c r="AP312" s="127">
        <f>IF(A312="","",A312-WEEKDAY(A312,2)+1)</f>
        <v/>
      </c>
      <c r="AQ312" s="127">
        <f>IF(AO312="","",AO312+6)</f>
        <v/>
      </c>
      <c r="AR312" s="19">
        <f>IF(AO312="","","Semana "&amp;TEXT(AO312,"dd-mm-yyyy")&amp;" al "&amp;TEXT(AP312,"dd-mm-yyyy"))</f>
        <v/>
      </c>
      <c r="AS312" s="19">
        <f>IF(A312="","",TEXT(A312,"mmmm yyyy"))</f>
        <v/>
      </c>
      <c r="AT312" s="19">
        <f>IF(A312="","",TEXT(A312,"dddd"))</f>
        <v/>
      </c>
      <c r="AU312" s="19">
        <f>IF(A312="","","CRR-"&amp;TEXT(A312,"yyyymmdd")&amp;"-"&amp;M312&amp;"-"&amp;TEXT(ROW()-3,"0000"))</f>
        <v/>
      </c>
      <c r="AV312" s="19">
        <f>IF(A312="","",IF(OR(B312="",C312="",E312="",F312="",M312="",N312=""),"Revisar campos obligatorios",IF(AND(P312="Atraso primera hora",Q312=""),"Falta justificación atraso primera hora",IF(AND(Z312="No cumple",AA312=""),"Falta justificación recambio &gt;15 min",IF(AND(ISNUMBER(SEARCH("suspend",N312)),OR(AG312="",AH312="")),"Falta causa/motivo suspensión","OK")))))</f>
        <v/>
      </c>
      <c r="AW312" s="19">
        <f>IF(N312="","",IF(ISNUMBER(SEARCH("suspend",N312)),IF(AND(AG312="",AH312=""),"Sin causa/motivo registrado",IF(AG312="",AH312,IF(AH312="",AG312,AG312&amp;": "&amp;AH312))),""))</f>
        <v/>
      </c>
    </row>
    <row r="313" ht="16" customHeight="1" s="151">
      <c r="A313" s="62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20">
        <f>IF(H313&lt;&gt;"",IFERROR(VLOOKUP(IFERROR(LEFT(H313,FIND("-",H313)-1),H313),'Catalogo MINSAL'!A:E,5,FALSE),""),IF(I313&lt;&gt;"",IFERROR(VLOOKUP(IFERROR(LEFT(I313,FIND("-",I313)-1),I313),'Catalogo MINSAL'!A:E,5,FALSE),""),""))</f>
        <v/>
      </c>
      <c r="K313" s="19" t="n"/>
      <c r="L313" s="19" t="n"/>
      <c r="M313" s="19" t="n"/>
      <c r="N313" s="19" t="n"/>
      <c r="O313" s="25" t="n"/>
      <c r="P313" s="27">
        <f>IFERROR(IF(OR(O313="",A313="",M313=""),"",IF(SUMPRODUCT(($A$4:$A$500=A313)*($M$4:$M$500=M313)*($O$4:$O$500&lt;&gt;"")*(MOD($O$4:$O$500,1)&lt;MOD(O313,1)))=0,IF(MOD(O313,1)&lt;=TIME(8,15,0),"Ingreso adecuado primera hora","Atraso primera hora"),"No aplica")),"")</f>
        <v/>
      </c>
      <c r="Q313" s="27" t="n"/>
      <c r="R313" s="25" t="n"/>
      <c r="S313" s="25" t="n"/>
      <c r="T313" s="25" t="n"/>
      <c r="U313" s="25">
        <f>IFERROR(VLOOKUP(M313,'Horario Pabellones'!$A$4:$D$17,2,FALSE),"")</f>
        <v/>
      </c>
      <c r="V313" s="25">
        <f>IFERROR(VLOOKUP(M313,'Horario Pabellones'!$A$4:$D$17,3,FALSE),"")</f>
        <v/>
      </c>
      <c r="W313" s="99">
        <f>IFERROR(VLOOKUP(M313,'Horario Pabellones'!$A$4:$D$17,4,FALSE),"")</f>
        <v/>
      </c>
      <c r="X313" s="89">
        <f>IFERROR(IF(OR(A313="",M313="",W313=""),"",(((_xludf.AGGREGATE(14,6,MOD($S$4:$S$500,1)/(($A$4:$A$500=A313)*($M$4:$M$500=M313)*($R$4:$R$500&lt;&gt;"")*($S$4:$S$500&lt;&gt;"")),1)-_xludf.AGGREGATE(15,6,MOD($R$4:$R$500,1)/(($A$4:$A$500=A313)*($M$4:$M$500=M313)*($R$4:$R$500&lt;&gt;"")*($S$4:$S$500&lt;&gt;"")),1))*1440)/60)/(W313/60)),"")</f>
        <v/>
      </c>
      <c r="Y313" s="26">
        <f>IFERROR(IF(OR(O313="",A313="",M313=""),"",(IF(ISNUMBER(O313),MOD(O313,1),TIMEVALUE(O313))-LOOKUP(2,1/(($A$4:$A$500=A313)*($M$4:$M$500=M313)*($T$4:$T$500&lt;&gt;"")*($T$4:$T$500&lt;IF(ISNUMBER(O313),MOD(O313,1),TIMEVALUE(O313)))),$T$4:$T$500))*1440),"")</f>
        <v/>
      </c>
      <c r="Z313" s="27">
        <f>IFERROR(IF(Y313="","",IF(ROUND(Y313,0)&lt;=15,"Cumple","No cumple")),"")</f>
        <v/>
      </c>
      <c r="AA313" s="27" t="n"/>
      <c r="AB313" s="26">
        <f>IFERROR(IF(OR(O313="",R313=""),"",IF(IF(ISNUMBER(R313),MOD(R313,1),TIMEVALUE(R313))&gt;=IF(ISNUMBER(O313),MOD(O313,1),TIMEVALUE(O313)),(IF(ISNUMBER(R313),MOD(R313,1),TIMEVALUE(R313))-IF(ISNUMBER(O313),MOD(O313,1),TIMEVALUE(O313)))*1440,(IF(ISNUMBER(R313),MOD(R313,1),TIMEVALUE(R313))+1-IF(ISNUMBER(O313),MOD(O313,1),TIMEVALUE(O313)))*1440)),"")</f>
        <v/>
      </c>
      <c r="AC313" s="26">
        <f>IFERROR(IF(OR(R313="",S313=""),"",IF(IF(ISNUMBER(S313),MOD(S313,1),TIMEVALUE(S313))&gt;=IF(ISNUMBER(R313),MOD(R313,1),TIMEVALUE(R313)),(IF(ISNUMBER(S313),MOD(S313,1),TIMEVALUE(S313))-IF(ISNUMBER(R313),MOD(R313,1),TIMEVALUE(R313)))*1440,(IF(ISNUMBER(S313),MOD(S313,1),TIMEVALUE(S313))+1-IF(ISNUMBER(R313),MOD(R313,1),TIMEVALUE(R313)))*1440)),"")</f>
        <v/>
      </c>
      <c r="AD313" s="29" t="n"/>
      <c r="AE313" s="26">
        <f>IFERROR(IF(OR(AC313="",AD313=""),"",AC313-AD313),"")</f>
        <v/>
      </c>
      <c r="AF313" s="27">
        <f>IFERROR(IF(AE313="","",IF(ROUND(AE313,0)&gt;15,"Subestimacion",IF(ROUND(AE313,0)&lt;-15,"Sobrestimacion","Asertivo"))),"")</f>
        <v/>
      </c>
      <c r="AG313" s="19" t="n"/>
      <c r="AH313" s="19" t="n"/>
      <c r="AI313" s="19" t="n"/>
      <c r="AJ313" s="19" t="n"/>
      <c r="AK313" s="19" t="n"/>
      <c r="AL313" s="19" t="n"/>
      <c r="AM313" s="19" t="n"/>
      <c r="AN313" s="19" t="n"/>
      <c r="AO313" s="19" t="n"/>
      <c r="AP313" s="127">
        <f>IF(A313="","",A313-WEEKDAY(A313,2)+1)</f>
        <v/>
      </c>
      <c r="AQ313" s="127">
        <f>IF(AO313="","",AO313+6)</f>
        <v/>
      </c>
      <c r="AR313" s="19">
        <f>IF(AO313="","","Semana "&amp;TEXT(AO313,"dd-mm-yyyy")&amp;" al "&amp;TEXT(AP313,"dd-mm-yyyy"))</f>
        <v/>
      </c>
      <c r="AS313" s="19">
        <f>IF(A313="","",TEXT(A313,"mmmm yyyy"))</f>
        <v/>
      </c>
      <c r="AT313" s="19">
        <f>IF(A313="","",TEXT(A313,"dddd"))</f>
        <v/>
      </c>
      <c r="AU313" s="19">
        <f>IF(A313="","","CRR-"&amp;TEXT(A313,"yyyymmdd")&amp;"-"&amp;M313&amp;"-"&amp;TEXT(ROW()-3,"0000"))</f>
        <v/>
      </c>
      <c r="AV313" s="19">
        <f>IF(A313="","",IF(OR(B313="",C313="",E313="",F313="",M313="",N313=""),"Revisar campos obligatorios",IF(AND(P313="Atraso primera hora",Q313=""),"Falta justificación atraso primera hora",IF(AND(Z313="No cumple",AA313=""),"Falta justificación recambio &gt;15 min",IF(AND(ISNUMBER(SEARCH("suspend",N313)),OR(AG313="",AH313="")),"Falta causa/motivo suspensión","OK")))))</f>
        <v/>
      </c>
      <c r="AW313" s="19">
        <f>IF(N313="","",IF(ISNUMBER(SEARCH("suspend",N313)),IF(AND(AG313="",AH313=""),"Sin causa/motivo registrado",IF(AG313="",AH313,IF(AH313="",AG313,AG313&amp;": "&amp;AH313))),""))</f>
        <v/>
      </c>
    </row>
    <row r="314" ht="16" customHeight="1" s="151">
      <c r="A314" s="62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20">
        <f>IF(H314&lt;&gt;"",IFERROR(VLOOKUP(IFERROR(LEFT(H314,FIND("-",H314)-1),H314),'Catalogo MINSAL'!A:E,5,FALSE),""),IF(I314&lt;&gt;"",IFERROR(VLOOKUP(IFERROR(LEFT(I314,FIND("-",I314)-1),I314),'Catalogo MINSAL'!A:E,5,FALSE),""),""))</f>
        <v/>
      </c>
      <c r="K314" s="19" t="n"/>
      <c r="L314" s="19" t="n"/>
      <c r="M314" s="19" t="n"/>
      <c r="N314" s="19" t="n"/>
      <c r="O314" s="25" t="n"/>
      <c r="P314" s="27">
        <f>IFERROR(IF(OR(O314="",A314="",M314=""),"",IF(SUMPRODUCT(($A$4:$A$500=A314)*($M$4:$M$500=M314)*($O$4:$O$500&lt;&gt;"")*(MOD($O$4:$O$500,1)&lt;MOD(O314,1)))=0,IF(MOD(O314,1)&lt;=TIME(8,15,0),"Ingreso adecuado primera hora","Atraso primera hora"),"No aplica")),"")</f>
        <v/>
      </c>
      <c r="Q314" s="27" t="n"/>
      <c r="R314" s="25" t="n"/>
      <c r="S314" s="25" t="n"/>
      <c r="T314" s="25" t="n"/>
      <c r="U314" s="25">
        <f>IFERROR(VLOOKUP(M314,'Horario Pabellones'!$A$4:$D$17,2,FALSE),"")</f>
        <v/>
      </c>
      <c r="V314" s="25">
        <f>IFERROR(VLOOKUP(M314,'Horario Pabellones'!$A$4:$D$17,3,FALSE),"")</f>
        <v/>
      </c>
      <c r="W314" s="99">
        <f>IFERROR(VLOOKUP(M314,'Horario Pabellones'!$A$4:$D$17,4,FALSE),"")</f>
        <v/>
      </c>
      <c r="X314" s="89">
        <f>IFERROR(IF(OR(A314="",M314="",W314=""),"",(((_xludf.AGGREGATE(14,6,MOD($S$4:$S$500,1)/(($A$4:$A$500=A314)*($M$4:$M$500=M314)*($R$4:$R$500&lt;&gt;"")*($S$4:$S$500&lt;&gt;"")),1)-_xludf.AGGREGATE(15,6,MOD($R$4:$R$500,1)/(($A$4:$A$500=A314)*($M$4:$M$500=M314)*($R$4:$R$500&lt;&gt;"")*($S$4:$S$500&lt;&gt;"")),1))*1440)/60)/(W314/60)),"")</f>
        <v/>
      </c>
      <c r="Y314" s="26">
        <f>IFERROR(IF(OR(O314="",A314="",M314=""),"",(IF(ISNUMBER(O314),MOD(O314,1),TIMEVALUE(O314))-LOOKUP(2,1/(($A$4:$A$500=A314)*($M$4:$M$500=M314)*($T$4:$T$500&lt;&gt;"")*($T$4:$T$500&lt;IF(ISNUMBER(O314),MOD(O314,1),TIMEVALUE(O314)))),$T$4:$T$500))*1440),"")</f>
        <v/>
      </c>
      <c r="Z314" s="27">
        <f>IFERROR(IF(Y314="","",IF(ROUND(Y314,0)&lt;=15,"Cumple","No cumple")),"")</f>
        <v/>
      </c>
      <c r="AA314" s="27" t="n"/>
      <c r="AB314" s="26">
        <f>IFERROR(IF(OR(O314="",R314=""),"",IF(IF(ISNUMBER(R314),MOD(R314,1),TIMEVALUE(R314))&gt;=IF(ISNUMBER(O314),MOD(O314,1),TIMEVALUE(O314)),(IF(ISNUMBER(R314),MOD(R314,1),TIMEVALUE(R314))-IF(ISNUMBER(O314),MOD(O314,1),TIMEVALUE(O314)))*1440,(IF(ISNUMBER(R314),MOD(R314,1),TIMEVALUE(R314))+1-IF(ISNUMBER(O314),MOD(O314,1),TIMEVALUE(O314)))*1440)),"")</f>
        <v/>
      </c>
      <c r="AC314" s="26">
        <f>IFERROR(IF(OR(R314="",S314=""),"",IF(IF(ISNUMBER(S314),MOD(S314,1),TIMEVALUE(S314))&gt;=IF(ISNUMBER(R314),MOD(R314,1),TIMEVALUE(R314)),(IF(ISNUMBER(S314),MOD(S314,1),TIMEVALUE(S314))-IF(ISNUMBER(R314),MOD(R314,1),TIMEVALUE(R314)))*1440,(IF(ISNUMBER(S314),MOD(S314,1),TIMEVALUE(S314))+1-IF(ISNUMBER(R314),MOD(R314,1),TIMEVALUE(R314)))*1440)),"")</f>
        <v/>
      </c>
      <c r="AD314" s="29" t="n"/>
      <c r="AE314" s="26">
        <f>IFERROR(IF(OR(AC314="",AD314=""),"",AC314-AD314),"")</f>
        <v/>
      </c>
      <c r="AF314" s="27">
        <f>IFERROR(IF(AE314="","",IF(ROUND(AE314,0)&gt;15,"Subestimacion",IF(ROUND(AE314,0)&lt;-15,"Sobrestimacion","Asertivo"))),"")</f>
        <v/>
      </c>
      <c r="AG314" s="19" t="n"/>
      <c r="AH314" s="19" t="n"/>
      <c r="AI314" s="19" t="n"/>
      <c r="AJ314" s="19" t="n"/>
      <c r="AK314" s="19" t="n"/>
      <c r="AL314" s="19" t="n"/>
      <c r="AM314" s="19" t="n"/>
      <c r="AN314" s="19" t="n"/>
      <c r="AO314" s="19" t="n"/>
      <c r="AP314" s="127">
        <f>IF(A314="","",A314-WEEKDAY(A314,2)+1)</f>
        <v/>
      </c>
      <c r="AQ314" s="127">
        <f>IF(AO314="","",AO314+6)</f>
        <v/>
      </c>
      <c r="AR314" s="19">
        <f>IF(AO314="","","Semana "&amp;TEXT(AO314,"dd-mm-yyyy")&amp;" al "&amp;TEXT(AP314,"dd-mm-yyyy"))</f>
        <v/>
      </c>
      <c r="AS314" s="19">
        <f>IF(A314="","",TEXT(A314,"mmmm yyyy"))</f>
        <v/>
      </c>
      <c r="AT314" s="19">
        <f>IF(A314="","",TEXT(A314,"dddd"))</f>
        <v/>
      </c>
      <c r="AU314" s="19">
        <f>IF(A314="","","CRR-"&amp;TEXT(A314,"yyyymmdd")&amp;"-"&amp;M314&amp;"-"&amp;TEXT(ROW()-3,"0000"))</f>
        <v/>
      </c>
      <c r="AV314" s="19">
        <f>IF(A314="","",IF(OR(B314="",C314="",E314="",F314="",M314="",N314=""),"Revisar campos obligatorios",IF(AND(P314="Atraso primera hora",Q314=""),"Falta justificación atraso primera hora",IF(AND(Z314="No cumple",AA314=""),"Falta justificación recambio &gt;15 min",IF(AND(ISNUMBER(SEARCH("suspend",N314)),OR(AG314="",AH314="")),"Falta causa/motivo suspensión","OK")))))</f>
        <v/>
      </c>
      <c r="AW314" s="19">
        <f>IF(N314="","",IF(ISNUMBER(SEARCH("suspend",N314)),IF(AND(AG314="",AH314=""),"Sin causa/motivo registrado",IF(AG314="",AH314,IF(AH314="",AG314,AG314&amp;": "&amp;AH314))),""))</f>
        <v/>
      </c>
    </row>
    <row r="315" ht="16" customHeight="1" s="151">
      <c r="A315" s="62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20">
        <f>IF(H315&lt;&gt;"",IFERROR(VLOOKUP(IFERROR(LEFT(H315,FIND("-",H315)-1),H315),'Catalogo MINSAL'!A:E,5,FALSE),""),IF(I315&lt;&gt;"",IFERROR(VLOOKUP(IFERROR(LEFT(I315,FIND("-",I315)-1),I315),'Catalogo MINSAL'!A:E,5,FALSE),""),""))</f>
        <v/>
      </c>
      <c r="K315" s="19" t="n"/>
      <c r="L315" s="19" t="n"/>
      <c r="M315" s="19" t="n"/>
      <c r="N315" s="19" t="n"/>
      <c r="O315" s="25" t="n"/>
      <c r="P315" s="27">
        <f>IFERROR(IF(OR(O315="",A315="",M315=""),"",IF(SUMPRODUCT(($A$4:$A$500=A315)*($M$4:$M$500=M315)*($O$4:$O$500&lt;&gt;"")*(MOD($O$4:$O$500,1)&lt;MOD(O315,1)))=0,IF(MOD(O315,1)&lt;=TIME(8,15,0),"Ingreso adecuado primera hora","Atraso primera hora"),"No aplica")),"")</f>
        <v/>
      </c>
      <c r="Q315" s="27" t="n"/>
      <c r="R315" s="25" t="n"/>
      <c r="S315" s="25" t="n"/>
      <c r="T315" s="25" t="n"/>
      <c r="U315" s="25">
        <f>IFERROR(VLOOKUP(M315,'Horario Pabellones'!$A$4:$D$17,2,FALSE),"")</f>
        <v/>
      </c>
      <c r="V315" s="25">
        <f>IFERROR(VLOOKUP(M315,'Horario Pabellones'!$A$4:$D$17,3,FALSE),"")</f>
        <v/>
      </c>
      <c r="W315" s="99">
        <f>IFERROR(VLOOKUP(M315,'Horario Pabellones'!$A$4:$D$17,4,FALSE),"")</f>
        <v/>
      </c>
      <c r="X315" s="89">
        <f>IFERROR(IF(OR(A315="",M315="",W315=""),"",(((_xludf.AGGREGATE(14,6,MOD($S$4:$S$500,1)/(($A$4:$A$500=A315)*($M$4:$M$500=M315)*($R$4:$R$500&lt;&gt;"")*($S$4:$S$500&lt;&gt;"")),1)-_xludf.AGGREGATE(15,6,MOD($R$4:$R$500,1)/(($A$4:$A$500=A315)*($M$4:$M$500=M315)*($R$4:$R$500&lt;&gt;"")*($S$4:$S$500&lt;&gt;"")),1))*1440)/60)/(W315/60)),"")</f>
        <v/>
      </c>
      <c r="Y315" s="26">
        <f>IFERROR(IF(OR(O315="",A315="",M315=""),"",(IF(ISNUMBER(O315),MOD(O315,1),TIMEVALUE(O315))-LOOKUP(2,1/(($A$4:$A$500=A315)*($M$4:$M$500=M315)*($T$4:$T$500&lt;&gt;"")*($T$4:$T$500&lt;IF(ISNUMBER(O315),MOD(O315,1),TIMEVALUE(O315)))),$T$4:$T$500))*1440),"")</f>
        <v/>
      </c>
      <c r="Z315" s="27">
        <f>IFERROR(IF(Y315="","",IF(ROUND(Y315,0)&lt;=15,"Cumple","No cumple")),"")</f>
        <v/>
      </c>
      <c r="AA315" s="27" t="n"/>
      <c r="AB315" s="26">
        <f>IFERROR(IF(OR(O315="",R315=""),"",IF(IF(ISNUMBER(R315),MOD(R315,1),TIMEVALUE(R315))&gt;=IF(ISNUMBER(O315),MOD(O315,1),TIMEVALUE(O315)),(IF(ISNUMBER(R315),MOD(R315,1),TIMEVALUE(R315))-IF(ISNUMBER(O315),MOD(O315,1),TIMEVALUE(O315)))*1440,(IF(ISNUMBER(R315),MOD(R315,1),TIMEVALUE(R315))+1-IF(ISNUMBER(O315),MOD(O315,1),TIMEVALUE(O315)))*1440)),"")</f>
        <v/>
      </c>
      <c r="AC315" s="26">
        <f>IFERROR(IF(OR(R315="",S315=""),"",IF(IF(ISNUMBER(S315),MOD(S315,1),TIMEVALUE(S315))&gt;=IF(ISNUMBER(R315),MOD(R315,1),TIMEVALUE(R315)),(IF(ISNUMBER(S315),MOD(S315,1),TIMEVALUE(S315))-IF(ISNUMBER(R315),MOD(R315,1),TIMEVALUE(R315)))*1440,(IF(ISNUMBER(S315),MOD(S315,1),TIMEVALUE(S315))+1-IF(ISNUMBER(R315),MOD(R315,1),TIMEVALUE(R315)))*1440)),"")</f>
        <v/>
      </c>
      <c r="AD315" s="29" t="n"/>
      <c r="AE315" s="26">
        <f>IFERROR(IF(OR(AC315="",AD315=""),"",AC315-AD315),"")</f>
        <v/>
      </c>
      <c r="AF315" s="27">
        <f>IFERROR(IF(AE315="","",IF(ROUND(AE315,0)&gt;15,"Subestimacion",IF(ROUND(AE315,0)&lt;-15,"Sobrestimacion","Asertivo"))),"")</f>
        <v/>
      </c>
      <c r="AG315" s="19" t="n"/>
      <c r="AH315" s="19" t="n"/>
      <c r="AI315" s="19" t="n"/>
      <c r="AJ315" s="19" t="n"/>
      <c r="AK315" s="19" t="n"/>
      <c r="AL315" s="19" t="n"/>
      <c r="AM315" s="19" t="n"/>
      <c r="AN315" s="19" t="n"/>
      <c r="AO315" s="19" t="n"/>
      <c r="AP315" s="127">
        <f>IF(A315="","",A315-WEEKDAY(A315,2)+1)</f>
        <v/>
      </c>
      <c r="AQ315" s="127">
        <f>IF(AO315="","",AO315+6)</f>
        <v/>
      </c>
      <c r="AR315" s="19">
        <f>IF(AO315="","","Semana "&amp;TEXT(AO315,"dd-mm-yyyy")&amp;" al "&amp;TEXT(AP315,"dd-mm-yyyy"))</f>
        <v/>
      </c>
      <c r="AS315" s="19">
        <f>IF(A315="","",TEXT(A315,"mmmm yyyy"))</f>
        <v/>
      </c>
      <c r="AT315" s="19">
        <f>IF(A315="","",TEXT(A315,"dddd"))</f>
        <v/>
      </c>
      <c r="AU315" s="19">
        <f>IF(A315="","","CRR-"&amp;TEXT(A315,"yyyymmdd")&amp;"-"&amp;M315&amp;"-"&amp;TEXT(ROW()-3,"0000"))</f>
        <v/>
      </c>
      <c r="AV315" s="19">
        <f>IF(A315="","",IF(OR(B315="",C315="",E315="",F315="",M315="",N315=""),"Revisar campos obligatorios",IF(AND(P315="Atraso primera hora",Q315=""),"Falta justificación atraso primera hora",IF(AND(Z315="No cumple",AA315=""),"Falta justificación recambio &gt;15 min",IF(AND(ISNUMBER(SEARCH("suspend",N315)),OR(AG315="",AH315="")),"Falta causa/motivo suspensión","OK")))))</f>
        <v/>
      </c>
      <c r="AW315" s="19">
        <f>IF(N315="","",IF(ISNUMBER(SEARCH("suspend",N315)),IF(AND(AG315="",AH315=""),"Sin causa/motivo registrado",IF(AG315="",AH315,IF(AH315="",AG315,AG315&amp;": "&amp;AH315))),""))</f>
        <v/>
      </c>
    </row>
    <row r="316" ht="16" customHeight="1" s="151">
      <c r="A316" s="62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20">
        <f>IF(H316&lt;&gt;"",IFERROR(VLOOKUP(IFERROR(LEFT(H316,FIND("-",H316)-1),H316),'Catalogo MINSAL'!A:E,5,FALSE),""),IF(I316&lt;&gt;"",IFERROR(VLOOKUP(IFERROR(LEFT(I316,FIND("-",I316)-1),I316),'Catalogo MINSAL'!A:E,5,FALSE),""),""))</f>
        <v/>
      </c>
      <c r="K316" s="19" t="n"/>
      <c r="L316" s="19" t="n"/>
      <c r="M316" s="19" t="n"/>
      <c r="N316" s="19" t="n"/>
      <c r="O316" s="25" t="n"/>
      <c r="P316" s="27">
        <f>IFERROR(IF(OR(O316="",A316="",M316=""),"",IF(SUMPRODUCT(($A$4:$A$500=A316)*($M$4:$M$500=M316)*($O$4:$O$500&lt;&gt;"")*(MOD($O$4:$O$500,1)&lt;MOD(O316,1)))=0,IF(MOD(O316,1)&lt;=TIME(8,15,0),"Ingreso adecuado primera hora","Atraso primera hora"),"No aplica")),"")</f>
        <v/>
      </c>
      <c r="Q316" s="27" t="n"/>
      <c r="R316" s="25" t="n"/>
      <c r="S316" s="25" t="n"/>
      <c r="T316" s="25" t="n"/>
      <c r="U316" s="25">
        <f>IFERROR(VLOOKUP(M316,'Horario Pabellones'!$A$4:$D$17,2,FALSE),"")</f>
        <v/>
      </c>
      <c r="V316" s="25">
        <f>IFERROR(VLOOKUP(M316,'Horario Pabellones'!$A$4:$D$17,3,FALSE),"")</f>
        <v/>
      </c>
      <c r="W316" s="99">
        <f>IFERROR(VLOOKUP(M316,'Horario Pabellones'!$A$4:$D$17,4,FALSE),"")</f>
        <v/>
      </c>
      <c r="X316" s="89">
        <f>IFERROR(IF(OR(A316="",M316="",W316=""),"",(((_xludf.AGGREGATE(14,6,MOD($S$4:$S$500,1)/(($A$4:$A$500=A316)*($M$4:$M$500=M316)*($R$4:$R$500&lt;&gt;"")*($S$4:$S$500&lt;&gt;"")),1)-_xludf.AGGREGATE(15,6,MOD($R$4:$R$500,1)/(($A$4:$A$500=A316)*($M$4:$M$500=M316)*($R$4:$R$500&lt;&gt;"")*($S$4:$S$500&lt;&gt;"")),1))*1440)/60)/(W316/60)),"")</f>
        <v/>
      </c>
      <c r="Y316" s="26">
        <f>IFERROR(IF(OR(O316="",A316="",M316=""),"",(IF(ISNUMBER(O316),MOD(O316,1),TIMEVALUE(O316))-LOOKUP(2,1/(($A$4:$A$500=A316)*($M$4:$M$500=M316)*($T$4:$T$500&lt;&gt;"")*($T$4:$T$500&lt;IF(ISNUMBER(O316),MOD(O316,1),TIMEVALUE(O316)))),$T$4:$T$500))*1440),"")</f>
        <v/>
      </c>
      <c r="Z316" s="27">
        <f>IFERROR(IF(Y316="","",IF(ROUND(Y316,0)&lt;=15,"Cumple","No cumple")),"")</f>
        <v/>
      </c>
      <c r="AA316" s="27" t="n"/>
      <c r="AB316" s="26">
        <f>IFERROR(IF(OR(O316="",R316=""),"",IF(IF(ISNUMBER(R316),MOD(R316,1),TIMEVALUE(R316))&gt;=IF(ISNUMBER(O316),MOD(O316,1),TIMEVALUE(O316)),(IF(ISNUMBER(R316),MOD(R316,1),TIMEVALUE(R316))-IF(ISNUMBER(O316),MOD(O316,1),TIMEVALUE(O316)))*1440,(IF(ISNUMBER(R316),MOD(R316,1),TIMEVALUE(R316))+1-IF(ISNUMBER(O316),MOD(O316,1),TIMEVALUE(O316)))*1440)),"")</f>
        <v/>
      </c>
      <c r="AC316" s="26">
        <f>IFERROR(IF(OR(R316="",S316=""),"",IF(IF(ISNUMBER(S316),MOD(S316,1),TIMEVALUE(S316))&gt;=IF(ISNUMBER(R316),MOD(R316,1),TIMEVALUE(R316)),(IF(ISNUMBER(S316),MOD(S316,1),TIMEVALUE(S316))-IF(ISNUMBER(R316),MOD(R316,1),TIMEVALUE(R316)))*1440,(IF(ISNUMBER(S316),MOD(S316,1),TIMEVALUE(S316))+1-IF(ISNUMBER(R316),MOD(R316,1),TIMEVALUE(R316)))*1440)),"")</f>
        <v/>
      </c>
      <c r="AD316" s="29" t="n"/>
      <c r="AE316" s="26">
        <f>IFERROR(IF(OR(AC316="",AD316=""),"",AC316-AD316),"")</f>
        <v/>
      </c>
      <c r="AF316" s="27">
        <f>IFERROR(IF(AE316="","",IF(ROUND(AE316,0)&gt;15,"Subestimacion",IF(ROUND(AE316,0)&lt;-15,"Sobrestimacion","Asertivo"))),"")</f>
        <v/>
      </c>
      <c r="AG316" s="19" t="n"/>
      <c r="AH316" s="19" t="n"/>
      <c r="AI316" s="19" t="n"/>
      <c r="AJ316" s="19" t="n"/>
      <c r="AK316" s="19" t="n"/>
      <c r="AL316" s="19" t="n"/>
      <c r="AM316" s="19" t="n"/>
      <c r="AN316" s="19" t="n"/>
      <c r="AO316" s="19" t="n"/>
      <c r="AP316" s="127">
        <f>IF(A316="","",A316-WEEKDAY(A316,2)+1)</f>
        <v/>
      </c>
      <c r="AQ316" s="127">
        <f>IF(AO316="","",AO316+6)</f>
        <v/>
      </c>
      <c r="AR316" s="19">
        <f>IF(AO316="","","Semana "&amp;TEXT(AO316,"dd-mm-yyyy")&amp;" al "&amp;TEXT(AP316,"dd-mm-yyyy"))</f>
        <v/>
      </c>
      <c r="AS316" s="19">
        <f>IF(A316="","",TEXT(A316,"mmmm yyyy"))</f>
        <v/>
      </c>
      <c r="AT316" s="19">
        <f>IF(A316="","",TEXT(A316,"dddd"))</f>
        <v/>
      </c>
      <c r="AU316" s="19">
        <f>IF(A316="","","CRR-"&amp;TEXT(A316,"yyyymmdd")&amp;"-"&amp;M316&amp;"-"&amp;TEXT(ROW()-3,"0000"))</f>
        <v/>
      </c>
      <c r="AV316" s="19">
        <f>IF(A316="","",IF(OR(B316="",C316="",E316="",F316="",M316="",N316=""),"Revisar campos obligatorios",IF(AND(P316="Atraso primera hora",Q316=""),"Falta justificación atraso primera hora",IF(AND(Z316="No cumple",AA316=""),"Falta justificación recambio &gt;15 min",IF(AND(ISNUMBER(SEARCH("suspend",N316)),OR(AG316="",AH316="")),"Falta causa/motivo suspensión","OK")))))</f>
        <v/>
      </c>
      <c r="AW316" s="19">
        <f>IF(N316="","",IF(ISNUMBER(SEARCH("suspend",N316)),IF(AND(AG316="",AH316=""),"Sin causa/motivo registrado",IF(AG316="",AH316,IF(AH316="",AG316,AG316&amp;": "&amp;AH316))),""))</f>
        <v/>
      </c>
    </row>
    <row r="317" ht="16" customHeight="1" s="151">
      <c r="A317" s="62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20">
        <f>IF(H317&lt;&gt;"",IFERROR(VLOOKUP(IFERROR(LEFT(H317,FIND("-",H317)-1),H317),'Catalogo MINSAL'!A:E,5,FALSE),""),IF(I317&lt;&gt;"",IFERROR(VLOOKUP(IFERROR(LEFT(I317,FIND("-",I317)-1),I317),'Catalogo MINSAL'!A:E,5,FALSE),""),""))</f>
        <v/>
      </c>
      <c r="K317" s="19" t="n"/>
      <c r="L317" s="19" t="n"/>
      <c r="M317" s="19" t="n"/>
      <c r="N317" s="19" t="n"/>
      <c r="O317" s="25" t="n"/>
      <c r="P317" s="27">
        <f>IFERROR(IF(OR(O317="",A317="",M317=""),"",IF(SUMPRODUCT(($A$4:$A$500=A317)*($M$4:$M$500=M317)*($O$4:$O$500&lt;&gt;"")*(MOD($O$4:$O$500,1)&lt;MOD(O317,1)))=0,IF(MOD(O317,1)&lt;=TIME(8,15,0),"Ingreso adecuado primera hora","Atraso primera hora"),"No aplica")),"")</f>
        <v/>
      </c>
      <c r="Q317" s="27" t="n"/>
      <c r="R317" s="25" t="n"/>
      <c r="S317" s="25" t="n"/>
      <c r="T317" s="25" t="n"/>
      <c r="U317" s="25">
        <f>IFERROR(VLOOKUP(M317,'Horario Pabellones'!$A$4:$D$17,2,FALSE),"")</f>
        <v/>
      </c>
      <c r="V317" s="25">
        <f>IFERROR(VLOOKUP(M317,'Horario Pabellones'!$A$4:$D$17,3,FALSE),"")</f>
        <v/>
      </c>
      <c r="W317" s="99">
        <f>IFERROR(VLOOKUP(M317,'Horario Pabellones'!$A$4:$D$17,4,FALSE),"")</f>
        <v/>
      </c>
      <c r="X317" s="89">
        <f>IFERROR(IF(OR(A317="",M317="",W317=""),"",(((_xludf.AGGREGATE(14,6,MOD($S$4:$S$500,1)/(($A$4:$A$500=A317)*($M$4:$M$500=M317)*($R$4:$R$500&lt;&gt;"")*($S$4:$S$500&lt;&gt;"")),1)-_xludf.AGGREGATE(15,6,MOD($R$4:$R$500,1)/(($A$4:$A$500=A317)*($M$4:$M$500=M317)*($R$4:$R$500&lt;&gt;"")*($S$4:$S$500&lt;&gt;"")),1))*1440)/60)/(W317/60)),"")</f>
        <v/>
      </c>
      <c r="Y317" s="26">
        <f>IFERROR(IF(OR(O317="",A317="",M317=""),"",(IF(ISNUMBER(O317),MOD(O317,1),TIMEVALUE(O317))-LOOKUP(2,1/(($A$4:$A$500=A317)*($M$4:$M$500=M317)*($T$4:$T$500&lt;&gt;"")*($T$4:$T$500&lt;IF(ISNUMBER(O317),MOD(O317,1),TIMEVALUE(O317)))),$T$4:$T$500))*1440),"")</f>
        <v/>
      </c>
      <c r="Z317" s="27">
        <f>IFERROR(IF(Y317="","",IF(ROUND(Y317,0)&lt;=15,"Cumple","No cumple")),"")</f>
        <v/>
      </c>
      <c r="AA317" s="27" t="n"/>
      <c r="AB317" s="26">
        <f>IFERROR(IF(OR(O317="",R317=""),"",IF(IF(ISNUMBER(R317),MOD(R317,1),TIMEVALUE(R317))&gt;=IF(ISNUMBER(O317),MOD(O317,1),TIMEVALUE(O317)),(IF(ISNUMBER(R317),MOD(R317,1),TIMEVALUE(R317))-IF(ISNUMBER(O317),MOD(O317,1),TIMEVALUE(O317)))*1440,(IF(ISNUMBER(R317),MOD(R317,1),TIMEVALUE(R317))+1-IF(ISNUMBER(O317),MOD(O317,1),TIMEVALUE(O317)))*1440)),"")</f>
        <v/>
      </c>
      <c r="AC317" s="26">
        <f>IFERROR(IF(OR(R317="",S317=""),"",IF(IF(ISNUMBER(S317),MOD(S317,1),TIMEVALUE(S317))&gt;=IF(ISNUMBER(R317),MOD(R317,1),TIMEVALUE(R317)),(IF(ISNUMBER(S317),MOD(S317,1),TIMEVALUE(S317))-IF(ISNUMBER(R317),MOD(R317,1),TIMEVALUE(R317)))*1440,(IF(ISNUMBER(S317),MOD(S317,1),TIMEVALUE(S317))+1-IF(ISNUMBER(R317),MOD(R317,1),TIMEVALUE(R317)))*1440)),"")</f>
        <v/>
      </c>
      <c r="AD317" s="29" t="n"/>
      <c r="AE317" s="26">
        <f>IFERROR(IF(OR(AC317="",AD317=""),"",AC317-AD317),"")</f>
        <v/>
      </c>
      <c r="AF317" s="27">
        <f>IFERROR(IF(AE317="","",IF(ROUND(AE317,0)&gt;15,"Subestimacion",IF(ROUND(AE317,0)&lt;-15,"Sobrestimacion","Asertivo"))),"")</f>
        <v/>
      </c>
      <c r="AG317" s="19" t="n"/>
      <c r="AH317" s="19" t="n"/>
      <c r="AI317" s="19" t="n"/>
      <c r="AJ317" s="19" t="n"/>
      <c r="AK317" s="19" t="n"/>
      <c r="AL317" s="19" t="n"/>
      <c r="AM317" s="19" t="n"/>
      <c r="AN317" s="19" t="n"/>
      <c r="AO317" s="19" t="n"/>
      <c r="AP317" s="127">
        <f>IF(A317="","",A317-WEEKDAY(A317,2)+1)</f>
        <v/>
      </c>
      <c r="AQ317" s="127">
        <f>IF(AO317="","",AO317+6)</f>
        <v/>
      </c>
      <c r="AR317" s="19">
        <f>IF(AO317="","","Semana "&amp;TEXT(AO317,"dd-mm-yyyy")&amp;" al "&amp;TEXT(AP317,"dd-mm-yyyy"))</f>
        <v/>
      </c>
      <c r="AS317" s="19">
        <f>IF(A317="","",TEXT(A317,"mmmm yyyy"))</f>
        <v/>
      </c>
      <c r="AT317" s="19">
        <f>IF(A317="","",TEXT(A317,"dddd"))</f>
        <v/>
      </c>
      <c r="AU317" s="19">
        <f>IF(A317="","","CRR-"&amp;TEXT(A317,"yyyymmdd")&amp;"-"&amp;M317&amp;"-"&amp;TEXT(ROW()-3,"0000"))</f>
        <v/>
      </c>
      <c r="AV317" s="19">
        <f>IF(A317="","",IF(OR(B317="",C317="",E317="",F317="",M317="",N317=""),"Revisar campos obligatorios",IF(AND(P317="Atraso primera hora",Q317=""),"Falta justificación atraso primera hora",IF(AND(Z317="No cumple",AA317=""),"Falta justificación recambio &gt;15 min",IF(AND(ISNUMBER(SEARCH("suspend",N317)),OR(AG317="",AH317="")),"Falta causa/motivo suspensión","OK")))))</f>
        <v/>
      </c>
      <c r="AW317" s="19">
        <f>IF(N317="","",IF(ISNUMBER(SEARCH("suspend",N317)),IF(AND(AG317="",AH317=""),"Sin causa/motivo registrado",IF(AG317="",AH317,IF(AH317="",AG317,AG317&amp;": "&amp;AH317))),""))</f>
        <v/>
      </c>
    </row>
    <row r="318" ht="16" customHeight="1" s="151">
      <c r="A318" s="62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20">
        <f>IF(H318&lt;&gt;"",IFERROR(VLOOKUP(IFERROR(LEFT(H318,FIND("-",H318)-1),H318),'Catalogo MINSAL'!A:E,5,FALSE),""),IF(I318&lt;&gt;"",IFERROR(VLOOKUP(IFERROR(LEFT(I318,FIND("-",I318)-1),I318),'Catalogo MINSAL'!A:E,5,FALSE),""),""))</f>
        <v/>
      </c>
      <c r="K318" s="19" t="n"/>
      <c r="L318" s="19" t="n"/>
      <c r="M318" s="19" t="n"/>
      <c r="N318" s="19" t="n"/>
      <c r="O318" s="25" t="n"/>
      <c r="P318" s="27">
        <f>IFERROR(IF(OR(O318="",A318="",M318=""),"",IF(SUMPRODUCT(($A$4:$A$500=A318)*($M$4:$M$500=M318)*($O$4:$O$500&lt;&gt;"")*(MOD($O$4:$O$500,1)&lt;MOD(O318,1)))=0,IF(MOD(O318,1)&lt;=TIME(8,15,0),"Ingreso adecuado primera hora","Atraso primera hora"),"No aplica")),"")</f>
        <v/>
      </c>
      <c r="Q318" s="27" t="n"/>
      <c r="R318" s="25" t="n"/>
      <c r="S318" s="25" t="n"/>
      <c r="T318" s="25" t="n"/>
      <c r="U318" s="25">
        <f>IFERROR(VLOOKUP(M318,'Horario Pabellones'!$A$4:$D$17,2,FALSE),"")</f>
        <v/>
      </c>
      <c r="V318" s="25">
        <f>IFERROR(VLOOKUP(M318,'Horario Pabellones'!$A$4:$D$17,3,FALSE),"")</f>
        <v/>
      </c>
      <c r="W318" s="99">
        <f>IFERROR(VLOOKUP(M318,'Horario Pabellones'!$A$4:$D$17,4,FALSE),"")</f>
        <v/>
      </c>
      <c r="X318" s="89">
        <f>IFERROR(IF(OR(A318="",M318="",W318=""),"",(((_xludf.AGGREGATE(14,6,MOD($S$4:$S$500,1)/(($A$4:$A$500=A318)*($M$4:$M$500=M318)*($R$4:$R$500&lt;&gt;"")*($S$4:$S$500&lt;&gt;"")),1)-_xludf.AGGREGATE(15,6,MOD($R$4:$R$500,1)/(($A$4:$A$500=A318)*($M$4:$M$500=M318)*($R$4:$R$500&lt;&gt;"")*($S$4:$S$500&lt;&gt;"")),1))*1440)/60)/(W318/60)),"")</f>
        <v/>
      </c>
      <c r="Y318" s="26">
        <f>IFERROR(IF(OR(O318="",A318="",M318=""),"",(IF(ISNUMBER(O318),MOD(O318,1),TIMEVALUE(O318))-LOOKUP(2,1/(($A$4:$A$500=A318)*($M$4:$M$500=M318)*($T$4:$T$500&lt;&gt;"")*($T$4:$T$500&lt;IF(ISNUMBER(O318),MOD(O318,1),TIMEVALUE(O318)))),$T$4:$T$500))*1440),"")</f>
        <v/>
      </c>
      <c r="Z318" s="27">
        <f>IFERROR(IF(Y318="","",IF(ROUND(Y318,0)&lt;=15,"Cumple","No cumple")),"")</f>
        <v/>
      </c>
      <c r="AA318" s="27" t="n"/>
      <c r="AB318" s="26">
        <f>IFERROR(IF(OR(O318="",R318=""),"",IF(IF(ISNUMBER(R318),MOD(R318,1),TIMEVALUE(R318))&gt;=IF(ISNUMBER(O318),MOD(O318,1),TIMEVALUE(O318)),(IF(ISNUMBER(R318),MOD(R318,1),TIMEVALUE(R318))-IF(ISNUMBER(O318),MOD(O318,1),TIMEVALUE(O318)))*1440,(IF(ISNUMBER(R318),MOD(R318,1),TIMEVALUE(R318))+1-IF(ISNUMBER(O318),MOD(O318,1),TIMEVALUE(O318)))*1440)),"")</f>
        <v/>
      </c>
      <c r="AC318" s="26">
        <f>IFERROR(IF(OR(R318="",S318=""),"",IF(IF(ISNUMBER(S318),MOD(S318,1),TIMEVALUE(S318))&gt;=IF(ISNUMBER(R318),MOD(R318,1),TIMEVALUE(R318)),(IF(ISNUMBER(S318),MOD(S318,1),TIMEVALUE(S318))-IF(ISNUMBER(R318),MOD(R318,1),TIMEVALUE(R318)))*1440,(IF(ISNUMBER(S318),MOD(S318,1),TIMEVALUE(S318))+1-IF(ISNUMBER(R318),MOD(R318,1),TIMEVALUE(R318)))*1440)),"")</f>
        <v/>
      </c>
      <c r="AD318" s="29" t="n"/>
      <c r="AE318" s="26">
        <f>IFERROR(IF(OR(AC318="",AD318=""),"",AC318-AD318),"")</f>
        <v/>
      </c>
      <c r="AF318" s="27">
        <f>IFERROR(IF(AE318="","",IF(ROUND(AE318,0)&gt;15,"Subestimacion",IF(ROUND(AE318,0)&lt;-15,"Sobrestimacion","Asertivo"))),"")</f>
        <v/>
      </c>
      <c r="AG318" s="19" t="n"/>
      <c r="AH318" s="19" t="n"/>
      <c r="AI318" s="19" t="n"/>
      <c r="AJ318" s="19" t="n"/>
      <c r="AK318" s="19" t="n"/>
      <c r="AL318" s="19" t="n"/>
      <c r="AM318" s="19" t="n"/>
      <c r="AN318" s="19" t="n"/>
      <c r="AO318" s="19" t="n"/>
      <c r="AP318" s="127">
        <f>IF(A318="","",A318-WEEKDAY(A318,2)+1)</f>
        <v/>
      </c>
      <c r="AQ318" s="127">
        <f>IF(AO318="","",AO318+6)</f>
        <v/>
      </c>
      <c r="AR318" s="19">
        <f>IF(AO318="","","Semana "&amp;TEXT(AO318,"dd-mm-yyyy")&amp;" al "&amp;TEXT(AP318,"dd-mm-yyyy"))</f>
        <v/>
      </c>
      <c r="AS318" s="19">
        <f>IF(A318="","",TEXT(A318,"mmmm yyyy"))</f>
        <v/>
      </c>
      <c r="AT318" s="19">
        <f>IF(A318="","",TEXT(A318,"dddd"))</f>
        <v/>
      </c>
      <c r="AU318" s="19">
        <f>IF(A318="","","CRR-"&amp;TEXT(A318,"yyyymmdd")&amp;"-"&amp;M318&amp;"-"&amp;TEXT(ROW()-3,"0000"))</f>
        <v/>
      </c>
      <c r="AV318" s="19">
        <f>IF(A318="","",IF(OR(B318="",C318="",E318="",F318="",M318="",N318=""),"Revisar campos obligatorios",IF(AND(P318="Atraso primera hora",Q318=""),"Falta justificación atraso primera hora",IF(AND(Z318="No cumple",AA318=""),"Falta justificación recambio &gt;15 min",IF(AND(ISNUMBER(SEARCH("suspend",N318)),OR(AG318="",AH318="")),"Falta causa/motivo suspensión","OK")))))</f>
        <v/>
      </c>
      <c r="AW318" s="19">
        <f>IF(N318="","",IF(ISNUMBER(SEARCH("suspend",N318)),IF(AND(AG318="",AH318=""),"Sin causa/motivo registrado",IF(AG318="",AH318,IF(AH318="",AG318,AG318&amp;": "&amp;AH318))),""))</f>
        <v/>
      </c>
    </row>
    <row r="319" ht="16" customHeight="1" s="151">
      <c r="A319" s="62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20">
        <f>IF(H319&lt;&gt;"",IFERROR(VLOOKUP(IFERROR(LEFT(H319,FIND("-",H319)-1),H319),'Catalogo MINSAL'!A:E,5,FALSE),""),IF(I319&lt;&gt;"",IFERROR(VLOOKUP(IFERROR(LEFT(I319,FIND("-",I319)-1),I319),'Catalogo MINSAL'!A:E,5,FALSE),""),""))</f>
        <v/>
      </c>
      <c r="K319" s="19" t="n"/>
      <c r="L319" s="19" t="n"/>
      <c r="M319" s="19" t="n"/>
      <c r="N319" s="19" t="n"/>
      <c r="O319" s="25" t="n"/>
      <c r="P319" s="27">
        <f>IFERROR(IF(OR(O319="",A319="",M319=""),"",IF(SUMPRODUCT(($A$4:$A$500=A319)*($M$4:$M$500=M319)*($O$4:$O$500&lt;&gt;"")*(MOD($O$4:$O$500,1)&lt;MOD(O319,1)))=0,IF(MOD(O319,1)&lt;=TIME(8,15,0),"Ingreso adecuado primera hora","Atraso primera hora"),"No aplica")),"")</f>
        <v/>
      </c>
      <c r="Q319" s="27" t="n"/>
      <c r="R319" s="25" t="n"/>
      <c r="S319" s="25" t="n"/>
      <c r="T319" s="25" t="n"/>
      <c r="U319" s="25">
        <f>IFERROR(VLOOKUP(M319,'Horario Pabellones'!$A$4:$D$17,2,FALSE),"")</f>
        <v/>
      </c>
      <c r="V319" s="25">
        <f>IFERROR(VLOOKUP(M319,'Horario Pabellones'!$A$4:$D$17,3,FALSE),"")</f>
        <v/>
      </c>
      <c r="W319" s="99">
        <f>IFERROR(VLOOKUP(M319,'Horario Pabellones'!$A$4:$D$17,4,FALSE),"")</f>
        <v/>
      </c>
      <c r="X319" s="89">
        <f>IFERROR(IF(OR(A319="",M319="",W319=""),"",(((_xludf.AGGREGATE(14,6,MOD($S$4:$S$500,1)/(($A$4:$A$500=A319)*($M$4:$M$500=M319)*($R$4:$R$500&lt;&gt;"")*($S$4:$S$500&lt;&gt;"")),1)-_xludf.AGGREGATE(15,6,MOD($R$4:$R$500,1)/(($A$4:$A$500=A319)*($M$4:$M$500=M319)*($R$4:$R$500&lt;&gt;"")*($S$4:$S$500&lt;&gt;"")),1))*1440)/60)/(W319/60)),"")</f>
        <v/>
      </c>
      <c r="Y319" s="26">
        <f>IFERROR(IF(OR(O319="",A319="",M319=""),"",(IF(ISNUMBER(O319),MOD(O319,1),TIMEVALUE(O319))-LOOKUP(2,1/(($A$4:$A$500=A319)*($M$4:$M$500=M319)*($T$4:$T$500&lt;&gt;"")*($T$4:$T$500&lt;IF(ISNUMBER(O319),MOD(O319,1),TIMEVALUE(O319)))),$T$4:$T$500))*1440),"")</f>
        <v/>
      </c>
      <c r="Z319" s="27">
        <f>IFERROR(IF(Y319="","",IF(ROUND(Y319,0)&lt;=15,"Cumple","No cumple")),"")</f>
        <v/>
      </c>
      <c r="AA319" s="27" t="n"/>
      <c r="AB319" s="26">
        <f>IFERROR(IF(OR(O319="",R319=""),"",IF(IF(ISNUMBER(R319),MOD(R319,1),TIMEVALUE(R319))&gt;=IF(ISNUMBER(O319),MOD(O319,1),TIMEVALUE(O319)),(IF(ISNUMBER(R319),MOD(R319,1),TIMEVALUE(R319))-IF(ISNUMBER(O319),MOD(O319,1),TIMEVALUE(O319)))*1440,(IF(ISNUMBER(R319),MOD(R319,1),TIMEVALUE(R319))+1-IF(ISNUMBER(O319),MOD(O319,1),TIMEVALUE(O319)))*1440)),"")</f>
        <v/>
      </c>
      <c r="AC319" s="26">
        <f>IFERROR(IF(OR(R319="",S319=""),"",IF(IF(ISNUMBER(S319),MOD(S319,1),TIMEVALUE(S319))&gt;=IF(ISNUMBER(R319),MOD(R319,1),TIMEVALUE(R319)),(IF(ISNUMBER(S319),MOD(S319,1),TIMEVALUE(S319))-IF(ISNUMBER(R319),MOD(R319,1),TIMEVALUE(R319)))*1440,(IF(ISNUMBER(S319),MOD(S319,1),TIMEVALUE(S319))+1-IF(ISNUMBER(R319),MOD(R319,1),TIMEVALUE(R319)))*1440)),"")</f>
        <v/>
      </c>
      <c r="AD319" s="29" t="n"/>
      <c r="AE319" s="26">
        <f>IFERROR(IF(OR(AC319="",AD319=""),"",AC319-AD319),"")</f>
        <v/>
      </c>
      <c r="AF319" s="27">
        <f>IFERROR(IF(AE319="","",IF(ROUND(AE319,0)&gt;15,"Subestimacion",IF(ROUND(AE319,0)&lt;-15,"Sobrestimacion","Asertivo"))),"")</f>
        <v/>
      </c>
      <c r="AG319" s="19" t="n"/>
      <c r="AH319" s="19" t="n"/>
      <c r="AI319" s="19" t="n"/>
      <c r="AJ319" s="19" t="n"/>
      <c r="AK319" s="19" t="n"/>
      <c r="AL319" s="19" t="n"/>
      <c r="AM319" s="19" t="n"/>
      <c r="AN319" s="19" t="n"/>
      <c r="AO319" s="19" t="n"/>
      <c r="AP319" s="127">
        <f>IF(A319="","",A319-WEEKDAY(A319,2)+1)</f>
        <v/>
      </c>
      <c r="AQ319" s="127">
        <f>IF(AO319="","",AO319+6)</f>
        <v/>
      </c>
      <c r="AR319" s="19">
        <f>IF(AO319="","","Semana "&amp;TEXT(AO319,"dd-mm-yyyy")&amp;" al "&amp;TEXT(AP319,"dd-mm-yyyy"))</f>
        <v/>
      </c>
      <c r="AS319" s="19">
        <f>IF(A319="","",TEXT(A319,"mmmm yyyy"))</f>
        <v/>
      </c>
      <c r="AT319" s="19">
        <f>IF(A319="","",TEXT(A319,"dddd"))</f>
        <v/>
      </c>
      <c r="AU319" s="19">
        <f>IF(A319="","","CRR-"&amp;TEXT(A319,"yyyymmdd")&amp;"-"&amp;M319&amp;"-"&amp;TEXT(ROW()-3,"0000"))</f>
        <v/>
      </c>
      <c r="AV319" s="19">
        <f>IF(A319="","",IF(OR(B319="",C319="",E319="",F319="",M319="",N319=""),"Revisar campos obligatorios",IF(AND(P319="Atraso primera hora",Q319=""),"Falta justificación atraso primera hora",IF(AND(Z319="No cumple",AA319=""),"Falta justificación recambio &gt;15 min",IF(AND(ISNUMBER(SEARCH("suspend",N319)),OR(AG319="",AH319="")),"Falta causa/motivo suspensión","OK")))))</f>
        <v/>
      </c>
      <c r="AW319" s="19">
        <f>IF(N319="","",IF(ISNUMBER(SEARCH("suspend",N319)),IF(AND(AG319="",AH319=""),"Sin causa/motivo registrado",IF(AG319="",AH319,IF(AH319="",AG319,AG319&amp;": "&amp;AH319))),""))</f>
        <v/>
      </c>
    </row>
    <row r="320" ht="16" customHeight="1" s="151">
      <c r="A320" s="62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20">
        <f>IF(H320&lt;&gt;"",IFERROR(VLOOKUP(IFERROR(LEFT(H320,FIND("-",H320)-1),H320),'Catalogo MINSAL'!A:E,5,FALSE),""),IF(I320&lt;&gt;"",IFERROR(VLOOKUP(IFERROR(LEFT(I320,FIND("-",I320)-1),I320),'Catalogo MINSAL'!A:E,5,FALSE),""),""))</f>
        <v/>
      </c>
      <c r="K320" s="19" t="n"/>
      <c r="L320" s="19" t="n"/>
      <c r="M320" s="19" t="n"/>
      <c r="N320" s="19" t="n"/>
      <c r="O320" s="25" t="n"/>
      <c r="P320" s="27">
        <f>IFERROR(IF(OR(O320="",A320="",M320=""),"",IF(SUMPRODUCT(($A$4:$A$500=A320)*($M$4:$M$500=M320)*($O$4:$O$500&lt;&gt;"")*(MOD($O$4:$O$500,1)&lt;MOD(O320,1)))=0,IF(MOD(O320,1)&lt;=TIME(8,15,0),"Ingreso adecuado primera hora","Atraso primera hora"),"No aplica")),"")</f>
        <v/>
      </c>
      <c r="Q320" s="27" t="n"/>
      <c r="R320" s="25" t="n"/>
      <c r="S320" s="25" t="n"/>
      <c r="T320" s="25" t="n"/>
      <c r="U320" s="25">
        <f>IFERROR(VLOOKUP(M320,'Horario Pabellones'!$A$4:$D$17,2,FALSE),"")</f>
        <v/>
      </c>
      <c r="V320" s="25">
        <f>IFERROR(VLOOKUP(M320,'Horario Pabellones'!$A$4:$D$17,3,FALSE),"")</f>
        <v/>
      </c>
      <c r="W320" s="99">
        <f>IFERROR(VLOOKUP(M320,'Horario Pabellones'!$A$4:$D$17,4,FALSE),"")</f>
        <v/>
      </c>
      <c r="X320" s="89">
        <f>IFERROR(IF(OR(A320="",M320="",W320=""),"",(((_xludf.AGGREGATE(14,6,MOD($S$4:$S$500,1)/(($A$4:$A$500=A320)*($M$4:$M$500=M320)*($R$4:$R$500&lt;&gt;"")*($S$4:$S$500&lt;&gt;"")),1)-_xludf.AGGREGATE(15,6,MOD($R$4:$R$500,1)/(($A$4:$A$500=A320)*($M$4:$M$500=M320)*($R$4:$R$500&lt;&gt;"")*($S$4:$S$500&lt;&gt;"")),1))*1440)/60)/(W320/60)),"")</f>
        <v/>
      </c>
      <c r="Y320" s="26">
        <f>IFERROR(IF(OR(O320="",A320="",M320=""),"",(IF(ISNUMBER(O320),MOD(O320,1),TIMEVALUE(O320))-LOOKUP(2,1/(($A$4:$A$500=A320)*($M$4:$M$500=M320)*($T$4:$T$500&lt;&gt;"")*($T$4:$T$500&lt;IF(ISNUMBER(O320),MOD(O320,1),TIMEVALUE(O320)))),$T$4:$T$500))*1440),"")</f>
        <v/>
      </c>
      <c r="Z320" s="27">
        <f>IFERROR(IF(Y320="","",IF(ROUND(Y320,0)&lt;=15,"Cumple","No cumple")),"")</f>
        <v/>
      </c>
      <c r="AA320" s="27" t="n"/>
      <c r="AB320" s="26">
        <f>IFERROR(IF(OR(O320="",R320=""),"",IF(IF(ISNUMBER(R320),MOD(R320,1),TIMEVALUE(R320))&gt;=IF(ISNUMBER(O320),MOD(O320,1),TIMEVALUE(O320)),(IF(ISNUMBER(R320),MOD(R320,1),TIMEVALUE(R320))-IF(ISNUMBER(O320),MOD(O320,1),TIMEVALUE(O320)))*1440,(IF(ISNUMBER(R320),MOD(R320,1),TIMEVALUE(R320))+1-IF(ISNUMBER(O320),MOD(O320,1),TIMEVALUE(O320)))*1440)),"")</f>
        <v/>
      </c>
      <c r="AC320" s="26">
        <f>IFERROR(IF(OR(R320="",S320=""),"",IF(IF(ISNUMBER(S320),MOD(S320,1),TIMEVALUE(S320))&gt;=IF(ISNUMBER(R320),MOD(R320,1),TIMEVALUE(R320)),(IF(ISNUMBER(S320),MOD(S320,1),TIMEVALUE(S320))-IF(ISNUMBER(R320),MOD(R320,1),TIMEVALUE(R320)))*1440,(IF(ISNUMBER(S320),MOD(S320,1),TIMEVALUE(S320))+1-IF(ISNUMBER(R320),MOD(R320,1),TIMEVALUE(R320)))*1440)),"")</f>
        <v/>
      </c>
      <c r="AD320" s="29" t="n"/>
      <c r="AE320" s="26">
        <f>IFERROR(IF(OR(AC320="",AD320=""),"",AC320-AD320),"")</f>
        <v/>
      </c>
      <c r="AF320" s="27">
        <f>IFERROR(IF(AE320="","",IF(ROUND(AE320,0)&gt;15,"Subestimacion",IF(ROUND(AE320,0)&lt;-15,"Sobrestimacion","Asertivo"))),"")</f>
        <v/>
      </c>
      <c r="AG320" s="19" t="n"/>
      <c r="AH320" s="19" t="n"/>
      <c r="AI320" s="19" t="n"/>
      <c r="AJ320" s="19" t="n"/>
      <c r="AK320" s="19" t="n"/>
      <c r="AL320" s="19" t="n"/>
      <c r="AM320" s="19" t="n"/>
      <c r="AN320" s="19" t="n"/>
      <c r="AO320" s="19" t="n"/>
      <c r="AP320" s="127">
        <f>IF(A320="","",A320-WEEKDAY(A320,2)+1)</f>
        <v/>
      </c>
      <c r="AQ320" s="127">
        <f>IF(AO320="","",AO320+6)</f>
        <v/>
      </c>
      <c r="AR320" s="19">
        <f>IF(AO320="","","Semana "&amp;TEXT(AO320,"dd-mm-yyyy")&amp;" al "&amp;TEXT(AP320,"dd-mm-yyyy"))</f>
        <v/>
      </c>
      <c r="AS320" s="19">
        <f>IF(A320="","",TEXT(A320,"mmmm yyyy"))</f>
        <v/>
      </c>
      <c r="AT320" s="19">
        <f>IF(A320="","",TEXT(A320,"dddd"))</f>
        <v/>
      </c>
      <c r="AU320" s="19">
        <f>IF(A320="","","CRR-"&amp;TEXT(A320,"yyyymmdd")&amp;"-"&amp;M320&amp;"-"&amp;TEXT(ROW()-3,"0000"))</f>
        <v/>
      </c>
      <c r="AV320" s="19">
        <f>IF(A320="","",IF(OR(B320="",C320="",E320="",F320="",M320="",N320=""),"Revisar campos obligatorios",IF(AND(P320="Atraso primera hora",Q320=""),"Falta justificación atraso primera hora",IF(AND(Z320="No cumple",AA320=""),"Falta justificación recambio &gt;15 min",IF(AND(ISNUMBER(SEARCH("suspend",N320)),OR(AG320="",AH320="")),"Falta causa/motivo suspensión","OK")))))</f>
        <v/>
      </c>
      <c r="AW320" s="19">
        <f>IF(N320="","",IF(ISNUMBER(SEARCH("suspend",N320)),IF(AND(AG320="",AH320=""),"Sin causa/motivo registrado",IF(AG320="",AH320,IF(AH320="",AG320,AG320&amp;": "&amp;AH320))),""))</f>
        <v/>
      </c>
    </row>
    <row r="321" ht="16" customHeight="1" s="151">
      <c r="A321" s="62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20">
        <f>IF(H321&lt;&gt;"",IFERROR(VLOOKUP(IFERROR(LEFT(H321,FIND("-",H321)-1),H321),'Catalogo MINSAL'!A:E,5,FALSE),""),IF(I321&lt;&gt;"",IFERROR(VLOOKUP(IFERROR(LEFT(I321,FIND("-",I321)-1),I321),'Catalogo MINSAL'!A:E,5,FALSE),""),""))</f>
        <v/>
      </c>
      <c r="K321" s="19" t="n"/>
      <c r="L321" s="19" t="n"/>
      <c r="M321" s="19" t="n"/>
      <c r="N321" s="19" t="n"/>
      <c r="O321" s="25" t="n"/>
      <c r="P321" s="27">
        <f>IFERROR(IF(OR(O321="",A321="",M321=""),"",IF(SUMPRODUCT(($A$4:$A$500=A321)*($M$4:$M$500=M321)*($O$4:$O$500&lt;&gt;"")*(MOD($O$4:$O$500,1)&lt;MOD(O321,1)))=0,IF(MOD(O321,1)&lt;=TIME(8,15,0),"Ingreso adecuado primera hora","Atraso primera hora"),"No aplica")),"")</f>
        <v/>
      </c>
      <c r="Q321" s="27" t="n"/>
      <c r="R321" s="25" t="n"/>
      <c r="S321" s="25" t="n"/>
      <c r="T321" s="25" t="n"/>
      <c r="U321" s="25">
        <f>IFERROR(VLOOKUP(M321,'Horario Pabellones'!$A$4:$D$17,2,FALSE),"")</f>
        <v/>
      </c>
      <c r="V321" s="25">
        <f>IFERROR(VLOOKUP(M321,'Horario Pabellones'!$A$4:$D$17,3,FALSE),"")</f>
        <v/>
      </c>
      <c r="W321" s="99">
        <f>IFERROR(VLOOKUP(M321,'Horario Pabellones'!$A$4:$D$17,4,FALSE),"")</f>
        <v/>
      </c>
      <c r="X321" s="89">
        <f>IFERROR(IF(OR(A321="",M321="",W321=""),"",(((_xludf.AGGREGATE(14,6,MOD($S$4:$S$500,1)/(($A$4:$A$500=A321)*($M$4:$M$500=M321)*($R$4:$R$500&lt;&gt;"")*($S$4:$S$500&lt;&gt;"")),1)-_xludf.AGGREGATE(15,6,MOD($R$4:$R$500,1)/(($A$4:$A$500=A321)*($M$4:$M$500=M321)*($R$4:$R$500&lt;&gt;"")*($S$4:$S$500&lt;&gt;"")),1))*1440)/60)/(W321/60)),"")</f>
        <v/>
      </c>
      <c r="Y321" s="26">
        <f>IFERROR(IF(OR(O321="",A321="",M321=""),"",(IF(ISNUMBER(O321),MOD(O321,1),TIMEVALUE(O321))-LOOKUP(2,1/(($A$4:$A$500=A321)*($M$4:$M$500=M321)*($T$4:$T$500&lt;&gt;"")*($T$4:$T$500&lt;IF(ISNUMBER(O321),MOD(O321,1),TIMEVALUE(O321)))),$T$4:$T$500))*1440),"")</f>
        <v/>
      </c>
      <c r="Z321" s="27">
        <f>IFERROR(IF(Y321="","",IF(ROUND(Y321,0)&lt;=15,"Cumple","No cumple")),"")</f>
        <v/>
      </c>
      <c r="AA321" s="27" t="n"/>
      <c r="AB321" s="26">
        <f>IFERROR(IF(OR(O321="",R321=""),"",IF(IF(ISNUMBER(R321),MOD(R321,1),TIMEVALUE(R321))&gt;=IF(ISNUMBER(O321),MOD(O321,1),TIMEVALUE(O321)),(IF(ISNUMBER(R321),MOD(R321,1),TIMEVALUE(R321))-IF(ISNUMBER(O321),MOD(O321,1),TIMEVALUE(O321)))*1440,(IF(ISNUMBER(R321),MOD(R321,1),TIMEVALUE(R321))+1-IF(ISNUMBER(O321),MOD(O321,1),TIMEVALUE(O321)))*1440)),"")</f>
        <v/>
      </c>
      <c r="AC321" s="26">
        <f>IFERROR(IF(OR(R321="",S321=""),"",IF(IF(ISNUMBER(S321),MOD(S321,1),TIMEVALUE(S321))&gt;=IF(ISNUMBER(R321),MOD(R321,1),TIMEVALUE(R321)),(IF(ISNUMBER(S321),MOD(S321,1),TIMEVALUE(S321))-IF(ISNUMBER(R321),MOD(R321,1),TIMEVALUE(R321)))*1440,(IF(ISNUMBER(S321),MOD(S321,1),TIMEVALUE(S321))+1-IF(ISNUMBER(R321),MOD(R321,1),TIMEVALUE(R321)))*1440)),"")</f>
        <v/>
      </c>
      <c r="AD321" s="29" t="n"/>
      <c r="AE321" s="26">
        <f>IFERROR(IF(OR(AC321="",AD321=""),"",AC321-AD321),"")</f>
        <v/>
      </c>
      <c r="AF321" s="27">
        <f>IFERROR(IF(AE321="","",IF(ROUND(AE321,0)&gt;15,"Subestimacion",IF(ROUND(AE321,0)&lt;-15,"Sobrestimacion","Asertivo"))),"")</f>
        <v/>
      </c>
      <c r="AG321" s="19" t="n"/>
      <c r="AH321" s="19" t="n"/>
      <c r="AI321" s="19" t="n"/>
      <c r="AJ321" s="19" t="n"/>
      <c r="AK321" s="19" t="n"/>
      <c r="AL321" s="19" t="n"/>
      <c r="AM321" s="19" t="n"/>
      <c r="AN321" s="19" t="n"/>
      <c r="AO321" s="19" t="n"/>
      <c r="AP321" s="127">
        <f>IF(A321="","",A321-WEEKDAY(A321,2)+1)</f>
        <v/>
      </c>
      <c r="AQ321" s="127">
        <f>IF(AO321="","",AO321+6)</f>
        <v/>
      </c>
      <c r="AR321" s="19">
        <f>IF(AO321="","","Semana "&amp;TEXT(AO321,"dd-mm-yyyy")&amp;" al "&amp;TEXT(AP321,"dd-mm-yyyy"))</f>
        <v/>
      </c>
      <c r="AS321" s="19">
        <f>IF(A321="","",TEXT(A321,"mmmm yyyy"))</f>
        <v/>
      </c>
      <c r="AT321" s="19">
        <f>IF(A321="","",TEXT(A321,"dddd"))</f>
        <v/>
      </c>
      <c r="AU321" s="19">
        <f>IF(A321="","","CRR-"&amp;TEXT(A321,"yyyymmdd")&amp;"-"&amp;M321&amp;"-"&amp;TEXT(ROW()-3,"0000"))</f>
        <v/>
      </c>
      <c r="AV321" s="19">
        <f>IF(A321="","",IF(OR(B321="",C321="",E321="",F321="",M321="",N321=""),"Revisar campos obligatorios",IF(AND(P321="Atraso primera hora",Q321=""),"Falta justificación atraso primera hora",IF(AND(Z321="No cumple",AA321=""),"Falta justificación recambio &gt;15 min",IF(AND(ISNUMBER(SEARCH("suspend",N321)),OR(AG321="",AH321="")),"Falta causa/motivo suspensión","OK")))))</f>
        <v/>
      </c>
      <c r="AW321" s="19">
        <f>IF(N321="","",IF(ISNUMBER(SEARCH("suspend",N321)),IF(AND(AG321="",AH321=""),"Sin causa/motivo registrado",IF(AG321="",AH321,IF(AH321="",AG321,AG321&amp;": "&amp;AH321))),""))</f>
        <v/>
      </c>
    </row>
    <row r="322" ht="16" customHeight="1" s="151">
      <c r="A322" s="62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20">
        <f>IF(H322&lt;&gt;"",IFERROR(VLOOKUP(IFERROR(LEFT(H322,FIND("-",H322)-1),H322),'Catalogo MINSAL'!A:E,5,FALSE),""),IF(I322&lt;&gt;"",IFERROR(VLOOKUP(IFERROR(LEFT(I322,FIND("-",I322)-1),I322),'Catalogo MINSAL'!A:E,5,FALSE),""),""))</f>
        <v/>
      </c>
      <c r="K322" s="19" t="n"/>
      <c r="L322" s="19" t="n"/>
      <c r="M322" s="19" t="n"/>
      <c r="N322" s="19" t="n"/>
      <c r="O322" s="25" t="n"/>
      <c r="P322" s="27">
        <f>IFERROR(IF(OR(O322="",A322="",M322=""),"",IF(SUMPRODUCT(($A$4:$A$500=A322)*($M$4:$M$500=M322)*($O$4:$O$500&lt;&gt;"")*(MOD($O$4:$O$500,1)&lt;MOD(O322,1)))=0,IF(MOD(O322,1)&lt;=TIME(8,15,0),"Ingreso adecuado primera hora","Atraso primera hora"),"No aplica")),"")</f>
        <v/>
      </c>
      <c r="Q322" s="27" t="n"/>
      <c r="R322" s="25" t="n"/>
      <c r="S322" s="25" t="n"/>
      <c r="T322" s="25" t="n"/>
      <c r="U322" s="25">
        <f>IFERROR(VLOOKUP(M322,'Horario Pabellones'!$A$4:$D$17,2,FALSE),"")</f>
        <v/>
      </c>
      <c r="V322" s="25">
        <f>IFERROR(VLOOKUP(M322,'Horario Pabellones'!$A$4:$D$17,3,FALSE),"")</f>
        <v/>
      </c>
      <c r="W322" s="99">
        <f>IFERROR(VLOOKUP(M322,'Horario Pabellones'!$A$4:$D$17,4,FALSE),"")</f>
        <v/>
      </c>
      <c r="X322" s="89">
        <f>IFERROR(IF(OR(A322="",M322="",W322=""),"",(((_xludf.AGGREGATE(14,6,MOD($S$4:$S$500,1)/(($A$4:$A$500=A322)*($M$4:$M$500=M322)*($R$4:$R$500&lt;&gt;"")*($S$4:$S$500&lt;&gt;"")),1)-_xludf.AGGREGATE(15,6,MOD($R$4:$R$500,1)/(($A$4:$A$500=A322)*($M$4:$M$500=M322)*($R$4:$R$500&lt;&gt;"")*($S$4:$S$500&lt;&gt;"")),1))*1440)/60)/(W322/60)),"")</f>
        <v/>
      </c>
      <c r="Y322" s="26">
        <f>IFERROR(IF(OR(O322="",A322="",M322=""),"",(IF(ISNUMBER(O322),MOD(O322,1),TIMEVALUE(O322))-LOOKUP(2,1/(($A$4:$A$500=A322)*($M$4:$M$500=M322)*($T$4:$T$500&lt;&gt;"")*($T$4:$T$500&lt;IF(ISNUMBER(O322),MOD(O322,1),TIMEVALUE(O322)))),$T$4:$T$500))*1440),"")</f>
        <v/>
      </c>
      <c r="Z322" s="27">
        <f>IFERROR(IF(Y322="","",IF(ROUND(Y322,0)&lt;=15,"Cumple","No cumple")),"")</f>
        <v/>
      </c>
      <c r="AA322" s="27" t="n"/>
      <c r="AB322" s="26">
        <f>IFERROR(IF(OR(O322="",R322=""),"",IF(IF(ISNUMBER(R322),MOD(R322,1),TIMEVALUE(R322))&gt;=IF(ISNUMBER(O322),MOD(O322,1),TIMEVALUE(O322)),(IF(ISNUMBER(R322),MOD(R322,1),TIMEVALUE(R322))-IF(ISNUMBER(O322),MOD(O322,1),TIMEVALUE(O322)))*1440,(IF(ISNUMBER(R322),MOD(R322,1),TIMEVALUE(R322))+1-IF(ISNUMBER(O322),MOD(O322,1),TIMEVALUE(O322)))*1440)),"")</f>
        <v/>
      </c>
      <c r="AC322" s="26">
        <f>IFERROR(IF(OR(R322="",S322=""),"",IF(IF(ISNUMBER(S322),MOD(S322,1),TIMEVALUE(S322))&gt;=IF(ISNUMBER(R322),MOD(R322,1),TIMEVALUE(R322)),(IF(ISNUMBER(S322),MOD(S322,1),TIMEVALUE(S322))-IF(ISNUMBER(R322),MOD(R322,1),TIMEVALUE(R322)))*1440,(IF(ISNUMBER(S322),MOD(S322,1),TIMEVALUE(S322))+1-IF(ISNUMBER(R322),MOD(R322,1),TIMEVALUE(R322)))*1440)),"")</f>
        <v/>
      </c>
      <c r="AD322" s="29" t="n"/>
      <c r="AE322" s="26">
        <f>IFERROR(IF(OR(AC322="",AD322=""),"",AC322-AD322),"")</f>
        <v/>
      </c>
      <c r="AF322" s="27">
        <f>IFERROR(IF(AE322="","",IF(ROUND(AE322,0)&gt;15,"Subestimacion",IF(ROUND(AE322,0)&lt;-15,"Sobrestimacion","Asertivo"))),"")</f>
        <v/>
      </c>
      <c r="AG322" s="19" t="n"/>
      <c r="AH322" s="19" t="n"/>
      <c r="AI322" s="19" t="n"/>
      <c r="AJ322" s="19" t="n"/>
      <c r="AK322" s="19" t="n"/>
      <c r="AL322" s="19" t="n"/>
      <c r="AM322" s="19" t="n"/>
      <c r="AN322" s="19" t="n"/>
      <c r="AO322" s="19" t="n"/>
      <c r="AP322" s="127">
        <f>IF(A322="","",A322-WEEKDAY(A322,2)+1)</f>
        <v/>
      </c>
      <c r="AQ322" s="127">
        <f>IF(AO322="","",AO322+6)</f>
        <v/>
      </c>
      <c r="AR322" s="19">
        <f>IF(AO322="","","Semana "&amp;TEXT(AO322,"dd-mm-yyyy")&amp;" al "&amp;TEXT(AP322,"dd-mm-yyyy"))</f>
        <v/>
      </c>
      <c r="AS322" s="19">
        <f>IF(A322="","",TEXT(A322,"mmmm yyyy"))</f>
        <v/>
      </c>
      <c r="AT322" s="19">
        <f>IF(A322="","",TEXT(A322,"dddd"))</f>
        <v/>
      </c>
      <c r="AU322" s="19">
        <f>IF(A322="","","CRR-"&amp;TEXT(A322,"yyyymmdd")&amp;"-"&amp;M322&amp;"-"&amp;TEXT(ROW()-3,"0000"))</f>
        <v/>
      </c>
      <c r="AV322" s="19">
        <f>IF(A322="","",IF(OR(B322="",C322="",E322="",F322="",M322="",N322=""),"Revisar campos obligatorios",IF(AND(P322="Atraso primera hora",Q322=""),"Falta justificación atraso primera hora",IF(AND(Z322="No cumple",AA322=""),"Falta justificación recambio &gt;15 min",IF(AND(ISNUMBER(SEARCH("suspend",N322)),OR(AG322="",AH322="")),"Falta causa/motivo suspensión","OK")))))</f>
        <v/>
      </c>
      <c r="AW322" s="19">
        <f>IF(N322="","",IF(ISNUMBER(SEARCH("suspend",N322)),IF(AND(AG322="",AH322=""),"Sin causa/motivo registrado",IF(AG322="",AH322,IF(AH322="",AG322,AG322&amp;": "&amp;AH322))),""))</f>
        <v/>
      </c>
    </row>
    <row r="323" ht="16" customHeight="1" s="151">
      <c r="A323" s="62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20">
        <f>IF(H323&lt;&gt;"",IFERROR(VLOOKUP(IFERROR(LEFT(H323,FIND("-",H323)-1),H323),'Catalogo MINSAL'!A:E,5,FALSE),""),IF(I323&lt;&gt;"",IFERROR(VLOOKUP(IFERROR(LEFT(I323,FIND("-",I323)-1),I323),'Catalogo MINSAL'!A:E,5,FALSE),""),""))</f>
        <v/>
      </c>
      <c r="K323" s="19" t="n"/>
      <c r="L323" s="19" t="n"/>
      <c r="M323" s="19" t="n"/>
      <c r="N323" s="19" t="n"/>
      <c r="O323" s="25" t="n"/>
      <c r="P323" s="27">
        <f>IFERROR(IF(OR(O323="",A323="",M323=""),"",IF(SUMPRODUCT(($A$4:$A$500=A323)*($M$4:$M$500=M323)*($O$4:$O$500&lt;&gt;"")*(MOD($O$4:$O$500,1)&lt;MOD(O323,1)))=0,IF(MOD(O323,1)&lt;=TIME(8,15,0),"Ingreso adecuado primera hora","Atraso primera hora"),"No aplica")),"")</f>
        <v/>
      </c>
      <c r="Q323" s="27" t="n"/>
      <c r="R323" s="25" t="n"/>
      <c r="S323" s="25" t="n"/>
      <c r="T323" s="25" t="n"/>
      <c r="U323" s="25">
        <f>IFERROR(VLOOKUP(M323,'Horario Pabellones'!$A$4:$D$17,2,FALSE),"")</f>
        <v/>
      </c>
      <c r="V323" s="25">
        <f>IFERROR(VLOOKUP(M323,'Horario Pabellones'!$A$4:$D$17,3,FALSE),"")</f>
        <v/>
      </c>
      <c r="W323" s="99">
        <f>IFERROR(VLOOKUP(M323,'Horario Pabellones'!$A$4:$D$17,4,FALSE),"")</f>
        <v/>
      </c>
      <c r="X323" s="89">
        <f>IFERROR(IF(OR(A323="",M323="",W323=""),"",(((_xludf.AGGREGATE(14,6,MOD($S$4:$S$500,1)/(($A$4:$A$500=A323)*($M$4:$M$500=M323)*($R$4:$R$500&lt;&gt;"")*($S$4:$S$500&lt;&gt;"")),1)-_xludf.AGGREGATE(15,6,MOD($R$4:$R$500,1)/(($A$4:$A$500=A323)*($M$4:$M$500=M323)*($R$4:$R$500&lt;&gt;"")*($S$4:$S$500&lt;&gt;"")),1))*1440)/60)/(W323/60)),"")</f>
        <v/>
      </c>
      <c r="Y323" s="26">
        <f>IFERROR(IF(OR(O323="",A323="",M323=""),"",(IF(ISNUMBER(O323),MOD(O323,1),TIMEVALUE(O323))-LOOKUP(2,1/(($A$4:$A$500=A323)*($M$4:$M$500=M323)*($T$4:$T$500&lt;&gt;"")*($T$4:$T$500&lt;IF(ISNUMBER(O323),MOD(O323,1),TIMEVALUE(O323)))),$T$4:$T$500))*1440),"")</f>
        <v/>
      </c>
      <c r="Z323" s="27">
        <f>IFERROR(IF(Y323="","",IF(ROUND(Y323,0)&lt;=15,"Cumple","No cumple")),"")</f>
        <v/>
      </c>
      <c r="AA323" s="27" t="n"/>
      <c r="AB323" s="26">
        <f>IFERROR(IF(OR(O323="",R323=""),"",IF(IF(ISNUMBER(R323),MOD(R323,1),TIMEVALUE(R323))&gt;=IF(ISNUMBER(O323),MOD(O323,1),TIMEVALUE(O323)),(IF(ISNUMBER(R323),MOD(R323,1),TIMEVALUE(R323))-IF(ISNUMBER(O323),MOD(O323,1),TIMEVALUE(O323)))*1440,(IF(ISNUMBER(R323),MOD(R323,1),TIMEVALUE(R323))+1-IF(ISNUMBER(O323),MOD(O323,1),TIMEVALUE(O323)))*1440)),"")</f>
        <v/>
      </c>
      <c r="AC323" s="26">
        <f>IFERROR(IF(OR(R323="",S323=""),"",IF(IF(ISNUMBER(S323),MOD(S323,1),TIMEVALUE(S323))&gt;=IF(ISNUMBER(R323),MOD(R323,1),TIMEVALUE(R323)),(IF(ISNUMBER(S323),MOD(S323,1),TIMEVALUE(S323))-IF(ISNUMBER(R323),MOD(R323,1),TIMEVALUE(R323)))*1440,(IF(ISNUMBER(S323),MOD(S323,1),TIMEVALUE(S323))+1-IF(ISNUMBER(R323),MOD(R323,1),TIMEVALUE(R323)))*1440)),"")</f>
        <v/>
      </c>
      <c r="AD323" s="29" t="n"/>
      <c r="AE323" s="26">
        <f>IFERROR(IF(OR(AC323="",AD323=""),"",AC323-AD323),"")</f>
        <v/>
      </c>
      <c r="AF323" s="27">
        <f>IFERROR(IF(AE323="","",IF(ROUND(AE323,0)&gt;15,"Subestimacion",IF(ROUND(AE323,0)&lt;-15,"Sobrestimacion","Asertivo"))),"")</f>
        <v/>
      </c>
      <c r="AG323" s="19" t="n"/>
      <c r="AH323" s="19" t="n"/>
      <c r="AI323" s="19" t="n"/>
      <c r="AJ323" s="19" t="n"/>
      <c r="AK323" s="19" t="n"/>
      <c r="AL323" s="19" t="n"/>
      <c r="AM323" s="19" t="n"/>
      <c r="AN323" s="19" t="n"/>
      <c r="AO323" s="19" t="n"/>
      <c r="AP323" s="127">
        <f>IF(A323="","",A323-WEEKDAY(A323,2)+1)</f>
        <v/>
      </c>
      <c r="AQ323" s="127">
        <f>IF(AO323="","",AO323+6)</f>
        <v/>
      </c>
      <c r="AR323" s="19">
        <f>IF(AO323="","","Semana "&amp;TEXT(AO323,"dd-mm-yyyy")&amp;" al "&amp;TEXT(AP323,"dd-mm-yyyy"))</f>
        <v/>
      </c>
      <c r="AS323" s="19">
        <f>IF(A323="","",TEXT(A323,"mmmm yyyy"))</f>
        <v/>
      </c>
      <c r="AT323" s="19">
        <f>IF(A323="","",TEXT(A323,"dddd"))</f>
        <v/>
      </c>
      <c r="AU323" s="19">
        <f>IF(A323="","","CRR-"&amp;TEXT(A323,"yyyymmdd")&amp;"-"&amp;M323&amp;"-"&amp;TEXT(ROW()-3,"0000"))</f>
        <v/>
      </c>
      <c r="AV323" s="19">
        <f>IF(A323="","",IF(OR(B323="",C323="",E323="",F323="",M323="",N323=""),"Revisar campos obligatorios",IF(AND(P323="Atraso primera hora",Q323=""),"Falta justificación atraso primera hora",IF(AND(Z323="No cumple",AA323=""),"Falta justificación recambio &gt;15 min",IF(AND(ISNUMBER(SEARCH("suspend",N323)),OR(AG323="",AH323="")),"Falta causa/motivo suspensión","OK")))))</f>
        <v/>
      </c>
      <c r="AW323" s="19">
        <f>IF(N323="","",IF(ISNUMBER(SEARCH("suspend",N323)),IF(AND(AG323="",AH323=""),"Sin causa/motivo registrado",IF(AG323="",AH323,IF(AH323="",AG323,AG323&amp;": "&amp;AH323))),""))</f>
        <v/>
      </c>
    </row>
    <row r="324" ht="16" customHeight="1" s="151">
      <c r="A324" s="62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20">
        <f>IF(H324&lt;&gt;"",IFERROR(VLOOKUP(IFERROR(LEFT(H324,FIND("-",H324)-1),H324),'Catalogo MINSAL'!A:E,5,FALSE),""),IF(I324&lt;&gt;"",IFERROR(VLOOKUP(IFERROR(LEFT(I324,FIND("-",I324)-1),I324),'Catalogo MINSAL'!A:E,5,FALSE),""),""))</f>
        <v/>
      </c>
      <c r="K324" s="19" t="n"/>
      <c r="L324" s="19" t="n"/>
      <c r="M324" s="19" t="n"/>
      <c r="N324" s="19" t="n"/>
      <c r="O324" s="25" t="n"/>
      <c r="P324" s="27">
        <f>IFERROR(IF(OR(O324="",A324="",M324=""),"",IF(SUMPRODUCT(($A$4:$A$500=A324)*($M$4:$M$500=M324)*($O$4:$O$500&lt;&gt;"")*(MOD($O$4:$O$500,1)&lt;MOD(O324,1)))=0,IF(MOD(O324,1)&lt;=TIME(8,15,0),"Ingreso adecuado primera hora","Atraso primera hora"),"No aplica")),"")</f>
        <v/>
      </c>
      <c r="Q324" s="27" t="n"/>
      <c r="R324" s="25" t="n"/>
      <c r="S324" s="25" t="n"/>
      <c r="T324" s="25" t="n"/>
      <c r="U324" s="25">
        <f>IFERROR(VLOOKUP(M324,'Horario Pabellones'!$A$4:$D$17,2,FALSE),"")</f>
        <v/>
      </c>
      <c r="V324" s="25">
        <f>IFERROR(VLOOKUP(M324,'Horario Pabellones'!$A$4:$D$17,3,FALSE),"")</f>
        <v/>
      </c>
      <c r="W324" s="99">
        <f>IFERROR(VLOOKUP(M324,'Horario Pabellones'!$A$4:$D$17,4,FALSE),"")</f>
        <v/>
      </c>
      <c r="X324" s="89">
        <f>IFERROR(IF(OR(A324="",M324="",W324=""),"",(((_xludf.AGGREGATE(14,6,MOD($S$4:$S$500,1)/(($A$4:$A$500=A324)*($M$4:$M$500=M324)*($R$4:$R$500&lt;&gt;"")*($S$4:$S$500&lt;&gt;"")),1)-_xludf.AGGREGATE(15,6,MOD($R$4:$R$500,1)/(($A$4:$A$500=A324)*($M$4:$M$500=M324)*($R$4:$R$500&lt;&gt;"")*($S$4:$S$500&lt;&gt;"")),1))*1440)/60)/(W324/60)),"")</f>
        <v/>
      </c>
      <c r="Y324" s="26">
        <f>IFERROR(IF(OR(O324="",A324="",M324=""),"",(IF(ISNUMBER(O324),MOD(O324,1),TIMEVALUE(O324))-LOOKUP(2,1/(($A$4:$A$500=A324)*($M$4:$M$500=M324)*($T$4:$T$500&lt;&gt;"")*($T$4:$T$500&lt;IF(ISNUMBER(O324),MOD(O324,1),TIMEVALUE(O324)))),$T$4:$T$500))*1440),"")</f>
        <v/>
      </c>
      <c r="Z324" s="27">
        <f>IFERROR(IF(Y324="","",IF(ROUND(Y324,0)&lt;=15,"Cumple","No cumple")),"")</f>
        <v/>
      </c>
      <c r="AA324" s="27" t="n"/>
      <c r="AB324" s="26">
        <f>IFERROR(IF(OR(O324="",R324=""),"",IF(IF(ISNUMBER(R324),MOD(R324,1),TIMEVALUE(R324))&gt;=IF(ISNUMBER(O324),MOD(O324,1),TIMEVALUE(O324)),(IF(ISNUMBER(R324),MOD(R324,1),TIMEVALUE(R324))-IF(ISNUMBER(O324),MOD(O324,1),TIMEVALUE(O324)))*1440,(IF(ISNUMBER(R324),MOD(R324,1),TIMEVALUE(R324))+1-IF(ISNUMBER(O324),MOD(O324,1),TIMEVALUE(O324)))*1440)),"")</f>
        <v/>
      </c>
      <c r="AC324" s="26">
        <f>IFERROR(IF(OR(R324="",S324=""),"",IF(IF(ISNUMBER(S324),MOD(S324,1),TIMEVALUE(S324))&gt;=IF(ISNUMBER(R324),MOD(R324,1),TIMEVALUE(R324)),(IF(ISNUMBER(S324),MOD(S324,1),TIMEVALUE(S324))-IF(ISNUMBER(R324),MOD(R324,1),TIMEVALUE(R324)))*1440,(IF(ISNUMBER(S324),MOD(S324,1),TIMEVALUE(S324))+1-IF(ISNUMBER(R324),MOD(R324,1),TIMEVALUE(R324)))*1440)),"")</f>
        <v/>
      </c>
      <c r="AD324" s="29" t="n"/>
      <c r="AE324" s="26">
        <f>IFERROR(IF(OR(AC324="",AD324=""),"",AC324-AD324),"")</f>
        <v/>
      </c>
      <c r="AF324" s="27">
        <f>IFERROR(IF(AE324="","",IF(ROUND(AE324,0)&gt;15,"Subestimacion",IF(ROUND(AE324,0)&lt;-15,"Sobrestimacion","Asertivo"))),"")</f>
        <v/>
      </c>
      <c r="AG324" s="19" t="n"/>
      <c r="AH324" s="19" t="n"/>
      <c r="AI324" s="19" t="n"/>
      <c r="AJ324" s="19" t="n"/>
      <c r="AK324" s="19" t="n"/>
      <c r="AL324" s="19" t="n"/>
      <c r="AM324" s="19" t="n"/>
      <c r="AN324" s="19" t="n"/>
      <c r="AO324" s="19" t="n"/>
      <c r="AP324" s="127">
        <f>IF(A324="","",A324-WEEKDAY(A324,2)+1)</f>
        <v/>
      </c>
      <c r="AQ324" s="127">
        <f>IF(AO324="","",AO324+6)</f>
        <v/>
      </c>
      <c r="AR324" s="19">
        <f>IF(AO324="","","Semana "&amp;TEXT(AO324,"dd-mm-yyyy")&amp;" al "&amp;TEXT(AP324,"dd-mm-yyyy"))</f>
        <v/>
      </c>
      <c r="AS324" s="19">
        <f>IF(A324="","",TEXT(A324,"mmmm yyyy"))</f>
        <v/>
      </c>
      <c r="AT324" s="19">
        <f>IF(A324="","",TEXT(A324,"dddd"))</f>
        <v/>
      </c>
      <c r="AU324" s="19">
        <f>IF(A324="","","CRR-"&amp;TEXT(A324,"yyyymmdd")&amp;"-"&amp;M324&amp;"-"&amp;TEXT(ROW()-3,"0000"))</f>
        <v/>
      </c>
      <c r="AV324" s="19">
        <f>IF(A324="","",IF(OR(B324="",C324="",E324="",F324="",M324="",N324=""),"Revisar campos obligatorios",IF(AND(P324="Atraso primera hora",Q324=""),"Falta justificación atraso primera hora",IF(AND(Z324="No cumple",AA324=""),"Falta justificación recambio &gt;15 min",IF(AND(ISNUMBER(SEARCH("suspend",N324)),OR(AG324="",AH324="")),"Falta causa/motivo suspensión","OK")))))</f>
        <v/>
      </c>
      <c r="AW324" s="19">
        <f>IF(N324="","",IF(ISNUMBER(SEARCH("suspend",N324)),IF(AND(AG324="",AH324=""),"Sin causa/motivo registrado",IF(AG324="",AH324,IF(AH324="",AG324,AG324&amp;": "&amp;AH324))),""))</f>
        <v/>
      </c>
    </row>
    <row r="325" ht="16" customHeight="1" s="151">
      <c r="A325" s="62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20">
        <f>IF(H325&lt;&gt;"",IFERROR(VLOOKUP(IFERROR(LEFT(H325,FIND("-",H325)-1),H325),'Catalogo MINSAL'!A:E,5,FALSE),""),IF(I325&lt;&gt;"",IFERROR(VLOOKUP(IFERROR(LEFT(I325,FIND("-",I325)-1),I325),'Catalogo MINSAL'!A:E,5,FALSE),""),""))</f>
        <v/>
      </c>
      <c r="K325" s="19" t="n"/>
      <c r="L325" s="19" t="n"/>
      <c r="M325" s="19" t="n"/>
      <c r="N325" s="19" t="n"/>
      <c r="O325" s="25" t="n"/>
      <c r="P325" s="27">
        <f>IFERROR(IF(OR(O325="",A325="",M325=""),"",IF(SUMPRODUCT(($A$4:$A$500=A325)*($M$4:$M$500=M325)*($O$4:$O$500&lt;&gt;"")*(MOD($O$4:$O$500,1)&lt;MOD(O325,1)))=0,IF(MOD(O325,1)&lt;=TIME(8,15,0),"Ingreso adecuado primera hora","Atraso primera hora"),"No aplica")),"")</f>
        <v/>
      </c>
      <c r="Q325" s="27" t="n"/>
      <c r="R325" s="25" t="n"/>
      <c r="S325" s="25" t="n"/>
      <c r="T325" s="25" t="n"/>
      <c r="U325" s="25">
        <f>IFERROR(VLOOKUP(M325,'Horario Pabellones'!$A$4:$D$17,2,FALSE),"")</f>
        <v/>
      </c>
      <c r="V325" s="25">
        <f>IFERROR(VLOOKUP(M325,'Horario Pabellones'!$A$4:$D$17,3,FALSE),"")</f>
        <v/>
      </c>
      <c r="W325" s="99">
        <f>IFERROR(VLOOKUP(M325,'Horario Pabellones'!$A$4:$D$17,4,FALSE),"")</f>
        <v/>
      </c>
      <c r="X325" s="89">
        <f>IFERROR(IF(OR(A325="",M325="",W325=""),"",(((_xludf.AGGREGATE(14,6,MOD($S$4:$S$500,1)/(($A$4:$A$500=A325)*($M$4:$M$500=M325)*($R$4:$R$500&lt;&gt;"")*($S$4:$S$500&lt;&gt;"")),1)-_xludf.AGGREGATE(15,6,MOD($R$4:$R$500,1)/(($A$4:$A$500=A325)*($M$4:$M$500=M325)*($R$4:$R$500&lt;&gt;"")*($S$4:$S$500&lt;&gt;"")),1))*1440)/60)/(W325/60)),"")</f>
        <v/>
      </c>
      <c r="Y325" s="26">
        <f>IFERROR(IF(OR(O325="",A325="",M325=""),"",(IF(ISNUMBER(O325),MOD(O325,1),TIMEVALUE(O325))-LOOKUP(2,1/(($A$4:$A$500=A325)*($M$4:$M$500=M325)*($T$4:$T$500&lt;&gt;"")*($T$4:$T$500&lt;IF(ISNUMBER(O325),MOD(O325,1),TIMEVALUE(O325)))),$T$4:$T$500))*1440),"")</f>
        <v/>
      </c>
      <c r="Z325" s="27">
        <f>IFERROR(IF(Y325="","",IF(ROUND(Y325,0)&lt;=15,"Cumple","No cumple")),"")</f>
        <v/>
      </c>
      <c r="AA325" s="27" t="n"/>
      <c r="AB325" s="26">
        <f>IFERROR(IF(OR(O325="",R325=""),"",IF(IF(ISNUMBER(R325),MOD(R325,1),TIMEVALUE(R325))&gt;=IF(ISNUMBER(O325),MOD(O325,1),TIMEVALUE(O325)),(IF(ISNUMBER(R325),MOD(R325,1),TIMEVALUE(R325))-IF(ISNUMBER(O325),MOD(O325,1),TIMEVALUE(O325)))*1440,(IF(ISNUMBER(R325),MOD(R325,1),TIMEVALUE(R325))+1-IF(ISNUMBER(O325),MOD(O325,1),TIMEVALUE(O325)))*1440)),"")</f>
        <v/>
      </c>
      <c r="AC325" s="26">
        <f>IFERROR(IF(OR(R325="",S325=""),"",IF(IF(ISNUMBER(S325),MOD(S325,1),TIMEVALUE(S325))&gt;=IF(ISNUMBER(R325),MOD(R325,1),TIMEVALUE(R325)),(IF(ISNUMBER(S325),MOD(S325,1),TIMEVALUE(S325))-IF(ISNUMBER(R325),MOD(R325,1),TIMEVALUE(R325)))*1440,(IF(ISNUMBER(S325),MOD(S325,1),TIMEVALUE(S325))+1-IF(ISNUMBER(R325),MOD(R325,1),TIMEVALUE(R325)))*1440)),"")</f>
        <v/>
      </c>
      <c r="AD325" s="29" t="n"/>
      <c r="AE325" s="26">
        <f>IFERROR(IF(OR(AC325="",AD325=""),"",AC325-AD325),"")</f>
        <v/>
      </c>
      <c r="AF325" s="27">
        <f>IFERROR(IF(AE325="","",IF(ROUND(AE325,0)&gt;15,"Subestimacion",IF(ROUND(AE325,0)&lt;-15,"Sobrestimacion","Asertivo"))),"")</f>
        <v/>
      </c>
      <c r="AG325" s="19" t="n"/>
      <c r="AH325" s="19" t="n"/>
      <c r="AI325" s="19" t="n"/>
      <c r="AJ325" s="19" t="n"/>
      <c r="AK325" s="19" t="n"/>
      <c r="AL325" s="19" t="n"/>
      <c r="AM325" s="19" t="n"/>
      <c r="AN325" s="19" t="n"/>
      <c r="AO325" s="19" t="n"/>
      <c r="AP325" s="127">
        <f>IF(A325="","",A325-WEEKDAY(A325,2)+1)</f>
        <v/>
      </c>
      <c r="AQ325" s="127">
        <f>IF(AO325="","",AO325+6)</f>
        <v/>
      </c>
      <c r="AR325" s="19">
        <f>IF(AO325="","","Semana "&amp;TEXT(AO325,"dd-mm-yyyy")&amp;" al "&amp;TEXT(AP325,"dd-mm-yyyy"))</f>
        <v/>
      </c>
      <c r="AS325" s="19">
        <f>IF(A325="","",TEXT(A325,"mmmm yyyy"))</f>
        <v/>
      </c>
      <c r="AT325" s="19">
        <f>IF(A325="","",TEXT(A325,"dddd"))</f>
        <v/>
      </c>
      <c r="AU325" s="19">
        <f>IF(A325="","","CRR-"&amp;TEXT(A325,"yyyymmdd")&amp;"-"&amp;M325&amp;"-"&amp;TEXT(ROW()-3,"0000"))</f>
        <v/>
      </c>
      <c r="AV325" s="19">
        <f>IF(A325="","",IF(OR(B325="",C325="",E325="",F325="",M325="",N325=""),"Revisar campos obligatorios",IF(AND(P325="Atraso primera hora",Q325=""),"Falta justificación atraso primera hora",IF(AND(Z325="No cumple",AA325=""),"Falta justificación recambio &gt;15 min",IF(AND(ISNUMBER(SEARCH("suspend",N325)),OR(AG325="",AH325="")),"Falta causa/motivo suspensión","OK")))))</f>
        <v/>
      </c>
      <c r="AW325" s="19">
        <f>IF(N325="","",IF(ISNUMBER(SEARCH("suspend",N325)),IF(AND(AG325="",AH325=""),"Sin causa/motivo registrado",IF(AG325="",AH325,IF(AH325="",AG325,AG325&amp;": "&amp;AH325))),""))</f>
        <v/>
      </c>
    </row>
    <row r="326" ht="16" customHeight="1" s="151">
      <c r="A326" s="62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20">
        <f>IF(H326&lt;&gt;"",IFERROR(VLOOKUP(IFERROR(LEFT(H326,FIND("-",H326)-1),H326),'Catalogo MINSAL'!A:E,5,FALSE),""),IF(I326&lt;&gt;"",IFERROR(VLOOKUP(IFERROR(LEFT(I326,FIND("-",I326)-1),I326),'Catalogo MINSAL'!A:E,5,FALSE),""),""))</f>
        <v/>
      </c>
      <c r="K326" s="19" t="n"/>
      <c r="L326" s="19" t="n"/>
      <c r="M326" s="19" t="n"/>
      <c r="N326" s="19" t="n"/>
      <c r="O326" s="25" t="n"/>
      <c r="P326" s="27">
        <f>IFERROR(IF(OR(O326="",A326="",M326=""),"",IF(SUMPRODUCT(($A$4:$A$500=A326)*($M$4:$M$500=M326)*($O$4:$O$500&lt;&gt;"")*(MOD($O$4:$O$500,1)&lt;MOD(O326,1)))=0,IF(MOD(O326,1)&lt;=TIME(8,15,0),"Ingreso adecuado primera hora","Atraso primera hora"),"No aplica")),"")</f>
        <v/>
      </c>
      <c r="Q326" s="27" t="n"/>
      <c r="R326" s="25" t="n"/>
      <c r="S326" s="25" t="n"/>
      <c r="T326" s="25" t="n"/>
      <c r="U326" s="25">
        <f>IFERROR(VLOOKUP(M326,'Horario Pabellones'!$A$4:$D$17,2,FALSE),"")</f>
        <v/>
      </c>
      <c r="V326" s="25">
        <f>IFERROR(VLOOKUP(M326,'Horario Pabellones'!$A$4:$D$17,3,FALSE),"")</f>
        <v/>
      </c>
      <c r="W326" s="99">
        <f>IFERROR(VLOOKUP(M326,'Horario Pabellones'!$A$4:$D$17,4,FALSE),"")</f>
        <v/>
      </c>
      <c r="X326" s="89">
        <f>IFERROR(IF(OR(A326="",M326="",W326=""),"",(((_xludf.AGGREGATE(14,6,MOD($S$4:$S$500,1)/(($A$4:$A$500=A326)*($M$4:$M$500=M326)*($R$4:$R$500&lt;&gt;"")*($S$4:$S$500&lt;&gt;"")),1)-_xludf.AGGREGATE(15,6,MOD($R$4:$R$500,1)/(($A$4:$A$500=A326)*($M$4:$M$500=M326)*($R$4:$R$500&lt;&gt;"")*($S$4:$S$500&lt;&gt;"")),1))*1440)/60)/(W326/60)),"")</f>
        <v/>
      </c>
      <c r="Y326" s="26">
        <f>IFERROR(IF(OR(O326="",A326="",M326=""),"",(IF(ISNUMBER(O326),MOD(O326,1),TIMEVALUE(O326))-LOOKUP(2,1/(($A$4:$A$500=A326)*($M$4:$M$500=M326)*($T$4:$T$500&lt;&gt;"")*($T$4:$T$500&lt;IF(ISNUMBER(O326),MOD(O326,1),TIMEVALUE(O326)))),$T$4:$T$500))*1440),"")</f>
        <v/>
      </c>
      <c r="Z326" s="27">
        <f>IFERROR(IF(Y326="","",IF(ROUND(Y326,0)&lt;=15,"Cumple","No cumple")),"")</f>
        <v/>
      </c>
      <c r="AA326" s="27" t="n"/>
      <c r="AB326" s="26">
        <f>IFERROR(IF(OR(O326="",R326=""),"",IF(IF(ISNUMBER(R326),MOD(R326,1),TIMEVALUE(R326))&gt;=IF(ISNUMBER(O326),MOD(O326,1),TIMEVALUE(O326)),(IF(ISNUMBER(R326),MOD(R326,1),TIMEVALUE(R326))-IF(ISNUMBER(O326),MOD(O326,1),TIMEVALUE(O326)))*1440,(IF(ISNUMBER(R326),MOD(R326,1),TIMEVALUE(R326))+1-IF(ISNUMBER(O326),MOD(O326,1),TIMEVALUE(O326)))*1440)),"")</f>
        <v/>
      </c>
      <c r="AC326" s="26">
        <f>IFERROR(IF(OR(R326="",S326=""),"",IF(IF(ISNUMBER(S326),MOD(S326,1),TIMEVALUE(S326))&gt;=IF(ISNUMBER(R326),MOD(R326,1),TIMEVALUE(R326)),(IF(ISNUMBER(S326),MOD(S326,1),TIMEVALUE(S326))-IF(ISNUMBER(R326),MOD(R326,1),TIMEVALUE(R326)))*1440,(IF(ISNUMBER(S326),MOD(S326,1),TIMEVALUE(S326))+1-IF(ISNUMBER(R326),MOD(R326,1),TIMEVALUE(R326)))*1440)),"")</f>
        <v/>
      </c>
      <c r="AD326" s="29" t="n"/>
      <c r="AE326" s="26">
        <f>IFERROR(IF(OR(AC326="",AD326=""),"",AC326-AD326),"")</f>
        <v/>
      </c>
      <c r="AF326" s="27">
        <f>IFERROR(IF(AE326="","",IF(ROUND(AE326,0)&gt;15,"Subestimacion",IF(ROUND(AE326,0)&lt;-15,"Sobrestimacion","Asertivo"))),"")</f>
        <v/>
      </c>
      <c r="AG326" s="19" t="n"/>
      <c r="AH326" s="19" t="n"/>
      <c r="AI326" s="19" t="n"/>
      <c r="AJ326" s="19" t="n"/>
      <c r="AK326" s="19" t="n"/>
      <c r="AL326" s="19" t="n"/>
      <c r="AM326" s="19" t="n"/>
      <c r="AN326" s="19" t="n"/>
      <c r="AO326" s="19" t="n"/>
      <c r="AP326" s="127">
        <f>IF(A326="","",A326-WEEKDAY(A326,2)+1)</f>
        <v/>
      </c>
      <c r="AQ326" s="127">
        <f>IF(AO326="","",AO326+6)</f>
        <v/>
      </c>
      <c r="AR326" s="19">
        <f>IF(AO326="","","Semana "&amp;TEXT(AO326,"dd-mm-yyyy")&amp;" al "&amp;TEXT(AP326,"dd-mm-yyyy"))</f>
        <v/>
      </c>
      <c r="AS326" s="19">
        <f>IF(A326="","",TEXT(A326,"mmmm yyyy"))</f>
        <v/>
      </c>
      <c r="AT326" s="19">
        <f>IF(A326="","",TEXT(A326,"dddd"))</f>
        <v/>
      </c>
      <c r="AU326" s="19">
        <f>IF(A326="","","CRR-"&amp;TEXT(A326,"yyyymmdd")&amp;"-"&amp;M326&amp;"-"&amp;TEXT(ROW()-3,"0000"))</f>
        <v/>
      </c>
      <c r="AV326" s="19">
        <f>IF(A326="","",IF(OR(B326="",C326="",E326="",F326="",M326="",N326=""),"Revisar campos obligatorios",IF(AND(P326="Atraso primera hora",Q326=""),"Falta justificación atraso primera hora",IF(AND(Z326="No cumple",AA326=""),"Falta justificación recambio &gt;15 min",IF(AND(ISNUMBER(SEARCH("suspend",N326)),OR(AG326="",AH326="")),"Falta causa/motivo suspensión","OK")))))</f>
        <v/>
      </c>
      <c r="AW326" s="19">
        <f>IF(N326="","",IF(ISNUMBER(SEARCH("suspend",N326)),IF(AND(AG326="",AH326=""),"Sin causa/motivo registrado",IF(AG326="",AH326,IF(AH326="",AG326,AG326&amp;": "&amp;AH326))),""))</f>
        <v/>
      </c>
    </row>
    <row r="327" ht="16" customHeight="1" s="151">
      <c r="A327" s="62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20">
        <f>IF(H327&lt;&gt;"",IFERROR(VLOOKUP(IFERROR(LEFT(H327,FIND("-",H327)-1),H327),'Catalogo MINSAL'!A:E,5,FALSE),""),IF(I327&lt;&gt;"",IFERROR(VLOOKUP(IFERROR(LEFT(I327,FIND("-",I327)-1),I327),'Catalogo MINSAL'!A:E,5,FALSE),""),""))</f>
        <v/>
      </c>
      <c r="K327" s="19" t="n"/>
      <c r="L327" s="19" t="n"/>
      <c r="M327" s="19" t="n"/>
      <c r="N327" s="19" t="n"/>
      <c r="O327" s="25" t="n"/>
      <c r="P327" s="27">
        <f>IFERROR(IF(OR(O327="",A327="",M327=""),"",IF(SUMPRODUCT(($A$4:$A$500=A327)*($M$4:$M$500=M327)*($O$4:$O$500&lt;&gt;"")*(MOD($O$4:$O$500,1)&lt;MOD(O327,1)))=0,IF(MOD(O327,1)&lt;=TIME(8,15,0),"Ingreso adecuado primera hora","Atraso primera hora"),"No aplica")),"")</f>
        <v/>
      </c>
      <c r="Q327" s="27" t="n"/>
      <c r="R327" s="25" t="n"/>
      <c r="S327" s="25" t="n"/>
      <c r="T327" s="25" t="n"/>
      <c r="U327" s="25">
        <f>IFERROR(VLOOKUP(M327,'Horario Pabellones'!$A$4:$D$17,2,FALSE),"")</f>
        <v/>
      </c>
      <c r="V327" s="25">
        <f>IFERROR(VLOOKUP(M327,'Horario Pabellones'!$A$4:$D$17,3,FALSE),"")</f>
        <v/>
      </c>
      <c r="W327" s="99">
        <f>IFERROR(VLOOKUP(M327,'Horario Pabellones'!$A$4:$D$17,4,FALSE),"")</f>
        <v/>
      </c>
      <c r="X327" s="89">
        <f>IFERROR(IF(OR(A327="",M327="",W327=""),"",(((_xludf.AGGREGATE(14,6,MOD($S$4:$S$500,1)/(($A$4:$A$500=A327)*($M$4:$M$500=M327)*($R$4:$R$500&lt;&gt;"")*($S$4:$S$500&lt;&gt;"")),1)-_xludf.AGGREGATE(15,6,MOD($R$4:$R$500,1)/(($A$4:$A$500=A327)*($M$4:$M$500=M327)*($R$4:$R$500&lt;&gt;"")*($S$4:$S$500&lt;&gt;"")),1))*1440)/60)/(W327/60)),"")</f>
        <v/>
      </c>
      <c r="Y327" s="26">
        <f>IFERROR(IF(OR(O327="",A327="",M327=""),"",(IF(ISNUMBER(O327),MOD(O327,1),TIMEVALUE(O327))-LOOKUP(2,1/(($A$4:$A$500=A327)*($M$4:$M$500=M327)*($T$4:$T$500&lt;&gt;"")*($T$4:$T$500&lt;IF(ISNUMBER(O327),MOD(O327,1),TIMEVALUE(O327)))),$T$4:$T$500))*1440),"")</f>
        <v/>
      </c>
      <c r="Z327" s="27">
        <f>IFERROR(IF(Y327="","",IF(ROUND(Y327,0)&lt;=15,"Cumple","No cumple")),"")</f>
        <v/>
      </c>
      <c r="AA327" s="27" t="n"/>
      <c r="AB327" s="26">
        <f>IFERROR(IF(OR(O327="",R327=""),"",IF(IF(ISNUMBER(R327),MOD(R327,1),TIMEVALUE(R327))&gt;=IF(ISNUMBER(O327),MOD(O327,1),TIMEVALUE(O327)),(IF(ISNUMBER(R327),MOD(R327,1),TIMEVALUE(R327))-IF(ISNUMBER(O327),MOD(O327,1),TIMEVALUE(O327)))*1440,(IF(ISNUMBER(R327),MOD(R327,1),TIMEVALUE(R327))+1-IF(ISNUMBER(O327),MOD(O327,1),TIMEVALUE(O327)))*1440)),"")</f>
        <v/>
      </c>
      <c r="AC327" s="26">
        <f>IFERROR(IF(OR(R327="",S327=""),"",IF(IF(ISNUMBER(S327),MOD(S327,1),TIMEVALUE(S327))&gt;=IF(ISNUMBER(R327),MOD(R327,1),TIMEVALUE(R327)),(IF(ISNUMBER(S327),MOD(S327,1),TIMEVALUE(S327))-IF(ISNUMBER(R327),MOD(R327,1),TIMEVALUE(R327)))*1440,(IF(ISNUMBER(S327),MOD(S327,1),TIMEVALUE(S327))+1-IF(ISNUMBER(R327),MOD(R327,1),TIMEVALUE(R327)))*1440)),"")</f>
        <v/>
      </c>
      <c r="AD327" s="29" t="n"/>
      <c r="AE327" s="26">
        <f>IFERROR(IF(OR(AC327="",AD327=""),"",AC327-AD327),"")</f>
        <v/>
      </c>
      <c r="AF327" s="27">
        <f>IFERROR(IF(AE327="","",IF(ROUND(AE327,0)&gt;15,"Subestimacion",IF(ROUND(AE327,0)&lt;-15,"Sobrestimacion","Asertivo"))),"")</f>
        <v/>
      </c>
      <c r="AG327" s="19" t="n"/>
      <c r="AH327" s="19" t="n"/>
      <c r="AI327" s="19" t="n"/>
      <c r="AJ327" s="19" t="n"/>
      <c r="AK327" s="19" t="n"/>
      <c r="AL327" s="19" t="n"/>
      <c r="AM327" s="19" t="n"/>
      <c r="AN327" s="19" t="n"/>
      <c r="AO327" s="19" t="n"/>
      <c r="AP327" s="127">
        <f>IF(A327="","",A327-WEEKDAY(A327,2)+1)</f>
        <v/>
      </c>
      <c r="AQ327" s="127">
        <f>IF(AO327="","",AO327+6)</f>
        <v/>
      </c>
      <c r="AR327" s="19">
        <f>IF(AO327="","","Semana "&amp;TEXT(AO327,"dd-mm-yyyy")&amp;" al "&amp;TEXT(AP327,"dd-mm-yyyy"))</f>
        <v/>
      </c>
      <c r="AS327" s="19">
        <f>IF(A327="","",TEXT(A327,"mmmm yyyy"))</f>
        <v/>
      </c>
      <c r="AT327" s="19">
        <f>IF(A327="","",TEXT(A327,"dddd"))</f>
        <v/>
      </c>
      <c r="AU327" s="19">
        <f>IF(A327="","","CRR-"&amp;TEXT(A327,"yyyymmdd")&amp;"-"&amp;M327&amp;"-"&amp;TEXT(ROW()-3,"0000"))</f>
        <v/>
      </c>
      <c r="AV327" s="19">
        <f>IF(A327="","",IF(OR(B327="",C327="",E327="",F327="",M327="",N327=""),"Revisar campos obligatorios",IF(AND(P327="Atraso primera hora",Q327=""),"Falta justificación atraso primera hora",IF(AND(Z327="No cumple",AA327=""),"Falta justificación recambio &gt;15 min",IF(AND(ISNUMBER(SEARCH("suspend",N327)),OR(AG327="",AH327="")),"Falta causa/motivo suspensión","OK")))))</f>
        <v/>
      </c>
      <c r="AW327" s="19">
        <f>IF(N327="","",IF(ISNUMBER(SEARCH("suspend",N327)),IF(AND(AG327="",AH327=""),"Sin causa/motivo registrado",IF(AG327="",AH327,IF(AH327="",AG327,AG327&amp;": "&amp;AH327))),""))</f>
        <v/>
      </c>
    </row>
    <row r="328" ht="16" customHeight="1" s="151">
      <c r="A328" s="62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20">
        <f>IF(H328&lt;&gt;"",IFERROR(VLOOKUP(IFERROR(LEFT(H328,FIND("-",H328)-1),H328),'Catalogo MINSAL'!A:E,5,FALSE),""),IF(I328&lt;&gt;"",IFERROR(VLOOKUP(IFERROR(LEFT(I328,FIND("-",I328)-1),I328),'Catalogo MINSAL'!A:E,5,FALSE),""),""))</f>
        <v/>
      </c>
      <c r="K328" s="19" t="n"/>
      <c r="L328" s="19" t="n"/>
      <c r="M328" s="19" t="n"/>
      <c r="N328" s="19" t="n"/>
      <c r="O328" s="25" t="n"/>
      <c r="P328" s="27">
        <f>IFERROR(IF(OR(O328="",A328="",M328=""),"",IF(SUMPRODUCT(($A$4:$A$500=A328)*($M$4:$M$500=M328)*($O$4:$O$500&lt;&gt;"")*(MOD($O$4:$O$500,1)&lt;MOD(O328,1)))=0,IF(MOD(O328,1)&lt;=TIME(8,15,0),"Ingreso adecuado primera hora","Atraso primera hora"),"No aplica")),"")</f>
        <v/>
      </c>
      <c r="Q328" s="27" t="n"/>
      <c r="R328" s="25" t="n"/>
      <c r="S328" s="25" t="n"/>
      <c r="T328" s="25" t="n"/>
      <c r="U328" s="25">
        <f>IFERROR(VLOOKUP(M328,'Horario Pabellones'!$A$4:$D$17,2,FALSE),"")</f>
        <v/>
      </c>
      <c r="V328" s="25">
        <f>IFERROR(VLOOKUP(M328,'Horario Pabellones'!$A$4:$D$17,3,FALSE),"")</f>
        <v/>
      </c>
      <c r="W328" s="99">
        <f>IFERROR(VLOOKUP(M328,'Horario Pabellones'!$A$4:$D$17,4,FALSE),"")</f>
        <v/>
      </c>
      <c r="X328" s="89">
        <f>IFERROR(IF(OR(A328="",M328="",W328=""),"",(((_xludf.AGGREGATE(14,6,MOD($S$4:$S$500,1)/(($A$4:$A$500=A328)*($M$4:$M$500=M328)*($R$4:$R$500&lt;&gt;"")*($S$4:$S$500&lt;&gt;"")),1)-_xludf.AGGREGATE(15,6,MOD($R$4:$R$500,1)/(($A$4:$A$500=A328)*($M$4:$M$500=M328)*($R$4:$R$500&lt;&gt;"")*($S$4:$S$500&lt;&gt;"")),1))*1440)/60)/(W328/60)),"")</f>
        <v/>
      </c>
      <c r="Y328" s="26">
        <f>IFERROR(IF(OR(O328="",A328="",M328=""),"",(IF(ISNUMBER(O328),MOD(O328,1),TIMEVALUE(O328))-LOOKUP(2,1/(($A$4:$A$500=A328)*($M$4:$M$500=M328)*($T$4:$T$500&lt;&gt;"")*($T$4:$T$500&lt;IF(ISNUMBER(O328),MOD(O328,1),TIMEVALUE(O328)))),$T$4:$T$500))*1440),"")</f>
        <v/>
      </c>
      <c r="Z328" s="27">
        <f>IFERROR(IF(Y328="","",IF(ROUND(Y328,0)&lt;=15,"Cumple","No cumple")),"")</f>
        <v/>
      </c>
      <c r="AA328" s="27" t="n"/>
      <c r="AB328" s="26">
        <f>IFERROR(IF(OR(O328="",R328=""),"",IF(IF(ISNUMBER(R328),MOD(R328,1),TIMEVALUE(R328))&gt;=IF(ISNUMBER(O328),MOD(O328,1),TIMEVALUE(O328)),(IF(ISNUMBER(R328),MOD(R328,1),TIMEVALUE(R328))-IF(ISNUMBER(O328),MOD(O328,1),TIMEVALUE(O328)))*1440,(IF(ISNUMBER(R328),MOD(R328,1),TIMEVALUE(R328))+1-IF(ISNUMBER(O328),MOD(O328,1),TIMEVALUE(O328)))*1440)),"")</f>
        <v/>
      </c>
      <c r="AC328" s="26">
        <f>IFERROR(IF(OR(R328="",S328=""),"",IF(IF(ISNUMBER(S328),MOD(S328,1),TIMEVALUE(S328))&gt;=IF(ISNUMBER(R328),MOD(R328,1),TIMEVALUE(R328)),(IF(ISNUMBER(S328),MOD(S328,1),TIMEVALUE(S328))-IF(ISNUMBER(R328),MOD(R328,1),TIMEVALUE(R328)))*1440,(IF(ISNUMBER(S328),MOD(S328,1),TIMEVALUE(S328))+1-IF(ISNUMBER(R328),MOD(R328,1),TIMEVALUE(R328)))*1440)),"")</f>
        <v/>
      </c>
      <c r="AD328" s="29" t="n"/>
      <c r="AE328" s="26">
        <f>IFERROR(IF(OR(AC328="",AD328=""),"",AC328-AD328),"")</f>
        <v/>
      </c>
      <c r="AF328" s="27">
        <f>IFERROR(IF(AE328="","",IF(ROUND(AE328,0)&gt;15,"Subestimacion",IF(ROUND(AE328,0)&lt;-15,"Sobrestimacion","Asertivo"))),"")</f>
        <v/>
      </c>
      <c r="AG328" s="19" t="n"/>
      <c r="AH328" s="19" t="n"/>
      <c r="AI328" s="19" t="n"/>
      <c r="AJ328" s="19" t="n"/>
      <c r="AK328" s="19" t="n"/>
      <c r="AL328" s="19" t="n"/>
      <c r="AM328" s="19" t="n"/>
      <c r="AN328" s="19" t="n"/>
      <c r="AO328" s="19" t="n"/>
      <c r="AP328" s="127">
        <f>IF(A328="","",A328-WEEKDAY(A328,2)+1)</f>
        <v/>
      </c>
      <c r="AQ328" s="127">
        <f>IF(AO328="","",AO328+6)</f>
        <v/>
      </c>
      <c r="AR328" s="19">
        <f>IF(AO328="","","Semana "&amp;TEXT(AO328,"dd-mm-yyyy")&amp;" al "&amp;TEXT(AP328,"dd-mm-yyyy"))</f>
        <v/>
      </c>
      <c r="AS328" s="19">
        <f>IF(A328="","",TEXT(A328,"mmmm yyyy"))</f>
        <v/>
      </c>
      <c r="AT328" s="19">
        <f>IF(A328="","",TEXT(A328,"dddd"))</f>
        <v/>
      </c>
      <c r="AU328" s="19">
        <f>IF(A328="","","CRR-"&amp;TEXT(A328,"yyyymmdd")&amp;"-"&amp;M328&amp;"-"&amp;TEXT(ROW()-3,"0000"))</f>
        <v/>
      </c>
      <c r="AV328" s="19">
        <f>IF(A328="","",IF(OR(B328="",C328="",E328="",F328="",M328="",N328=""),"Revisar campos obligatorios",IF(AND(P328="Atraso primera hora",Q328=""),"Falta justificación atraso primera hora",IF(AND(Z328="No cumple",AA328=""),"Falta justificación recambio &gt;15 min",IF(AND(ISNUMBER(SEARCH("suspend",N328)),OR(AG328="",AH328="")),"Falta causa/motivo suspensión","OK")))))</f>
        <v/>
      </c>
      <c r="AW328" s="19">
        <f>IF(N328="","",IF(ISNUMBER(SEARCH("suspend",N328)),IF(AND(AG328="",AH328=""),"Sin causa/motivo registrado",IF(AG328="",AH328,IF(AH328="",AG328,AG328&amp;": "&amp;AH328))),""))</f>
        <v/>
      </c>
    </row>
    <row r="329" ht="16" customHeight="1" s="151">
      <c r="A329" s="62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20">
        <f>IF(H329&lt;&gt;"",IFERROR(VLOOKUP(IFERROR(LEFT(H329,FIND("-",H329)-1),H329),'Catalogo MINSAL'!A:E,5,FALSE),""),IF(I329&lt;&gt;"",IFERROR(VLOOKUP(IFERROR(LEFT(I329,FIND("-",I329)-1),I329),'Catalogo MINSAL'!A:E,5,FALSE),""),""))</f>
        <v/>
      </c>
      <c r="K329" s="19" t="n"/>
      <c r="L329" s="19" t="n"/>
      <c r="M329" s="19" t="n"/>
      <c r="N329" s="19" t="n"/>
      <c r="O329" s="25" t="n"/>
      <c r="P329" s="27">
        <f>IFERROR(IF(OR(O329="",A329="",M329=""),"",IF(SUMPRODUCT(($A$4:$A$500=A329)*($M$4:$M$500=M329)*($O$4:$O$500&lt;&gt;"")*(MOD($O$4:$O$500,1)&lt;MOD(O329,1)))=0,IF(MOD(O329,1)&lt;=TIME(8,15,0),"Ingreso adecuado primera hora","Atraso primera hora"),"No aplica")),"")</f>
        <v/>
      </c>
      <c r="Q329" s="27" t="n"/>
      <c r="R329" s="25" t="n"/>
      <c r="S329" s="25" t="n"/>
      <c r="T329" s="25" t="n"/>
      <c r="U329" s="25">
        <f>IFERROR(VLOOKUP(M329,'Horario Pabellones'!$A$4:$D$17,2,FALSE),"")</f>
        <v/>
      </c>
      <c r="V329" s="25">
        <f>IFERROR(VLOOKUP(M329,'Horario Pabellones'!$A$4:$D$17,3,FALSE),"")</f>
        <v/>
      </c>
      <c r="W329" s="99">
        <f>IFERROR(VLOOKUP(M329,'Horario Pabellones'!$A$4:$D$17,4,FALSE),"")</f>
        <v/>
      </c>
      <c r="X329" s="89">
        <f>IFERROR(IF(OR(A329="",M329="",W329=""),"",(((_xludf.AGGREGATE(14,6,MOD($S$4:$S$500,1)/(($A$4:$A$500=A329)*($M$4:$M$500=M329)*($R$4:$R$500&lt;&gt;"")*($S$4:$S$500&lt;&gt;"")),1)-_xludf.AGGREGATE(15,6,MOD($R$4:$R$500,1)/(($A$4:$A$500=A329)*($M$4:$M$500=M329)*($R$4:$R$500&lt;&gt;"")*($S$4:$S$500&lt;&gt;"")),1))*1440)/60)/(W329/60)),"")</f>
        <v/>
      </c>
      <c r="Y329" s="26">
        <f>IFERROR(IF(OR(O329="",A329="",M329=""),"",(IF(ISNUMBER(O329),MOD(O329,1),TIMEVALUE(O329))-LOOKUP(2,1/(($A$4:$A$500=A329)*($M$4:$M$500=M329)*($T$4:$T$500&lt;&gt;"")*($T$4:$T$500&lt;IF(ISNUMBER(O329),MOD(O329,1),TIMEVALUE(O329)))),$T$4:$T$500))*1440),"")</f>
        <v/>
      </c>
      <c r="Z329" s="27">
        <f>IFERROR(IF(Y329="","",IF(ROUND(Y329,0)&lt;=15,"Cumple","No cumple")),"")</f>
        <v/>
      </c>
      <c r="AA329" s="27" t="n"/>
      <c r="AB329" s="26">
        <f>IFERROR(IF(OR(O329="",R329=""),"",IF(IF(ISNUMBER(R329),MOD(R329,1),TIMEVALUE(R329))&gt;=IF(ISNUMBER(O329),MOD(O329,1),TIMEVALUE(O329)),(IF(ISNUMBER(R329),MOD(R329,1),TIMEVALUE(R329))-IF(ISNUMBER(O329),MOD(O329,1),TIMEVALUE(O329)))*1440,(IF(ISNUMBER(R329),MOD(R329,1),TIMEVALUE(R329))+1-IF(ISNUMBER(O329),MOD(O329,1),TIMEVALUE(O329)))*1440)),"")</f>
        <v/>
      </c>
      <c r="AC329" s="26">
        <f>IFERROR(IF(OR(R329="",S329=""),"",IF(IF(ISNUMBER(S329),MOD(S329,1),TIMEVALUE(S329))&gt;=IF(ISNUMBER(R329),MOD(R329,1),TIMEVALUE(R329)),(IF(ISNUMBER(S329),MOD(S329,1),TIMEVALUE(S329))-IF(ISNUMBER(R329),MOD(R329,1),TIMEVALUE(R329)))*1440,(IF(ISNUMBER(S329),MOD(S329,1),TIMEVALUE(S329))+1-IF(ISNUMBER(R329),MOD(R329,1),TIMEVALUE(R329)))*1440)),"")</f>
        <v/>
      </c>
      <c r="AD329" s="29" t="n"/>
      <c r="AE329" s="26">
        <f>IFERROR(IF(OR(AC329="",AD329=""),"",AC329-AD329),"")</f>
        <v/>
      </c>
      <c r="AF329" s="27">
        <f>IFERROR(IF(AE329="","",IF(ROUND(AE329,0)&gt;15,"Subestimacion",IF(ROUND(AE329,0)&lt;-15,"Sobrestimacion","Asertivo"))),"")</f>
        <v/>
      </c>
      <c r="AG329" s="19" t="n"/>
      <c r="AH329" s="19" t="n"/>
      <c r="AI329" s="19" t="n"/>
      <c r="AJ329" s="19" t="n"/>
      <c r="AK329" s="19" t="n"/>
      <c r="AL329" s="19" t="n"/>
      <c r="AM329" s="19" t="n"/>
      <c r="AN329" s="19" t="n"/>
      <c r="AO329" s="19" t="n"/>
      <c r="AP329" s="127">
        <f>IF(A329="","",A329-WEEKDAY(A329,2)+1)</f>
        <v/>
      </c>
      <c r="AQ329" s="127">
        <f>IF(AO329="","",AO329+6)</f>
        <v/>
      </c>
      <c r="AR329" s="19">
        <f>IF(AO329="","","Semana "&amp;TEXT(AO329,"dd-mm-yyyy")&amp;" al "&amp;TEXT(AP329,"dd-mm-yyyy"))</f>
        <v/>
      </c>
      <c r="AS329" s="19">
        <f>IF(A329="","",TEXT(A329,"mmmm yyyy"))</f>
        <v/>
      </c>
      <c r="AT329" s="19">
        <f>IF(A329="","",TEXT(A329,"dddd"))</f>
        <v/>
      </c>
      <c r="AU329" s="19">
        <f>IF(A329="","","CRR-"&amp;TEXT(A329,"yyyymmdd")&amp;"-"&amp;M329&amp;"-"&amp;TEXT(ROW()-3,"0000"))</f>
        <v/>
      </c>
      <c r="AV329" s="19">
        <f>IF(A329="","",IF(OR(B329="",C329="",E329="",F329="",M329="",N329=""),"Revisar campos obligatorios",IF(AND(P329="Atraso primera hora",Q329=""),"Falta justificación atraso primera hora",IF(AND(Z329="No cumple",AA329=""),"Falta justificación recambio &gt;15 min",IF(AND(ISNUMBER(SEARCH("suspend",N329)),OR(AG329="",AH329="")),"Falta causa/motivo suspensión","OK")))))</f>
        <v/>
      </c>
      <c r="AW329" s="19">
        <f>IF(N329="","",IF(ISNUMBER(SEARCH("suspend",N329)),IF(AND(AG329="",AH329=""),"Sin causa/motivo registrado",IF(AG329="",AH329,IF(AH329="",AG329,AG329&amp;": "&amp;AH329))),""))</f>
        <v/>
      </c>
    </row>
    <row r="330" ht="16" customHeight="1" s="151">
      <c r="A330" s="62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20">
        <f>IF(H330&lt;&gt;"",IFERROR(VLOOKUP(IFERROR(LEFT(H330,FIND("-",H330)-1),H330),'Catalogo MINSAL'!A:E,5,FALSE),""),IF(I330&lt;&gt;"",IFERROR(VLOOKUP(IFERROR(LEFT(I330,FIND("-",I330)-1),I330),'Catalogo MINSAL'!A:E,5,FALSE),""),""))</f>
        <v/>
      </c>
      <c r="K330" s="19" t="n"/>
      <c r="L330" s="19" t="n"/>
      <c r="M330" s="19" t="n"/>
      <c r="N330" s="19" t="n"/>
      <c r="O330" s="25" t="n"/>
      <c r="P330" s="27">
        <f>IFERROR(IF(OR(O330="",A330="",M330=""),"",IF(SUMPRODUCT(($A$4:$A$500=A330)*($M$4:$M$500=M330)*($O$4:$O$500&lt;&gt;"")*(MOD($O$4:$O$500,1)&lt;MOD(O330,1)))=0,IF(MOD(O330,1)&lt;=TIME(8,15,0),"Ingreso adecuado primera hora","Atraso primera hora"),"No aplica")),"")</f>
        <v/>
      </c>
      <c r="Q330" s="27" t="n"/>
      <c r="R330" s="25" t="n"/>
      <c r="S330" s="25" t="n"/>
      <c r="T330" s="25" t="n"/>
      <c r="U330" s="25">
        <f>IFERROR(VLOOKUP(M330,'Horario Pabellones'!$A$4:$D$17,2,FALSE),"")</f>
        <v/>
      </c>
      <c r="V330" s="25">
        <f>IFERROR(VLOOKUP(M330,'Horario Pabellones'!$A$4:$D$17,3,FALSE),"")</f>
        <v/>
      </c>
      <c r="W330" s="99">
        <f>IFERROR(VLOOKUP(M330,'Horario Pabellones'!$A$4:$D$17,4,FALSE),"")</f>
        <v/>
      </c>
      <c r="X330" s="89">
        <f>IFERROR(IF(OR(A330="",M330="",W330=""),"",(((_xludf.AGGREGATE(14,6,MOD($S$4:$S$500,1)/(($A$4:$A$500=A330)*($M$4:$M$500=M330)*($R$4:$R$500&lt;&gt;"")*($S$4:$S$500&lt;&gt;"")),1)-_xludf.AGGREGATE(15,6,MOD($R$4:$R$500,1)/(($A$4:$A$500=A330)*($M$4:$M$500=M330)*($R$4:$R$500&lt;&gt;"")*($S$4:$S$500&lt;&gt;"")),1))*1440)/60)/(W330/60)),"")</f>
        <v/>
      </c>
      <c r="Y330" s="26">
        <f>IFERROR(IF(OR(O330="",A330="",M330=""),"",(IF(ISNUMBER(O330),MOD(O330,1),TIMEVALUE(O330))-LOOKUP(2,1/(($A$4:$A$500=A330)*($M$4:$M$500=M330)*($T$4:$T$500&lt;&gt;"")*($T$4:$T$500&lt;IF(ISNUMBER(O330),MOD(O330,1),TIMEVALUE(O330)))),$T$4:$T$500))*1440),"")</f>
        <v/>
      </c>
      <c r="Z330" s="27">
        <f>IFERROR(IF(Y330="","",IF(ROUND(Y330,0)&lt;=15,"Cumple","No cumple")),"")</f>
        <v/>
      </c>
      <c r="AA330" s="27" t="n"/>
      <c r="AB330" s="26">
        <f>IFERROR(IF(OR(O330="",R330=""),"",IF(IF(ISNUMBER(R330),MOD(R330,1),TIMEVALUE(R330))&gt;=IF(ISNUMBER(O330),MOD(O330,1),TIMEVALUE(O330)),(IF(ISNUMBER(R330),MOD(R330,1),TIMEVALUE(R330))-IF(ISNUMBER(O330),MOD(O330,1),TIMEVALUE(O330)))*1440,(IF(ISNUMBER(R330),MOD(R330,1),TIMEVALUE(R330))+1-IF(ISNUMBER(O330),MOD(O330,1),TIMEVALUE(O330)))*1440)),"")</f>
        <v/>
      </c>
      <c r="AC330" s="26">
        <f>IFERROR(IF(OR(R330="",S330=""),"",IF(IF(ISNUMBER(S330),MOD(S330,1),TIMEVALUE(S330))&gt;=IF(ISNUMBER(R330),MOD(R330,1),TIMEVALUE(R330)),(IF(ISNUMBER(S330),MOD(S330,1),TIMEVALUE(S330))-IF(ISNUMBER(R330),MOD(R330,1),TIMEVALUE(R330)))*1440,(IF(ISNUMBER(S330),MOD(S330,1),TIMEVALUE(S330))+1-IF(ISNUMBER(R330),MOD(R330,1),TIMEVALUE(R330)))*1440)),"")</f>
        <v/>
      </c>
      <c r="AD330" s="29" t="n"/>
      <c r="AE330" s="26">
        <f>IFERROR(IF(OR(AC330="",AD330=""),"",AC330-AD330),"")</f>
        <v/>
      </c>
      <c r="AF330" s="27">
        <f>IFERROR(IF(AE330="","",IF(ROUND(AE330,0)&gt;15,"Subestimacion",IF(ROUND(AE330,0)&lt;-15,"Sobrestimacion","Asertivo"))),"")</f>
        <v/>
      </c>
      <c r="AG330" s="19" t="n"/>
      <c r="AH330" s="19" t="n"/>
      <c r="AI330" s="19" t="n"/>
      <c r="AJ330" s="19" t="n"/>
      <c r="AK330" s="19" t="n"/>
      <c r="AL330" s="19" t="n"/>
      <c r="AM330" s="19" t="n"/>
      <c r="AN330" s="19" t="n"/>
      <c r="AO330" s="19" t="n"/>
      <c r="AP330" s="127">
        <f>IF(A330="","",A330-WEEKDAY(A330,2)+1)</f>
        <v/>
      </c>
      <c r="AQ330" s="127">
        <f>IF(AO330="","",AO330+6)</f>
        <v/>
      </c>
      <c r="AR330" s="19">
        <f>IF(AO330="","","Semana "&amp;TEXT(AO330,"dd-mm-yyyy")&amp;" al "&amp;TEXT(AP330,"dd-mm-yyyy"))</f>
        <v/>
      </c>
      <c r="AS330" s="19">
        <f>IF(A330="","",TEXT(A330,"mmmm yyyy"))</f>
        <v/>
      </c>
      <c r="AT330" s="19">
        <f>IF(A330="","",TEXT(A330,"dddd"))</f>
        <v/>
      </c>
      <c r="AU330" s="19">
        <f>IF(A330="","","CRR-"&amp;TEXT(A330,"yyyymmdd")&amp;"-"&amp;M330&amp;"-"&amp;TEXT(ROW()-3,"0000"))</f>
        <v/>
      </c>
      <c r="AV330" s="19">
        <f>IF(A330="","",IF(OR(B330="",C330="",E330="",F330="",M330="",N330=""),"Revisar campos obligatorios",IF(AND(P330="Atraso primera hora",Q330=""),"Falta justificación atraso primera hora",IF(AND(Z330="No cumple",AA330=""),"Falta justificación recambio &gt;15 min",IF(AND(ISNUMBER(SEARCH("suspend",N330)),OR(AG330="",AH330="")),"Falta causa/motivo suspensión","OK")))))</f>
        <v/>
      </c>
      <c r="AW330" s="19">
        <f>IF(N330="","",IF(ISNUMBER(SEARCH("suspend",N330)),IF(AND(AG330="",AH330=""),"Sin causa/motivo registrado",IF(AG330="",AH330,IF(AH330="",AG330,AG330&amp;": "&amp;AH330))),""))</f>
        <v/>
      </c>
    </row>
    <row r="331" ht="16" customHeight="1" s="151">
      <c r="A331" s="62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20">
        <f>IF(H331&lt;&gt;"",IFERROR(VLOOKUP(IFERROR(LEFT(H331,FIND("-",H331)-1),H331),'Catalogo MINSAL'!A:E,5,FALSE),""),IF(I331&lt;&gt;"",IFERROR(VLOOKUP(IFERROR(LEFT(I331,FIND("-",I331)-1),I331),'Catalogo MINSAL'!A:E,5,FALSE),""),""))</f>
        <v/>
      </c>
      <c r="K331" s="19" t="n"/>
      <c r="L331" s="19" t="n"/>
      <c r="M331" s="19" t="n"/>
      <c r="N331" s="19" t="n"/>
      <c r="O331" s="25" t="n"/>
      <c r="P331" s="27">
        <f>IFERROR(IF(OR(O331="",A331="",M331=""),"",IF(SUMPRODUCT(($A$4:$A$500=A331)*($M$4:$M$500=M331)*($O$4:$O$500&lt;&gt;"")*(MOD($O$4:$O$500,1)&lt;MOD(O331,1)))=0,IF(MOD(O331,1)&lt;=TIME(8,15,0),"Ingreso adecuado primera hora","Atraso primera hora"),"No aplica")),"")</f>
        <v/>
      </c>
      <c r="Q331" s="27" t="n"/>
      <c r="R331" s="25" t="n"/>
      <c r="S331" s="25" t="n"/>
      <c r="T331" s="25" t="n"/>
      <c r="U331" s="25">
        <f>IFERROR(VLOOKUP(M331,'Horario Pabellones'!$A$4:$D$17,2,FALSE),"")</f>
        <v/>
      </c>
      <c r="V331" s="25">
        <f>IFERROR(VLOOKUP(M331,'Horario Pabellones'!$A$4:$D$17,3,FALSE),"")</f>
        <v/>
      </c>
      <c r="W331" s="99">
        <f>IFERROR(VLOOKUP(M331,'Horario Pabellones'!$A$4:$D$17,4,FALSE),"")</f>
        <v/>
      </c>
      <c r="X331" s="89">
        <f>IFERROR(IF(OR(A331="",M331="",W331=""),"",(((_xludf.AGGREGATE(14,6,MOD($S$4:$S$500,1)/(($A$4:$A$500=A331)*($M$4:$M$500=M331)*($R$4:$R$500&lt;&gt;"")*($S$4:$S$500&lt;&gt;"")),1)-_xludf.AGGREGATE(15,6,MOD($R$4:$R$500,1)/(($A$4:$A$500=A331)*($M$4:$M$500=M331)*($R$4:$R$500&lt;&gt;"")*($S$4:$S$500&lt;&gt;"")),1))*1440)/60)/(W331/60)),"")</f>
        <v/>
      </c>
      <c r="Y331" s="26">
        <f>IFERROR(IF(OR(O331="",A331="",M331=""),"",(IF(ISNUMBER(O331),MOD(O331,1),TIMEVALUE(O331))-LOOKUP(2,1/(($A$4:$A$500=A331)*($M$4:$M$500=M331)*($T$4:$T$500&lt;&gt;"")*($T$4:$T$500&lt;IF(ISNUMBER(O331),MOD(O331,1),TIMEVALUE(O331)))),$T$4:$T$500))*1440),"")</f>
        <v/>
      </c>
      <c r="Z331" s="27">
        <f>IFERROR(IF(Y331="","",IF(ROUND(Y331,0)&lt;=15,"Cumple","No cumple")),"")</f>
        <v/>
      </c>
      <c r="AA331" s="27" t="n"/>
      <c r="AB331" s="26">
        <f>IFERROR(IF(OR(O331="",R331=""),"",IF(IF(ISNUMBER(R331),MOD(R331,1),TIMEVALUE(R331))&gt;=IF(ISNUMBER(O331),MOD(O331,1),TIMEVALUE(O331)),(IF(ISNUMBER(R331),MOD(R331,1),TIMEVALUE(R331))-IF(ISNUMBER(O331),MOD(O331,1),TIMEVALUE(O331)))*1440,(IF(ISNUMBER(R331),MOD(R331,1),TIMEVALUE(R331))+1-IF(ISNUMBER(O331),MOD(O331,1),TIMEVALUE(O331)))*1440)),"")</f>
        <v/>
      </c>
      <c r="AC331" s="26">
        <f>IFERROR(IF(OR(R331="",S331=""),"",IF(IF(ISNUMBER(S331),MOD(S331,1),TIMEVALUE(S331))&gt;=IF(ISNUMBER(R331),MOD(R331,1),TIMEVALUE(R331)),(IF(ISNUMBER(S331),MOD(S331,1),TIMEVALUE(S331))-IF(ISNUMBER(R331),MOD(R331,1),TIMEVALUE(R331)))*1440,(IF(ISNUMBER(S331),MOD(S331,1),TIMEVALUE(S331))+1-IF(ISNUMBER(R331),MOD(R331,1),TIMEVALUE(R331)))*1440)),"")</f>
        <v/>
      </c>
      <c r="AD331" s="29" t="n"/>
      <c r="AE331" s="26">
        <f>IFERROR(IF(OR(AC331="",AD331=""),"",AC331-AD331),"")</f>
        <v/>
      </c>
      <c r="AF331" s="27">
        <f>IFERROR(IF(AE331="","",IF(ROUND(AE331,0)&gt;15,"Subestimacion",IF(ROUND(AE331,0)&lt;-15,"Sobrestimacion","Asertivo"))),"")</f>
        <v/>
      </c>
      <c r="AG331" s="19" t="n"/>
      <c r="AH331" s="19" t="n"/>
      <c r="AI331" s="19" t="n"/>
      <c r="AJ331" s="19" t="n"/>
      <c r="AK331" s="19" t="n"/>
      <c r="AL331" s="19" t="n"/>
      <c r="AM331" s="19" t="n"/>
      <c r="AN331" s="19" t="n"/>
      <c r="AO331" s="19" t="n"/>
      <c r="AP331" s="127">
        <f>IF(A331="","",A331-WEEKDAY(A331,2)+1)</f>
        <v/>
      </c>
      <c r="AQ331" s="127">
        <f>IF(AO331="","",AO331+6)</f>
        <v/>
      </c>
      <c r="AR331" s="19">
        <f>IF(AO331="","","Semana "&amp;TEXT(AO331,"dd-mm-yyyy")&amp;" al "&amp;TEXT(AP331,"dd-mm-yyyy"))</f>
        <v/>
      </c>
      <c r="AS331" s="19">
        <f>IF(A331="","",TEXT(A331,"mmmm yyyy"))</f>
        <v/>
      </c>
      <c r="AT331" s="19">
        <f>IF(A331="","",TEXT(A331,"dddd"))</f>
        <v/>
      </c>
      <c r="AU331" s="19">
        <f>IF(A331="","","CRR-"&amp;TEXT(A331,"yyyymmdd")&amp;"-"&amp;M331&amp;"-"&amp;TEXT(ROW()-3,"0000"))</f>
        <v/>
      </c>
      <c r="AV331" s="19">
        <f>IF(A331="","",IF(OR(B331="",C331="",E331="",F331="",M331="",N331=""),"Revisar campos obligatorios",IF(AND(P331="Atraso primera hora",Q331=""),"Falta justificación atraso primera hora",IF(AND(Z331="No cumple",AA331=""),"Falta justificación recambio &gt;15 min",IF(AND(ISNUMBER(SEARCH("suspend",N331)),OR(AG331="",AH331="")),"Falta causa/motivo suspensión","OK")))))</f>
        <v/>
      </c>
      <c r="AW331" s="19">
        <f>IF(N331="","",IF(ISNUMBER(SEARCH("suspend",N331)),IF(AND(AG331="",AH331=""),"Sin causa/motivo registrado",IF(AG331="",AH331,IF(AH331="",AG331,AG331&amp;": "&amp;AH331))),""))</f>
        <v/>
      </c>
    </row>
    <row r="332" ht="16" customHeight="1" s="151">
      <c r="A332" s="62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20">
        <f>IF(H332&lt;&gt;"",IFERROR(VLOOKUP(IFERROR(LEFT(H332,FIND("-",H332)-1),H332),'Catalogo MINSAL'!A:E,5,FALSE),""),IF(I332&lt;&gt;"",IFERROR(VLOOKUP(IFERROR(LEFT(I332,FIND("-",I332)-1),I332),'Catalogo MINSAL'!A:E,5,FALSE),""),""))</f>
        <v/>
      </c>
      <c r="K332" s="19" t="n"/>
      <c r="L332" s="19" t="n"/>
      <c r="M332" s="19" t="n"/>
      <c r="N332" s="19" t="n"/>
      <c r="O332" s="25" t="n"/>
      <c r="P332" s="27">
        <f>IFERROR(IF(OR(O332="",A332="",M332=""),"",IF(SUMPRODUCT(($A$4:$A$500=A332)*($M$4:$M$500=M332)*($O$4:$O$500&lt;&gt;"")*(MOD($O$4:$O$500,1)&lt;MOD(O332,1)))=0,IF(MOD(O332,1)&lt;=TIME(8,15,0),"Ingreso adecuado primera hora","Atraso primera hora"),"No aplica")),"")</f>
        <v/>
      </c>
      <c r="Q332" s="27" t="n"/>
      <c r="R332" s="25" t="n"/>
      <c r="S332" s="25" t="n"/>
      <c r="T332" s="25" t="n"/>
      <c r="U332" s="25">
        <f>IFERROR(VLOOKUP(M332,'Horario Pabellones'!$A$4:$D$17,2,FALSE),"")</f>
        <v/>
      </c>
      <c r="V332" s="25">
        <f>IFERROR(VLOOKUP(M332,'Horario Pabellones'!$A$4:$D$17,3,FALSE),"")</f>
        <v/>
      </c>
      <c r="W332" s="99">
        <f>IFERROR(VLOOKUP(M332,'Horario Pabellones'!$A$4:$D$17,4,FALSE),"")</f>
        <v/>
      </c>
      <c r="X332" s="89">
        <f>IFERROR(IF(OR(A332="",M332="",W332=""),"",(((_xludf.AGGREGATE(14,6,MOD($S$4:$S$500,1)/(($A$4:$A$500=A332)*($M$4:$M$500=M332)*($R$4:$R$500&lt;&gt;"")*($S$4:$S$500&lt;&gt;"")),1)-_xludf.AGGREGATE(15,6,MOD($R$4:$R$500,1)/(($A$4:$A$500=A332)*($M$4:$M$500=M332)*($R$4:$R$500&lt;&gt;"")*($S$4:$S$500&lt;&gt;"")),1))*1440)/60)/(W332/60)),"")</f>
        <v/>
      </c>
      <c r="Y332" s="26">
        <f>IFERROR(IF(OR(O332="",A332="",M332=""),"",(IF(ISNUMBER(O332),MOD(O332,1),TIMEVALUE(O332))-LOOKUP(2,1/(($A$4:$A$500=A332)*($M$4:$M$500=M332)*($T$4:$T$500&lt;&gt;"")*($T$4:$T$500&lt;IF(ISNUMBER(O332),MOD(O332,1),TIMEVALUE(O332)))),$T$4:$T$500))*1440),"")</f>
        <v/>
      </c>
      <c r="Z332" s="27">
        <f>IFERROR(IF(Y332="","",IF(ROUND(Y332,0)&lt;=15,"Cumple","No cumple")),"")</f>
        <v/>
      </c>
      <c r="AA332" s="27" t="n"/>
      <c r="AB332" s="26">
        <f>IFERROR(IF(OR(O332="",R332=""),"",IF(IF(ISNUMBER(R332),MOD(R332,1),TIMEVALUE(R332))&gt;=IF(ISNUMBER(O332),MOD(O332,1),TIMEVALUE(O332)),(IF(ISNUMBER(R332),MOD(R332,1),TIMEVALUE(R332))-IF(ISNUMBER(O332),MOD(O332,1),TIMEVALUE(O332)))*1440,(IF(ISNUMBER(R332),MOD(R332,1),TIMEVALUE(R332))+1-IF(ISNUMBER(O332),MOD(O332,1),TIMEVALUE(O332)))*1440)),"")</f>
        <v/>
      </c>
      <c r="AC332" s="26">
        <f>IFERROR(IF(OR(R332="",S332=""),"",IF(IF(ISNUMBER(S332),MOD(S332,1),TIMEVALUE(S332))&gt;=IF(ISNUMBER(R332),MOD(R332,1),TIMEVALUE(R332)),(IF(ISNUMBER(S332),MOD(S332,1),TIMEVALUE(S332))-IF(ISNUMBER(R332),MOD(R332,1),TIMEVALUE(R332)))*1440,(IF(ISNUMBER(S332),MOD(S332,1),TIMEVALUE(S332))+1-IF(ISNUMBER(R332),MOD(R332,1),TIMEVALUE(R332)))*1440)),"")</f>
        <v/>
      </c>
      <c r="AD332" s="29" t="n"/>
      <c r="AE332" s="26">
        <f>IFERROR(IF(OR(AC332="",AD332=""),"",AC332-AD332),"")</f>
        <v/>
      </c>
      <c r="AF332" s="27">
        <f>IFERROR(IF(AE332="","",IF(ROUND(AE332,0)&gt;15,"Subestimacion",IF(ROUND(AE332,0)&lt;-15,"Sobrestimacion","Asertivo"))),"")</f>
        <v/>
      </c>
      <c r="AG332" s="19" t="n"/>
      <c r="AH332" s="19" t="n"/>
      <c r="AI332" s="19" t="n"/>
      <c r="AJ332" s="19" t="n"/>
      <c r="AK332" s="19" t="n"/>
      <c r="AL332" s="19" t="n"/>
      <c r="AM332" s="19" t="n"/>
      <c r="AN332" s="19" t="n"/>
      <c r="AO332" s="19" t="n"/>
      <c r="AP332" s="127">
        <f>IF(A332="","",A332-WEEKDAY(A332,2)+1)</f>
        <v/>
      </c>
      <c r="AQ332" s="127">
        <f>IF(AO332="","",AO332+6)</f>
        <v/>
      </c>
      <c r="AR332" s="19">
        <f>IF(AO332="","","Semana "&amp;TEXT(AO332,"dd-mm-yyyy")&amp;" al "&amp;TEXT(AP332,"dd-mm-yyyy"))</f>
        <v/>
      </c>
      <c r="AS332" s="19">
        <f>IF(A332="","",TEXT(A332,"mmmm yyyy"))</f>
        <v/>
      </c>
      <c r="AT332" s="19">
        <f>IF(A332="","",TEXT(A332,"dddd"))</f>
        <v/>
      </c>
      <c r="AU332" s="19">
        <f>IF(A332="","","CRR-"&amp;TEXT(A332,"yyyymmdd")&amp;"-"&amp;M332&amp;"-"&amp;TEXT(ROW()-3,"0000"))</f>
        <v/>
      </c>
      <c r="AV332" s="19">
        <f>IF(A332="","",IF(OR(B332="",C332="",E332="",F332="",M332="",N332=""),"Revisar campos obligatorios",IF(AND(P332="Atraso primera hora",Q332=""),"Falta justificación atraso primera hora",IF(AND(Z332="No cumple",AA332=""),"Falta justificación recambio &gt;15 min",IF(AND(ISNUMBER(SEARCH("suspend",N332)),OR(AG332="",AH332="")),"Falta causa/motivo suspensión","OK")))))</f>
        <v/>
      </c>
      <c r="AW332" s="19">
        <f>IF(N332="","",IF(ISNUMBER(SEARCH("suspend",N332)),IF(AND(AG332="",AH332=""),"Sin causa/motivo registrado",IF(AG332="",AH332,IF(AH332="",AG332,AG332&amp;": "&amp;AH332))),""))</f>
        <v/>
      </c>
    </row>
    <row r="333" ht="16" customHeight="1" s="151">
      <c r="A333" s="62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20">
        <f>IF(H333&lt;&gt;"",IFERROR(VLOOKUP(IFERROR(LEFT(H333,FIND("-",H333)-1),H333),'Catalogo MINSAL'!A:E,5,FALSE),""),IF(I333&lt;&gt;"",IFERROR(VLOOKUP(IFERROR(LEFT(I333,FIND("-",I333)-1),I333),'Catalogo MINSAL'!A:E,5,FALSE),""),""))</f>
        <v/>
      </c>
      <c r="K333" s="19" t="n"/>
      <c r="L333" s="19" t="n"/>
      <c r="M333" s="19" t="n"/>
      <c r="N333" s="19" t="n"/>
      <c r="O333" s="25" t="n"/>
      <c r="P333" s="27">
        <f>IFERROR(IF(OR(O333="",A333="",M333=""),"",IF(SUMPRODUCT(($A$4:$A$500=A333)*($M$4:$M$500=M333)*($O$4:$O$500&lt;&gt;"")*(MOD($O$4:$O$500,1)&lt;MOD(O333,1)))=0,IF(MOD(O333,1)&lt;=TIME(8,15,0),"Ingreso adecuado primera hora","Atraso primera hora"),"No aplica")),"")</f>
        <v/>
      </c>
      <c r="Q333" s="27" t="n"/>
      <c r="R333" s="25" t="n"/>
      <c r="S333" s="25" t="n"/>
      <c r="T333" s="25" t="n"/>
      <c r="U333" s="25">
        <f>IFERROR(VLOOKUP(M333,'Horario Pabellones'!$A$4:$D$17,2,FALSE),"")</f>
        <v/>
      </c>
      <c r="V333" s="25">
        <f>IFERROR(VLOOKUP(M333,'Horario Pabellones'!$A$4:$D$17,3,FALSE),"")</f>
        <v/>
      </c>
      <c r="W333" s="99">
        <f>IFERROR(VLOOKUP(M333,'Horario Pabellones'!$A$4:$D$17,4,FALSE),"")</f>
        <v/>
      </c>
      <c r="X333" s="89">
        <f>IFERROR(IF(OR(A333="",M333="",W333=""),"",(((_xludf.AGGREGATE(14,6,MOD($S$4:$S$500,1)/(($A$4:$A$500=A333)*($M$4:$M$500=M333)*($R$4:$R$500&lt;&gt;"")*($S$4:$S$500&lt;&gt;"")),1)-_xludf.AGGREGATE(15,6,MOD($R$4:$R$500,1)/(($A$4:$A$500=A333)*($M$4:$M$500=M333)*($R$4:$R$500&lt;&gt;"")*($S$4:$S$500&lt;&gt;"")),1))*1440)/60)/(W333/60)),"")</f>
        <v/>
      </c>
      <c r="Y333" s="26">
        <f>IFERROR(IF(OR(O333="",A333="",M333=""),"",(IF(ISNUMBER(O333),MOD(O333,1),TIMEVALUE(O333))-LOOKUP(2,1/(($A$4:$A$500=A333)*($M$4:$M$500=M333)*($T$4:$T$500&lt;&gt;"")*($T$4:$T$500&lt;IF(ISNUMBER(O333),MOD(O333,1),TIMEVALUE(O333)))),$T$4:$T$500))*1440),"")</f>
        <v/>
      </c>
      <c r="Z333" s="27">
        <f>IFERROR(IF(Y333="","",IF(ROUND(Y333,0)&lt;=15,"Cumple","No cumple")),"")</f>
        <v/>
      </c>
      <c r="AA333" s="27" t="n"/>
      <c r="AB333" s="26">
        <f>IFERROR(IF(OR(O333="",R333=""),"",IF(IF(ISNUMBER(R333),MOD(R333,1),TIMEVALUE(R333))&gt;=IF(ISNUMBER(O333),MOD(O333,1),TIMEVALUE(O333)),(IF(ISNUMBER(R333),MOD(R333,1),TIMEVALUE(R333))-IF(ISNUMBER(O333),MOD(O333,1),TIMEVALUE(O333)))*1440,(IF(ISNUMBER(R333),MOD(R333,1),TIMEVALUE(R333))+1-IF(ISNUMBER(O333),MOD(O333,1),TIMEVALUE(O333)))*1440)),"")</f>
        <v/>
      </c>
      <c r="AC333" s="26">
        <f>IFERROR(IF(OR(R333="",S333=""),"",IF(IF(ISNUMBER(S333),MOD(S333,1),TIMEVALUE(S333))&gt;=IF(ISNUMBER(R333),MOD(R333,1),TIMEVALUE(R333)),(IF(ISNUMBER(S333),MOD(S333,1),TIMEVALUE(S333))-IF(ISNUMBER(R333),MOD(R333,1),TIMEVALUE(R333)))*1440,(IF(ISNUMBER(S333),MOD(S333,1),TIMEVALUE(S333))+1-IF(ISNUMBER(R333),MOD(R333,1),TIMEVALUE(R333)))*1440)),"")</f>
        <v/>
      </c>
      <c r="AD333" s="29" t="n"/>
      <c r="AE333" s="26">
        <f>IFERROR(IF(OR(AC333="",AD333=""),"",AC333-AD333),"")</f>
        <v/>
      </c>
      <c r="AF333" s="27">
        <f>IFERROR(IF(AE333="","",IF(ROUND(AE333,0)&gt;15,"Subestimacion",IF(ROUND(AE333,0)&lt;-15,"Sobrestimacion","Asertivo"))),"")</f>
        <v/>
      </c>
      <c r="AG333" s="19" t="n"/>
      <c r="AH333" s="19" t="n"/>
      <c r="AI333" s="19" t="n"/>
      <c r="AJ333" s="19" t="n"/>
      <c r="AK333" s="19" t="n"/>
      <c r="AL333" s="19" t="n"/>
      <c r="AM333" s="19" t="n"/>
      <c r="AN333" s="19" t="n"/>
      <c r="AO333" s="19" t="n"/>
      <c r="AP333" s="127">
        <f>IF(A333="","",A333-WEEKDAY(A333,2)+1)</f>
        <v/>
      </c>
      <c r="AQ333" s="127">
        <f>IF(AO333="","",AO333+6)</f>
        <v/>
      </c>
      <c r="AR333" s="19">
        <f>IF(AO333="","","Semana "&amp;TEXT(AO333,"dd-mm-yyyy")&amp;" al "&amp;TEXT(AP333,"dd-mm-yyyy"))</f>
        <v/>
      </c>
      <c r="AS333" s="19">
        <f>IF(A333="","",TEXT(A333,"mmmm yyyy"))</f>
        <v/>
      </c>
      <c r="AT333" s="19">
        <f>IF(A333="","",TEXT(A333,"dddd"))</f>
        <v/>
      </c>
      <c r="AU333" s="19">
        <f>IF(A333="","","CRR-"&amp;TEXT(A333,"yyyymmdd")&amp;"-"&amp;M333&amp;"-"&amp;TEXT(ROW()-3,"0000"))</f>
        <v/>
      </c>
      <c r="AV333" s="19">
        <f>IF(A333="","",IF(OR(B333="",C333="",E333="",F333="",M333="",N333=""),"Revisar campos obligatorios",IF(AND(P333="Atraso primera hora",Q333=""),"Falta justificación atraso primera hora",IF(AND(Z333="No cumple",AA333=""),"Falta justificación recambio &gt;15 min",IF(AND(ISNUMBER(SEARCH("suspend",N333)),OR(AG333="",AH333="")),"Falta causa/motivo suspensión","OK")))))</f>
        <v/>
      </c>
      <c r="AW333" s="19">
        <f>IF(N333="","",IF(ISNUMBER(SEARCH("suspend",N333)),IF(AND(AG333="",AH333=""),"Sin causa/motivo registrado",IF(AG333="",AH333,IF(AH333="",AG333,AG333&amp;": "&amp;AH333))),""))</f>
        <v/>
      </c>
    </row>
    <row r="334" ht="16" customHeight="1" s="151">
      <c r="A334" s="62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20">
        <f>IF(H334&lt;&gt;"",IFERROR(VLOOKUP(IFERROR(LEFT(H334,FIND("-",H334)-1),H334),'Catalogo MINSAL'!A:E,5,FALSE),""),IF(I334&lt;&gt;"",IFERROR(VLOOKUP(IFERROR(LEFT(I334,FIND("-",I334)-1),I334),'Catalogo MINSAL'!A:E,5,FALSE),""),""))</f>
        <v/>
      </c>
      <c r="K334" s="19" t="n"/>
      <c r="L334" s="19" t="n"/>
      <c r="M334" s="19" t="n"/>
      <c r="N334" s="19" t="n"/>
      <c r="O334" s="25" t="n"/>
      <c r="P334" s="27">
        <f>IFERROR(IF(OR(O334="",A334="",M334=""),"",IF(SUMPRODUCT(($A$4:$A$500=A334)*($M$4:$M$500=M334)*($O$4:$O$500&lt;&gt;"")*(MOD($O$4:$O$500,1)&lt;MOD(O334,1)))=0,IF(MOD(O334,1)&lt;=TIME(8,15,0),"Ingreso adecuado primera hora","Atraso primera hora"),"No aplica")),"")</f>
        <v/>
      </c>
      <c r="Q334" s="27" t="n"/>
      <c r="R334" s="25" t="n"/>
      <c r="S334" s="25" t="n"/>
      <c r="T334" s="25" t="n"/>
      <c r="U334" s="25">
        <f>IFERROR(VLOOKUP(M334,'Horario Pabellones'!$A$4:$D$17,2,FALSE),"")</f>
        <v/>
      </c>
      <c r="V334" s="25">
        <f>IFERROR(VLOOKUP(M334,'Horario Pabellones'!$A$4:$D$17,3,FALSE),"")</f>
        <v/>
      </c>
      <c r="W334" s="99">
        <f>IFERROR(VLOOKUP(M334,'Horario Pabellones'!$A$4:$D$17,4,FALSE),"")</f>
        <v/>
      </c>
      <c r="X334" s="89">
        <f>IFERROR(IF(OR(A334="",M334="",W334=""),"",(((_xludf.AGGREGATE(14,6,MOD($S$4:$S$500,1)/(($A$4:$A$500=A334)*($M$4:$M$500=M334)*($R$4:$R$500&lt;&gt;"")*($S$4:$S$500&lt;&gt;"")),1)-_xludf.AGGREGATE(15,6,MOD($R$4:$R$500,1)/(($A$4:$A$500=A334)*($M$4:$M$500=M334)*($R$4:$R$500&lt;&gt;"")*($S$4:$S$500&lt;&gt;"")),1))*1440)/60)/(W334/60)),"")</f>
        <v/>
      </c>
      <c r="Y334" s="26">
        <f>IFERROR(IF(OR(O334="",A334="",M334=""),"",(IF(ISNUMBER(O334),MOD(O334,1),TIMEVALUE(O334))-LOOKUP(2,1/(($A$4:$A$500=A334)*($M$4:$M$500=M334)*($T$4:$T$500&lt;&gt;"")*($T$4:$T$500&lt;IF(ISNUMBER(O334),MOD(O334,1),TIMEVALUE(O334)))),$T$4:$T$500))*1440),"")</f>
        <v/>
      </c>
      <c r="Z334" s="27">
        <f>IFERROR(IF(Y334="","",IF(ROUND(Y334,0)&lt;=15,"Cumple","No cumple")),"")</f>
        <v/>
      </c>
      <c r="AA334" s="27" t="n"/>
      <c r="AB334" s="26">
        <f>IFERROR(IF(OR(O334="",R334=""),"",IF(IF(ISNUMBER(R334),MOD(R334,1),TIMEVALUE(R334))&gt;=IF(ISNUMBER(O334),MOD(O334,1),TIMEVALUE(O334)),(IF(ISNUMBER(R334),MOD(R334,1),TIMEVALUE(R334))-IF(ISNUMBER(O334),MOD(O334,1),TIMEVALUE(O334)))*1440,(IF(ISNUMBER(R334),MOD(R334,1),TIMEVALUE(R334))+1-IF(ISNUMBER(O334),MOD(O334,1),TIMEVALUE(O334)))*1440)),"")</f>
        <v/>
      </c>
      <c r="AC334" s="26">
        <f>IFERROR(IF(OR(R334="",S334=""),"",IF(IF(ISNUMBER(S334),MOD(S334,1),TIMEVALUE(S334))&gt;=IF(ISNUMBER(R334),MOD(R334,1),TIMEVALUE(R334)),(IF(ISNUMBER(S334),MOD(S334,1),TIMEVALUE(S334))-IF(ISNUMBER(R334),MOD(R334,1),TIMEVALUE(R334)))*1440,(IF(ISNUMBER(S334),MOD(S334,1),TIMEVALUE(S334))+1-IF(ISNUMBER(R334),MOD(R334,1),TIMEVALUE(R334)))*1440)),"")</f>
        <v/>
      </c>
      <c r="AD334" s="29" t="n"/>
      <c r="AE334" s="26">
        <f>IFERROR(IF(OR(AC334="",AD334=""),"",AC334-AD334),"")</f>
        <v/>
      </c>
      <c r="AF334" s="27">
        <f>IFERROR(IF(AE334="","",IF(ROUND(AE334,0)&gt;15,"Subestimacion",IF(ROUND(AE334,0)&lt;-15,"Sobrestimacion","Asertivo"))),"")</f>
        <v/>
      </c>
      <c r="AG334" s="19" t="n"/>
      <c r="AH334" s="19" t="n"/>
      <c r="AI334" s="19" t="n"/>
      <c r="AJ334" s="19" t="n"/>
      <c r="AK334" s="19" t="n"/>
      <c r="AL334" s="19" t="n"/>
      <c r="AM334" s="19" t="n"/>
      <c r="AN334" s="19" t="n"/>
      <c r="AO334" s="19" t="n"/>
      <c r="AP334" s="127">
        <f>IF(A334="","",A334-WEEKDAY(A334,2)+1)</f>
        <v/>
      </c>
      <c r="AQ334" s="127">
        <f>IF(AO334="","",AO334+6)</f>
        <v/>
      </c>
      <c r="AR334" s="19">
        <f>IF(AO334="","","Semana "&amp;TEXT(AO334,"dd-mm-yyyy")&amp;" al "&amp;TEXT(AP334,"dd-mm-yyyy"))</f>
        <v/>
      </c>
      <c r="AS334" s="19">
        <f>IF(A334="","",TEXT(A334,"mmmm yyyy"))</f>
        <v/>
      </c>
      <c r="AT334" s="19">
        <f>IF(A334="","",TEXT(A334,"dddd"))</f>
        <v/>
      </c>
      <c r="AU334" s="19">
        <f>IF(A334="","","CRR-"&amp;TEXT(A334,"yyyymmdd")&amp;"-"&amp;M334&amp;"-"&amp;TEXT(ROW()-3,"0000"))</f>
        <v/>
      </c>
      <c r="AV334" s="19">
        <f>IF(A334="","",IF(OR(B334="",C334="",E334="",F334="",M334="",N334=""),"Revisar campos obligatorios",IF(AND(P334="Atraso primera hora",Q334=""),"Falta justificación atraso primera hora",IF(AND(Z334="No cumple",AA334=""),"Falta justificación recambio &gt;15 min",IF(AND(ISNUMBER(SEARCH("suspend",N334)),OR(AG334="",AH334="")),"Falta causa/motivo suspensión","OK")))))</f>
        <v/>
      </c>
      <c r="AW334" s="19">
        <f>IF(N334="","",IF(ISNUMBER(SEARCH("suspend",N334)),IF(AND(AG334="",AH334=""),"Sin causa/motivo registrado",IF(AG334="",AH334,IF(AH334="",AG334,AG334&amp;": "&amp;AH334))),""))</f>
        <v/>
      </c>
    </row>
    <row r="335" ht="16" customHeight="1" s="151">
      <c r="A335" s="62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20">
        <f>IF(H335&lt;&gt;"",IFERROR(VLOOKUP(IFERROR(LEFT(H335,FIND("-",H335)-1),H335),'Catalogo MINSAL'!A:E,5,FALSE),""),IF(I335&lt;&gt;"",IFERROR(VLOOKUP(IFERROR(LEFT(I335,FIND("-",I335)-1),I335),'Catalogo MINSAL'!A:E,5,FALSE),""),""))</f>
        <v/>
      </c>
      <c r="K335" s="19" t="n"/>
      <c r="L335" s="19" t="n"/>
      <c r="M335" s="19" t="n"/>
      <c r="N335" s="19" t="n"/>
      <c r="O335" s="25" t="n"/>
      <c r="P335" s="27">
        <f>IFERROR(IF(OR(O335="",A335="",M335=""),"",IF(SUMPRODUCT(($A$4:$A$500=A335)*($M$4:$M$500=M335)*($O$4:$O$500&lt;&gt;"")*(MOD($O$4:$O$500,1)&lt;MOD(O335,1)))=0,IF(MOD(O335,1)&lt;=TIME(8,15,0),"Ingreso adecuado primera hora","Atraso primera hora"),"No aplica")),"")</f>
        <v/>
      </c>
      <c r="Q335" s="27" t="n"/>
      <c r="R335" s="25" t="n"/>
      <c r="S335" s="25" t="n"/>
      <c r="T335" s="25" t="n"/>
      <c r="U335" s="25">
        <f>IFERROR(VLOOKUP(M335,'Horario Pabellones'!$A$4:$D$17,2,FALSE),"")</f>
        <v/>
      </c>
      <c r="V335" s="25">
        <f>IFERROR(VLOOKUP(M335,'Horario Pabellones'!$A$4:$D$17,3,FALSE),"")</f>
        <v/>
      </c>
      <c r="W335" s="99">
        <f>IFERROR(VLOOKUP(M335,'Horario Pabellones'!$A$4:$D$17,4,FALSE),"")</f>
        <v/>
      </c>
      <c r="X335" s="89">
        <f>IFERROR(IF(OR(A335="",M335="",W335=""),"",(((_xludf.AGGREGATE(14,6,MOD($S$4:$S$500,1)/(($A$4:$A$500=A335)*($M$4:$M$500=M335)*($R$4:$R$500&lt;&gt;"")*($S$4:$S$500&lt;&gt;"")),1)-_xludf.AGGREGATE(15,6,MOD($R$4:$R$500,1)/(($A$4:$A$500=A335)*($M$4:$M$500=M335)*($R$4:$R$500&lt;&gt;"")*($S$4:$S$500&lt;&gt;"")),1))*1440)/60)/(W335/60)),"")</f>
        <v/>
      </c>
      <c r="Y335" s="26">
        <f>IFERROR(IF(OR(O335="",A335="",M335=""),"",(IF(ISNUMBER(O335),MOD(O335,1),TIMEVALUE(O335))-LOOKUP(2,1/(($A$4:$A$500=A335)*($M$4:$M$500=M335)*($T$4:$T$500&lt;&gt;"")*($T$4:$T$500&lt;IF(ISNUMBER(O335),MOD(O335,1),TIMEVALUE(O335)))),$T$4:$T$500))*1440),"")</f>
        <v/>
      </c>
      <c r="Z335" s="27">
        <f>IFERROR(IF(Y335="","",IF(ROUND(Y335,0)&lt;=15,"Cumple","No cumple")),"")</f>
        <v/>
      </c>
      <c r="AA335" s="27" t="n"/>
      <c r="AB335" s="26">
        <f>IFERROR(IF(OR(O335="",R335=""),"",IF(IF(ISNUMBER(R335),MOD(R335,1),TIMEVALUE(R335))&gt;=IF(ISNUMBER(O335),MOD(O335,1),TIMEVALUE(O335)),(IF(ISNUMBER(R335),MOD(R335,1),TIMEVALUE(R335))-IF(ISNUMBER(O335),MOD(O335,1),TIMEVALUE(O335)))*1440,(IF(ISNUMBER(R335),MOD(R335,1),TIMEVALUE(R335))+1-IF(ISNUMBER(O335),MOD(O335,1),TIMEVALUE(O335)))*1440)),"")</f>
        <v/>
      </c>
      <c r="AC335" s="26">
        <f>IFERROR(IF(OR(R335="",S335=""),"",IF(IF(ISNUMBER(S335),MOD(S335,1),TIMEVALUE(S335))&gt;=IF(ISNUMBER(R335),MOD(R335,1),TIMEVALUE(R335)),(IF(ISNUMBER(S335),MOD(S335,1),TIMEVALUE(S335))-IF(ISNUMBER(R335),MOD(R335,1),TIMEVALUE(R335)))*1440,(IF(ISNUMBER(S335),MOD(S335,1),TIMEVALUE(S335))+1-IF(ISNUMBER(R335),MOD(R335,1),TIMEVALUE(R335)))*1440)),"")</f>
        <v/>
      </c>
      <c r="AD335" s="29" t="n"/>
      <c r="AE335" s="26">
        <f>IFERROR(IF(OR(AC335="",AD335=""),"",AC335-AD335),"")</f>
        <v/>
      </c>
      <c r="AF335" s="27">
        <f>IFERROR(IF(AE335="","",IF(ROUND(AE335,0)&gt;15,"Subestimacion",IF(ROUND(AE335,0)&lt;-15,"Sobrestimacion","Asertivo"))),"")</f>
        <v/>
      </c>
      <c r="AG335" s="19" t="n"/>
      <c r="AH335" s="19" t="n"/>
      <c r="AI335" s="19" t="n"/>
      <c r="AJ335" s="19" t="n"/>
      <c r="AK335" s="19" t="n"/>
      <c r="AL335" s="19" t="n"/>
      <c r="AM335" s="19" t="n"/>
      <c r="AN335" s="19" t="n"/>
      <c r="AO335" s="19" t="n"/>
      <c r="AP335" s="127">
        <f>IF(A335="","",A335-WEEKDAY(A335,2)+1)</f>
        <v/>
      </c>
      <c r="AQ335" s="127">
        <f>IF(AO335="","",AO335+6)</f>
        <v/>
      </c>
      <c r="AR335" s="19">
        <f>IF(AO335="","","Semana "&amp;TEXT(AO335,"dd-mm-yyyy")&amp;" al "&amp;TEXT(AP335,"dd-mm-yyyy"))</f>
        <v/>
      </c>
      <c r="AS335" s="19">
        <f>IF(A335="","",TEXT(A335,"mmmm yyyy"))</f>
        <v/>
      </c>
      <c r="AT335" s="19">
        <f>IF(A335="","",TEXT(A335,"dddd"))</f>
        <v/>
      </c>
      <c r="AU335" s="19">
        <f>IF(A335="","","CRR-"&amp;TEXT(A335,"yyyymmdd")&amp;"-"&amp;M335&amp;"-"&amp;TEXT(ROW()-3,"0000"))</f>
        <v/>
      </c>
      <c r="AV335" s="19">
        <f>IF(A335="","",IF(OR(B335="",C335="",E335="",F335="",M335="",N335=""),"Revisar campos obligatorios",IF(AND(P335="Atraso primera hora",Q335=""),"Falta justificación atraso primera hora",IF(AND(Z335="No cumple",AA335=""),"Falta justificación recambio &gt;15 min",IF(AND(ISNUMBER(SEARCH("suspend",N335)),OR(AG335="",AH335="")),"Falta causa/motivo suspensión","OK")))))</f>
        <v/>
      </c>
      <c r="AW335" s="19">
        <f>IF(N335="","",IF(ISNUMBER(SEARCH("suspend",N335)),IF(AND(AG335="",AH335=""),"Sin causa/motivo registrado",IF(AG335="",AH335,IF(AH335="",AG335,AG335&amp;": "&amp;AH335))),""))</f>
        <v/>
      </c>
    </row>
    <row r="336" ht="16" customHeight="1" s="151">
      <c r="A336" s="62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20">
        <f>IF(H336&lt;&gt;"",IFERROR(VLOOKUP(IFERROR(LEFT(H336,FIND("-",H336)-1),H336),'Catalogo MINSAL'!A:E,5,FALSE),""),IF(I336&lt;&gt;"",IFERROR(VLOOKUP(IFERROR(LEFT(I336,FIND("-",I336)-1),I336),'Catalogo MINSAL'!A:E,5,FALSE),""),""))</f>
        <v/>
      </c>
      <c r="K336" s="19" t="n"/>
      <c r="L336" s="19" t="n"/>
      <c r="M336" s="19" t="n"/>
      <c r="N336" s="19" t="n"/>
      <c r="O336" s="25" t="n"/>
      <c r="P336" s="27">
        <f>IFERROR(IF(OR(O336="",A336="",M336=""),"",IF(SUMPRODUCT(($A$4:$A$500=A336)*($M$4:$M$500=M336)*($O$4:$O$500&lt;&gt;"")*(MOD($O$4:$O$500,1)&lt;MOD(O336,1)))=0,IF(MOD(O336,1)&lt;=TIME(8,15,0),"Ingreso adecuado primera hora","Atraso primera hora"),"No aplica")),"")</f>
        <v/>
      </c>
      <c r="Q336" s="27" t="n"/>
      <c r="R336" s="25" t="n"/>
      <c r="S336" s="25" t="n"/>
      <c r="T336" s="25" t="n"/>
      <c r="U336" s="25">
        <f>IFERROR(VLOOKUP(M336,'Horario Pabellones'!$A$4:$D$17,2,FALSE),"")</f>
        <v/>
      </c>
      <c r="V336" s="25">
        <f>IFERROR(VLOOKUP(M336,'Horario Pabellones'!$A$4:$D$17,3,FALSE),"")</f>
        <v/>
      </c>
      <c r="W336" s="99">
        <f>IFERROR(VLOOKUP(M336,'Horario Pabellones'!$A$4:$D$17,4,FALSE),"")</f>
        <v/>
      </c>
      <c r="X336" s="89">
        <f>IFERROR(IF(OR(A336="",M336="",W336=""),"",(((_xludf.AGGREGATE(14,6,MOD($S$4:$S$500,1)/(($A$4:$A$500=A336)*($M$4:$M$500=M336)*($R$4:$R$500&lt;&gt;"")*($S$4:$S$500&lt;&gt;"")),1)-_xludf.AGGREGATE(15,6,MOD($R$4:$R$500,1)/(($A$4:$A$500=A336)*($M$4:$M$500=M336)*($R$4:$R$500&lt;&gt;"")*($S$4:$S$500&lt;&gt;"")),1))*1440)/60)/(W336/60)),"")</f>
        <v/>
      </c>
      <c r="Y336" s="26">
        <f>IFERROR(IF(OR(O336="",A336="",M336=""),"",(IF(ISNUMBER(O336),MOD(O336,1),TIMEVALUE(O336))-LOOKUP(2,1/(($A$4:$A$500=A336)*($M$4:$M$500=M336)*($T$4:$T$500&lt;&gt;"")*($T$4:$T$500&lt;IF(ISNUMBER(O336),MOD(O336,1),TIMEVALUE(O336)))),$T$4:$T$500))*1440),"")</f>
        <v/>
      </c>
      <c r="Z336" s="27">
        <f>IFERROR(IF(Y336="","",IF(ROUND(Y336,0)&lt;=15,"Cumple","No cumple")),"")</f>
        <v/>
      </c>
      <c r="AA336" s="27" t="n"/>
      <c r="AB336" s="26">
        <f>IFERROR(IF(OR(O336="",R336=""),"",IF(IF(ISNUMBER(R336),MOD(R336,1),TIMEVALUE(R336))&gt;=IF(ISNUMBER(O336),MOD(O336,1),TIMEVALUE(O336)),(IF(ISNUMBER(R336),MOD(R336,1),TIMEVALUE(R336))-IF(ISNUMBER(O336),MOD(O336,1),TIMEVALUE(O336)))*1440,(IF(ISNUMBER(R336),MOD(R336,1),TIMEVALUE(R336))+1-IF(ISNUMBER(O336),MOD(O336,1),TIMEVALUE(O336)))*1440)),"")</f>
        <v/>
      </c>
      <c r="AC336" s="26">
        <f>IFERROR(IF(OR(R336="",S336=""),"",IF(IF(ISNUMBER(S336),MOD(S336,1),TIMEVALUE(S336))&gt;=IF(ISNUMBER(R336),MOD(R336,1),TIMEVALUE(R336)),(IF(ISNUMBER(S336),MOD(S336,1),TIMEVALUE(S336))-IF(ISNUMBER(R336),MOD(R336,1),TIMEVALUE(R336)))*1440,(IF(ISNUMBER(S336),MOD(S336,1),TIMEVALUE(S336))+1-IF(ISNUMBER(R336),MOD(R336,1),TIMEVALUE(R336)))*1440)),"")</f>
        <v/>
      </c>
      <c r="AD336" s="29" t="n"/>
      <c r="AE336" s="26">
        <f>IFERROR(IF(OR(AC336="",AD336=""),"",AC336-AD336),"")</f>
        <v/>
      </c>
      <c r="AF336" s="27">
        <f>IFERROR(IF(AE336="","",IF(ROUND(AE336,0)&gt;15,"Subestimacion",IF(ROUND(AE336,0)&lt;-15,"Sobrestimacion","Asertivo"))),"")</f>
        <v/>
      </c>
      <c r="AG336" s="19" t="n"/>
      <c r="AH336" s="19" t="n"/>
      <c r="AI336" s="19" t="n"/>
      <c r="AJ336" s="19" t="n"/>
      <c r="AK336" s="19" t="n"/>
      <c r="AL336" s="19" t="n"/>
      <c r="AM336" s="19" t="n"/>
      <c r="AN336" s="19" t="n"/>
      <c r="AO336" s="19" t="n"/>
      <c r="AP336" s="127">
        <f>IF(A336="","",A336-WEEKDAY(A336,2)+1)</f>
        <v/>
      </c>
      <c r="AQ336" s="127">
        <f>IF(AO336="","",AO336+6)</f>
        <v/>
      </c>
      <c r="AR336" s="19">
        <f>IF(AO336="","","Semana "&amp;TEXT(AO336,"dd-mm-yyyy")&amp;" al "&amp;TEXT(AP336,"dd-mm-yyyy"))</f>
        <v/>
      </c>
      <c r="AS336" s="19">
        <f>IF(A336="","",TEXT(A336,"mmmm yyyy"))</f>
        <v/>
      </c>
      <c r="AT336" s="19">
        <f>IF(A336="","",TEXT(A336,"dddd"))</f>
        <v/>
      </c>
      <c r="AU336" s="19">
        <f>IF(A336="","","CRR-"&amp;TEXT(A336,"yyyymmdd")&amp;"-"&amp;M336&amp;"-"&amp;TEXT(ROW()-3,"0000"))</f>
        <v/>
      </c>
      <c r="AV336" s="19">
        <f>IF(A336="","",IF(OR(B336="",C336="",E336="",F336="",M336="",N336=""),"Revisar campos obligatorios",IF(AND(P336="Atraso primera hora",Q336=""),"Falta justificación atraso primera hora",IF(AND(Z336="No cumple",AA336=""),"Falta justificación recambio &gt;15 min",IF(AND(ISNUMBER(SEARCH("suspend",N336)),OR(AG336="",AH336="")),"Falta causa/motivo suspensión","OK")))))</f>
        <v/>
      </c>
      <c r="AW336" s="19">
        <f>IF(N336="","",IF(ISNUMBER(SEARCH("suspend",N336)),IF(AND(AG336="",AH336=""),"Sin causa/motivo registrado",IF(AG336="",AH336,IF(AH336="",AG336,AG336&amp;": "&amp;AH336))),""))</f>
        <v/>
      </c>
    </row>
    <row r="337" ht="16" customHeight="1" s="151">
      <c r="A337" s="62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20">
        <f>IF(H337&lt;&gt;"",IFERROR(VLOOKUP(IFERROR(LEFT(H337,FIND("-",H337)-1),H337),'Catalogo MINSAL'!A:E,5,FALSE),""),IF(I337&lt;&gt;"",IFERROR(VLOOKUP(IFERROR(LEFT(I337,FIND("-",I337)-1),I337),'Catalogo MINSAL'!A:E,5,FALSE),""),""))</f>
        <v/>
      </c>
      <c r="K337" s="19" t="n"/>
      <c r="L337" s="19" t="n"/>
      <c r="M337" s="19" t="n"/>
      <c r="N337" s="19" t="n"/>
      <c r="O337" s="25" t="n"/>
      <c r="P337" s="27">
        <f>IFERROR(IF(OR(O337="",A337="",M337=""),"",IF(SUMPRODUCT(($A$4:$A$500=A337)*($M$4:$M$500=M337)*($O$4:$O$500&lt;&gt;"")*(MOD($O$4:$O$500,1)&lt;MOD(O337,1)))=0,IF(MOD(O337,1)&lt;=TIME(8,15,0),"Ingreso adecuado primera hora","Atraso primera hora"),"No aplica")),"")</f>
        <v/>
      </c>
      <c r="Q337" s="27" t="n"/>
      <c r="R337" s="25" t="n"/>
      <c r="S337" s="25" t="n"/>
      <c r="T337" s="25" t="n"/>
      <c r="U337" s="25">
        <f>IFERROR(VLOOKUP(M337,'Horario Pabellones'!$A$4:$D$17,2,FALSE),"")</f>
        <v/>
      </c>
      <c r="V337" s="25">
        <f>IFERROR(VLOOKUP(M337,'Horario Pabellones'!$A$4:$D$17,3,FALSE),"")</f>
        <v/>
      </c>
      <c r="W337" s="99">
        <f>IFERROR(VLOOKUP(M337,'Horario Pabellones'!$A$4:$D$17,4,FALSE),"")</f>
        <v/>
      </c>
      <c r="X337" s="89">
        <f>IFERROR(IF(OR(A337="",M337="",W337=""),"",(((_xludf.AGGREGATE(14,6,MOD($S$4:$S$500,1)/(($A$4:$A$500=A337)*($M$4:$M$500=M337)*($R$4:$R$500&lt;&gt;"")*($S$4:$S$500&lt;&gt;"")),1)-_xludf.AGGREGATE(15,6,MOD($R$4:$R$500,1)/(($A$4:$A$500=A337)*($M$4:$M$500=M337)*($R$4:$R$500&lt;&gt;"")*($S$4:$S$500&lt;&gt;"")),1))*1440)/60)/(W337/60)),"")</f>
        <v/>
      </c>
      <c r="Y337" s="26">
        <f>IFERROR(IF(OR(O337="",A337="",M337=""),"",(IF(ISNUMBER(O337),MOD(O337,1),TIMEVALUE(O337))-LOOKUP(2,1/(($A$4:$A$500=A337)*($M$4:$M$500=M337)*($T$4:$T$500&lt;&gt;"")*($T$4:$T$500&lt;IF(ISNUMBER(O337),MOD(O337,1),TIMEVALUE(O337)))),$T$4:$T$500))*1440),"")</f>
        <v/>
      </c>
      <c r="Z337" s="27">
        <f>IFERROR(IF(Y337="","",IF(ROUND(Y337,0)&lt;=15,"Cumple","No cumple")),"")</f>
        <v/>
      </c>
      <c r="AA337" s="27" t="n"/>
      <c r="AB337" s="26">
        <f>IFERROR(IF(OR(O337="",R337=""),"",IF(IF(ISNUMBER(R337),MOD(R337,1),TIMEVALUE(R337))&gt;=IF(ISNUMBER(O337),MOD(O337,1),TIMEVALUE(O337)),(IF(ISNUMBER(R337),MOD(R337,1),TIMEVALUE(R337))-IF(ISNUMBER(O337),MOD(O337,1),TIMEVALUE(O337)))*1440,(IF(ISNUMBER(R337),MOD(R337,1),TIMEVALUE(R337))+1-IF(ISNUMBER(O337),MOD(O337,1),TIMEVALUE(O337)))*1440)),"")</f>
        <v/>
      </c>
      <c r="AC337" s="26">
        <f>IFERROR(IF(OR(R337="",S337=""),"",IF(IF(ISNUMBER(S337),MOD(S337,1),TIMEVALUE(S337))&gt;=IF(ISNUMBER(R337),MOD(R337,1),TIMEVALUE(R337)),(IF(ISNUMBER(S337),MOD(S337,1),TIMEVALUE(S337))-IF(ISNUMBER(R337),MOD(R337,1),TIMEVALUE(R337)))*1440,(IF(ISNUMBER(S337),MOD(S337,1),TIMEVALUE(S337))+1-IF(ISNUMBER(R337),MOD(R337,1),TIMEVALUE(R337)))*1440)),"")</f>
        <v/>
      </c>
      <c r="AD337" s="29" t="n"/>
      <c r="AE337" s="26">
        <f>IFERROR(IF(OR(AC337="",AD337=""),"",AC337-AD337),"")</f>
        <v/>
      </c>
      <c r="AF337" s="27">
        <f>IFERROR(IF(AE337="","",IF(ROUND(AE337,0)&gt;15,"Subestimacion",IF(ROUND(AE337,0)&lt;-15,"Sobrestimacion","Asertivo"))),"")</f>
        <v/>
      </c>
      <c r="AG337" s="19" t="n"/>
      <c r="AH337" s="19" t="n"/>
      <c r="AI337" s="19" t="n"/>
      <c r="AJ337" s="19" t="n"/>
      <c r="AK337" s="19" t="n"/>
      <c r="AL337" s="19" t="n"/>
      <c r="AM337" s="19" t="n"/>
      <c r="AN337" s="19" t="n"/>
      <c r="AO337" s="19" t="n"/>
      <c r="AP337" s="127">
        <f>IF(A337="","",A337-WEEKDAY(A337,2)+1)</f>
        <v/>
      </c>
      <c r="AQ337" s="127">
        <f>IF(AO337="","",AO337+6)</f>
        <v/>
      </c>
      <c r="AR337" s="19">
        <f>IF(AO337="","","Semana "&amp;TEXT(AO337,"dd-mm-yyyy")&amp;" al "&amp;TEXT(AP337,"dd-mm-yyyy"))</f>
        <v/>
      </c>
      <c r="AS337" s="19">
        <f>IF(A337="","",TEXT(A337,"mmmm yyyy"))</f>
        <v/>
      </c>
      <c r="AT337" s="19">
        <f>IF(A337="","",TEXT(A337,"dddd"))</f>
        <v/>
      </c>
      <c r="AU337" s="19">
        <f>IF(A337="","","CRR-"&amp;TEXT(A337,"yyyymmdd")&amp;"-"&amp;M337&amp;"-"&amp;TEXT(ROW()-3,"0000"))</f>
        <v/>
      </c>
      <c r="AV337" s="19">
        <f>IF(A337="","",IF(OR(B337="",C337="",E337="",F337="",M337="",N337=""),"Revisar campos obligatorios",IF(AND(P337="Atraso primera hora",Q337=""),"Falta justificación atraso primera hora",IF(AND(Z337="No cumple",AA337=""),"Falta justificación recambio &gt;15 min",IF(AND(ISNUMBER(SEARCH("suspend",N337)),OR(AG337="",AH337="")),"Falta causa/motivo suspensión","OK")))))</f>
        <v/>
      </c>
      <c r="AW337" s="19">
        <f>IF(N337="","",IF(ISNUMBER(SEARCH("suspend",N337)),IF(AND(AG337="",AH337=""),"Sin causa/motivo registrado",IF(AG337="",AH337,IF(AH337="",AG337,AG337&amp;": "&amp;AH337))),""))</f>
        <v/>
      </c>
    </row>
    <row r="338" ht="16" customHeight="1" s="151">
      <c r="A338" s="62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20">
        <f>IF(H338&lt;&gt;"",IFERROR(VLOOKUP(IFERROR(LEFT(H338,FIND("-",H338)-1),H338),'Catalogo MINSAL'!A:E,5,FALSE),""),IF(I338&lt;&gt;"",IFERROR(VLOOKUP(IFERROR(LEFT(I338,FIND("-",I338)-1),I338),'Catalogo MINSAL'!A:E,5,FALSE),""),""))</f>
        <v/>
      </c>
      <c r="K338" s="19" t="n"/>
      <c r="L338" s="19" t="n"/>
      <c r="M338" s="19" t="n"/>
      <c r="N338" s="19" t="n"/>
      <c r="O338" s="25" t="n"/>
      <c r="P338" s="27">
        <f>IFERROR(IF(OR(O338="",A338="",M338=""),"",IF(SUMPRODUCT(($A$4:$A$500=A338)*($M$4:$M$500=M338)*($O$4:$O$500&lt;&gt;"")*(MOD($O$4:$O$500,1)&lt;MOD(O338,1)))=0,IF(MOD(O338,1)&lt;=TIME(8,15,0),"Ingreso adecuado primera hora","Atraso primera hora"),"No aplica")),"")</f>
        <v/>
      </c>
      <c r="Q338" s="27" t="n"/>
      <c r="R338" s="25" t="n"/>
      <c r="S338" s="25" t="n"/>
      <c r="T338" s="25" t="n"/>
      <c r="U338" s="25">
        <f>IFERROR(VLOOKUP(M338,'Horario Pabellones'!$A$4:$D$17,2,FALSE),"")</f>
        <v/>
      </c>
      <c r="V338" s="25">
        <f>IFERROR(VLOOKUP(M338,'Horario Pabellones'!$A$4:$D$17,3,FALSE),"")</f>
        <v/>
      </c>
      <c r="W338" s="99">
        <f>IFERROR(VLOOKUP(M338,'Horario Pabellones'!$A$4:$D$17,4,FALSE),"")</f>
        <v/>
      </c>
      <c r="X338" s="89">
        <f>IFERROR(IF(OR(A338="",M338="",W338=""),"",(((_xludf.AGGREGATE(14,6,MOD($S$4:$S$500,1)/(($A$4:$A$500=A338)*($M$4:$M$500=M338)*($R$4:$R$500&lt;&gt;"")*($S$4:$S$500&lt;&gt;"")),1)-_xludf.AGGREGATE(15,6,MOD($R$4:$R$500,1)/(($A$4:$A$500=A338)*($M$4:$M$500=M338)*($R$4:$R$500&lt;&gt;"")*($S$4:$S$500&lt;&gt;"")),1))*1440)/60)/(W338/60)),"")</f>
        <v/>
      </c>
      <c r="Y338" s="26">
        <f>IFERROR(IF(OR(O338="",A338="",M338=""),"",(IF(ISNUMBER(O338),MOD(O338,1),TIMEVALUE(O338))-LOOKUP(2,1/(($A$4:$A$500=A338)*($M$4:$M$500=M338)*($T$4:$T$500&lt;&gt;"")*($T$4:$T$500&lt;IF(ISNUMBER(O338),MOD(O338,1),TIMEVALUE(O338)))),$T$4:$T$500))*1440),"")</f>
        <v/>
      </c>
      <c r="Z338" s="27">
        <f>IFERROR(IF(Y338="","",IF(ROUND(Y338,0)&lt;=15,"Cumple","No cumple")),"")</f>
        <v/>
      </c>
      <c r="AA338" s="27" t="n"/>
      <c r="AB338" s="26">
        <f>IFERROR(IF(OR(O338="",R338=""),"",IF(IF(ISNUMBER(R338),MOD(R338,1),TIMEVALUE(R338))&gt;=IF(ISNUMBER(O338),MOD(O338,1),TIMEVALUE(O338)),(IF(ISNUMBER(R338),MOD(R338,1),TIMEVALUE(R338))-IF(ISNUMBER(O338),MOD(O338,1),TIMEVALUE(O338)))*1440,(IF(ISNUMBER(R338),MOD(R338,1),TIMEVALUE(R338))+1-IF(ISNUMBER(O338),MOD(O338,1),TIMEVALUE(O338)))*1440)),"")</f>
        <v/>
      </c>
      <c r="AC338" s="26">
        <f>IFERROR(IF(OR(R338="",S338=""),"",IF(IF(ISNUMBER(S338),MOD(S338,1),TIMEVALUE(S338))&gt;=IF(ISNUMBER(R338),MOD(R338,1),TIMEVALUE(R338)),(IF(ISNUMBER(S338),MOD(S338,1),TIMEVALUE(S338))-IF(ISNUMBER(R338),MOD(R338,1),TIMEVALUE(R338)))*1440,(IF(ISNUMBER(S338),MOD(S338,1),TIMEVALUE(S338))+1-IF(ISNUMBER(R338),MOD(R338,1),TIMEVALUE(R338)))*1440)),"")</f>
        <v/>
      </c>
      <c r="AD338" s="29" t="n"/>
      <c r="AE338" s="26">
        <f>IFERROR(IF(OR(AC338="",AD338=""),"",AC338-AD338),"")</f>
        <v/>
      </c>
      <c r="AF338" s="27">
        <f>IFERROR(IF(AE338="","",IF(ROUND(AE338,0)&gt;15,"Subestimacion",IF(ROUND(AE338,0)&lt;-15,"Sobrestimacion","Asertivo"))),"")</f>
        <v/>
      </c>
      <c r="AG338" s="19" t="n"/>
      <c r="AH338" s="19" t="n"/>
      <c r="AI338" s="19" t="n"/>
      <c r="AJ338" s="19" t="n"/>
      <c r="AK338" s="19" t="n"/>
      <c r="AL338" s="19" t="n"/>
      <c r="AM338" s="19" t="n"/>
      <c r="AN338" s="19" t="n"/>
      <c r="AO338" s="19" t="n"/>
      <c r="AP338" s="127">
        <f>IF(A338="","",A338-WEEKDAY(A338,2)+1)</f>
        <v/>
      </c>
      <c r="AQ338" s="127">
        <f>IF(AO338="","",AO338+6)</f>
        <v/>
      </c>
      <c r="AR338" s="19">
        <f>IF(AO338="","","Semana "&amp;TEXT(AO338,"dd-mm-yyyy")&amp;" al "&amp;TEXT(AP338,"dd-mm-yyyy"))</f>
        <v/>
      </c>
      <c r="AS338" s="19">
        <f>IF(A338="","",TEXT(A338,"mmmm yyyy"))</f>
        <v/>
      </c>
      <c r="AT338" s="19">
        <f>IF(A338="","",TEXT(A338,"dddd"))</f>
        <v/>
      </c>
      <c r="AU338" s="19">
        <f>IF(A338="","","CRR-"&amp;TEXT(A338,"yyyymmdd")&amp;"-"&amp;M338&amp;"-"&amp;TEXT(ROW()-3,"0000"))</f>
        <v/>
      </c>
      <c r="AV338" s="19">
        <f>IF(A338="","",IF(OR(B338="",C338="",E338="",F338="",M338="",N338=""),"Revisar campos obligatorios",IF(AND(P338="Atraso primera hora",Q338=""),"Falta justificación atraso primera hora",IF(AND(Z338="No cumple",AA338=""),"Falta justificación recambio &gt;15 min",IF(AND(ISNUMBER(SEARCH("suspend",N338)),OR(AG338="",AH338="")),"Falta causa/motivo suspensión","OK")))))</f>
        <v/>
      </c>
      <c r="AW338" s="19">
        <f>IF(N338="","",IF(ISNUMBER(SEARCH("suspend",N338)),IF(AND(AG338="",AH338=""),"Sin causa/motivo registrado",IF(AG338="",AH338,IF(AH338="",AG338,AG338&amp;": "&amp;AH338))),""))</f>
        <v/>
      </c>
    </row>
    <row r="339" ht="16" customHeight="1" s="151">
      <c r="A339" s="62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20">
        <f>IF(H339&lt;&gt;"",IFERROR(VLOOKUP(IFERROR(LEFT(H339,FIND("-",H339)-1),H339),'Catalogo MINSAL'!A:E,5,FALSE),""),IF(I339&lt;&gt;"",IFERROR(VLOOKUP(IFERROR(LEFT(I339,FIND("-",I339)-1),I339),'Catalogo MINSAL'!A:E,5,FALSE),""),""))</f>
        <v/>
      </c>
      <c r="K339" s="19" t="n"/>
      <c r="L339" s="19" t="n"/>
      <c r="M339" s="19" t="n"/>
      <c r="N339" s="19" t="n"/>
      <c r="O339" s="25" t="n"/>
      <c r="P339" s="27">
        <f>IFERROR(IF(OR(O339="",A339="",M339=""),"",IF(SUMPRODUCT(($A$4:$A$500=A339)*($M$4:$M$500=M339)*($O$4:$O$500&lt;&gt;"")*(MOD($O$4:$O$500,1)&lt;MOD(O339,1)))=0,IF(MOD(O339,1)&lt;=TIME(8,15,0),"Ingreso adecuado primera hora","Atraso primera hora"),"No aplica")),"")</f>
        <v/>
      </c>
      <c r="Q339" s="27" t="n"/>
      <c r="R339" s="25" t="n"/>
      <c r="S339" s="25" t="n"/>
      <c r="T339" s="25" t="n"/>
      <c r="U339" s="25">
        <f>IFERROR(VLOOKUP(M339,'Horario Pabellones'!$A$4:$D$17,2,FALSE),"")</f>
        <v/>
      </c>
      <c r="V339" s="25">
        <f>IFERROR(VLOOKUP(M339,'Horario Pabellones'!$A$4:$D$17,3,FALSE),"")</f>
        <v/>
      </c>
      <c r="W339" s="99">
        <f>IFERROR(VLOOKUP(M339,'Horario Pabellones'!$A$4:$D$17,4,FALSE),"")</f>
        <v/>
      </c>
      <c r="X339" s="89">
        <f>IFERROR(IF(OR(A339="",M339="",W339=""),"",(((_xludf.AGGREGATE(14,6,MOD($S$4:$S$500,1)/(($A$4:$A$500=A339)*($M$4:$M$500=M339)*($R$4:$R$500&lt;&gt;"")*($S$4:$S$500&lt;&gt;"")),1)-_xludf.AGGREGATE(15,6,MOD($R$4:$R$500,1)/(($A$4:$A$500=A339)*($M$4:$M$500=M339)*($R$4:$R$500&lt;&gt;"")*($S$4:$S$500&lt;&gt;"")),1))*1440)/60)/(W339/60)),"")</f>
        <v/>
      </c>
      <c r="Y339" s="26">
        <f>IFERROR(IF(OR(O339="",A339="",M339=""),"",(IF(ISNUMBER(O339),MOD(O339,1),TIMEVALUE(O339))-LOOKUP(2,1/(($A$4:$A$500=A339)*($M$4:$M$500=M339)*($T$4:$T$500&lt;&gt;"")*($T$4:$T$500&lt;IF(ISNUMBER(O339),MOD(O339,1),TIMEVALUE(O339)))),$T$4:$T$500))*1440),"")</f>
        <v/>
      </c>
      <c r="Z339" s="27">
        <f>IFERROR(IF(Y339="","",IF(ROUND(Y339,0)&lt;=15,"Cumple","No cumple")),"")</f>
        <v/>
      </c>
      <c r="AA339" s="27" t="n"/>
      <c r="AB339" s="26">
        <f>IFERROR(IF(OR(O339="",R339=""),"",IF(IF(ISNUMBER(R339),MOD(R339,1),TIMEVALUE(R339))&gt;=IF(ISNUMBER(O339),MOD(O339,1),TIMEVALUE(O339)),(IF(ISNUMBER(R339),MOD(R339,1),TIMEVALUE(R339))-IF(ISNUMBER(O339),MOD(O339,1),TIMEVALUE(O339)))*1440,(IF(ISNUMBER(R339),MOD(R339,1),TIMEVALUE(R339))+1-IF(ISNUMBER(O339),MOD(O339,1),TIMEVALUE(O339)))*1440)),"")</f>
        <v/>
      </c>
      <c r="AC339" s="26">
        <f>IFERROR(IF(OR(R339="",S339=""),"",IF(IF(ISNUMBER(S339),MOD(S339,1),TIMEVALUE(S339))&gt;=IF(ISNUMBER(R339),MOD(R339,1),TIMEVALUE(R339)),(IF(ISNUMBER(S339),MOD(S339,1),TIMEVALUE(S339))-IF(ISNUMBER(R339),MOD(R339,1),TIMEVALUE(R339)))*1440,(IF(ISNUMBER(S339),MOD(S339,1),TIMEVALUE(S339))+1-IF(ISNUMBER(R339),MOD(R339,1),TIMEVALUE(R339)))*1440)),"")</f>
        <v/>
      </c>
      <c r="AD339" s="29" t="n"/>
      <c r="AE339" s="26">
        <f>IFERROR(IF(OR(AC339="",AD339=""),"",AC339-AD339),"")</f>
        <v/>
      </c>
      <c r="AF339" s="27">
        <f>IFERROR(IF(AE339="","",IF(ROUND(AE339,0)&gt;15,"Subestimacion",IF(ROUND(AE339,0)&lt;-15,"Sobrestimacion","Asertivo"))),"")</f>
        <v/>
      </c>
      <c r="AG339" s="19" t="n"/>
      <c r="AH339" s="19" t="n"/>
      <c r="AI339" s="19" t="n"/>
      <c r="AJ339" s="19" t="n"/>
      <c r="AK339" s="19" t="n"/>
      <c r="AL339" s="19" t="n"/>
      <c r="AM339" s="19" t="n"/>
      <c r="AN339" s="19" t="n"/>
      <c r="AO339" s="19" t="n"/>
      <c r="AP339" s="127">
        <f>IF(A339="","",A339-WEEKDAY(A339,2)+1)</f>
        <v/>
      </c>
      <c r="AQ339" s="127">
        <f>IF(AO339="","",AO339+6)</f>
        <v/>
      </c>
      <c r="AR339" s="19">
        <f>IF(AO339="","","Semana "&amp;TEXT(AO339,"dd-mm-yyyy")&amp;" al "&amp;TEXT(AP339,"dd-mm-yyyy"))</f>
        <v/>
      </c>
      <c r="AS339" s="19">
        <f>IF(A339="","",TEXT(A339,"mmmm yyyy"))</f>
        <v/>
      </c>
      <c r="AT339" s="19">
        <f>IF(A339="","",TEXT(A339,"dddd"))</f>
        <v/>
      </c>
      <c r="AU339" s="19">
        <f>IF(A339="","","CRR-"&amp;TEXT(A339,"yyyymmdd")&amp;"-"&amp;M339&amp;"-"&amp;TEXT(ROW()-3,"0000"))</f>
        <v/>
      </c>
      <c r="AV339" s="19">
        <f>IF(A339="","",IF(OR(B339="",C339="",E339="",F339="",M339="",N339=""),"Revisar campos obligatorios",IF(AND(P339="Atraso primera hora",Q339=""),"Falta justificación atraso primera hora",IF(AND(Z339="No cumple",AA339=""),"Falta justificación recambio &gt;15 min",IF(AND(ISNUMBER(SEARCH("suspend",N339)),OR(AG339="",AH339="")),"Falta causa/motivo suspensión","OK")))))</f>
        <v/>
      </c>
      <c r="AW339" s="19">
        <f>IF(N339="","",IF(ISNUMBER(SEARCH("suspend",N339)),IF(AND(AG339="",AH339=""),"Sin causa/motivo registrado",IF(AG339="",AH339,IF(AH339="",AG339,AG339&amp;": "&amp;AH339))),""))</f>
        <v/>
      </c>
    </row>
    <row r="340" ht="16" customHeight="1" s="151">
      <c r="A340" s="62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20">
        <f>IF(H340&lt;&gt;"",IFERROR(VLOOKUP(IFERROR(LEFT(H340,FIND("-",H340)-1),H340),'Catalogo MINSAL'!A:E,5,FALSE),""),IF(I340&lt;&gt;"",IFERROR(VLOOKUP(IFERROR(LEFT(I340,FIND("-",I340)-1),I340),'Catalogo MINSAL'!A:E,5,FALSE),""),""))</f>
        <v/>
      </c>
      <c r="K340" s="19" t="n"/>
      <c r="L340" s="19" t="n"/>
      <c r="M340" s="19" t="n"/>
      <c r="N340" s="19" t="n"/>
      <c r="O340" s="25" t="n"/>
      <c r="P340" s="27">
        <f>IFERROR(IF(OR(O340="",A340="",M340=""),"",IF(SUMPRODUCT(($A$4:$A$500=A340)*($M$4:$M$500=M340)*($O$4:$O$500&lt;&gt;"")*(MOD($O$4:$O$500,1)&lt;MOD(O340,1)))=0,IF(MOD(O340,1)&lt;=TIME(8,15,0),"Ingreso adecuado primera hora","Atraso primera hora"),"No aplica")),"")</f>
        <v/>
      </c>
      <c r="Q340" s="27" t="n"/>
      <c r="R340" s="25" t="n"/>
      <c r="S340" s="25" t="n"/>
      <c r="T340" s="25" t="n"/>
      <c r="U340" s="25">
        <f>IFERROR(VLOOKUP(M340,'Horario Pabellones'!$A$4:$D$17,2,FALSE),"")</f>
        <v/>
      </c>
      <c r="V340" s="25">
        <f>IFERROR(VLOOKUP(M340,'Horario Pabellones'!$A$4:$D$17,3,FALSE),"")</f>
        <v/>
      </c>
      <c r="W340" s="99">
        <f>IFERROR(VLOOKUP(M340,'Horario Pabellones'!$A$4:$D$17,4,FALSE),"")</f>
        <v/>
      </c>
      <c r="X340" s="89">
        <f>IFERROR(IF(OR(A340="",M340="",W340=""),"",(((_xludf.AGGREGATE(14,6,MOD($S$4:$S$500,1)/(($A$4:$A$500=A340)*($M$4:$M$500=M340)*($R$4:$R$500&lt;&gt;"")*($S$4:$S$500&lt;&gt;"")),1)-_xludf.AGGREGATE(15,6,MOD($R$4:$R$500,1)/(($A$4:$A$500=A340)*($M$4:$M$500=M340)*($R$4:$R$500&lt;&gt;"")*($S$4:$S$500&lt;&gt;"")),1))*1440)/60)/(W340/60)),"")</f>
        <v/>
      </c>
      <c r="Y340" s="26">
        <f>IFERROR(IF(OR(O340="",A340="",M340=""),"",(IF(ISNUMBER(O340),MOD(O340,1),TIMEVALUE(O340))-LOOKUP(2,1/(($A$4:$A$500=A340)*($M$4:$M$500=M340)*($T$4:$T$500&lt;&gt;"")*($T$4:$T$500&lt;IF(ISNUMBER(O340),MOD(O340,1),TIMEVALUE(O340)))),$T$4:$T$500))*1440),"")</f>
        <v/>
      </c>
      <c r="Z340" s="27">
        <f>IFERROR(IF(Y340="","",IF(ROUND(Y340,0)&lt;=15,"Cumple","No cumple")),"")</f>
        <v/>
      </c>
      <c r="AA340" s="27" t="n"/>
      <c r="AB340" s="26">
        <f>IFERROR(IF(OR(O340="",R340=""),"",IF(IF(ISNUMBER(R340),MOD(R340,1),TIMEVALUE(R340))&gt;=IF(ISNUMBER(O340),MOD(O340,1),TIMEVALUE(O340)),(IF(ISNUMBER(R340),MOD(R340,1),TIMEVALUE(R340))-IF(ISNUMBER(O340),MOD(O340,1),TIMEVALUE(O340)))*1440,(IF(ISNUMBER(R340),MOD(R340,1),TIMEVALUE(R340))+1-IF(ISNUMBER(O340),MOD(O340,1),TIMEVALUE(O340)))*1440)),"")</f>
        <v/>
      </c>
      <c r="AC340" s="26">
        <f>IFERROR(IF(OR(R340="",S340=""),"",IF(IF(ISNUMBER(S340),MOD(S340,1),TIMEVALUE(S340))&gt;=IF(ISNUMBER(R340),MOD(R340,1),TIMEVALUE(R340)),(IF(ISNUMBER(S340),MOD(S340,1),TIMEVALUE(S340))-IF(ISNUMBER(R340),MOD(R340,1),TIMEVALUE(R340)))*1440,(IF(ISNUMBER(S340),MOD(S340,1),TIMEVALUE(S340))+1-IF(ISNUMBER(R340),MOD(R340,1),TIMEVALUE(R340)))*1440)),"")</f>
        <v/>
      </c>
      <c r="AD340" s="29" t="n"/>
      <c r="AE340" s="26">
        <f>IFERROR(IF(OR(AC340="",AD340=""),"",AC340-AD340),"")</f>
        <v/>
      </c>
      <c r="AF340" s="27">
        <f>IFERROR(IF(AE340="","",IF(ROUND(AE340,0)&gt;15,"Subestimacion",IF(ROUND(AE340,0)&lt;-15,"Sobrestimacion","Asertivo"))),"")</f>
        <v/>
      </c>
      <c r="AG340" s="19" t="n"/>
      <c r="AH340" s="19" t="n"/>
      <c r="AI340" s="19" t="n"/>
      <c r="AJ340" s="19" t="n"/>
      <c r="AK340" s="19" t="n"/>
      <c r="AL340" s="19" t="n"/>
      <c r="AM340" s="19" t="n"/>
      <c r="AN340" s="19" t="n"/>
      <c r="AO340" s="19" t="n"/>
      <c r="AP340" s="127">
        <f>IF(A340="","",A340-WEEKDAY(A340,2)+1)</f>
        <v/>
      </c>
      <c r="AQ340" s="127">
        <f>IF(AO340="","",AO340+6)</f>
        <v/>
      </c>
      <c r="AR340" s="19">
        <f>IF(AO340="","","Semana "&amp;TEXT(AO340,"dd-mm-yyyy")&amp;" al "&amp;TEXT(AP340,"dd-mm-yyyy"))</f>
        <v/>
      </c>
      <c r="AS340" s="19">
        <f>IF(A340="","",TEXT(A340,"mmmm yyyy"))</f>
        <v/>
      </c>
      <c r="AT340" s="19">
        <f>IF(A340="","",TEXT(A340,"dddd"))</f>
        <v/>
      </c>
      <c r="AU340" s="19">
        <f>IF(A340="","","CRR-"&amp;TEXT(A340,"yyyymmdd")&amp;"-"&amp;M340&amp;"-"&amp;TEXT(ROW()-3,"0000"))</f>
        <v/>
      </c>
      <c r="AV340" s="19">
        <f>IF(A340="","",IF(OR(B340="",C340="",E340="",F340="",M340="",N340=""),"Revisar campos obligatorios",IF(AND(P340="Atraso primera hora",Q340=""),"Falta justificación atraso primera hora",IF(AND(Z340="No cumple",AA340=""),"Falta justificación recambio &gt;15 min",IF(AND(ISNUMBER(SEARCH("suspend",N340)),OR(AG340="",AH340="")),"Falta causa/motivo suspensión","OK")))))</f>
        <v/>
      </c>
      <c r="AW340" s="19">
        <f>IF(N340="","",IF(ISNUMBER(SEARCH("suspend",N340)),IF(AND(AG340="",AH340=""),"Sin causa/motivo registrado",IF(AG340="",AH340,IF(AH340="",AG340,AG340&amp;": "&amp;AH340))),""))</f>
        <v/>
      </c>
    </row>
    <row r="341" ht="16" customHeight="1" s="151">
      <c r="A341" s="62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20">
        <f>IF(H341&lt;&gt;"",IFERROR(VLOOKUP(IFERROR(LEFT(H341,FIND("-",H341)-1),H341),'Catalogo MINSAL'!A:E,5,FALSE),""),IF(I341&lt;&gt;"",IFERROR(VLOOKUP(IFERROR(LEFT(I341,FIND("-",I341)-1),I341),'Catalogo MINSAL'!A:E,5,FALSE),""),""))</f>
        <v/>
      </c>
      <c r="K341" s="19" t="n"/>
      <c r="L341" s="19" t="n"/>
      <c r="M341" s="19" t="n"/>
      <c r="N341" s="19" t="n"/>
      <c r="O341" s="25" t="n"/>
      <c r="P341" s="27">
        <f>IFERROR(IF(OR(O341="",A341="",M341=""),"",IF(SUMPRODUCT(($A$4:$A$500=A341)*($M$4:$M$500=M341)*($O$4:$O$500&lt;&gt;"")*(MOD($O$4:$O$500,1)&lt;MOD(O341,1)))=0,IF(MOD(O341,1)&lt;=TIME(8,15,0),"Ingreso adecuado primera hora","Atraso primera hora"),"No aplica")),"")</f>
        <v/>
      </c>
      <c r="Q341" s="27" t="n"/>
      <c r="R341" s="25" t="n"/>
      <c r="S341" s="25" t="n"/>
      <c r="T341" s="25" t="n"/>
      <c r="U341" s="25">
        <f>IFERROR(VLOOKUP(M341,'Horario Pabellones'!$A$4:$D$17,2,FALSE),"")</f>
        <v/>
      </c>
      <c r="V341" s="25">
        <f>IFERROR(VLOOKUP(M341,'Horario Pabellones'!$A$4:$D$17,3,FALSE),"")</f>
        <v/>
      </c>
      <c r="W341" s="99">
        <f>IFERROR(VLOOKUP(M341,'Horario Pabellones'!$A$4:$D$17,4,FALSE),"")</f>
        <v/>
      </c>
      <c r="X341" s="89">
        <f>IFERROR(IF(OR(A341="",M341="",W341=""),"",(((_xludf.AGGREGATE(14,6,MOD($S$4:$S$500,1)/(($A$4:$A$500=A341)*($M$4:$M$500=M341)*($R$4:$R$500&lt;&gt;"")*($S$4:$S$500&lt;&gt;"")),1)-_xludf.AGGREGATE(15,6,MOD($R$4:$R$500,1)/(($A$4:$A$500=A341)*($M$4:$M$500=M341)*($R$4:$R$500&lt;&gt;"")*($S$4:$S$500&lt;&gt;"")),1))*1440)/60)/(W341/60)),"")</f>
        <v/>
      </c>
      <c r="Y341" s="26">
        <f>IFERROR(IF(OR(O341="",A341="",M341=""),"",(IF(ISNUMBER(O341),MOD(O341,1),TIMEVALUE(O341))-LOOKUP(2,1/(($A$4:$A$500=A341)*($M$4:$M$500=M341)*($T$4:$T$500&lt;&gt;"")*($T$4:$T$500&lt;IF(ISNUMBER(O341),MOD(O341,1),TIMEVALUE(O341)))),$T$4:$T$500))*1440),"")</f>
        <v/>
      </c>
      <c r="Z341" s="27">
        <f>IFERROR(IF(Y341="","",IF(ROUND(Y341,0)&lt;=15,"Cumple","No cumple")),"")</f>
        <v/>
      </c>
      <c r="AA341" s="27" t="n"/>
      <c r="AB341" s="26">
        <f>IFERROR(IF(OR(O341="",R341=""),"",IF(IF(ISNUMBER(R341),MOD(R341,1),TIMEVALUE(R341))&gt;=IF(ISNUMBER(O341),MOD(O341,1),TIMEVALUE(O341)),(IF(ISNUMBER(R341),MOD(R341,1),TIMEVALUE(R341))-IF(ISNUMBER(O341),MOD(O341,1),TIMEVALUE(O341)))*1440,(IF(ISNUMBER(R341),MOD(R341,1),TIMEVALUE(R341))+1-IF(ISNUMBER(O341),MOD(O341,1),TIMEVALUE(O341)))*1440)),"")</f>
        <v/>
      </c>
      <c r="AC341" s="26">
        <f>IFERROR(IF(OR(R341="",S341=""),"",IF(IF(ISNUMBER(S341),MOD(S341,1),TIMEVALUE(S341))&gt;=IF(ISNUMBER(R341),MOD(R341,1),TIMEVALUE(R341)),(IF(ISNUMBER(S341),MOD(S341,1),TIMEVALUE(S341))-IF(ISNUMBER(R341),MOD(R341,1),TIMEVALUE(R341)))*1440,(IF(ISNUMBER(S341),MOD(S341,1),TIMEVALUE(S341))+1-IF(ISNUMBER(R341),MOD(R341,1),TIMEVALUE(R341)))*1440)),"")</f>
        <v/>
      </c>
      <c r="AD341" s="29" t="n"/>
      <c r="AE341" s="26">
        <f>IFERROR(IF(OR(AC341="",AD341=""),"",AC341-AD341),"")</f>
        <v/>
      </c>
      <c r="AF341" s="27">
        <f>IFERROR(IF(AE341="","",IF(ROUND(AE341,0)&gt;15,"Subestimacion",IF(ROUND(AE341,0)&lt;-15,"Sobrestimacion","Asertivo"))),"")</f>
        <v/>
      </c>
      <c r="AG341" s="19" t="n"/>
      <c r="AH341" s="19" t="n"/>
      <c r="AI341" s="19" t="n"/>
      <c r="AJ341" s="19" t="n"/>
      <c r="AK341" s="19" t="n"/>
      <c r="AL341" s="19" t="n"/>
      <c r="AM341" s="19" t="n"/>
      <c r="AN341" s="19" t="n"/>
      <c r="AO341" s="19" t="n"/>
      <c r="AP341" s="127">
        <f>IF(A341="","",A341-WEEKDAY(A341,2)+1)</f>
        <v/>
      </c>
      <c r="AQ341" s="127">
        <f>IF(AO341="","",AO341+6)</f>
        <v/>
      </c>
      <c r="AR341" s="19">
        <f>IF(AO341="","","Semana "&amp;TEXT(AO341,"dd-mm-yyyy")&amp;" al "&amp;TEXT(AP341,"dd-mm-yyyy"))</f>
        <v/>
      </c>
      <c r="AS341" s="19">
        <f>IF(A341="","",TEXT(A341,"mmmm yyyy"))</f>
        <v/>
      </c>
      <c r="AT341" s="19">
        <f>IF(A341="","",TEXT(A341,"dddd"))</f>
        <v/>
      </c>
      <c r="AU341" s="19">
        <f>IF(A341="","","CRR-"&amp;TEXT(A341,"yyyymmdd")&amp;"-"&amp;M341&amp;"-"&amp;TEXT(ROW()-3,"0000"))</f>
        <v/>
      </c>
      <c r="AV341" s="19">
        <f>IF(A341="","",IF(OR(B341="",C341="",E341="",F341="",M341="",N341=""),"Revisar campos obligatorios",IF(AND(P341="Atraso primera hora",Q341=""),"Falta justificación atraso primera hora",IF(AND(Z341="No cumple",AA341=""),"Falta justificación recambio &gt;15 min",IF(AND(ISNUMBER(SEARCH("suspend",N341)),OR(AG341="",AH341="")),"Falta causa/motivo suspensión","OK")))))</f>
        <v/>
      </c>
      <c r="AW341" s="19">
        <f>IF(N341="","",IF(ISNUMBER(SEARCH("suspend",N341)),IF(AND(AG341="",AH341=""),"Sin causa/motivo registrado",IF(AG341="",AH341,IF(AH341="",AG341,AG341&amp;": "&amp;AH341))),""))</f>
        <v/>
      </c>
    </row>
    <row r="342" ht="16" customHeight="1" s="151">
      <c r="A342" s="62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20">
        <f>IF(H342&lt;&gt;"",IFERROR(VLOOKUP(IFERROR(LEFT(H342,FIND("-",H342)-1),H342),'Catalogo MINSAL'!A:E,5,FALSE),""),IF(I342&lt;&gt;"",IFERROR(VLOOKUP(IFERROR(LEFT(I342,FIND("-",I342)-1),I342),'Catalogo MINSAL'!A:E,5,FALSE),""),""))</f>
        <v/>
      </c>
      <c r="K342" s="19" t="n"/>
      <c r="L342" s="19" t="n"/>
      <c r="M342" s="19" t="n"/>
      <c r="N342" s="19" t="n"/>
      <c r="O342" s="25" t="n"/>
      <c r="P342" s="27">
        <f>IFERROR(IF(OR(O342="",A342="",M342=""),"",IF(SUMPRODUCT(($A$4:$A$500=A342)*($M$4:$M$500=M342)*($O$4:$O$500&lt;&gt;"")*(MOD($O$4:$O$500,1)&lt;MOD(O342,1)))=0,IF(MOD(O342,1)&lt;=TIME(8,15,0),"Ingreso adecuado primera hora","Atraso primera hora"),"No aplica")),"")</f>
        <v/>
      </c>
      <c r="Q342" s="27" t="n"/>
      <c r="R342" s="25" t="n"/>
      <c r="S342" s="25" t="n"/>
      <c r="T342" s="25" t="n"/>
      <c r="U342" s="25">
        <f>IFERROR(VLOOKUP(M342,'Horario Pabellones'!$A$4:$D$17,2,FALSE),"")</f>
        <v/>
      </c>
      <c r="V342" s="25">
        <f>IFERROR(VLOOKUP(M342,'Horario Pabellones'!$A$4:$D$17,3,FALSE),"")</f>
        <v/>
      </c>
      <c r="W342" s="99">
        <f>IFERROR(VLOOKUP(M342,'Horario Pabellones'!$A$4:$D$17,4,FALSE),"")</f>
        <v/>
      </c>
      <c r="X342" s="89">
        <f>IFERROR(IF(OR(A342="",M342="",W342=""),"",(((_xludf.AGGREGATE(14,6,MOD($S$4:$S$500,1)/(($A$4:$A$500=A342)*($M$4:$M$500=M342)*($R$4:$R$500&lt;&gt;"")*($S$4:$S$500&lt;&gt;"")),1)-_xludf.AGGREGATE(15,6,MOD($R$4:$R$500,1)/(($A$4:$A$500=A342)*($M$4:$M$500=M342)*($R$4:$R$500&lt;&gt;"")*($S$4:$S$500&lt;&gt;"")),1))*1440)/60)/(W342/60)),"")</f>
        <v/>
      </c>
      <c r="Y342" s="26">
        <f>IFERROR(IF(OR(O342="",A342="",M342=""),"",(IF(ISNUMBER(O342),MOD(O342,1),TIMEVALUE(O342))-LOOKUP(2,1/(($A$4:$A$500=A342)*($M$4:$M$500=M342)*($T$4:$T$500&lt;&gt;"")*($T$4:$T$500&lt;IF(ISNUMBER(O342),MOD(O342,1),TIMEVALUE(O342)))),$T$4:$T$500))*1440),"")</f>
        <v/>
      </c>
      <c r="Z342" s="27">
        <f>IFERROR(IF(Y342="","",IF(ROUND(Y342,0)&lt;=15,"Cumple","No cumple")),"")</f>
        <v/>
      </c>
      <c r="AA342" s="27" t="n"/>
      <c r="AB342" s="26">
        <f>IFERROR(IF(OR(O342="",R342=""),"",IF(IF(ISNUMBER(R342),MOD(R342,1),TIMEVALUE(R342))&gt;=IF(ISNUMBER(O342),MOD(O342,1),TIMEVALUE(O342)),(IF(ISNUMBER(R342),MOD(R342,1),TIMEVALUE(R342))-IF(ISNUMBER(O342),MOD(O342,1),TIMEVALUE(O342)))*1440,(IF(ISNUMBER(R342),MOD(R342,1),TIMEVALUE(R342))+1-IF(ISNUMBER(O342),MOD(O342,1),TIMEVALUE(O342)))*1440)),"")</f>
        <v/>
      </c>
      <c r="AC342" s="26">
        <f>IFERROR(IF(OR(R342="",S342=""),"",IF(IF(ISNUMBER(S342),MOD(S342,1),TIMEVALUE(S342))&gt;=IF(ISNUMBER(R342),MOD(R342,1),TIMEVALUE(R342)),(IF(ISNUMBER(S342),MOD(S342,1),TIMEVALUE(S342))-IF(ISNUMBER(R342),MOD(R342,1),TIMEVALUE(R342)))*1440,(IF(ISNUMBER(S342),MOD(S342,1),TIMEVALUE(S342))+1-IF(ISNUMBER(R342),MOD(R342,1),TIMEVALUE(R342)))*1440)),"")</f>
        <v/>
      </c>
      <c r="AD342" s="29" t="n"/>
      <c r="AE342" s="26">
        <f>IFERROR(IF(OR(AC342="",AD342=""),"",AC342-AD342),"")</f>
        <v/>
      </c>
      <c r="AF342" s="27">
        <f>IFERROR(IF(AE342="","",IF(ROUND(AE342,0)&gt;15,"Subestimacion",IF(ROUND(AE342,0)&lt;-15,"Sobrestimacion","Asertivo"))),"")</f>
        <v/>
      </c>
      <c r="AG342" s="19" t="n"/>
      <c r="AH342" s="19" t="n"/>
      <c r="AI342" s="19" t="n"/>
      <c r="AJ342" s="19" t="n"/>
      <c r="AK342" s="19" t="n"/>
      <c r="AL342" s="19" t="n"/>
      <c r="AM342" s="19" t="n"/>
      <c r="AN342" s="19" t="n"/>
      <c r="AO342" s="19" t="n"/>
      <c r="AP342" s="127">
        <f>IF(A342="","",A342-WEEKDAY(A342,2)+1)</f>
        <v/>
      </c>
      <c r="AQ342" s="127">
        <f>IF(AO342="","",AO342+6)</f>
        <v/>
      </c>
      <c r="AR342" s="19">
        <f>IF(AO342="","","Semana "&amp;TEXT(AO342,"dd-mm-yyyy")&amp;" al "&amp;TEXT(AP342,"dd-mm-yyyy"))</f>
        <v/>
      </c>
      <c r="AS342" s="19">
        <f>IF(A342="","",TEXT(A342,"mmmm yyyy"))</f>
        <v/>
      </c>
      <c r="AT342" s="19">
        <f>IF(A342="","",TEXT(A342,"dddd"))</f>
        <v/>
      </c>
      <c r="AU342" s="19">
        <f>IF(A342="","","CRR-"&amp;TEXT(A342,"yyyymmdd")&amp;"-"&amp;M342&amp;"-"&amp;TEXT(ROW()-3,"0000"))</f>
        <v/>
      </c>
      <c r="AV342" s="19">
        <f>IF(A342="","",IF(OR(B342="",C342="",E342="",F342="",M342="",N342=""),"Revisar campos obligatorios",IF(AND(P342="Atraso primera hora",Q342=""),"Falta justificación atraso primera hora",IF(AND(Z342="No cumple",AA342=""),"Falta justificación recambio &gt;15 min",IF(AND(ISNUMBER(SEARCH("suspend",N342)),OR(AG342="",AH342="")),"Falta causa/motivo suspensión","OK")))))</f>
        <v/>
      </c>
      <c r="AW342" s="19">
        <f>IF(N342="","",IF(ISNUMBER(SEARCH("suspend",N342)),IF(AND(AG342="",AH342=""),"Sin causa/motivo registrado",IF(AG342="",AH342,IF(AH342="",AG342,AG342&amp;": "&amp;AH342))),""))</f>
        <v/>
      </c>
    </row>
    <row r="343" ht="16" customHeight="1" s="151">
      <c r="A343" s="62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20">
        <f>IF(H343&lt;&gt;"",IFERROR(VLOOKUP(IFERROR(LEFT(H343,FIND("-",H343)-1),H343),'Catalogo MINSAL'!A:E,5,FALSE),""),IF(I343&lt;&gt;"",IFERROR(VLOOKUP(IFERROR(LEFT(I343,FIND("-",I343)-1),I343),'Catalogo MINSAL'!A:E,5,FALSE),""),""))</f>
        <v/>
      </c>
      <c r="K343" s="19" t="n"/>
      <c r="L343" s="19" t="n"/>
      <c r="M343" s="19" t="n"/>
      <c r="N343" s="19" t="n"/>
      <c r="O343" s="25" t="n"/>
      <c r="P343" s="27">
        <f>IFERROR(IF(OR(O343="",A343="",M343=""),"",IF(SUMPRODUCT(($A$4:$A$500=A343)*($M$4:$M$500=M343)*($O$4:$O$500&lt;&gt;"")*(MOD($O$4:$O$500,1)&lt;MOD(O343,1)))=0,IF(MOD(O343,1)&lt;=TIME(8,15,0),"Ingreso adecuado primera hora","Atraso primera hora"),"No aplica")),"")</f>
        <v/>
      </c>
      <c r="Q343" s="27" t="n"/>
      <c r="R343" s="25" t="n"/>
      <c r="S343" s="25" t="n"/>
      <c r="T343" s="25" t="n"/>
      <c r="U343" s="25">
        <f>IFERROR(VLOOKUP(M343,'Horario Pabellones'!$A$4:$D$17,2,FALSE),"")</f>
        <v/>
      </c>
      <c r="V343" s="25">
        <f>IFERROR(VLOOKUP(M343,'Horario Pabellones'!$A$4:$D$17,3,FALSE),"")</f>
        <v/>
      </c>
      <c r="W343" s="99">
        <f>IFERROR(VLOOKUP(M343,'Horario Pabellones'!$A$4:$D$17,4,FALSE),"")</f>
        <v/>
      </c>
      <c r="X343" s="89">
        <f>IFERROR(IF(OR(A343="",M343="",W343=""),"",(((_xludf.AGGREGATE(14,6,MOD($S$4:$S$500,1)/(($A$4:$A$500=A343)*($M$4:$M$500=M343)*($R$4:$R$500&lt;&gt;"")*($S$4:$S$500&lt;&gt;"")),1)-_xludf.AGGREGATE(15,6,MOD($R$4:$R$500,1)/(($A$4:$A$500=A343)*($M$4:$M$500=M343)*($R$4:$R$500&lt;&gt;"")*($S$4:$S$500&lt;&gt;"")),1))*1440)/60)/(W343/60)),"")</f>
        <v/>
      </c>
      <c r="Y343" s="26">
        <f>IFERROR(IF(OR(O343="",A343="",M343=""),"",(IF(ISNUMBER(O343),MOD(O343,1),TIMEVALUE(O343))-LOOKUP(2,1/(($A$4:$A$500=A343)*($M$4:$M$500=M343)*($T$4:$T$500&lt;&gt;"")*($T$4:$T$500&lt;IF(ISNUMBER(O343),MOD(O343,1),TIMEVALUE(O343)))),$T$4:$T$500))*1440),"")</f>
        <v/>
      </c>
      <c r="Z343" s="27">
        <f>IFERROR(IF(Y343="","",IF(ROUND(Y343,0)&lt;=15,"Cumple","No cumple")),"")</f>
        <v/>
      </c>
      <c r="AA343" s="27" t="n"/>
      <c r="AB343" s="26">
        <f>IFERROR(IF(OR(O343="",R343=""),"",IF(IF(ISNUMBER(R343),MOD(R343,1),TIMEVALUE(R343))&gt;=IF(ISNUMBER(O343),MOD(O343,1),TIMEVALUE(O343)),(IF(ISNUMBER(R343),MOD(R343,1),TIMEVALUE(R343))-IF(ISNUMBER(O343),MOD(O343,1),TIMEVALUE(O343)))*1440,(IF(ISNUMBER(R343),MOD(R343,1),TIMEVALUE(R343))+1-IF(ISNUMBER(O343),MOD(O343,1),TIMEVALUE(O343)))*1440)),"")</f>
        <v/>
      </c>
      <c r="AC343" s="26">
        <f>IFERROR(IF(OR(R343="",S343=""),"",IF(IF(ISNUMBER(S343),MOD(S343,1),TIMEVALUE(S343))&gt;=IF(ISNUMBER(R343),MOD(R343,1),TIMEVALUE(R343)),(IF(ISNUMBER(S343),MOD(S343,1),TIMEVALUE(S343))-IF(ISNUMBER(R343),MOD(R343,1),TIMEVALUE(R343)))*1440,(IF(ISNUMBER(S343),MOD(S343,1),TIMEVALUE(S343))+1-IF(ISNUMBER(R343),MOD(R343,1),TIMEVALUE(R343)))*1440)),"")</f>
        <v/>
      </c>
      <c r="AD343" s="29" t="n"/>
      <c r="AE343" s="26">
        <f>IFERROR(IF(OR(AC343="",AD343=""),"",AC343-AD343),"")</f>
        <v/>
      </c>
      <c r="AF343" s="27">
        <f>IFERROR(IF(AE343="","",IF(ROUND(AE343,0)&gt;15,"Subestimacion",IF(ROUND(AE343,0)&lt;-15,"Sobrestimacion","Asertivo"))),"")</f>
        <v/>
      </c>
      <c r="AG343" s="19" t="n"/>
      <c r="AH343" s="19" t="n"/>
      <c r="AI343" s="19" t="n"/>
      <c r="AJ343" s="19" t="n"/>
      <c r="AK343" s="19" t="n"/>
      <c r="AL343" s="19" t="n"/>
      <c r="AM343" s="19" t="n"/>
      <c r="AN343" s="19" t="n"/>
      <c r="AO343" s="19" t="n"/>
      <c r="AP343" s="127">
        <f>IF(A343="","",A343-WEEKDAY(A343,2)+1)</f>
        <v/>
      </c>
      <c r="AQ343" s="127">
        <f>IF(AO343="","",AO343+6)</f>
        <v/>
      </c>
      <c r="AR343" s="19">
        <f>IF(AO343="","","Semana "&amp;TEXT(AO343,"dd-mm-yyyy")&amp;" al "&amp;TEXT(AP343,"dd-mm-yyyy"))</f>
        <v/>
      </c>
      <c r="AS343" s="19">
        <f>IF(A343="","",TEXT(A343,"mmmm yyyy"))</f>
        <v/>
      </c>
      <c r="AT343" s="19">
        <f>IF(A343="","",TEXT(A343,"dddd"))</f>
        <v/>
      </c>
      <c r="AU343" s="19">
        <f>IF(A343="","","CRR-"&amp;TEXT(A343,"yyyymmdd")&amp;"-"&amp;M343&amp;"-"&amp;TEXT(ROW()-3,"0000"))</f>
        <v/>
      </c>
      <c r="AV343" s="19">
        <f>IF(A343="","",IF(OR(B343="",C343="",E343="",F343="",M343="",N343=""),"Revisar campos obligatorios",IF(AND(P343="Atraso primera hora",Q343=""),"Falta justificación atraso primera hora",IF(AND(Z343="No cumple",AA343=""),"Falta justificación recambio &gt;15 min",IF(AND(ISNUMBER(SEARCH("suspend",N343)),OR(AG343="",AH343="")),"Falta causa/motivo suspensión","OK")))))</f>
        <v/>
      </c>
      <c r="AW343" s="19">
        <f>IF(N343="","",IF(ISNUMBER(SEARCH("suspend",N343)),IF(AND(AG343="",AH343=""),"Sin causa/motivo registrado",IF(AG343="",AH343,IF(AH343="",AG343,AG343&amp;": "&amp;AH343))),""))</f>
        <v/>
      </c>
    </row>
    <row r="344" ht="16" customHeight="1" s="151">
      <c r="A344" s="62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20">
        <f>IF(H344&lt;&gt;"",IFERROR(VLOOKUP(IFERROR(LEFT(H344,FIND("-",H344)-1),H344),'Catalogo MINSAL'!A:E,5,FALSE),""),IF(I344&lt;&gt;"",IFERROR(VLOOKUP(IFERROR(LEFT(I344,FIND("-",I344)-1),I344),'Catalogo MINSAL'!A:E,5,FALSE),""),""))</f>
        <v/>
      </c>
      <c r="K344" s="19" t="n"/>
      <c r="L344" s="19" t="n"/>
      <c r="M344" s="19" t="n"/>
      <c r="N344" s="19" t="n"/>
      <c r="O344" s="25" t="n"/>
      <c r="P344" s="27">
        <f>IFERROR(IF(OR(O344="",A344="",M344=""),"",IF(SUMPRODUCT(($A$4:$A$500=A344)*($M$4:$M$500=M344)*($O$4:$O$500&lt;&gt;"")*(MOD($O$4:$O$500,1)&lt;MOD(O344,1)))=0,IF(MOD(O344,1)&lt;=TIME(8,15,0),"Ingreso adecuado primera hora","Atraso primera hora"),"No aplica")),"")</f>
        <v/>
      </c>
      <c r="Q344" s="27" t="n"/>
      <c r="R344" s="25" t="n"/>
      <c r="S344" s="25" t="n"/>
      <c r="T344" s="25" t="n"/>
      <c r="U344" s="25">
        <f>IFERROR(VLOOKUP(M344,'Horario Pabellones'!$A$4:$D$17,2,FALSE),"")</f>
        <v/>
      </c>
      <c r="V344" s="25">
        <f>IFERROR(VLOOKUP(M344,'Horario Pabellones'!$A$4:$D$17,3,FALSE),"")</f>
        <v/>
      </c>
      <c r="W344" s="99">
        <f>IFERROR(VLOOKUP(M344,'Horario Pabellones'!$A$4:$D$17,4,FALSE),"")</f>
        <v/>
      </c>
      <c r="X344" s="89">
        <f>IFERROR(IF(OR(A344="",M344="",W344=""),"",(((_xludf.AGGREGATE(14,6,MOD($S$4:$S$500,1)/(($A$4:$A$500=A344)*($M$4:$M$500=M344)*($R$4:$R$500&lt;&gt;"")*($S$4:$S$500&lt;&gt;"")),1)-_xludf.AGGREGATE(15,6,MOD($R$4:$R$500,1)/(($A$4:$A$500=A344)*($M$4:$M$500=M344)*($R$4:$R$500&lt;&gt;"")*($S$4:$S$500&lt;&gt;"")),1))*1440)/60)/(W344/60)),"")</f>
        <v/>
      </c>
      <c r="Y344" s="26">
        <f>IFERROR(IF(OR(O344="",A344="",M344=""),"",(IF(ISNUMBER(O344),MOD(O344,1),TIMEVALUE(O344))-LOOKUP(2,1/(($A$4:$A$500=A344)*($M$4:$M$500=M344)*($T$4:$T$500&lt;&gt;"")*($T$4:$T$500&lt;IF(ISNUMBER(O344),MOD(O344,1),TIMEVALUE(O344)))),$T$4:$T$500))*1440),"")</f>
        <v/>
      </c>
      <c r="Z344" s="27">
        <f>IFERROR(IF(Y344="","",IF(ROUND(Y344,0)&lt;=15,"Cumple","No cumple")),"")</f>
        <v/>
      </c>
      <c r="AA344" s="27" t="n"/>
      <c r="AB344" s="26">
        <f>IFERROR(IF(OR(O344="",R344=""),"",IF(IF(ISNUMBER(R344),MOD(R344,1),TIMEVALUE(R344))&gt;=IF(ISNUMBER(O344),MOD(O344,1),TIMEVALUE(O344)),(IF(ISNUMBER(R344),MOD(R344,1),TIMEVALUE(R344))-IF(ISNUMBER(O344),MOD(O344,1),TIMEVALUE(O344)))*1440,(IF(ISNUMBER(R344),MOD(R344,1),TIMEVALUE(R344))+1-IF(ISNUMBER(O344),MOD(O344,1),TIMEVALUE(O344)))*1440)),"")</f>
        <v/>
      </c>
      <c r="AC344" s="26">
        <f>IFERROR(IF(OR(R344="",S344=""),"",IF(IF(ISNUMBER(S344),MOD(S344,1),TIMEVALUE(S344))&gt;=IF(ISNUMBER(R344),MOD(R344,1),TIMEVALUE(R344)),(IF(ISNUMBER(S344),MOD(S344,1),TIMEVALUE(S344))-IF(ISNUMBER(R344),MOD(R344,1),TIMEVALUE(R344)))*1440,(IF(ISNUMBER(S344),MOD(S344,1),TIMEVALUE(S344))+1-IF(ISNUMBER(R344),MOD(R344,1),TIMEVALUE(R344)))*1440)),"")</f>
        <v/>
      </c>
      <c r="AD344" s="29" t="n"/>
      <c r="AE344" s="26">
        <f>IFERROR(IF(OR(AC344="",AD344=""),"",AC344-AD344),"")</f>
        <v/>
      </c>
      <c r="AF344" s="27">
        <f>IFERROR(IF(AE344="","",IF(ROUND(AE344,0)&gt;15,"Subestimacion",IF(ROUND(AE344,0)&lt;-15,"Sobrestimacion","Asertivo"))),"")</f>
        <v/>
      </c>
      <c r="AG344" s="19" t="n"/>
      <c r="AH344" s="19" t="n"/>
      <c r="AI344" s="19" t="n"/>
      <c r="AJ344" s="19" t="n"/>
      <c r="AK344" s="19" t="n"/>
      <c r="AL344" s="19" t="n"/>
      <c r="AM344" s="19" t="n"/>
      <c r="AN344" s="19" t="n"/>
      <c r="AO344" s="19" t="n"/>
      <c r="AP344" s="127">
        <f>IF(A344="","",A344-WEEKDAY(A344,2)+1)</f>
        <v/>
      </c>
      <c r="AQ344" s="127">
        <f>IF(AO344="","",AO344+6)</f>
        <v/>
      </c>
      <c r="AR344" s="19">
        <f>IF(AO344="","","Semana "&amp;TEXT(AO344,"dd-mm-yyyy")&amp;" al "&amp;TEXT(AP344,"dd-mm-yyyy"))</f>
        <v/>
      </c>
      <c r="AS344" s="19">
        <f>IF(A344="","",TEXT(A344,"mmmm yyyy"))</f>
        <v/>
      </c>
      <c r="AT344" s="19">
        <f>IF(A344="","",TEXT(A344,"dddd"))</f>
        <v/>
      </c>
      <c r="AU344" s="19">
        <f>IF(A344="","","CRR-"&amp;TEXT(A344,"yyyymmdd")&amp;"-"&amp;M344&amp;"-"&amp;TEXT(ROW()-3,"0000"))</f>
        <v/>
      </c>
      <c r="AV344" s="19">
        <f>IF(A344="","",IF(OR(B344="",C344="",E344="",F344="",M344="",N344=""),"Revisar campos obligatorios",IF(AND(P344="Atraso primera hora",Q344=""),"Falta justificación atraso primera hora",IF(AND(Z344="No cumple",AA344=""),"Falta justificación recambio &gt;15 min",IF(AND(ISNUMBER(SEARCH("suspend",N344)),OR(AG344="",AH344="")),"Falta causa/motivo suspensión","OK")))))</f>
        <v/>
      </c>
      <c r="AW344" s="19">
        <f>IF(N344="","",IF(ISNUMBER(SEARCH("suspend",N344)),IF(AND(AG344="",AH344=""),"Sin causa/motivo registrado",IF(AG344="",AH344,IF(AH344="",AG344,AG344&amp;": "&amp;AH344))),""))</f>
        <v/>
      </c>
    </row>
    <row r="345" ht="16" customHeight="1" s="151">
      <c r="A345" s="62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20">
        <f>IF(H345&lt;&gt;"",IFERROR(VLOOKUP(IFERROR(LEFT(H345,FIND("-",H345)-1),H345),'Catalogo MINSAL'!A:E,5,FALSE),""),IF(I345&lt;&gt;"",IFERROR(VLOOKUP(IFERROR(LEFT(I345,FIND("-",I345)-1),I345),'Catalogo MINSAL'!A:E,5,FALSE),""),""))</f>
        <v/>
      </c>
      <c r="K345" s="19" t="n"/>
      <c r="L345" s="19" t="n"/>
      <c r="M345" s="19" t="n"/>
      <c r="N345" s="19" t="n"/>
      <c r="O345" s="25" t="n"/>
      <c r="P345" s="27">
        <f>IFERROR(IF(OR(O345="",A345="",M345=""),"",IF(SUMPRODUCT(($A$4:$A$500=A345)*($M$4:$M$500=M345)*($O$4:$O$500&lt;&gt;"")*(MOD($O$4:$O$500,1)&lt;MOD(O345,1)))=0,IF(MOD(O345,1)&lt;=TIME(8,15,0),"Ingreso adecuado primera hora","Atraso primera hora"),"No aplica")),"")</f>
        <v/>
      </c>
      <c r="Q345" s="27" t="n"/>
      <c r="R345" s="25" t="n"/>
      <c r="S345" s="25" t="n"/>
      <c r="T345" s="25" t="n"/>
      <c r="U345" s="25">
        <f>IFERROR(VLOOKUP(M345,'Horario Pabellones'!$A$4:$D$17,2,FALSE),"")</f>
        <v/>
      </c>
      <c r="V345" s="25">
        <f>IFERROR(VLOOKUP(M345,'Horario Pabellones'!$A$4:$D$17,3,FALSE),"")</f>
        <v/>
      </c>
      <c r="W345" s="99">
        <f>IFERROR(VLOOKUP(M345,'Horario Pabellones'!$A$4:$D$17,4,FALSE),"")</f>
        <v/>
      </c>
      <c r="X345" s="89">
        <f>IFERROR(IF(OR(A345="",M345="",W345=""),"",(((_xludf.AGGREGATE(14,6,MOD($S$4:$S$500,1)/(($A$4:$A$500=A345)*($M$4:$M$500=M345)*($R$4:$R$500&lt;&gt;"")*($S$4:$S$500&lt;&gt;"")),1)-_xludf.AGGREGATE(15,6,MOD($R$4:$R$500,1)/(($A$4:$A$500=A345)*($M$4:$M$500=M345)*($R$4:$R$500&lt;&gt;"")*($S$4:$S$500&lt;&gt;"")),1))*1440)/60)/(W345/60)),"")</f>
        <v/>
      </c>
      <c r="Y345" s="26">
        <f>IFERROR(IF(OR(O345="",A345="",M345=""),"",(IF(ISNUMBER(O345),MOD(O345,1),TIMEVALUE(O345))-LOOKUP(2,1/(($A$4:$A$500=A345)*($M$4:$M$500=M345)*($T$4:$T$500&lt;&gt;"")*($T$4:$T$500&lt;IF(ISNUMBER(O345),MOD(O345,1),TIMEVALUE(O345)))),$T$4:$T$500))*1440),"")</f>
        <v/>
      </c>
      <c r="Z345" s="27">
        <f>IFERROR(IF(Y345="","",IF(ROUND(Y345,0)&lt;=15,"Cumple","No cumple")),"")</f>
        <v/>
      </c>
      <c r="AA345" s="27" t="n"/>
      <c r="AB345" s="26">
        <f>IFERROR(IF(OR(O345="",R345=""),"",IF(IF(ISNUMBER(R345),MOD(R345,1),TIMEVALUE(R345))&gt;=IF(ISNUMBER(O345),MOD(O345,1),TIMEVALUE(O345)),(IF(ISNUMBER(R345),MOD(R345,1),TIMEVALUE(R345))-IF(ISNUMBER(O345),MOD(O345,1),TIMEVALUE(O345)))*1440,(IF(ISNUMBER(R345),MOD(R345,1),TIMEVALUE(R345))+1-IF(ISNUMBER(O345),MOD(O345,1),TIMEVALUE(O345)))*1440)),"")</f>
        <v/>
      </c>
      <c r="AC345" s="26">
        <f>IFERROR(IF(OR(R345="",S345=""),"",IF(IF(ISNUMBER(S345),MOD(S345,1),TIMEVALUE(S345))&gt;=IF(ISNUMBER(R345),MOD(R345,1),TIMEVALUE(R345)),(IF(ISNUMBER(S345),MOD(S345,1),TIMEVALUE(S345))-IF(ISNUMBER(R345),MOD(R345,1),TIMEVALUE(R345)))*1440,(IF(ISNUMBER(S345),MOD(S345,1),TIMEVALUE(S345))+1-IF(ISNUMBER(R345),MOD(R345,1),TIMEVALUE(R345)))*1440)),"")</f>
        <v/>
      </c>
      <c r="AD345" s="29" t="n"/>
      <c r="AE345" s="26">
        <f>IFERROR(IF(OR(AC345="",AD345=""),"",AC345-AD345),"")</f>
        <v/>
      </c>
      <c r="AF345" s="27">
        <f>IFERROR(IF(AE345="","",IF(ROUND(AE345,0)&gt;15,"Subestimacion",IF(ROUND(AE345,0)&lt;-15,"Sobrestimacion","Asertivo"))),"")</f>
        <v/>
      </c>
      <c r="AG345" s="19" t="n"/>
      <c r="AH345" s="19" t="n"/>
      <c r="AI345" s="19" t="n"/>
      <c r="AJ345" s="19" t="n"/>
      <c r="AK345" s="19" t="n"/>
      <c r="AL345" s="19" t="n"/>
      <c r="AM345" s="19" t="n"/>
      <c r="AN345" s="19" t="n"/>
      <c r="AO345" s="19" t="n"/>
      <c r="AP345" s="127">
        <f>IF(A345="","",A345-WEEKDAY(A345,2)+1)</f>
        <v/>
      </c>
      <c r="AQ345" s="127">
        <f>IF(AO345="","",AO345+6)</f>
        <v/>
      </c>
      <c r="AR345" s="19">
        <f>IF(AO345="","","Semana "&amp;TEXT(AO345,"dd-mm-yyyy")&amp;" al "&amp;TEXT(AP345,"dd-mm-yyyy"))</f>
        <v/>
      </c>
      <c r="AS345" s="19">
        <f>IF(A345="","",TEXT(A345,"mmmm yyyy"))</f>
        <v/>
      </c>
      <c r="AT345" s="19">
        <f>IF(A345="","",TEXT(A345,"dddd"))</f>
        <v/>
      </c>
      <c r="AU345" s="19">
        <f>IF(A345="","","CRR-"&amp;TEXT(A345,"yyyymmdd")&amp;"-"&amp;M345&amp;"-"&amp;TEXT(ROW()-3,"0000"))</f>
        <v/>
      </c>
      <c r="AV345" s="19">
        <f>IF(A345="","",IF(OR(B345="",C345="",E345="",F345="",M345="",N345=""),"Revisar campos obligatorios",IF(AND(P345="Atraso primera hora",Q345=""),"Falta justificación atraso primera hora",IF(AND(Z345="No cumple",AA345=""),"Falta justificación recambio &gt;15 min",IF(AND(ISNUMBER(SEARCH("suspend",N345)),OR(AG345="",AH345="")),"Falta causa/motivo suspensión","OK")))))</f>
        <v/>
      </c>
      <c r="AW345" s="19">
        <f>IF(N345="","",IF(ISNUMBER(SEARCH("suspend",N345)),IF(AND(AG345="",AH345=""),"Sin causa/motivo registrado",IF(AG345="",AH345,IF(AH345="",AG345,AG345&amp;": "&amp;AH345))),""))</f>
        <v/>
      </c>
    </row>
    <row r="346" ht="16" customHeight="1" s="151">
      <c r="A346" s="62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20">
        <f>IF(H346&lt;&gt;"",IFERROR(VLOOKUP(IFERROR(LEFT(H346,FIND("-",H346)-1),H346),'Catalogo MINSAL'!A:E,5,FALSE),""),IF(I346&lt;&gt;"",IFERROR(VLOOKUP(IFERROR(LEFT(I346,FIND("-",I346)-1),I346),'Catalogo MINSAL'!A:E,5,FALSE),""),""))</f>
        <v/>
      </c>
      <c r="K346" s="19" t="n"/>
      <c r="L346" s="19" t="n"/>
      <c r="M346" s="19" t="n"/>
      <c r="N346" s="19" t="n"/>
      <c r="O346" s="25" t="n"/>
      <c r="P346" s="27">
        <f>IFERROR(IF(OR(O346="",A346="",M346=""),"",IF(SUMPRODUCT(($A$4:$A$500=A346)*($M$4:$M$500=M346)*($O$4:$O$500&lt;&gt;"")*(MOD($O$4:$O$500,1)&lt;MOD(O346,1)))=0,IF(MOD(O346,1)&lt;=TIME(8,15,0),"Ingreso adecuado primera hora","Atraso primera hora"),"No aplica")),"")</f>
        <v/>
      </c>
      <c r="Q346" s="27" t="n"/>
      <c r="R346" s="25" t="n"/>
      <c r="S346" s="25" t="n"/>
      <c r="T346" s="25" t="n"/>
      <c r="U346" s="25">
        <f>IFERROR(VLOOKUP(M346,'Horario Pabellones'!$A$4:$D$17,2,FALSE),"")</f>
        <v/>
      </c>
      <c r="V346" s="25">
        <f>IFERROR(VLOOKUP(M346,'Horario Pabellones'!$A$4:$D$17,3,FALSE),"")</f>
        <v/>
      </c>
      <c r="W346" s="99">
        <f>IFERROR(VLOOKUP(M346,'Horario Pabellones'!$A$4:$D$17,4,FALSE),"")</f>
        <v/>
      </c>
      <c r="X346" s="89">
        <f>IFERROR(IF(OR(A346="",M346="",W346=""),"",(((_xludf.AGGREGATE(14,6,MOD($S$4:$S$500,1)/(($A$4:$A$500=A346)*($M$4:$M$500=M346)*($R$4:$R$500&lt;&gt;"")*($S$4:$S$500&lt;&gt;"")),1)-_xludf.AGGREGATE(15,6,MOD($R$4:$R$500,1)/(($A$4:$A$500=A346)*($M$4:$M$500=M346)*($R$4:$R$500&lt;&gt;"")*($S$4:$S$500&lt;&gt;"")),1))*1440)/60)/(W346/60)),"")</f>
        <v/>
      </c>
      <c r="Y346" s="26">
        <f>IFERROR(IF(OR(O346="",A346="",M346=""),"",(IF(ISNUMBER(O346),MOD(O346,1),TIMEVALUE(O346))-LOOKUP(2,1/(($A$4:$A$500=A346)*($M$4:$M$500=M346)*($T$4:$T$500&lt;&gt;"")*($T$4:$T$500&lt;IF(ISNUMBER(O346),MOD(O346,1),TIMEVALUE(O346)))),$T$4:$T$500))*1440),"")</f>
        <v/>
      </c>
      <c r="Z346" s="27">
        <f>IFERROR(IF(Y346="","",IF(ROUND(Y346,0)&lt;=15,"Cumple","No cumple")),"")</f>
        <v/>
      </c>
      <c r="AA346" s="27" t="n"/>
      <c r="AB346" s="26">
        <f>IFERROR(IF(OR(O346="",R346=""),"",IF(IF(ISNUMBER(R346),MOD(R346,1),TIMEVALUE(R346))&gt;=IF(ISNUMBER(O346),MOD(O346,1),TIMEVALUE(O346)),(IF(ISNUMBER(R346),MOD(R346,1),TIMEVALUE(R346))-IF(ISNUMBER(O346),MOD(O346,1),TIMEVALUE(O346)))*1440,(IF(ISNUMBER(R346),MOD(R346,1),TIMEVALUE(R346))+1-IF(ISNUMBER(O346),MOD(O346,1),TIMEVALUE(O346)))*1440)),"")</f>
        <v/>
      </c>
      <c r="AC346" s="26">
        <f>IFERROR(IF(OR(R346="",S346=""),"",IF(IF(ISNUMBER(S346),MOD(S346,1),TIMEVALUE(S346))&gt;=IF(ISNUMBER(R346),MOD(R346,1),TIMEVALUE(R346)),(IF(ISNUMBER(S346),MOD(S346,1),TIMEVALUE(S346))-IF(ISNUMBER(R346),MOD(R346,1),TIMEVALUE(R346)))*1440,(IF(ISNUMBER(S346),MOD(S346,1),TIMEVALUE(S346))+1-IF(ISNUMBER(R346),MOD(R346,1),TIMEVALUE(R346)))*1440)),"")</f>
        <v/>
      </c>
      <c r="AD346" s="29" t="n"/>
      <c r="AE346" s="26">
        <f>IFERROR(IF(OR(AC346="",AD346=""),"",AC346-AD346),"")</f>
        <v/>
      </c>
      <c r="AF346" s="27">
        <f>IFERROR(IF(AE346="","",IF(ROUND(AE346,0)&gt;15,"Subestimacion",IF(ROUND(AE346,0)&lt;-15,"Sobrestimacion","Asertivo"))),"")</f>
        <v/>
      </c>
      <c r="AG346" s="19" t="n"/>
      <c r="AH346" s="19" t="n"/>
      <c r="AI346" s="19" t="n"/>
      <c r="AJ346" s="19" t="n"/>
      <c r="AK346" s="19" t="n"/>
      <c r="AL346" s="19" t="n"/>
      <c r="AM346" s="19" t="n"/>
      <c r="AN346" s="19" t="n"/>
      <c r="AO346" s="19" t="n"/>
      <c r="AP346" s="127">
        <f>IF(A346="","",A346-WEEKDAY(A346,2)+1)</f>
        <v/>
      </c>
      <c r="AQ346" s="127">
        <f>IF(AO346="","",AO346+6)</f>
        <v/>
      </c>
      <c r="AR346" s="19">
        <f>IF(AO346="","","Semana "&amp;TEXT(AO346,"dd-mm-yyyy")&amp;" al "&amp;TEXT(AP346,"dd-mm-yyyy"))</f>
        <v/>
      </c>
      <c r="AS346" s="19">
        <f>IF(A346="","",TEXT(A346,"mmmm yyyy"))</f>
        <v/>
      </c>
      <c r="AT346" s="19">
        <f>IF(A346="","",TEXT(A346,"dddd"))</f>
        <v/>
      </c>
      <c r="AU346" s="19">
        <f>IF(A346="","","CRR-"&amp;TEXT(A346,"yyyymmdd")&amp;"-"&amp;M346&amp;"-"&amp;TEXT(ROW()-3,"0000"))</f>
        <v/>
      </c>
      <c r="AV346" s="19">
        <f>IF(A346="","",IF(OR(B346="",C346="",E346="",F346="",M346="",N346=""),"Revisar campos obligatorios",IF(AND(P346="Atraso primera hora",Q346=""),"Falta justificación atraso primera hora",IF(AND(Z346="No cumple",AA346=""),"Falta justificación recambio &gt;15 min",IF(AND(ISNUMBER(SEARCH("suspend",N346)),OR(AG346="",AH346="")),"Falta causa/motivo suspensión","OK")))))</f>
        <v/>
      </c>
      <c r="AW346" s="19">
        <f>IF(N346="","",IF(ISNUMBER(SEARCH("suspend",N346)),IF(AND(AG346="",AH346=""),"Sin causa/motivo registrado",IF(AG346="",AH346,IF(AH346="",AG346,AG346&amp;": "&amp;AH346))),""))</f>
        <v/>
      </c>
    </row>
    <row r="347" ht="16" customHeight="1" s="151">
      <c r="A347" s="62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20">
        <f>IF(H347&lt;&gt;"",IFERROR(VLOOKUP(IFERROR(LEFT(H347,FIND("-",H347)-1),H347),'Catalogo MINSAL'!A:E,5,FALSE),""),IF(I347&lt;&gt;"",IFERROR(VLOOKUP(IFERROR(LEFT(I347,FIND("-",I347)-1),I347),'Catalogo MINSAL'!A:E,5,FALSE),""),""))</f>
        <v/>
      </c>
      <c r="K347" s="19" t="n"/>
      <c r="L347" s="19" t="n"/>
      <c r="M347" s="19" t="n"/>
      <c r="N347" s="19" t="n"/>
      <c r="O347" s="25" t="n"/>
      <c r="P347" s="27">
        <f>IFERROR(IF(OR(O347="",A347="",M347=""),"",IF(SUMPRODUCT(($A$4:$A$500=A347)*($M$4:$M$500=M347)*($O$4:$O$500&lt;&gt;"")*(MOD($O$4:$O$500,1)&lt;MOD(O347,1)))=0,IF(MOD(O347,1)&lt;=TIME(8,15,0),"Ingreso adecuado primera hora","Atraso primera hora"),"No aplica")),"")</f>
        <v/>
      </c>
      <c r="Q347" s="27" t="n"/>
      <c r="R347" s="25" t="n"/>
      <c r="S347" s="25" t="n"/>
      <c r="T347" s="25" t="n"/>
      <c r="U347" s="25">
        <f>IFERROR(VLOOKUP(M347,'Horario Pabellones'!$A$4:$D$17,2,FALSE),"")</f>
        <v/>
      </c>
      <c r="V347" s="25">
        <f>IFERROR(VLOOKUP(M347,'Horario Pabellones'!$A$4:$D$17,3,FALSE),"")</f>
        <v/>
      </c>
      <c r="W347" s="99">
        <f>IFERROR(VLOOKUP(M347,'Horario Pabellones'!$A$4:$D$17,4,FALSE),"")</f>
        <v/>
      </c>
      <c r="X347" s="89">
        <f>IFERROR(IF(OR(A347="",M347="",W347=""),"",(((_xludf.AGGREGATE(14,6,MOD($S$4:$S$500,1)/(($A$4:$A$500=A347)*($M$4:$M$500=M347)*($R$4:$R$500&lt;&gt;"")*($S$4:$S$500&lt;&gt;"")),1)-_xludf.AGGREGATE(15,6,MOD($R$4:$R$500,1)/(($A$4:$A$500=A347)*($M$4:$M$500=M347)*($R$4:$R$500&lt;&gt;"")*($S$4:$S$500&lt;&gt;"")),1))*1440)/60)/(W347/60)),"")</f>
        <v/>
      </c>
      <c r="Y347" s="26">
        <f>IFERROR(IF(OR(O347="",A347="",M347=""),"",(IF(ISNUMBER(O347),MOD(O347,1),TIMEVALUE(O347))-LOOKUP(2,1/(($A$4:$A$500=A347)*($M$4:$M$500=M347)*($T$4:$T$500&lt;&gt;"")*($T$4:$T$500&lt;IF(ISNUMBER(O347),MOD(O347,1),TIMEVALUE(O347)))),$T$4:$T$500))*1440),"")</f>
        <v/>
      </c>
      <c r="Z347" s="27">
        <f>IFERROR(IF(Y347="","",IF(ROUND(Y347,0)&lt;=15,"Cumple","No cumple")),"")</f>
        <v/>
      </c>
      <c r="AA347" s="27" t="n"/>
      <c r="AB347" s="26">
        <f>IFERROR(IF(OR(O347="",R347=""),"",IF(IF(ISNUMBER(R347),MOD(R347,1),TIMEVALUE(R347))&gt;=IF(ISNUMBER(O347),MOD(O347,1),TIMEVALUE(O347)),(IF(ISNUMBER(R347),MOD(R347,1),TIMEVALUE(R347))-IF(ISNUMBER(O347),MOD(O347,1),TIMEVALUE(O347)))*1440,(IF(ISNUMBER(R347),MOD(R347,1),TIMEVALUE(R347))+1-IF(ISNUMBER(O347),MOD(O347,1),TIMEVALUE(O347)))*1440)),"")</f>
        <v/>
      </c>
      <c r="AC347" s="26">
        <f>IFERROR(IF(OR(R347="",S347=""),"",IF(IF(ISNUMBER(S347),MOD(S347,1),TIMEVALUE(S347))&gt;=IF(ISNUMBER(R347),MOD(R347,1),TIMEVALUE(R347)),(IF(ISNUMBER(S347),MOD(S347,1),TIMEVALUE(S347))-IF(ISNUMBER(R347),MOD(R347,1),TIMEVALUE(R347)))*1440,(IF(ISNUMBER(S347),MOD(S347,1),TIMEVALUE(S347))+1-IF(ISNUMBER(R347),MOD(R347,1),TIMEVALUE(R347)))*1440)),"")</f>
        <v/>
      </c>
      <c r="AD347" s="29" t="n"/>
      <c r="AE347" s="26">
        <f>IFERROR(IF(OR(AC347="",AD347=""),"",AC347-AD347),"")</f>
        <v/>
      </c>
      <c r="AF347" s="27">
        <f>IFERROR(IF(AE347="","",IF(ROUND(AE347,0)&gt;15,"Subestimacion",IF(ROUND(AE347,0)&lt;-15,"Sobrestimacion","Asertivo"))),"")</f>
        <v/>
      </c>
      <c r="AG347" s="19" t="n"/>
      <c r="AH347" s="19" t="n"/>
      <c r="AI347" s="19" t="n"/>
      <c r="AJ347" s="19" t="n"/>
      <c r="AK347" s="19" t="n"/>
      <c r="AL347" s="19" t="n"/>
      <c r="AM347" s="19" t="n"/>
      <c r="AN347" s="19" t="n"/>
      <c r="AO347" s="19" t="n"/>
      <c r="AP347" s="127">
        <f>IF(A347="","",A347-WEEKDAY(A347,2)+1)</f>
        <v/>
      </c>
      <c r="AQ347" s="127">
        <f>IF(AO347="","",AO347+6)</f>
        <v/>
      </c>
      <c r="AR347" s="19">
        <f>IF(AO347="","","Semana "&amp;TEXT(AO347,"dd-mm-yyyy")&amp;" al "&amp;TEXT(AP347,"dd-mm-yyyy"))</f>
        <v/>
      </c>
      <c r="AS347" s="19">
        <f>IF(A347="","",TEXT(A347,"mmmm yyyy"))</f>
        <v/>
      </c>
      <c r="AT347" s="19">
        <f>IF(A347="","",TEXT(A347,"dddd"))</f>
        <v/>
      </c>
      <c r="AU347" s="19">
        <f>IF(A347="","","CRR-"&amp;TEXT(A347,"yyyymmdd")&amp;"-"&amp;M347&amp;"-"&amp;TEXT(ROW()-3,"0000"))</f>
        <v/>
      </c>
      <c r="AV347" s="19">
        <f>IF(A347="","",IF(OR(B347="",C347="",E347="",F347="",M347="",N347=""),"Revisar campos obligatorios",IF(AND(P347="Atraso primera hora",Q347=""),"Falta justificación atraso primera hora",IF(AND(Z347="No cumple",AA347=""),"Falta justificación recambio &gt;15 min",IF(AND(ISNUMBER(SEARCH("suspend",N347)),OR(AG347="",AH347="")),"Falta causa/motivo suspensión","OK")))))</f>
        <v/>
      </c>
      <c r="AW347" s="19">
        <f>IF(N347="","",IF(ISNUMBER(SEARCH("suspend",N347)),IF(AND(AG347="",AH347=""),"Sin causa/motivo registrado",IF(AG347="",AH347,IF(AH347="",AG347,AG347&amp;": "&amp;AH347))),""))</f>
        <v/>
      </c>
    </row>
    <row r="348" ht="16" customHeight="1" s="151">
      <c r="A348" s="62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20">
        <f>IF(H348&lt;&gt;"",IFERROR(VLOOKUP(IFERROR(LEFT(H348,FIND("-",H348)-1),H348),'Catalogo MINSAL'!A:E,5,FALSE),""),IF(I348&lt;&gt;"",IFERROR(VLOOKUP(IFERROR(LEFT(I348,FIND("-",I348)-1),I348),'Catalogo MINSAL'!A:E,5,FALSE),""),""))</f>
        <v/>
      </c>
      <c r="K348" s="19" t="n"/>
      <c r="L348" s="19" t="n"/>
      <c r="M348" s="19" t="n"/>
      <c r="N348" s="19" t="n"/>
      <c r="O348" s="25" t="n"/>
      <c r="P348" s="27">
        <f>IFERROR(IF(OR(O348="",A348="",M348=""),"",IF(SUMPRODUCT(($A$4:$A$500=A348)*($M$4:$M$500=M348)*($O$4:$O$500&lt;&gt;"")*(MOD($O$4:$O$500,1)&lt;MOD(O348,1)))=0,IF(MOD(O348,1)&lt;=TIME(8,15,0),"Ingreso adecuado primera hora","Atraso primera hora"),"No aplica")),"")</f>
        <v/>
      </c>
      <c r="Q348" s="27" t="n"/>
      <c r="R348" s="25" t="n"/>
      <c r="S348" s="25" t="n"/>
      <c r="T348" s="25" t="n"/>
      <c r="U348" s="25">
        <f>IFERROR(VLOOKUP(M348,'Horario Pabellones'!$A$4:$D$17,2,FALSE),"")</f>
        <v/>
      </c>
      <c r="V348" s="25">
        <f>IFERROR(VLOOKUP(M348,'Horario Pabellones'!$A$4:$D$17,3,FALSE),"")</f>
        <v/>
      </c>
      <c r="W348" s="99">
        <f>IFERROR(VLOOKUP(M348,'Horario Pabellones'!$A$4:$D$17,4,FALSE),"")</f>
        <v/>
      </c>
      <c r="X348" s="89">
        <f>IFERROR(IF(OR(A348="",M348="",W348=""),"",(((_xludf.AGGREGATE(14,6,MOD($S$4:$S$500,1)/(($A$4:$A$500=A348)*($M$4:$M$500=M348)*($R$4:$R$500&lt;&gt;"")*($S$4:$S$500&lt;&gt;"")),1)-_xludf.AGGREGATE(15,6,MOD($R$4:$R$500,1)/(($A$4:$A$500=A348)*($M$4:$M$500=M348)*($R$4:$R$500&lt;&gt;"")*($S$4:$S$500&lt;&gt;"")),1))*1440)/60)/(W348/60)),"")</f>
        <v/>
      </c>
      <c r="Y348" s="26">
        <f>IFERROR(IF(OR(O348="",A348="",M348=""),"",(IF(ISNUMBER(O348),MOD(O348,1),TIMEVALUE(O348))-LOOKUP(2,1/(($A$4:$A$500=A348)*($M$4:$M$500=M348)*($T$4:$T$500&lt;&gt;"")*($T$4:$T$500&lt;IF(ISNUMBER(O348),MOD(O348,1),TIMEVALUE(O348)))),$T$4:$T$500))*1440),"")</f>
        <v/>
      </c>
      <c r="Z348" s="27">
        <f>IFERROR(IF(Y348="","",IF(ROUND(Y348,0)&lt;=15,"Cumple","No cumple")),"")</f>
        <v/>
      </c>
      <c r="AA348" s="27" t="n"/>
      <c r="AB348" s="26">
        <f>IFERROR(IF(OR(O348="",R348=""),"",IF(IF(ISNUMBER(R348),MOD(R348,1),TIMEVALUE(R348))&gt;=IF(ISNUMBER(O348),MOD(O348,1),TIMEVALUE(O348)),(IF(ISNUMBER(R348),MOD(R348,1),TIMEVALUE(R348))-IF(ISNUMBER(O348),MOD(O348,1),TIMEVALUE(O348)))*1440,(IF(ISNUMBER(R348),MOD(R348,1),TIMEVALUE(R348))+1-IF(ISNUMBER(O348),MOD(O348,1),TIMEVALUE(O348)))*1440)),"")</f>
        <v/>
      </c>
      <c r="AC348" s="26">
        <f>IFERROR(IF(OR(R348="",S348=""),"",IF(IF(ISNUMBER(S348),MOD(S348,1),TIMEVALUE(S348))&gt;=IF(ISNUMBER(R348),MOD(R348,1),TIMEVALUE(R348)),(IF(ISNUMBER(S348),MOD(S348,1),TIMEVALUE(S348))-IF(ISNUMBER(R348),MOD(R348,1),TIMEVALUE(R348)))*1440,(IF(ISNUMBER(S348),MOD(S348,1),TIMEVALUE(S348))+1-IF(ISNUMBER(R348),MOD(R348,1),TIMEVALUE(R348)))*1440)),"")</f>
        <v/>
      </c>
      <c r="AD348" s="29" t="n"/>
      <c r="AE348" s="26">
        <f>IFERROR(IF(OR(AC348="",AD348=""),"",AC348-AD348),"")</f>
        <v/>
      </c>
      <c r="AF348" s="27">
        <f>IFERROR(IF(AE348="","",IF(ROUND(AE348,0)&gt;15,"Subestimacion",IF(ROUND(AE348,0)&lt;-15,"Sobrestimacion","Asertivo"))),"")</f>
        <v/>
      </c>
      <c r="AG348" s="19" t="n"/>
      <c r="AH348" s="19" t="n"/>
      <c r="AI348" s="19" t="n"/>
      <c r="AJ348" s="19" t="n"/>
      <c r="AK348" s="19" t="n"/>
      <c r="AL348" s="19" t="n"/>
      <c r="AM348" s="19" t="n"/>
      <c r="AN348" s="19" t="n"/>
      <c r="AO348" s="19" t="n"/>
      <c r="AP348" s="127">
        <f>IF(A348="","",A348-WEEKDAY(A348,2)+1)</f>
        <v/>
      </c>
      <c r="AQ348" s="127">
        <f>IF(AO348="","",AO348+6)</f>
        <v/>
      </c>
      <c r="AR348" s="19">
        <f>IF(AO348="","","Semana "&amp;TEXT(AO348,"dd-mm-yyyy")&amp;" al "&amp;TEXT(AP348,"dd-mm-yyyy"))</f>
        <v/>
      </c>
      <c r="AS348" s="19">
        <f>IF(A348="","",TEXT(A348,"mmmm yyyy"))</f>
        <v/>
      </c>
      <c r="AT348" s="19">
        <f>IF(A348="","",TEXT(A348,"dddd"))</f>
        <v/>
      </c>
      <c r="AU348" s="19">
        <f>IF(A348="","","CRR-"&amp;TEXT(A348,"yyyymmdd")&amp;"-"&amp;M348&amp;"-"&amp;TEXT(ROW()-3,"0000"))</f>
        <v/>
      </c>
      <c r="AV348" s="19">
        <f>IF(A348="","",IF(OR(B348="",C348="",E348="",F348="",M348="",N348=""),"Revisar campos obligatorios",IF(AND(P348="Atraso primera hora",Q348=""),"Falta justificación atraso primera hora",IF(AND(Z348="No cumple",AA348=""),"Falta justificación recambio &gt;15 min",IF(AND(ISNUMBER(SEARCH("suspend",N348)),OR(AG348="",AH348="")),"Falta causa/motivo suspensión","OK")))))</f>
        <v/>
      </c>
      <c r="AW348" s="19">
        <f>IF(N348="","",IF(ISNUMBER(SEARCH("suspend",N348)),IF(AND(AG348="",AH348=""),"Sin causa/motivo registrado",IF(AG348="",AH348,IF(AH348="",AG348,AG348&amp;": "&amp;AH348))),""))</f>
        <v/>
      </c>
    </row>
    <row r="349" ht="16" customHeight="1" s="151">
      <c r="A349" s="62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20">
        <f>IF(H349&lt;&gt;"",IFERROR(VLOOKUP(IFERROR(LEFT(H349,FIND("-",H349)-1),H349),'Catalogo MINSAL'!A:E,5,FALSE),""),IF(I349&lt;&gt;"",IFERROR(VLOOKUP(IFERROR(LEFT(I349,FIND("-",I349)-1),I349),'Catalogo MINSAL'!A:E,5,FALSE),""),""))</f>
        <v/>
      </c>
      <c r="K349" s="19" t="n"/>
      <c r="L349" s="19" t="n"/>
      <c r="M349" s="19" t="n"/>
      <c r="N349" s="19" t="n"/>
      <c r="O349" s="25" t="n"/>
      <c r="P349" s="27">
        <f>IFERROR(IF(OR(O349="",A349="",M349=""),"",IF(SUMPRODUCT(($A$4:$A$500=A349)*($M$4:$M$500=M349)*($O$4:$O$500&lt;&gt;"")*(MOD($O$4:$O$500,1)&lt;MOD(O349,1)))=0,IF(MOD(O349,1)&lt;=TIME(8,15,0),"Ingreso adecuado primera hora","Atraso primera hora"),"No aplica")),"")</f>
        <v/>
      </c>
      <c r="Q349" s="27" t="n"/>
      <c r="R349" s="25" t="n"/>
      <c r="S349" s="25" t="n"/>
      <c r="T349" s="25" t="n"/>
      <c r="U349" s="25">
        <f>IFERROR(VLOOKUP(M349,'Horario Pabellones'!$A$4:$D$17,2,FALSE),"")</f>
        <v/>
      </c>
      <c r="V349" s="25">
        <f>IFERROR(VLOOKUP(M349,'Horario Pabellones'!$A$4:$D$17,3,FALSE),"")</f>
        <v/>
      </c>
      <c r="W349" s="99">
        <f>IFERROR(VLOOKUP(M349,'Horario Pabellones'!$A$4:$D$17,4,FALSE),"")</f>
        <v/>
      </c>
      <c r="X349" s="89">
        <f>IFERROR(IF(OR(A349="",M349="",W349=""),"",(((_xludf.AGGREGATE(14,6,MOD($S$4:$S$500,1)/(($A$4:$A$500=A349)*($M$4:$M$500=M349)*($R$4:$R$500&lt;&gt;"")*($S$4:$S$500&lt;&gt;"")),1)-_xludf.AGGREGATE(15,6,MOD($R$4:$R$500,1)/(($A$4:$A$500=A349)*($M$4:$M$500=M349)*($R$4:$R$500&lt;&gt;"")*($S$4:$S$500&lt;&gt;"")),1))*1440)/60)/(W349/60)),"")</f>
        <v/>
      </c>
      <c r="Y349" s="26">
        <f>IFERROR(IF(OR(O349="",A349="",M349=""),"",(IF(ISNUMBER(O349),MOD(O349,1),TIMEVALUE(O349))-LOOKUP(2,1/(($A$4:$A$500=A349)*($M$4:$M$500=M349)*($T$4:$T$500&lt;&gt;"")*($T$4:$T$500&lt;IF(ISNUMBER(O349),MOD(O349,1),TIMEVALUE(O349)))),$T$4:$T$500))*1440),"")</f>
        <v/>
      </c>
      <c r="Z349" s="27">
        <f>IFERROR(IF(Y349="","",IF(ROUND(Y349,0)&lt;=15,"Cumple","No cumple")),"")</f>
        <v/>
      </c>
      <c r="AA349" s="27" t="n"/>
      <c r="AB349" s="26">
        <f>IFERROR(IF(OR(O349="",R349=""),"",IF(IF(ISNUMBER(R349),MOD(R349,1),TIMEVALUE(R349))&gt;=IF(ISNUMBER(O349),MOD(O349,1),TIMEVALUE(O349)),(IF(ISNUMBER(R349),MOD(R349,1),TIMEVALUE(R349))-IF(ISNUMBER(O349),MOD(O349,1),TIMEVALUE(O349)))*1440,(IF(ISNUMBER(R349),MOD(R349,1),TIMEVALUE(R349))+1-IF(ISNUMBER(O349),MOD(O349,1),TIMEVALUE(O349)))*1440)),"")</f>
        <v/>
      </c>
      <c r="AC349" s="26">
        <f>IFERROR(IF(OR(R349="",S349=""),"",IF(IF(ISNUMBER(S349),MOD(S349,1),TIMEVALUE(S349))&gt;=IF(ISNUMBER(R349),MOD(R349,1),TIMEVALUE(R349)),(IF(ISNUMBER(S349),MOD(S349,1),TIMEVALUE(S349))-IF(ISNUMBER(R349),MOD(R349,1),TIMEVALUE(R349)))*1440,(IF(ISNUMBER(S349),MOD(S349,1),TIMEVALUE(S349))+1-IF(ISNUMBER(R349),MOD(R349,1),TIMEVALUE(R349)))*1440)),"")</f>
        <v/>
      </c>
      <c r="AD349" s="29" t="n"/>
      <c r="AE349" s="26">
        <f>IFERROR(IF(OR(AC349="",AD349=""),"",AC349-AD349),"")</f>
        <v/>
      </c>
      <c r="AF349" s="27">
        <f>IFERROR(IF(AE349="","",IF(ROUND(AE349,0)&gt;15,"Subestimacion",IF(ROUND(AE349,0)&lt;-15,"Sobrestimacion","Asertivo"))),"")</f>
        <v/>
      </c>
      <c r="AG349" s="19" t="n"/>
      <c r="AH349" s="19" t="n"/>
      <c r="AI349" s="19" t="n"/>
      <c r="AJ349" s="19" t="n"/>
      <c r="AK349" s="19" t="n"/>
      <c r="AL349" s="19" t="n"/>
      <c r="AM349" s="19" t="n"/>
      <c r="AN349" s="19" t="n"/>
      <c r="AO349" s="19" t="n"/>
      <c r="AP349" s="127">
        <f>IF(A349="","",A349-WEEKDAY(A349,2)+1)</f>
        <v/>
      </c>
      <c r="AQ349" s="127">
        <f>IF(AO349="","",AO349+6)</f>
        <v/>
      </c>
      <c r="AR349" s="19">
        <f>IF(AO349="","","Semana "&amp;TEXT(AO349,"dd-mm-yyyy")&amp;" al "&amp;TEXT(AP349,"dd-mm-yyyy"))</f>
        <v/>
      </c>
      <c r="AS349" s="19">
        <f>IF(A349="","",TEXT(A349,"mmmm yyyy"))</f>
        <v/>
      </c>
      <c r="AT349" s="19">
        <f>IF(A349="","",TEXT(A349,"dddd"))</f>
        <v/>
      </c>
      <c r="AU349" s="19">
        <f>IF(A349="","","CRR-"&amp;TEXT(A349,"yyyymmdd")&amp;"-"&amp;M349&amp;"-"&amp;TEXT(ROW()-3,"0000"))</f>
        <v/>
      </c>
      <c r="AV349" s="19">
        <f>IF(A349="","",IF(OR(B349="",C349="",E349="",F349="",M349="",N349=""),"Revisar campos obligatorios",IF(AND(P349="Atraso primera hora",Q349=""),"Falta justificación atraso primera hora",IF(AND(Z349="No cumple",AA349=""),"Falta justificación recambio &gt;15 min",IF(AND(ISNUMBER(SEARCH("suspend",N349)),OR(AG349="",AH349="")),"Falta causa/motivo suspensión","OK")))))</f>
        <v/>
      </c>
      <c r="AW349" s="19">
        <f>IF(N349="","",IF(ISNUMBER(SEARCH("suspend",N349)),IF(AND(AG349="",AH349=""),"Sin causa/motivo registrado",IF(AG349="",AH349,IF(AH349="",AG349,AG349&amp;": "&amp;AH349))),""))</f>
        <v/>
      </c>
    </row>
    <row r="350" ht="16" customHeight="1" s="151">
      <c r="A350" s="62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20">
        <f>IF(H350&lt;&gt;"",IFERROR(VLOOKUP(IFERROR(LEFT(H350,FIND("-",H350)-1),H350),'Catalogo MINSAL'!A:E,5,FALSE),""),IF(I350&lt;&gt;"",IFERROR(VLOOKUP(IFERROR(LEFT(I350,FIND("-",I350)-1),I350),'Catalogo MINSAL'!A:E,5,FALSE),""),""))</f>
        <v/>
      </c>
      <c r="K350" s="19" t="n"/>
      <c r="L350" s="19" t="n"/>
      <c r="M350" s="19" t="n"/>
      <c r="N350" s="19" t="n"/>
      <c r="O350" s="25" t="n"/>
      <c r="P350" s="27">
        <f>IFERROR(IF(OR(O350="",A350="",M350=""),"",IF(SUMPRODUCT(($A$4:$A$500=A350)*($M$4:$M$500=M350)*($O$4:$O$500&lt;&gt;"")*(MOD($O$4:$O$500,1)&lt;MOD(O350,1)))=0,IF(MOD(O350,1)&lt;=TIME(8,15,0),"Ingreso adecuado primera hora","Atraso primera hora"),"No aplica")),"")</f>
        <v/>
      </c>
      <c r="Q350" s="27" t="n"/>
      <c r="R350" s="25" t="n"/>
      <c r="S350" s="25" t="n"/>
      <c r="T350" s="25" t="n"/>
      <c r="U350" s="25">
        <f>IFERROR(VLOOKUP(M350,'Horario Pabellones'!$A$4:$D$17,2,FALSE),"")</f>
        <v/>
      </c>
      <c r="V350" s="25">
        <f>IFERROR(VLOOKUP(M350,'Horario Pabellones'!$A$4:$D$17,3,FALSE),"")</f>
        <v/>
      </c>
      <c r="W350" s="99">
        <f>IFERROR(VLOOKUP(M350,'Horario Pabellones'!$A$4:$D$17,4,FALSE),"")</f>
        <v/>
      </c>
      <c r="X350" s="89">
        <f>IFERROR(IF(OR(A350="",M350="",W350=""),"",(((_xludf.AGGREGATE(14,6,MOD($S$4:$S$500,1)/(($A$4:$A$500=A350)*($M$4:$M$500=M350)*($R$4:$R$500&lt;&gt;"")*($S$4:$S$500&lt;&gt;"")),1)-_xludf.AGGREGATE(15,6,MOD($R$4:$R$500,1)/(($A$4:$A$500=A350)*($M$4:$M$500=M350)*($R$4:$R$500&lt;&gt;"")*($S$4:$S$500&lt;&gt;"")),1))*1440)/60)/(W350/60)),"")</f>
        <v/>
      </c>
      <c r="Y350" s="26">
        <f>IFERROR(IF(OR(O350="",A350="",M350=""),"",(IF(ISNUMBER(O350),MOD(O350,1),TIMEVALUE(O350))-LOOKUP(2,1/(($A$4:$A$500=A350)*($M$4:$M$500=M350)*($T$4:$T$500&lt;&gt;"")*($T$4:$T$500&lt;IF(ISNUMBER(O350),MOD(O350,1),TIMEVALUE(O350)))),$T$4:$T$500))*1440),"")</f>
        <v/>
      </c>
      <c r="Z350" s="27">
        <f>IFERROR(IF(Y350="","",IF(ROUND(Y350,0)&lt;=15,"Cumple","No cumple")),"")</f>
        <v/>
      </c>
      <c r="AA350" s="27" t="n"/>
      <c r="AB350" s="26">
        <f>IFERROR(IF(OR(O350="",R350=""),"",IF(IF(ISNUMBER(R350),MOD(R350,1),TIMEVALUE(R350))&gt;=IF(ISNUMBER(O350),MOD(O350,1),TIMEVALUE(O350)),(IF(ISNUMBER(R350),MOD(R350,1),TIMEVALUE(R350))-IF(ISNUMBER(O350),MOD(O350,1),TIMEVALUE(O350)))*1440,(IF(ISNUMBER(R350),MOD(R350,1),TIMEVALUE(R350))+1-IF(ISNUMBER(O350),MOD(O350,1),TIMEVALUE(O350)))*1440)),"")</f>
        <v/>
      </c>
      <c r="AC350" s="26">
        <f>IFERROR(IF(OR(R350="",S350=""),"",IF(IF(ISNUMBER(S350),MOD(S350,1),TIMEVALUE(S350))&gt;=IF(ISNUMBER(R350),MOD(R350,1),TIMEVALUE(R350)),(IF(ISNUMBER(S350),MOD(S350,1),TIMEVALUE(S350))-IF(ISNUMBER(R350),MOD(R350,1),TIMEVALUE(R350)))*1440,(IF(ISNUMBER(S350),MOD(S350,1),TIMEVALUE(S350))+1-IF(ISNUMBER(R350),MOD(R350,1),TIMEVALUE(R350)))*1440)),"")</f>
        <v/>
      </c>
      <c r="AD350" s="29" t="n"/>
      <c r="AE350" s="26">
        <f>IFERROR(IF(OR(AC350="",AD350=""),"",AC350-AD350),"")</f>
        <v/>
      </c>
      <c r="AF350" s="27">
        <f>IFERROR(IF(AE350="","",IF(ROUND(AE350,0)&gt;15,"Subestimacion",IF(ROUND(AE350,0)&lt;-15,"Sobrestimacion","Asertivo"))),"")</f>
        <v/>
      </c>
      <c r="AG350" s="19" t="n"/>
      <c r="AH350" s="19" t="n"/>
      <c r="AI350" s="19" t="n"/>
      <c r="AJ350" s="19" t="n"/>
      <c r="AK350" s="19" t="n"/>
      <c r="AL350" s="19" t="n"/>
      <c r="AM350" s="19" t="n"/>
      <c r="AN350" s="19" t="n"/>
      <c r="AO350" s="19" t="n"/>
      <c r="AP350" s="127">
        <f>IF(A350="","",A350-WEEKDAY(A350,2)+1)</f>
        <v/>
      </c>
      <c r="AQ350" s="127">
        <f>IF(AO350="","",AO350+6)</f>
        <v/>
      </c>
      <c r="AR350" s="19">
        <f>IF(AO350="","","Semana "&amp;TEXT(AO350,"dd-mm-yyyy")&amp;" al "&amp;TEXT(AP350,"dd-mm-yyyy"))</f>
        <v/>
      </c>
      <c r="AS350" s="19">
        <f>IF(A350="","",TEXT(A350,"mmmm yyyy"))</f>
        <v/>
      </c>
      <c r="AT350" s="19">
        <f>IF(A350="","",TEXT(A350,"dddd"))</f>
        <v/>
      </c>
      <c r="AU350" s="19">
        <f>IF(A350="","","CRR-"&amp;TEXT(A350,"yyyymmdd")&amp;"-"&amp;M350&amp;"-"&amp;TEXT(ROW()-3,"0000"))</f>
        <v/>
      </c>
      <c r="AV350" s="19">
        <f>IF(A350="","",IF(OR(B350="",C350="",E350="",F350="",M350="",N350=""),"Revisar campos obligatorios",IF(AND(P350="Atraso primera hora",Q350=""),"Falta justificación atraso primera hora",IF(AND(Z350="No cumple",AA350=""),"Falta justificación recambio &gt;15 min",IF(AND(ISNUMBER(SEARCH("suspend",N350)),OR(AG350="",AH350="")),"Falta causa/motivo suspensión","OK")))))</f>
        <v/>
      </c>
      <c r="AW350" s="19">
        <f>IF(N350="","",IF(ISNUMBER(SEARCH("suspend",N350)),IF(AND(AG350="",AH350=""),"Sin causa/motivo registrado",IF(AG350="",AH350,IF(AH350="",AG350,AG350&amp;": "&amp;AH350))),""))</f>
        <v/>
      </c>
    </row>
    <row r="351" ht="16" customHeight="1" s="151">
      <c r="A351" s="62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20">
        <f>IF(H351&lt;&gt;"",IFERROR(VLOOKUP(IFERROR(LEFT(H351,FIND("-",H351)-1),H351),'Catalogo MINSAL'!A:E,5,FALSE),""),IF(I351&lt;&gt;"",IFERROR(VLOOKUP(IFERROR(LEFT(I351,FIND("-",I351)-1),I351),'Catalogo MINSAL'!A:E,5,FALSE),""),""))</f>
        <v/>
      </c>
      <c r="K351" s="19" t="n"/>
      <c r="L351" s="19" t="n"/>
      <c r="M351" s="19" t="n"/>
      <c r="N351" s="19" t="n"/>
      <c r="O351" s="25" t="n"/>
      <c r="P351" s="27">
        <f>IFERROR(IF(OR(O351="",A351="",M351=""),"",IF(SUMPRODUCT(($A$4:$A$500=A351)*($M$4:$M$500=M351)*($O$4:$O$500&lt;&gt;"")*(MOD($O$4:$O$500,1)&lt;MOD(O351,1)))=0,IF(MOD(O351,1)&lt;=TIME(8,15,0),"Ingreso adecuado primera hora","Atraso primera hora"),"No aplica")),"")</f>
        <v/>
      </c>
      <c r="Q351" s="27" t="n"/>
      <c r="R351" s="25" t="n"/>
      <c r="S351" s="25" t="n"/>
      <c r="T351" s="25" t="n"/>
      <c r="U351" s="25">
        <f>IFERROR(VLOOKUP(M351,'Horario Pabellones'!$A$4:$D$17,2,FALSE),"")</f>
        <v/>
      </c>
      <c r="V351" s="25">
        <f>IFERROR(VLOOKUP(M351,'Horario Pabellones'!$A$4:$D$17,3,FALSE),"")</f>
        <v/>
      </c>
      <c r="W351" s="99">
        <f>IFERROR(VLOOKUP(M351,'Horario Pabellones'!$A$4:$D$17,4,FALSE),"")</f>
        <v/>
      </c>
      <c r="X351" s="89">
        <f>IFERROR(IF(OR(A351="",M351="",W351=""),"",(((_xludf.AGGREGATE(14,6,MOD($S$4:$S$500,1)/(($A$4:$A$500=A351)*($M$4:$M$500=M351)*($R$4:$R$500&lt;&gt;"")*($S$4:$S$500&lt;&gt;"")),1)-_xludf.AGGREGATE(15,6,MOD($R$4:$R$500,1)/(($A$4:$A$500=A351)*($M$4:$M$500=M351)*($R$4:$R$500&lt;&gt;"")*($S$4:$S$500&lt;&gt;"")),1))*1440)/60)/(W351/60)),"")</f>
        <v/>
      </c>
      <c r="Y351" s="26">
        <f>IFERROR(IF(OR(O351="",A351="",M351=""),"",(IF(ISNUMBER(O351),MOD(O351,1),TIMEVALUE(O351))-LOOKUP(2,1/(($A$4:$A$500=A351)*($M$4:$M$500=M351)*($T$4:$T$500&lt;&gt;"")*($T$4:$T$500&lt;IF(ISNUMBER(O351),MOD(O351,1),TIMEVALUE(O351)))),$T$4:$T$500))*1440),"")</f>
        <v/>
      </c>
      <c r="Z351" s="27">
        <f>IFERROR(IF(Y351="","",IF(ROUND(Y351,0)&lt;=15,"Cumple","No cumple")),"")</f>
        <v/>
      </c>
      <c r="AA351" s="27" t="n"/>
      <c r="AB351" s="26">
        <f>IFERROR(IF(OR(O351="",R351=""),"",IF(IF(ISNUMBER(R351),MOD(R351,1),TIMEVALUE(R351))&gt;=IF(ISNUMBER(O351),MOD(O351,1),TIMEVALUE(O351)),(IF(ISNUMBER(R351),MOD(R351,1),TIMEVALUE(R351))-IF(ISNUMBER(O351),MOD(O351,1),TIMEVALUE(O351)))*1440,(IF(ISNUMBER(R351),MOD(R351,1),TIMEVALUE(R351))+1-IF(ISNUMBER(O351),MOD(O351,1),TIMEVALUE(O351)))*1440)),"")</f>
        <v/>
      </c>
      <c r="AC351" s="26">
        <f>IFERROR(IF(OR(R351="",S351=""),"",IF(IF(ISNUMBER(S351),MOD(S351,1),TIMEVALUE(S351))&gt;=IF(ISNUMBER(R351),MOD(R351,1),TIMEVALUE(R351)),(IF(ISNUMBER(S351),MOD(S351,1),TIMEVALUE(S351))-IF(ISNUMBER(R351),MOD(R351,1),TIMEVALUE(R351)))*1440,(IF(ISNUMBER(S351),MOD(S351,1),TIMEVALUE(S351))+1-IF(ISNUMBER(R351),MOD(R351,1),TIMEVALUE(R351)))*1440)),"")</f>
        <v/>
      </c>
      <c r="AD351" s="29" t="n"/>
      <c r="AE351" s="26">
        <f>IFERROR(IF(OR(AC351="",AD351=""),"",AC351-AD351),"")</f>
        <v/>
      </c>
      <c r="AF351" s="27">
        <f>IFERROR(IF(AE351="","",IF(ROUND(AE351,0)&gt;15,"Subestimacion",IF(ROUND(AE351,0)&lt;-15,"Sobrestimacion","Asertivo"))),"")</f>
        <v/>
      </c>
      <c r="AG351" s="19" t="n"/>
      <c r="AH351" s="19" t="n"/>
      <c r="AI351" s="19" t="n"/>
      <c r="AJ351" s="19" t="n"/>
      <c r="AK351" s="19" t="n"/>
      <c r="AL351" s="19" t="n"/>
      <c r="AM351" s="19" t="n"/>
      <c r="AN351" s="19" t="n"/>
      <c r="AO351" s="19" t="n"/>
      <c r="AP351" s="127">
        <f>IF(A351="","",A351-WEEKDAY(A351,2)+1)</f>
        <v/>
      </c>
      <c r="AQ351" s="127">
        <f>IF(AO351="","",AO351+6)</f>
        <v/>
      </c>
      <c r="AR351" s="19">
        <f>IF(AO351="","","Semana "&amp;TEXT(AO351,"dd-mm-yyyy")&amp;" al "&amp;TEXT(AP351,"dd-mm-yyyy"))</f>
        <v/>
      </c>
      <c r="AS351" s="19">
        <f>IF(A351="","",TEXT(A351,"mmmm yyyy"))</f>
        <v/>
      </c>
      <c r="AT351" s="19">
        <f>IF(A351="","",TEXT(A351,"dddd"))</f>
        <v/>
      </c>
      <c r="AU351" s="19">
        <f>IF(A351="","","CRR-"&amp;TEXT(A351,"yyyymmdd")&amp;"-"&amp;M351&amp;"-"&amp;TEXT(ROW()-3,"0000"))</f>
        <v/>
      </c>
      <c r="AV351" s="19">
        <f>IF(A351="","",IF(OR(B351="",C351="",E351="",F351="",M351="",N351=""),"Revisar campos obligatorios",IF(AND(P351="Atraso primera hora",Q351=""),"Falta justificación atraso primera hora",IF(AND(Z351="No cumple",AA351=""),"Falta justificación recambio &gt;15 min",IF(AND(ISNUMBER(SEARCH("suspend",N351)),OR(AG351="",AH351="")),"Falta causa/motivo suspensión","OK")))))</f>
        <v/>
      </c>
      <c r="AW351" s="19">
        <f>IF(N351="","",IF(ISNUMBER(SEARCH("suspend",N351)),IF(AND(AG351="",AH351=""),"Sin causa/motivo registrado",IF(AG351="",AH351,IF(AH351="",AG351,AG351&amp;": "&amp;AH351))),""))</f>
        <v/>
      </c>
    </row>
    <row r="352" ht="16" customHeight="1" s="151">
      <c r="A352" s="62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20">
        <f>IF(H352&lt;&gt;"",IFERROR(VLOOKUP(IFERROR(LEFT(H352,FIND("-",H352)-1),H352),'Catalogo MINSAL'!A:E,5,FALSE),""),IF(I352&lt;&gt;"",IFERROR(VLOOKUP(IFERROR(LEFT(I352,FIND("-",I352)-1),I352),'Catalogo MINSAL'!A:E,5,FALSE),""),""))</f>
        <v/>
      </c>
      <c r="K352" s="19" t="n"/>
      <c r="L352" s="19" t="n"/>
      <c r="M352" s="19" t="n"/>
      <c r="N352" s="19" t="n"/>
      <c r="O352" s="25" t="n"/>
      <c r="P352" s="27">
        <f>IFERROR(IF(OR(O352="",A352="",M352=""),"",IF(SUMPRODUCT(($A$4:$A$500=A352)*($M$4:$M$500=M352)*($O$4:$O$500&lt;&gt;"")*(MOD($O$4:$O$500,1)&lt;MOD(O352,1)))=0,IF(MOD(O352,1)&lt;=TIME(8,15,0),"Ingreso adecuado primera hora","Atraso primera hora"),"No aplica")),"")</f>
        <v/>
      </c>
      <c r="Q352" s="27" t="n"/>
      <c r="R352" s="25" t="n"/>
      <c r="S352" s="25" t="n"/>
      <c r="T352" s="25" t="n"/>
      <c r="U352" s="25">
        <f>IFERROR(VLOOKUP(M352,'Horario Pabellones'!$A$4:$D$17,2,FALSE),"")</f>
        <v/>
      </c>
      <c r="V352" s="25">
        <f>IFERROR(VLOOKUP(M352,'Horario Pabellones'!$A$4:$D$17,3,FALSE),"")</f>
        <v/>
      </c>
      <c r="W352" s="99">
        <f>IFERROR(VLOOKUP(M352,'Horario Pabellones'!$A$4:$D$17,4,FALSE),"")</f>
        <v/>
      </c>
      <c r="X352" s="89">
        <f>IFERROR(IF(OR(A352="",M352="",W352=""),"",(((_xludf.AGGREGATE(14,6,MOD($S$4:$S$500,1)/(($A$4:$A$500=A352)*($M$4:$M$500=M352)*($R$4:$R$500&lt;&gt;"")*($S$4:$S$500&lt;&gt;"")),1)-_xludf.AGGREGATE(15,6,MOD($R$4:$R$500,1)/(($A$4:$A$500=A352)*($M$4:$M$500=M352)*($R$4:$R$500&lt;&gt;"")*($S$4:$S$500&lt;&gt;"")),1))*1440)/60)/(W352/60)),"")</f>
        <v/>
      </c>
      <c r="Y352" s="26">
        <f>IFERROR(IF(OR(O352="",A352="",M352=""),"",(IF(ISNUMBER(O352),MOD(O352,1),TIMEVALUE(O352))-LOOKUP(2,1/(($A$4:$A$500=A352)*($M$4:$M$500=M352)*($T$4:$T$500&lt;&gt;"")*($T$4:$T$500&lt;IF(ISNUMBER(O352),MOD(O352,1),TIMEVALUE(O352)))),$T$4:$T$500))*1440),"")</f>
        <v/>
      </c>
      <c r="Z352" s="27">
        <f>IFERROR(IF(Y352="","",IF(ROUND(Y352,0)&lt;=15,"Cumple","No cumple")),"")</f>
        <v/>
      </c>
      <c r="AA352" s="27" t="n"/>
      <c r="AB352" s="26">
        <f>IFERROR(IF(OR(O352="",R352=""),"",IF(IF(ISNUMBER(R352),MOD(R352,1),TIMEVALUE(R352))&gt;=IF(ISNUMBER(O352),MOD(O352,1),TIMEVALUE(O352)),(IF(ISNUMBER(R352),MOD(R352,1),TIMEVALUE(R352))-IF(ISNUMBER(O352),MOD(O352,1),TIMEVALUE(O352)))*1440,(IF(ISNUMBER(R352),MOD(R352,1),TIMEVALUE(R352))+1-IF(ISNUMBER(O352),MOD(O352,1),TIMEVALUE(O352)))*1440)),"")</f>
        <v/>
      </c>
      <c r="AC352" s="26">
        <f>IFERROR(IF(OR(R352="",S352=""),"",IF(IF(ISNUMBER(S352),MOD(S352,1),TIMEVALUE(S352))&gt;=IF(ISNUMBER(R352),MOD(R352,1),TIMEVALUE(R352)),(IF(ISNUMBER(S352),MOD(S352,1),TIMEVALUE(S352))-IF(ISNUMBER(R352),MOD(R352,1),TIMEVALUE(R352)))*1440,(IF(ISNUMBER(S352),MOD(S352,1),TIMEVALUE(S352))+1-IF(ISNUMBER(R352),MOD(R352,1),TIMEVALUE(R352)))*1440)),"")</f>
        <v/>
      </c>
      <c r="AD352" s="29" t="n"/>
      <c r="AE352" s="26">
        <f>IFERROR(IF(OR(AC352="",AD352=""),"",AC352-AD352),"")</f>
        <v/>
      </c>
      <c r="AF352" s="27">
        <f>IFERROR(IF(AE352="","",IF(ROUND(AE352,0)&gt;15,"Subestimacion",IF(ROUND(AE352,0)&lt;-15,"Sobrestimacion","Asertivo"))),"")</f>
        <v/>
      </c>
      <c r="AG352" s="19" t="n"/>
      <c r="AH352" s="19" t="n"/>
      <c r="AI352" s="19" t="n"/>
      <c r="AJ352" s="19" t="n"/>
      <c r="AK352" s="19" t="n"/>
      <c r="AL352" s="19" t="n"/>
      <c r="AM352" s="19" t="n"/>
      <c r="AN352" s="19" t="n"/>
      <c r="AO352" s="19" t="n"/>
      <c r="AP352" s="127">
        <f>IF(A352="","",A352-WEEKDAY(A352,2)+1)</f>
        <v/>
      </c>
      <c r="AQ352" s="127">
        <f>IF(AO352="","",AO352+6)</f>
        <v/>
      </c>
      <c r="AR352" s="19">
        <f>IF(AO352="","","Semana "&amp;TEXT(AO352,"dd-mm-yyyy")&amp;" al "&amp;TEXT(AP352,"dd-mm-yyyy"))</f>
        <v/>
      </c>
      <c r="AS352" s="19">
        <f>IF(A352="","",TEXT(A352,"mmmm yyyy"))</f>
        <v/>
      </c>
      <c r="AT352" s="19">
        <f>IF(A352="","",TEXT(A352,"dddd"))</f>
        <v/>
      </c>
      <c r="AU352" s="19">
        <f>IF(A352="","","CRR-"&amp;TEXT(A352,"yyyymmdd")&amp;"-"&amp;M352&amp;"-"&amp;TEXT(ROW()-3,"0000"))</f>
        <v/>
      </c>
      <c r="AV352" s="19">
        <f>IF(A352="","",IF(OR(B352="",C352="",E352="",F352="",M352="",N352=""),"Revisar campos obligatorios",IF(AND(P352="Atraso primera hora",Q352=""),"Falta justificación atraso primera hora",IF(AND(Z352="No cumple",AA352=""),"Falta justificación recambio &gt;15 min",IF(AND(ISNUMBER(SEARCH("suspend",N352)),OR(AG352="",AH352="")),"Falta causa/motivo suspensión","OK")))))</f>
        <v/>
      </c>
      <c r="AW352" s="19">
        <f>IF(N352="","",IF(ISNUMBER(SEARCH("suspend",N352)),IF(AND(AG352="",AH352=""),"Sin causa/motivo registrado",IF(AG352="",AH352,IF(AH352="",AG352,AG352&amp;": "&amp;AH352))),""))</f>
        <v/>
      </c>
    </row>
    <row r="353" ht="16" customHeight="1" s="151">
      <c r="A353" s="62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20">
        <f>IF(H353&lt;&gt;"",IFERROR(VLOOKUP(IFERROR(LEFT(H353,FIND("-",H353)-1),H353),'Catalogo MINSAL'!A:E,5,FALSE),""),IF(I353&lt;&gt;"",IFERROR(VLOOKUP(IFERROR(LEFT(I353,FIND("-",I353)-1),I353),'Catalogo MINSAL'!A:E,5,FALSE),""),""))</f>
        <v/>
      </c>
      <c r="K353" s="19" t="n"/>
      <c r="L353" s="19" t="n"/>
      <c r="M353" s="19" t="n"/>
      <c r="N353" s="19" t="n"/>
      <c r="O353" s="25" t="n"/>
      <c r="P353" s="27">
        <f>IFERROR(IF(OR(O353="",A353="",M353=""),"",IF(SUMPRODUCT(($A$4:$A$500=A353)*($M$4:$M$500=M353)*($O$4:$O$500&lt;&gt;"")*(MOD($O$4:$O$500,1)&lt;MOD(O353,1)))=0,IF(MOD(O353,1)&lt;=TIME(8,15,0),"Ingreso adecuado primera hora","Atraso primera hora"),"No aplica")),"")</f>
        <v/>
      </c>
      <c r="Q353" s="27" t="n"/>
      <c r="R353" s="25" t="n"/>
      <c r="S353" s="25" t="n"/>
      <c r="T353" s="25" t="n"/>
      <c r="U353" s="25">
        <f>IFERROR(VLOOKUP(M353,'Horario Pabellones'!$A$4:$D$17,2,FALSE),"")</f>
        <v/>
      </c>
      <c r="V353" s="25">
        <f>IFERROR(VLOOKUP(M353,'Horario Pabellones'!$A$4:$D$17,3,FALSE),"")</f>
        <v/>
      </c>
      <c r="W353" s="99">
        <f>IFERROR(VLOOKUP(M353,'Horario Pabellones'!$A$4:$D$17,4,FALSE),"")</f>
        <v/>
      </c>
      <c r="X353" s="89">
        <f>IFERROR(IF(OR(A353="",M353="",W353=""),"",(((_xludf.AGGREGATE(14,6,MOD($S$4:$S$500,1)/(($A$4:$A$500=A353)*($M$4:$M$500=M353)*($R$4:$R$500&lt;&gt;"")*($S$4:$S$500&lt;&gt;"")),1)-_xludf.AGGREGATE(15,6,MOD($R$4:$R$500,1)/(($A$4:$A$500=A353)*($M$4:$M$500=M353)*($R$4:$R$500&lt;&gt;"")*($S$4:$S$500&lt;&gt;"")),1))*1440)/60)/(W353/60)),"")</f>
        <v/>
      </c>
      <c r="Y353" s="26">
        <f>IFERROR(IF(OR(O353="",A353="",M353=""),"",(IF(ISNUMBER(O353),MOD(O353,1),TIMEVALUE(O353))-LOOKUP(2,1/(($A$4:$A$500=A353)*($M$4:$M$500=M353)*($T$4:$T$500&lt;&gt;"")*($T$4:$T$500&lt;IF(ISNUMBER(O353),MOD(O353,1),TIMEVALUE(O353)))),$T$4:$T$500))*1440),"")</f>
        <v/>
      </c>
      <c r="Z353" s="27">
        <f>IFERROR(IF(Y353="","",IF(ROUND(Y353,0)&lt;=15,"Cumple","No cumple")),"")</f>
        <v/>
      </c>
      <c r="AA353" s="27" t="n"/>
      <c r="AB353" s="26">
        <f>IFERROR(IF(OR(O353="",R353=""),"",IF(IF(ISNUMBER(R353),MOD(R353,1),TIMEVALUE(R353))&gt;=IF(ISNUMBER(O353),MOD(O353,1),TIMEVALUE(O353)),(IF(ISNUMBER(R353),MOD(R353,1),TIMEVALUE(R353))-IF(ISNUMBER(O353),MOD(O353,1),TIMEVALUE(O353)))*1440,(IF(ISNUMBER(R353),MOD(R353,1),TIMEVALUE(R353))+1-IF(ISNUMBER(O353),MOD(O353,1),TIMEVALUE(O353)))*1440)),"")</f>
        <v/>
      </c>
      <c r="AC353" s="26">
        <f>IFERROR(IF(OR(R353="",S353=""),"",IF(IF(ISNUMBER(S353),MOD(S353,1),TIMEVALUE(S353))&gt;=IF(ISNUMBER(R353),MOD(R353,1),TIMEVALUE(R353)),(IF(ISNUMBER(S353),MOD(S353,1),TIMEVALUE(S353))-IF(ISNUMBER(R353),MOD(R353,1),TIMEVALUE(R353)))*1440,(IF(ISNUMBER(S353),MOD(S353,1),TIMEVALUE(S353))+1-IF(ISNUMBER(R353),MOD(R353,1),TIMEVALUE(R353)))*1440)),"")</f>
        <v/>
      </c>
      <c r="AD353" s="29" t="n"/>
      <c r="AE353" s="26">
        <f>IFERROR(IF(OR(AC353="",AD353=""),"",AC353-AD353),"")</f>
        <v/>
      </c>
      <c r="AF353" s="27">
        <f>IFERROR(IF(AE353="","",IF(ROUND(AE353,0)&gt;15,"Subestimacion",IF(ROUND(AE353,0)&lt;-15,"Sobrestimacion","Asertivo"))),"")</f>
        <v/>
      </c>
      <c r="AG353" s="19" t="n"/>
      <c r="AH353" s="19" t="n"/>
      <c r="AI353" s="19" t="n"/>
      <c r="AJ353" s="19" t="n"/>
      <c r="AK353" s="19" t="n"/>
      <c r="AL353" s="19" t="n"/>
      <c r="AM353" s="19" t="n"/>
      <c r="AN353" s="19" t="n"/>
      <c r="AO353" s="19" t="n"/>
      <c r="AP353" s="127">
        <f>IF(A353="","",A353-WEEKDAY(A353,2)+1)</f>
        <v/>
      </c>
      <c r="AQ353" s="127">
        <f>IF(AO353="","",AO353+6)</f>
        <v/>
      </c>
      <c r="AR353" s="19">
        <f>IF(AO353="","","Semana "&amp;TEXT(AO353,"dd-mm-yyyy")&amp;" al "&amp;TEXT(AP353,"dd-mm-yyyy"))</f>
        <v/>
      </c>
      <c r="AS353" s="19">
        <f>IF(A353="","",TEXT(A353,"mmmm yyyy"))</f>
        <v/>
      </c>
      <c r="AT353" s="19">
        <f>IF(A353="","",TEXT(A353,"dddd"))</f>
        <v/>
      </c>
      <c r="AU353" s="19">
        <f>IF(A353="","","CRR-"&amp;TEXT(A353,"yyyymmdd")&amp;"-"&amp;M353&amp;"-"&amp;TEXT(ROW()-3,"0000"))</f>
        <v/>
      </c>
      <c r="AV353" s="19">
        <f>IF(A353="","",IF(OR(B353="",C353="",E353="",F353="",M353="",N353=""),"Revisar campos obligatorios",IF(AND(P353="Atraso primera hora",Q353=""),"Falta justificación atraso primera hora",IF(AND(Z353="No cumple",AA353=""),"Falta justificación recambio &gt;15 min",IF(AND(ISNUMBER(SEARCH("suspend",N353)),OR(AG353="",AH353="")),"Falta causa/motivo suspensión","OK")))))</f>
        <v/>
      </c>
      <c r="AW353" s="19">
        <f>IF(N353="","",IF(ISNUMBER(SEARCH("suspend",N353)),IF(AND(AG353="",AH353=""),"Sin causa/motivo registrado",IF(AG353="",AH353,IF(AH353="",AG353,AG353&amp;": "&amp;AH353))),""))</f>
        <v/>
      </c>
    </row>
    <row r="354" ht="16" customHeight="1" s="151">
      <c r="A354" s="62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20">
        <f>IF(H354&lt;&gt;"",IFERROR(VLOOKUP(IFERROR(LEFT(H354,FIND("-",H354)-1),H354),'Catalogo MINSAL'!A:E,5,FALSE),""),IF(I354&lt;&gt;"",IFERROR(VLOOKUP(IFERROR(LEFT(I354,FIND("-",I354)-1),I354),'Catalogo MINSAL'!A:E,5,FALSE),""),""))</f>
        <v/>
      </c>
      <c r="K354" s="19" t="n"/>
      <c r="L354" s="19" t="n"/>
      <c r="M354" s="19" t="n"/>
      <c r="N354" s="19" t="n"/>
      <c r="O354" s="25" t="n"/>
      <c r="P354" s="27">
        <f>IFERROR(IF(OR(O354="",A354="",M354=""),"",IF(SUMPRODUCT(($A$4:$A$500=A354)*($M$4:$M$500=M354)*($O$4:$O$500&lt;&gt;"")*(MOD($O$4:$O$500,1)&lt;MOD(O354,1)))=0,IF(MOD(O354,1)&lt;=TIME(8,15,0),"Ingreso adecuado primera hora","Atraso primera hora"),"No aplica")),"")</f>
        <v/>
      </c>
      <c r="Q354" s="27" t="n"/>
      <c r="R354" s="25" t="n"/>
      <c r="S354" s="25" t="n"/>
      <c r="T354" s="25" t="n"/>
      <c r="U354" s="25">
        <f>IFERROR(VLOOKUP(M354,'Horario Pabellones'!$A$4:$D$17,2,FALSE),"")</f>
        <v/>
      </c>
      <c r="V354" s="25">
        <f>IFERROR(VLOOKUP(M354,'Horario Pabellones'!$A$4:$D$17,3,FALSE),"")</f>
        <v/>
      </c>
      <c r="W354" s="99">
        <f>IFERROR(VLOOKUP(M354,'Horario Pabellones'!$A$4:$D$17,4,FALSE),"")</f>
        <v/>
      </c>
      <c r="X354" s="89">
        <f>IFERROR(IF(OR(A354="",M354="",W354=""),"",(((_xludf.AGGREGATE(14,6,MOD($S$4:$S$500,1)/(($A$4:$A$500=A354)*($M$4:$M$500=M354)*($R$4:$R$500&lt;&gt;"")*($S$4:$S$500&lt;&gt;"")),1)-_xludf.AGGREGATE(15,6,MOD($R$4:$R$500,1)/(($A$4:$A$500=A354)*($M$4:$M$500=M354)*($R$4:$R$500&lt;&gt;"")*($S$4:$S$500&lt;&gt;"")),1))*1440)/60)/(W354/60)),"")</f>
        <v/>
      </c>
      <c r="Y354" s="26">
        <f>IFERROR(IF(OR(O354="",A354="",M354=""),"",(IF(ISNUMBER(O354),MOD(O354,1),TIMEVALUE(O354))-LOOKUP(2,1/(($A$4:$A$500=A354)*($M$4:$M$500=M354)*($T$4:$T$500&lt;&gt;"")*($T$4:$T$500&lt;IF(ISNUMBER(O354),MOD(O354,1),TIMEVALUE(O354)))),$T$4:$T$500))*1440),"")</f>
        <v/>
      </c>
      <c r="Z354" s="27">
        <f>IFERROR(IF(Y354="","",IF(ROUND(Y354,0)&lt;=15,"Cumple","No cumple")),"")</f>
        <v/>
      </c>
      <c r="AA354" s="27" t="n"/>
      <c r="AB354" s="26">
        <f>IFERROR(IF(OR(O354="",R354=""),"",IF(IF(ISNUMBER(R354),MOD(R354,1),TIMEVALUE(R354))&gt;=IF(ISNUMBER(O354),MOD(O354,1),TIMEVALUE(O354)),(IF(ISNUMBER(R354),MOD(R354,1),TIMEVALUE(R354))-IF(ISNUMBER(O354),MOD(O354,1),TIMEVALUE(O354)))*1440,(IF(ISNUMBER(R354),MOD(R354,1),TIMEVALUE(R354))+1-IF(ISNUMBER(O354),MOD(O354,1),TIMEVALUE(O354)))*1440)),"")</f>
        <v/>
      </c>
      <c r="AC354" s="26">
        <f>IFERROR(IF(OR(R354="",S354=""),"",IF(IF(ISNUMBER(S354),MOD(S354,1),TIMEVALUE(S354))&gt;=IF(ISNUMBER(R354),MOD(R354,1),TIMEVALUE(R354)),(IF(ISNUMBER(S354),MOD(S354,1),TIMEVALUE(S354))-IF(ISNUMBER(R354),MOD(R354,1),TIMEVALUE(R354)))*1440,(IF(ISNUMBER(S354),MOD(S354,1),TIMEVALUE(S354))+1-IF(ISNUMBER(R354),MOD(R354,1),TIMEVALUE(R354)))*1440)),"")</f>
        <v/>
      </c>
      <c r="AD354" s="29" t="n"/>
      <c r="AE354" s="26">
        <f>IFERROR(IF(OR(AC354="",AD354=""),"",AC354-AD354),"")</f>
        <v/>
      </c>
      <c r="AF354" s="27">
        <f>IFERROR(IF(AE354="","",IF(ROUND(AE354,0)&gt;15,"Subestimacion",IF(ROUND(AE354,0)&lt;-15,"Sobrestimacion","Asertivo"))),"")</f>
        <v/>
      </c>
      <c r="AG354" s="19" t="n"/>
      <c r="AH354" s="19" t="n"/>
      <c r="AI354" s="19" t="n"/>
      <c r="AJ354" s="19" t="n"/>
      <c r="AK354" s="19" t="n"/>
      <c r="AL354" s="19" t="n"/>
      <c r="AM354" s="19" t="n"/>
      <c r="AN354" s="19" t="n"/>
      <c r="AO354" s="19" t="n"/>
      <c r="AP354" s="127">
        <f>IF(A354="","",A354-WEEKDAY(A354,2)+1)</f>
        <v/>
      </c>
      <c r="AQ354" s="127">
        <f>IF(AO354="","",AO354+6)</f>
        <v/>
      </c>
      <c r="AR354" s="19">
        <f>IF(AO354="","","Semana "&amp;TEXT(AO354,"dd-mm-yyyy")&amp;" al "&amp;TEXT(AP354,"dd-mm-yyyy"))</f>
        <v/>
      </c>
      <c r="AS354" s="19">
        <f>IF(A354="","",TEXT(A354,"mmmm yyyy"))</f>
        <v/>
      </c>
      <c r="AT354" s="19">
        <f>IF(A354="","",TEXT(A354,"dddd"))</f>
        <v/>
      </c>
      <c r="AU354" s="19">
        <f>IF(A354="","","CRR-"&amp;TEXT(A354,"yyyymmdd")&amp;"-"&amp;M354&amp;"-"&amp;TEXT(ROW()-3,"0000"))</f>
        <v/>
      </c>
      <c r="AV354" s="19">
        <f>IF(A354="","",IF(OR(B354="",C354="",E354="",F354="",M354="",N354=""),"Revisar campos obligatorios",IF(AND(P354="Atraso primera hora",Q354=""),"Falta justificación atraso primera hora",IF(AND(Z354="No cumple",AA354=""),"Falta justificación recambio &gt;15 min",IF(AND(ISNUMBER(SEARCH("suspend",N354)),OR(AG354="",AH354="")),"Falta causa/motivo suspensión","OK")))))</f>
        <v/>
      </c>
      <c r="AW354" s="19">
        <f>IF(N354="","",IF(ISNUMBER(SEARCH("suspend",N354)),IF(AND(AG354="",AH354=""),"Sin causa/motivo registrado",IF(AG354="",AH354,IF(AH354="",AG354,AG354&amp;": "&amp;AH354))),""))</f>
        <v/>
      </c>
    </row>
    <row r="355" ht="16" customHeight="1" s="151">
      <c r="A355" s="62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20">
        <f>IF(H355&lt;&gt;"",IFERROR(VLOOKUP(IFERROR(LEFT(H355,FIND("-",H355)-1),H355),'Catalogo MINSAL'!A:E,5,FALSE),""),IF(I355&lt;&gt;"",IFERROR(VLOOKUP(IFERROR(LEFT(I355,FIND("-",I355)-1),I355),'Catalogo MINSAL'!A:E,5,FALSE),""),""))</f>
        <v/>
      </c>
      <c r="K355" s="19" t="n"/>
      <c r="L355" s="19" t="n"/>
      <c r="M355" s="19" t="n"/>
      <c r="N355" s="19" t="n"/>
      <c r="O355" s="25" t="n"/>
      <c r="P355" s="27">
        <f>IFERROR(IF(OR(O355="",A355="",M355=""),"",IF(SUMPRODUCT(($A$4:$A$500=A355)*($M$4:$M$500=M355)*($O$4:$O$500&lt;&gt;"")*(MOD($O$4:$O$500,1)&lt;MOD(O355,1)))=0,IF(MOD(O355,1)&lt;=TIME(8,15,0),"Ingreso adecuado primera hora","Atraso primera hora"),"No aplica")),"")</f>
        <v/>
      </c>
      <c r="Q355" s="27" t="n"/>
      <c r="R355" s="25" t="n"/>
      <c r="S355" s="25" t="n"/>
      <c r="T355" s="25" t="n"/>
      <c r="U355" s="25">
        <f>IFERROR(VLOOKUP(M355,'Horario Pabellones'!$A$4:$D$17,2,FALSE),"")</f>
        <v/>
      </c>
      <c r="V355" s="25">
        <f>IFERROR(VLOOKUP(M355,'Horario Pabellones'!$A$4:$D$17,3,FALSE),"")</f>
        <v/>
      </c>
      <c r="W355" s="99">
        <f>IFERROR(VLOOKUP(M355,'Horario Pabellones'!$A$4:$D$17,4,FALSE),"")</f>
        <v/>
      </c>
      <c r="X355" s="89">
        <f>IFERROR(IF(OR(A355="",M355="",W355=""),"",(((_xludf.AGGREGATE(14,6,MOD($S$4:$S$500,1)/(($A$4:$A$500=A355)*($M$4:$M$500=M355)*($R$4:$R$500&lt;&gt;"")*($S$4:$S$500&lt;&gt;"")),1)-_xludf.AGGREGATE(15,6,MOD($R$4:$R$500,1)/(($A$4:$A$500=A355)*($M$4:$M$500=M355)*($R$4:$R$500&lt;&gt;"")*($S$4:$S$500&lt;&gt;"")),1))*1440)/60)/(W355/60)),"")</f>
        <v/>
      </c>
      <c r="Y355" s="26">
        <f>IFERROR(IF(OR(O355="",A355="",M355=""),"",(IF(ISNUMBER(O355),MOD(O355,1),TIMEVALUE(O355))-LOOKUP(2,1/(($A$4:$A$500=A355)*($M$4:$M$500=M355)*($T$4:$T$500&lt;&gt;"")*($T$4:$T$500&lt;IF(ISNUMBER(O355),MOD(O355,1),TIMEVALUE(O355)))),$T$4:$T$500))*1440),"")</f>
        <v/>
      </c>
      <c r="Z355" s="27">
        <f>IFERROR(IF(Y355="","",IF(ROUND(Y355,0)&lt;=15,"Cumple","No cumple")),"")</f>
        <v/>
      </c>
      <c r="AA355" s="27" t="n"/>
      <c r="AB355" s="26">
        <f>IFERROR(IF(OR(O355="",R355=""),"",IF(IF(ISNUMBER(R355),MOD(R355,1),TIMEVALUE(R355))&gt;=IF(ISNUMBER(O355),MOD(O355,1),TIMEVALUE(O355)),(IF(ISNUMBER(R355),MOD(R355,1),TIMEVALUE(R355))-IF(ISNUMBER(O355),MOD(O355,1),TIMEVALUE(O355)))*1440,(IF(ISNUMBER(R355),MOD(R355,1),TIMEVALUE(R355))+1-IF(ISNUMBER(O355),MOD(O355,1),TIMEVALUE(O355)))*1440)),"")</f>
        <v/>
      </c>
      <c r="AC355" s="26">
        <f>IFERROR(IF(OR(R355="",S355=""),"",IF(IF(ISNUMBER(S355),MOD(S355,1),TIMEVALUE(S355))&gt;=IF(ISNUMBER(R355),MOD(R355,1),TIMEVALUE(R355)),(IF(ISNUMBER(S355),MOD(S355,1),TIMEVALUE(S355))-IF(ISNUMBER(R355),MOD(R355,1),TIMEVALUE(R355)))*1440,(IF(ISNUMBER(S355),MOD(S355,1),TIMEVALUE(S355))+1-IF(ISNUMBER(R355),MOD(R355,1),TIMEVALUE(R355)))*1440)),"")</f>
        <v/>
      </c>
      <c r="AD355" s="29" t="n"/>
      <c r="AE355" s="26">
        <f>IFERROR(IF(OR(AC355="",AD355=""),"",AC355-AD355),"")</f>
        <v/>
      </c>
      <c r="AF355" s="27">
        <f>IFERROR(IF(AE355="","",IF(ROUND(AE355,0)&gt;15,"Subestimacion",IF(ROUND(AE355,0)&lt;-15,"Sobrestimacion","Asertivo"))),"")</f>
        <v/>
      </c>
      <c r="AG355" s="19" t="n"/>
      <c r="AH355" s="19" t="n"/>
      <c r="AI355" s="19" t="n"/>
      <c r="AJ355" s="19" t="n"/>
      <c r="AK355" s="19" t="n"/>
      <c r="AL355" s="19" t="n"/>
      <c r="AM355" s="19" t="n"/>
      <c r="AN355" s="19" t="n"/>
      <c r="AO355" s="19" t="n"/>
      <c r="AP355" s="127">
        <f>IF(A355="","",A355-WEEKDAY(A355,2)+1)</f>
        <v/>
      </c>
      <c r="AQ355" s="127">
        <f>IF(AO355="","",AO355+6)</f>
        <v/>
      </c>
      <c r="AR355" s="19">
        <f>IF(AO355="","","Semana "&amp;TEXT(AO355,"dd-mm-yyyy")&amp;" al "&amp;TEXT(AP355,"dd-mm-yyyy"))</f>
        <v/>
      </c>
      <c r="AS355" s="19">
        <f>IF(A355="","",TEXT(A355,"mmmm yyyy"))</f>
        <v/>
      </c>
      <c r="AT355" s="19">
        <f>IF(A355="","",TEXT(A355,"dddd"))</f>
        <v/>
      </c>
      <c r="AU355" s="19">
        <f>IF(A355="","","CRR-"&amp;TEXT(A355,"yyyymmdd")&amp;"-"&amp;M355&amp;"-"&amp;TEXT(ROW()-3,"0000"))</f>
        <v/>
      </c>
      <c r="AV355" s="19">
        <f>IF(A355="","",IF(OR(B355="",C355="",E355="",F355="",M355="",N355=""),"Revisar campos obligatorios",IF(AND(P355="Atraso primera hora",Q355=""),"Falta justificación atraso primera hora",IF(AND(Z355="No cumple",AA355=""),"Falta justificación recambio &gt;15 min",IF(AND(ISNUMBER(SEARCH("suspend",N355)),OR(AG355="",AH355="")),"Falta causa/motivo suspensión","OK")))))</f>
        <v/>
      </c>
      <c r="AW355" s="19">
        <f>IF(N355="","",IF(ISNUMBER(SEARCH("suspend",N355)),IF(AND(AG355="",AH355=""),"Sin causa/motivo registrado",IF(AG355="",AH355,IF(AH355="",AG355,AG355&amp;": "&amp;AH355))),""))</f>
        <v/>
      </c>
    </row>
    <row r="356" ht="16" customHeight="1" s="151">
      <c r="A356" s="62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20">
        <f>IF(H356&lt;&gt;"",IFERROR(VLOOKUP(IFERROR(LEFT(H356,FIND("-",H356)-1),H356),'Catalogo MINSAL'!A:E,5,FALSE),""),IF(I356&lt;&gt;"",IFERROR(VLOOKUP(IFERROR(LEFT(I356,FIND("-",I356)-1),I356),'Catalogo MINSAL'!A:E,5,FALSE),""),""))</f>
        <v/>
      </c>
      <c r="K356" s="19" t="n"/>
      <c r="L356" s="19" t="n"/>
      <c r="M356" s="19" t="n"/>
      <c r="N356" s="19" t="n"/>
      <c r="O356" s="25" t="n"/>
      <c r="P356" s="27">
        <f>IFERROR(IF(OR(O356="",A356="",M356=""),"",IF(SUMPRODUCT(($A$4:$A$500=A356)*($M$4:$M$500=M356)*($O$4:$O$500&lt;&gt;"")*(MOD($O$4:$O$500,1)&lt;MOD(O356,1)))=0,IF(MOD(O356,1)&lt;=TIME(8,15,0),"Ingreso adecuado primera hora","Atraso primera hora"),"No aplica")),"")</f>
        <v/>
      </c>
      <c r="Q356" s="27" t="n"/>
      <c r="R356" s="25" t="n"/>
      <c r="S356" s="25" t="n"/>
      <c r="T356" s="25" t="n"/>
      <c r="U356" s="25">
        <f>IFERROR(VLOOKUP(M356,'Horario Pabellones'!$A$4:$D$17,2,FALSE),"")</f>
        <v/>
      </c>
      <c r="V356" s="25">
        <f>IFERROR(VLOOKUP(M356,'Horario Pabellones'!$A$4:$D$17,3,FALSE),"")</f>
        <v/>
      </c>
      <c r="W356" s="99">
        <f>IFERROR(VLOOKUP(M356,'Horario Pabellones'!$A$4:$D$17,4,FALSE),"")</f>
        <v/>
      </c>
      <c r="X356" s="89">
        <f>IFERROR(IF(OR(A356="",M356="",W356=""),"",(((_xludf.AGGREGATE(14,6,MOD($S$4:$S$500,1)/(($A$4:$A$500=A356)*($M$4:$M$500=M356)*($R$4:$R$500&lt;&gt;"")*($S$4:$S$500&lt;&gt;"")),1)-_xludf.AGGREGATE(15,6,MOD($R$4:$R$500,1)/(($A$4:$A$500=A356)*($M$4:$M$500=M356)*($R$4:$R$500&lt;&gt;"")*($S$4:$S$500&lt;&gt;"")),1))*1440)/60)/(W356/60)),"")</f>
        <v/>
      </c>
      <c r="Y356" s="26">
        <f>IFERROR(IF(OR(O356="",A356="",M356=""),"",(IF(ISNUMBER(O356),MOD(O356,1),TIMEVALUE(O356))-LOOKUP(2,1/(($A$4:$A$500=A356)*($M$4:$M$500=M356)*($T$4:$T$500&lt;&gt;"")*($T$4:$T$500&lt;IF(ISNUMBER(O356),MOD(O356,1),TIMEVALUE(O356)))),$T$4:$T$500))*1440),"")</f>
        <v/>
      </c>
      <c r="Z356" s="27">
        <f>IFERROR(IF(Y356="","",IF(ROUND(Y356,0)&lt;=15,"Cumple","No cumple")),"")</f>
        <v/>
      </c>
      <c r="AA356" s="27" t="n"/>
      <c r="AB356" s="26">
        <f>IFERROR(IF(OR(O356="",R356=""),"",IF(IF(ISNUMBER(R356),MOD(R356,1),TIMEVALUE(R356))&gt;=IF(ISNUMBER(O356),MOD(O356,1),TIMEVALUE(O356)),(IF(ISNUMBER(R356),MOD(R356,1),TIMEVALUE(R356))-IF(ISNUMBER(O356),MOD(O356,1),TIMEVALUE(O356)))*1440,(IF(ISNUMBER(R356),MOD(R356,1),TIMEVALUE(R356))+1-IF(ISNUMBER(O356),MOD(O356,1),TIMEVALUE(O356)))*1440)),"")</f>
        <v/>
      </c>
      <c r="AC356" s="26">
        <f>IFERROR(IF(OR(R356="",S356=""),"",IF(IF(ISNUMBER(S356),MOD(S356,1),TIMEVALUE(S356))&gt;=IF(ISNUMBER(R356),MOD(R356,1),TIMEVALUE(R356)),(IF(ISNUMBER(S356),MOD(S356,1),TIMEVALUE(S356))-IF(ISNUMBER(R356),MOD(R356,1),TIMEVALUE(R356)))*1440,(IF(ISNUMBER(S356),MOD(S356,1),TIMEVALUE(S356))+1-IF(ISNUMBER(R356),MOD(R356,1),TIMEVALUE(R356)))*1440)),"")</f>
        <v/>
      </c>
      <c r="AD356" s="29" t="n"/>
      <c r="AE356" s="26">
        <f>IFERROR(IF(OR(AC356="",AD356=""),"",AC356-AD356),"")</f>
        <v/>
      </c>
      <c r="AF356" s="27">
        <f>IFERROR(IF(AE356="","",IF(ROUND(AE356,0)&gt;15,"Subestimacion",IF(ROUND(AE356,0)&lt;-15,"Sobrestimacion","Asertivo"))),"")</f>
        <v/>
      </c>
      <c r="AG356" s="19" t="n"/>
      <c r="AH356" s="19" t="n"/>
      <c r="AI356" s="19" t="n"/>
      <c r="AJ356" s="19" t="n"/>
      <c r="AK356" s="19" t="n"/>
      <c r="AL356" s="19" t="n"/>
      <c r="AM356" s="19" t="n"/>
      <c r="AN356" s="19" t="n"/>
      <c r="AO356" s="19" t="n"/>
      <c r="AP356" s="127">
        <f>IF(A356="","",A356-WEEKDAY(A356,2)+1)</f>
        <v/>
      </c>
      <c r="AQ356" s="127">
        <f>IF(AO356="","",AO356+6)</f>
        <v/>
      </c>
      <c r="AR356" s="19">
        <f>IF(AO356="","","Semana "&amp;TEXT(AO356,"dd-mm-yyyy")&amp;" al "&amp;TEXT(AP356,"dd-mm-yyyy"))</f>
        <v/>
      </c>
      <c r="AS356" s="19">
        <f>IF(A356="","",TEXT(A356,"mmmm yyyy"))</f>
        <v/>
      </c>
      <c r="AT356" s="19">
        <f>IF(A356="","",TEXT(A356,"dddd"))</f>
        <v/>
      </c>
      <c r="AU356" s="19">
        <f>IF(A356="","","CRR-"&amp;TEXT(A356,"yyyymmdd")&amp;"-"&amp;M356&amp;"-"&amp;TEXT(ROW()-3,"0000"))</f>
        <v/>
      </c>
      <c r="AV356" s="19">
        <f>IF(A356="","",IF(OR(B356="",C356="",E356="",F356="",M356="",N356=""),"Revisar campos obligatorios",IF(AND(P356="Atraso primera hora",Q356=""),"Falta justificación atraso primera hora",IF(AND(Z356="No cumple",AA356=""),"Falta justificación recambio &gt;15 min",IF(AND(ISNUMBER(SEARCH("suspend",N356)),OR(AG356="",AH356="")),"Falta causa/motivo suspensión","OK")))))</f>
        <v/>
      </c>
      <c r="AW356" s="19">
        <f>IF(N356="","",IF(ISNUMBER(SEARCH("suspend",N356)),IF(AND(AG356="",AH356=""),"Sin causa/motivo registrado",IF(AG356="",AH356,IF(AH356="",AG356,AG356&amp;": "&amp;AH356))),""))</f>
        <v/>
      </c>
    </row>
    <row r="357" ht="16" customHeight="1" s="151">
      <c r="A357" s="62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20">
        <f>IF(H357&lt;&gt;"",IFERROR(VLOOKUP(IFERROR(LEFT(H357,FIND("-",H357)-1),H357),'Catalogo MINSAL'!A:E,5,FALSE),""),IF(I357&lt;&gt;"",IFERROR(VLOOKUP(IFERROR(LEFT(I357,FIND("-",I357)-1),I357),'Catalogo MINSAL'!A:E,5,FALSE),""),""))</f>
        <v/>
      </c>
      <c r="K357" s="19" t="n"/>
      <c r="L357" s="19" t="n"/>
      <c r="M357" s="19" t="n"/>
      <c r="N357" s="19" t="n"/>
      <c r="O357" s="25" t="n"/>
      <c r="P357" s="27">
        <f>IFERROR(IF(OR(O357="",A357="",M357=""),"",IF(SUMPRODUCT(($A$4:$A$500=A357)*($M$4:$M$500=M357)*($O$4:$O$500&lt;&gt;"")*(MOD($O$4:$O$500,1)&lt;MOD(O357,1)))=0,IF(MOD(O357,1)&lt;=TIME(8,15,0),"Ingreso adecuado primera hora","Atraso primera hora"),"No aplica")),"")</f>
        <v/>
      </c>
      <c r="Q357" s="27" t="n"/>
      <c r="R357" s="25" t="n"/>
      <c r="S357" s="25" t="n"/>
      <c r="T357" s="25" t="n"/>
      <c r="U357" s="25">
        <f>IFERROR(VLOOKUP(M357,'Horario Pabellones'!$A$4:$D$17,2,FALSE),"")</f>
        <v/>
      </c>
      <c r="V357" s="25">
        <f>IFERROR(VLOOKUP(M357,'Horario Pabellones'!$A$4:$D$17,3,FALSE),"")</f>
        <v/>
      </c>
      <c r="W357" s="99">
        <f>IFERROR(VLOOKUP(M357,'Horario Pabellones'!$A$4:$D$17,4,FALSE),"")</f>
        <v/>
      </c>
      <c r="X357" s="89">
        <f>IFERROR(IF(OR(A357="",M357="",W357=""),"",(((_xludf.AGGREGATE(14,6,MOD($S$4:$S$500,1)/(($A$4:$A$500=A357)*($M$4:$M$500=M357)*($R$4:$R$500&lt;&gt;"")*($S$4:$S$500&lt;&gt;"")),1)-_xludf.AGGREGATE(15,6,MOD($R$4:$R$500,1)/(($A$4:$A$500=A357)*($M$4:$M$500=M357)*($R$4:$R$500&lt;&gt;"")*($S$4:$S$500&lt;&gt;"")),1))*1440)/60)/(W357/60)),"")</f>
        <v/>
      </c>
      <c r="Y357" s="26">
        <f>IFERROR(IF(OR(O357="",A357="",M357=""),"",(IF(ISNUMBER(O357),MOD(O357,1),TIMEVALUE(O357))-LOOKUP(2,1/(($A$4:$A$500=A357)*($M$4:$M$500=M357)*($T$4:$T$500&lt;&gt;"")*($T$4:$T$500&lt;IF(ISNUMBER(O357),MOD(O357,1),TIMEVALUE(O357)))),$T$4:$T$500))*1440),"")</f>
        <v/>
      </c>
      <c r="Z357" s="27">
        <f>IFERROR(IF(Y357="","",IF(ROUND(Y357,0)&lt;=15,"Cumple","No cumple")),"")</f>
        <v/>
      </c>
      <c r="AA357" s="27" t="n"/>
      <c r="AB357" s="26">
        <f>IFERROR(IF(OR(O357="",R357=""),"",IF(IF(ISNUMBER(R357),MOD(R357,1),TIMEVALUE(R357))&gt;=IF(ISNUMBER(O357),MOD(O357,1),TIMEVALUE(O357)),(IF(ISNUMBER(R357),MOD(R357,1),TIMEVALUE(R357))-IF(ISNUMBER(O357),MOD(O357,1),TIMEVALUE(O357)))*1440,(IF(ISNUMBER(R357),MOD(R357,1),TIMEVALUE(R357))+1-IF(ISNUMBER(O357),MOD(O357,1),TIMEVALUE(O357)))*1440)),"")</f>
        <v/>
      </c>
      <c r="AC357" s="26">
        <f>IFERROR(IF(OR(R357="",S357=""),"",IF(IF(ISNUMBER(S357),MOD(S357,1),TIMEVALUE(S357))&gt;=IF(ISNUMBER(R357),MOD(R357,1),TIMEVALUE(R357)),(IF(ISNUMBER(S357),MOD(S357,1),TIMEVALUE(S357))-IF(ISNUMBER(R357),MOD(R357,1),TIMEVALUE(R357)))*1440,(IF(ISNUMBER(S357),MOD(S357,1),TIMEVALUE(S357))+1-IF(ISNUMBER(R357),MOD(R357,1),TIMEVALUE(R357)))*1440)),"")</f>
        <v/>
      </c>
      <c r="AD357" s="29" t="n"/>
      <c r="AE357" s="26">
        <f>IFERROR(IF(OR(AC357="",AD357=""),"",AC357-AD357),"")</f>
        <v/>
      </c>
      <c r="AF357" s="27">
        <f>IFERROR(IF(AE357="","",IF(ROUND(AE357,0)&gt;15,"Subestimacion",IF(ROUND(AE357,0)&lt;-15,"Sobrestimacion","Asertivo"))),"")</f>
        <v/>
      </c>
      <c r="AG357" s="19" t="n"/>
      <c r="AH357" s="19" t="n"/>
      <c r="AI357" s="19" t="n"/>
      <c r="AJ357" s="19" t="n"/>
      <c r="AK357" s="19" t="n"/>
      <c r="AL357" s="19" t="n"/>
      <c r="AM357" s="19" t="n"/>
      <c r="AN357" s="19" t="n"/>
      <c r="AO357" s="19" t="n"/>
      <c r="AP357" s="127">
        <f>IF(A357="","",A357-WEEKDAY(A357,2)+1)</f>
        <v/>
      </c>
      <c r="AQ357" s="127">
        <f>IF(AO357="","",AO357+6)</f>
        <v/>
      </c>
      <c r="AR357" s="19">
        <f>IF(AO357="","","Semana "&amp;TEXT(AO357,"dd-mm-yyyy")&amp;" al "&amp;TEXT(AP357,"dd-mm-yyyy"))</f>
        <v/>
      </c>
      <c r="AS357" s="19">
        <f>IF(A357="","",TEXT(A357,"mmmm yyyy"))</f>
        <v/>
      </c>
      <c r="AT357" s="19">
        <f>IF(A357="","",TEXT(A357,"dddd"))</f>
        <v/>
      </c>
      <c r="AU357" s="19">
        <f>IF(A357="","","CRR-"&amp;TEXT(A357,"yyyymmdd")&amp;"-"&amp;M357&amp;"-"&amp;TEXT(ROW()-3,"0000"))</f>
        <v/>
      </c>
      <c r="AV357" s="19">
        <f>IF(A357="","",IF(OR(B357="",C357="",E357="",F357="",M357="",N357=""),"Revisar campos obligatorios",IF(AND(P357="Atraso primera hora",Q357=""),"Falta justificación atraso primera hora",IF(AND(Z357="No cumple",AA357=""),"Falta justificación recambio &gt;15 min",IF(AND(ISNUMBER(SEARCH("suspend",N357)),OR(AG357="",AH357="")),"Falta causa/motivo suspensión","OK")))))</f>
        <v/>
      </c>
      <c r="AW357" s="19">
        <f>IF(N357="","",IF(ISNUMBER(SEARCH("suspend",N357)),IF(AND(AG357="",AH357=""),"Sin causa/motivo registrado",IF(AG357="",AH357,IF(AH357="",AG357,AG357&amp;": "&amp;AH357))),""))</f>
        <v/>
      </c>
    </row>
    <row r="358" ht="16" customHeight="1" s="151">
      <c r="A358" s="62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20">
        <f>IF(H358&lt;&gt;"",IFERROR(VLOOKUP(IFERROR(LEFT(H358,FIND("-",H358)-1),H358),'Catalogo MINSAL'!A:E,5,FALSE),""),IF(I358&lt;&gt;"",IFERROR(VLOOKUP(IFERROR(LEFT(I358,FIND("-",I358)-1),I358),'Catalogo MINSAL'!A:E,5,FALSE),""),""))</f>
        <v/>
      </c>
      <c r="K358" s="19" t="n"/>
      <c r="L358" s="19" t="n"/>
      <c r="M358" s="19" t="n"/>
      <c r="N358" s="19" t="n"/>
      <c r="O358" s="25" t="n"/>
      <c r="P358" s="27">
        <f>IFERROR(IF(OR(O358="",A358="",M358=""),"",IF(SUMPRODUCT(($A$4:$A$500=A358)*($M$4:$M$500=M358)*($O$4:$O$500&lt;&gt;"")*(MOD($O$4:$O$500,1)&lt;MOD(O358,1)))=0,IF(MOD(O358,1)&lt;=TIME(8,15,0),"Ingreso adecuado primera hora","Atraso primera hora"),"No aplica")),"")</f>
        <v/>
      </c>
      <c r="Q358" s="27" t="n"/>
      <c r="R358" s="25" t="n"/>
      <c r="S358" s="25" t="n"/>
      <c r="T358" s="25" t="n"/>
      <c r="U358" s="25">
        <f>IFERROR(VLOOKUP(M358,'Horario Pabellones'!$A$4:$D$17,2,FALSE),"")</f>
        <v/>
      </c>
      <c r="V358" s="25">
        <f>IFERROR(VLOOKUP(M358,'Horario Pabellones'!$A$4:$D$17,3,FALSE),"")</f>
        <v/>
      </c>
      <c r="W358" s="99">
        <f>IFERROR(VLOOKUP(M358,'Horario Pabellones'!$A$4:$D$17,4,FALSE),"")</f>
        <v/>
      </c>
      <c r="X358" s="89">
        <f>IFERROR(IF(OR(A358="",M358="",W358=""),"",(((_xludf.AGGREGATE(14,6,MOD($S$4:$S$500,1)/(($A$4:$A$500=A358)*($M$4:$M$500=M358)*($R$4:$R$500&lt;&gt;"")*($S$4:$S$500&lt;&gt;"")),1)-_xludf.AGGREGATE(15,6,MOD($R$4:$R$500,1)/(($A$4:$A$500=A358)*($M$4:$M$500=M358)*($R$4:$R$500&lt;&gt;"")*($S$4:$S$500&lt;&gt;"")),1))*1440)/60)/(W358/60)),"")</f>
        <v/>
      </c>
      <c r="Y358" s="26">
        <f>IFERROR(IF(OR(O358="",A358="",M358=""),"",(IF(ISNUMBER(O358),MOD(O358,1),TIMEVALUE(O358))-LOOKUP(2,1/(($A$4:$A$500=A358)*($M$4:$M$500=M358)*($T$4:$T$500&lt;&gt;"")*($T$4:$T$500&lt;IF(ISNUMBER(O358),MOD(O358,1),TIMEVALUE(O358)))),$T$4:$T$500))*1440),"")</f>
        <v/>
      </c>
      <c r="Z358" s="27">
        <f>IFERROR(IF(Y358="","",IF(ROUND(Y358,0)&lt;=15,"Cumple","No cumple")),"")</f>
        <v/>
      </c>
      <c r="AA358" s="27" t="n"/>
      <c r="AB358" s="26">
        <f>IFERROR(IF(OR(O358="",R358=""),"",IF(IF(ISNUMBER(R358),MOD(R358,1),TIMEVALUE(R358))&gt;=IF(ISNUMBER(O358),MOD(O358,1),TIMEVALUE(O358)),(IF(ISNUMBER(R358),MOD(R358,1),TIMEVALUE(R358))-IF(ISNUMBER(O358),MOD(O358,1),TIMEVALUE(O358)))*1440,(IF(ISNUMBER(R358),MOD(R358,1),TIMEVALUE(R358))+1-IF(ISNUMBER(O358),MOD(O358,1),TIMEVALUE(O358)))*1440)),"")</f>
        <v/>
      </c>
      <c r="AC358" s="26">
        <f>IFERROR(IF(OR(R358="",S358=""),"",IF(IF(ISNUMBER(S358),MOD(S358,1),TIMEVALUE(S358))&gt;=IF(ISNUMBER(R358),MOD(R358,1),TIMEVALUE(R358)),(IF(ISNUMBER(S358),MOD(S358,1),TIMEVALUE(S358))-IF(ISNUMBER(R358),MOD(R358,1),TIMEVALUE(R358)))*1440,(IF(ISNUMBER(S358),MOD(S358,1),TIMEVALUE(S358))+1-IF(ISNUMBER(R358),MOD(R358,1),TIMEVALUE(R358)))*1440)),"")</f>
        <v/>
      </c>
      <c r="AD358" s="29" t="n"/>
      <c r="AE358" s="26">
        <f>IFERROR(IF(OR(AC358="",AD358=""),"",AC358-AD358),"")</f>
        <v/>
      </c>
      <c r="AF358" s="27">
        <f>IFERROR(IF(AE358="","",IF(ROUND(AE358,0)&gt;15,"Subestimacion",IF(ROUND(AE358,0)&lt;-15,"Sobrestimacion","Asertivo"))),"")</f>
        <v/>
      </c>
      <c r="AG358" s="19" t="n"/>
      <c r="AH358" s="19" t="n"/>
      <c r="AI358" s="19" t="n"/>
      <c r="AJ358" s="19" t="n"/>
      <c r="AK358" s="19" t="n"/>
      <c r="AL358" s="19" t="n"/>
      <c r="AM358" s="19" t="n"/>
      <c r="AN358" s="19" t="n"/>
      <c r="AO358" s="19" t="n"/>
      <c r="AP358" s="127">
        <f>IF(A358="","",A358-WEEKDAY(A358,2)+1)</f>
        <v/>
      </c>
      <c r="AQ358" s="127">
        <f>IF(AO358="","",AO358+6)</f>
        <v/>
      </c>
      <c r="AR358" s="19">
        <f>IF(AO358="","","Semana "&amp;TEXT(AO358,"dd-mm-yyyy")&amp;" al "&amp;TEXT(AP358,"dd-mm-yyyy"))</f>
        <v/>
      </c>
      <c r="AS358" s="19">
        <f>IF(A358="","",TEXT(A358,"mmmm yyyy"))</f>
        <v/>
      </c>
      <c r="AT358" s="19">
        <f>IF(A358="","",TEXT(A358,"dddd"))</f>
        <v/>
      </c>
      <c r="AU358" s="19">
        <f>IF(A358="","","CRR-"&amp;TEXT(A358,"yyyymmdd")&amp;"-"&amp;M358&amp;"-"&amp;TEXT(ROW()-3,"0000"))</f>
        <v/>
      </c>
      <c r="AV358" s="19">
        <f>IF(A358="","",IF(OR(B358="",C358="",E358="",F358="",M358="",N358=""),"Revisar campos obligatorios",IF(AND(P358="Atraso primera hora",Q358=""),"Falta justificación atraso primera hora",IF(AND(Z358="No cumple",AA358=""),"Falta justificación recambio &gt;15 min",IF(AND(ISNUMBER(SEARCH("suspend",N358)),OR(AG358="",AH358="")),"Falta causa/motivo suspensión","OK")))))</f>
        <v/>
      </c>
      <c r="AW358" s="19">
        <f>IF(N358="","",IF(ISNUMBER(SEARCH("suspend",N358)),IF(AND(AG358="",AH358=""),"Sin causa/motivo registrado",IF(AG358="",AH358,IF(AH358="",AG358,AG358&amp;": "&amp;AH358))),""))</f>
        <v/>
      </c>
    </row>
    <row r="359" ht="16" customHeight="1" s="151">
      <c r="A359" s="62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20">
        <f>IF(H359&lt;&gt;"",IFERROR(VLOOKUP(IFERROR(LEFT(H359,FIND("-",H359)-1),H359),'Catalogo MINSAL'!A:E,5,FALSE),""),IF(I359&lt;&gt;"",IFERROR(VLOOKUP(IFERROR(LEFT(I359,FIND("-",I359)-1),I359),'Catalogo MINSAL'!A:E,5,FALSE),""),""))</f>
        <v/>
      </c>
      <c r="K359" s="19" t="n"/>
      <c r="L359" s="19" t="n"/>
      <c r="M359" s="19" t="n"/>
      <c r="N359" s="19" t="n"/>
      <c r="O359" s="25" t="n"/>
      <c r="P359" s="27">
        <f>IFERROR(IF(OR(O359="",A359="",M359=""),"",IF(SUMPRODUCT(($A$4:$A$500=A359)*($M$4:$M$500=M359)*($O$4:$O$500&lt;&gt;"")*(MOD($O$4:$O$500,1)&lt;MOD(O359,1)))=0,IF(MOD(O359,1)&lt;=TIME(8,15,0),"Ingreso adecuado primera hora","Atraso primera hora"),"No aplica")),"")</f>
        <v/>
      </c>
      <c r="Q359" s="27" t="n"/>
      <c r="R359" s="25" t="n"/>
      <c r="S359" s="25" t="n"/>
      <c r="T359" s="25" t="n"/>
      <c r="U359" s="25">
        <f>IFERROR(VLOOKUP(M359,'Horario Pabellones'!$A$4:$D$17,2,FALSE),"")</f>
        <v/>
      </c>
      <c r="V359" s="25">
        <f>IFERROR(VLOOKUP(M359,'Horario Pabellones'!$A$4:$D$17,3,FALSE),"")</f>
        <v/>
      </c>
      <c r="W359" s="99">
        <f>IFERROR(VLOOKUP(M359,'Horario Pabellones'!$A$4:$D$17,4,FALSE),"")</f>
        <v/>
      </c>
      <c r="X359" s="89">
        <f>IFERROR(IF(OR(A359="",M359="",W359=""),"",(((_xludf.AGGREGATE(14,6,MOD($S$4:$S$500,1)/(($A$4:$A$500=A359)*($M$4:$M$500=M359)*($R$4:$R$500&lt;&gt;"")*($S$4:$S$500&lt;&gt;"")),1)-_xludf.AGGREGATE(15,6,MOD($R$4:$R$500,1)/(($A$4:$A$500=A359)*($M$4:$M$500=M359)*($R$4:$R$500&lt;&gt;"")*($S$4:$S$500&lt;&gt;"")),1))*1440)/60)/(W359/60)),"")</f>
        <v/>
      </c>
      <c r="Y359" s="26">
        <f>IFERROR(IF(OR(O359="",A359="",M359=""),"",(IF(ISNUMBER(O359),MOD(O359,1),TIMEVALUE(O359))-LOOKUP(2,1/(($A$4:$A$500=A359)*($M$4:$M$500=M359)*($T$4:$T$500&lt;&gt;"")*($T$4:$T$500&lt;IF(ISNUMBER(O359),MOD(O359,1),TIMEVALUE(O359)))),$T$4:$T$500))*1440),"")</f>
        <v/>
      </c>
      <c r="Z359" s="27">
        <f>IFERROR(IF(Y359="","",IF(ROUND(Y359,0)&lt;=15,"Cumple","No cumple")),"")</f>
        <v/>
      </c>
      <c r="AA359" s="27" t="n"/>
      <c r="AB359" s="26">
        <f>IFERROR(IF(OR(O359="",R359=""),"",IF(IF(ISNUMBER(R359),MOD(R359,1),TIMEVALUE(R359))&gt;=IF(ISNUMBER(O359),MOD(O359,1),TIMEVALUE(O359)),(IF(ISNUMBER(R359),MOD(R359,1),TIMEVALUE(R359))-IF(ISNUMBER(O359),MOD(O359,1),TIMEVALUE(O359)))*1440,(IF(ISNUMBER(R359),MOD(R359,1),TIMEVALUE(R359))+1-IF(ISNUMBER(O359),MOD(O359,1),TIMEVALUE(O359)))*1440)),"")</f>
        <v/>
      </c>
      <c r="AC359" s="26">
        <f>IFERROR(IF(OR(R359="",S359=""),"",IF(IF(ISNUMBER(S359),MOD(S359,1),TIMEVALUE(S359))&gt;=IF(ISNUMBER(R359),MOD(R359,1),TIMEVALUE(R359)),(IF(ISNUMBER(S359),MOD(S359,1),TIMEVALUE(S359))-IF(ISNUMBER(R359),MOD(R359,1),TIMEVALUE(R359)))*1440,(IF(ISNUMBER(S359),MOD(S359,1),TIMEVALUE(S359))+1-IF(ISNUMBER(R359),MOD(R359,1),TIMEVALUE(R359)))*1440)),"")</f>
        <v/>
      </c>
      <c r="AD359" s="29" t="n"/>
      <c r="AE359" s="26">
        <f>IFERROR(IF(OR(AC359="",AD359=""),"",AC359-AD359),"")</f>
        <v/>
      </c>
      <c r="AF359" s="27">
        <f>IFERROR(IF(AE359="","",IF(ROUND(AE359,0)&gt;15,"Subestimacion",IF(ROUND(AE359,0)&lt;-15,"Sobrestimacion","Asertivo"))),"")</f>
        <v/>
      </c>
      <c r="AG359" s="19" t="n"/>
      <c r="AH359" s="19" t="n"/>
      <c r="AI359" s="19" t="n"/>
      <c r="AJ359" s="19" t="n"/>
      <c r="AK359" s="19" t="n"/>
      <c r="AL359" s="19" t="n"/>
      <c r="AM359" s="19" t="n"/>
      <c r="AN359" s="19" t="n"/>
      <c r="AO359" s="19" t="n"/>
      <c r="AP359" s="127">
        <f>IF(A359="","",A359-WEEKDAY(A359,2)+1)</f>
        <v/>
      </c>
      <c r="AQ359" s="127">
        <f>IF(AO359="","",AO359+6)</f>
        <v/>
      </c>
      <c r="AR359" s="19">
        <f>IF(AO359="","","Semana "&amp;TEXT(AO359,"dd-mm-yyyy")&amp;" al "&amp;TEXT(AP359,"dd-mm-yyyy"))</f>
        <v/>
      </c>
      <c r="AS359" s="19">
        <f>IF(A359="","",TEXT(A359,"mmmm yyyy"))</f>
        <v/>
      </c>
      <c r="AT359" s="19">
        <f>IF(A359="","",TEXT(A359,"dddd"))</f>
        <v/>
      </c>
      <c r="AU359" s="19">
        <f>IF(A359="","","CRR-"&amp;TEXT(A359,"yyyymmdd")&amp;"-"&amp;M359&amp;"-"&amp;TEXT(ROW()-3,"0000"))</f>
        <v/>
      </c>
      <c r="AV359" s="19">
        <f>IF(A359="","",IF(OR(B359="",C359="",E359="",F359="",M359="",N359=""),"Revisar campos obligatorios",IF(AND(P359="Atraso primera hora",Q359=""),"Falta justificación atraso primera hora",IF(AND(Z359="No cumple",AA359=""),"Falta justificación recambio &gt;15 min",IF(AND(ISNUMBER(SEARCH("suspend",N359)),OR(AG359="",AH359="")),"Falta causa/motivo suspensión","OK")))))</f>
        <v/>
      </c>
      <c r="AW359" s="19">
        <f>IF(N359="","",IF(ISNUMBER(SEARCH("suspend",N359)),IF(AND(AG359="",AH359=""),"Sin causa/motivo registrado",IF(AG359="",AH359,IF(AH359="",AG359,AG359&amp;": "&amp;AH359))),""))</f>
        <v/>
      </c>
    </row>
    <row r="360" ht="16" customHeight="1" s="151">
      <c r="A360" s="62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20">
        <f>IF(H360&lt;&gt;"",IFERROR(VLOOKUP(IFERROR(LEFT(H360,FIND("-",H360)-1),H360),'Catalogo MINSAL'!A:E,5,FALSE),""),IF(I360&lt;&gt;"",IFERROR(VLOOKUP(IFERROR(LEFT(I360,FIND("-",I360)-1),I360),'Catalogo MINSAL'!A:E,5,FALSE),""),""))</f>
        <v/>
      </c>
      <c r="K360" s="19" t="n"/>
      <c r="L360" s="19" t="n"/>
      <c r="M360" s="19" t="n"/>
      <c r="N360" s="19" t="n"/>
      <c r="O360" s="25" t="n"/>
      <c r="P360" s="27">
        <f>IFERROR(IF(OR(O360="",A360="",M360=""),"",IF(SUMPRODUCT(($A$4:$A$500=A360)*($M$4:$M$500=M360)*($O$4:$O$500&lt;&gt;"")*(MOD($O$4:$O$500,1)&lt;MOD(O360,1)))=0,IF(MOD(O360,1)&lt;=TIME(8,15,0),"Ingreso adecuado primera hora","Atraso primera hora"),"No aplica")),"")</f>
        <v/>
      </c>
      <c r="Q360" s="27" t="n"/>
      <c r="R360" s="25" t="n"/>
      <c r="S360" s="25" t="n"/>
      <c r="T360" s="25" t="n"/>
      <c r="U360" s="25">
        <f>IFERROR(VLOOKUP(M360,'Horario Pabellones'!$A$4:$D$17,2,FALSE),"")</f>
        <v/>
      </c>
      <c r="V360" s="25">
        <f>IFERROR(VLOOKUP(M360,'Horario Pabellones'!$A$4:$D$17,3,FALSE),"")</f>
        <v/>
      </c>
      <c r="W360" s="99">
        <f>IFERROR(VLOOKUP(M360,'Horario Pabellones'!$A$4:$D$17,4,FALSE),"")</f>
        <v/>
      </c>
      <c r="X360" s="89">
        <f>IFERROR(IF(OR(A360="",M360="",W360=""),"",(((_xludf.AGGREGATE(14,6,MOD($S$4:$S$500,1)/(($A$4:$A$500=A360)*($M$4:$M$500=M360)*($R$4:$R$500&lt;&gt;"")*($S$4:$S$500&lt;&gt;"")),1)-_xludf.AGGREGATE(15,6,MOD($R$4:$R$500,1)/(($A$4:$A$500=A360)*($M$4:$M$500=M360)*($R$4:$R$500&lt;&gt;"")*($S$4:$S$500&lt;&gt;"")),1))*1440)/60)/(W360/60)),"")</f>
        <v/>
      </c>
      <c r="Y360" s="26">
        <f>IFERROR(IF(OR(O360="",A360="",M360=""),"",(IF(ISNUMBER(O360),MOD(O360,1),TIMEVALUE(O360))-LOOKUP(2,1/(($A$4:$A$500=A360)*($M$4:$M$500=M360)*($T$4:$T$500&lt;&gt;"")*($T$4:$T$500&lt;IF(ISNUMBER(O360),MOD(O360,1),TIMEVALUE(O360)))),$T$4:$T$500))*1440),"")</f>
        <v/>
      </c>
      <c r="Z360" s="27">
        <f>IFERROR(IF(Y360="","",IF(ROUND(Y360,0)&lt;=15,"Cumple","No cumple")),"")</f>
        <v/>
      </c>
      <c r="AA360" s="27" t="n"/>
      <c r="AB360" s="26">
        <f>IFERROR(IF(OR(O360="",R360=""),"",IF(IF(ISNUMBER(R360),MOD(R360,1),TIMEVALUE(R360))&gt;=IF(ISNUMBER(O360),MOD(O360,1),TIMEVALUE(O360)),(IF(ISNUMBER(R360),MOD(R360,1),TIMEVALUE(R360))-IF(ISNUMBER(O360),MOD(O360,1),TIMEVALUE(O360)))*1440,(IF(ISNUMBER(R360),MOD(R360,1),TIMEVALUE(R360))+1-IF(ISNUMBER(O360),MOD(O360,1),TIMEVALUE(O360)))*1440)),"")</f>
        <v/>
      </c>
      <c r="AC360" s="26">
        <f>IFERROR(IF(OR(R360="",S360=""),"",IF(IF(ISNUMBER(S360),MOD(S360,1),TIMEVALUE(S360))&gt;=IF(ISNUMBER(R360),MOD(R360,1),TIMEVALUE(R360)),(IF(ISNUMBER(S360),MOD(S360,1),TIMEVALUE(S360))-IF(ISNUMBER(R360),MOD(R360,1),TIMEVALUE(R360)))*1440,(IF(ISNUMBER(S360),MOD(S360,1),TIMEVALUE(S360))+1-IF(ISNUMBER(R360),MOD(R360,1),TIMEVALUE(R360)))*1440)),"")</f>
        <v/>
      </c>
      <c r="AD360" s="29" t="n"/>
      <c r="AE360" s="26">
        <f>IFERROR(IF(OR(AC360="",AD360=""),"",AC360-AD360),"")</f>
        <v/>
      </c>
      <c r="AF360" s="27">
        <f>IFERROR(IF(AE360="","",IF(ROUND(AE360,0)&gt;15,"Subestimacion",IF(ROUND(AE360,0)&lt;-15,"Sobrestimacion","Asertivo"))),"")</f>
        <v/>
      </c>
      <c r="AG360" s="19" t="n"/>
      <c r="AH360" s="19" t="n"/>
      <c r="AI360" s="19" t="n"/>
      <c r="AJ360" s="19" t="n"/>
      <c r="AK360" s="19" t="n"/>
      <c r="AL360" s="19" t="n"/>
      <c r="AM360" s="19" t="n"/>
      <c r="AN360" s="19" t="n"/>
      <c r="AO360" s="19" t="n"/>
      <c r="AP360" s="127">
        <f>IF(A360="","",A360-WEEKDAY(A360,2)+1)</f>
        <v/>
      </c>
      <c r="AQ360" s="127">
        <f>IF(AO360="","",AO360+6)</f>
        <v/>
      </c>
      <c r="AR360" s="19">
        <f>IF(AO360="","","Semana "&amp;TEXT(AO360,"dd-mm-yyyy")&amp;" al "&amp;TEXT(AP360,"dd-mm-yyyy"))</f>
        <v/>
      </c>
      <c r="AS360" s="19">
        <f>IF(A360="","",TEXT(A360,"mmmm yyyy"))</f>
        <v/>
      </c>
      <c r="AT360" s="19">
        <f>IF(A360="","",TEXT(A360,"dddd"))</f>
        <v/>
      </c>
      <c r="AU360" s="19">
        <f>IF(A360="","","CRR-"&amp;TEXT(A360,"yyyymmdd")&amp;"-"&amp;M360&amp;"-"&amp;TEXT(ROW()-3,"0000"))</f>
        <v/>
      </c>
      <c r="AV360" s="19">
        <f>IF(A360="","",IF(OR(B360="",C360="",E360="",F360="",M360="",N360=""),"Revisar campos obligatorios",IF(AND(P360="Atraso primera hora",Q360=""),"Falta justificación atraso primera hora",IF(AND(Z360="No cumple",AA360=""),"Falta justificación recambio &gt;15 min",IF(AND(ISNUMBER(SEARCH("suspend",N360)),OR(AG360="",AH360="")),"Falta causa/motivo suspensión","OK")))))</f>
        <v/>
      </c>
      <c r="AW360" s="19">
        <f>IF(N360="","",IF(ISNUMBER(SEARCH("suspend",N360)),IF(AND(AG360="",AH360=""),"Sin causa/motivo registrado",IF(AG360="",AH360,IF(AH360="",AG360,AG360&amp;": "&amp;AH360))),""))</f>
        <v/>
      </c>
    </row>
    <row r="361" ht="16" customHeight="1" s="151">
      <c r="A361" s="62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20">
        <f>IF(H361&lt;&gt;"",IFERROR(VLOOKUP(IFERROR(LEFT(H361,FIND("-",H361)-1),H361),'Catalogo MINSAL'!A:E,5,FALSE),""),IF(I361&lt;&gt;"",IFERROR(VLOOKUP(IFERROR(LEFT(I361,FIND("-",I361)-1),I361),'Catalogo MINSAL'!A:E,5,FALSE),""),""))</f>
        <v/>
      </c>
      <c r="K361" s="19" t="n"/>
      <c r="L361" s="19" t="n"/>
      <c r="M361" s="19" t="n"/>
      <c r="N361" s="19" t="n"/>
      <c r="O361" s="25" t="n"/>
      <c r="P361" s="27">
        <f>IFERROR(IF(OR(O361="",A361="",M361=""),"",IF(SUMPRODUCT(($A$4:$A$500=A361)*($M$4:$M$500=M361)*($O$4:$O$500&lt;&gt;"")*(MOD($O$4:$O$500,1)&lt;MOD(O361,1)))=0,IF(MOD(O361,1)&lt;=TIME(8,15,0),"Ingreso adecuado primera hora","Atraso primera hora"),"No aplica")),"")</f>
        <v/>
      </c>
      <c r="Q361" s="27" t="n"/>
      <c r="R361" s="25" t="n"/>
      <c r="S361" s="25" t="n"/>
      <c r="T361" s="25" t="n"/>
      <c r="U361" s="25">
        <f>IFERROR(VLOOKUP(M361,'Horario Pabellones'!$A$4:$D$17,2,FALSE),"")</f>
        <v/>
      </c>
      <c r="V361" s="25">
        <f>IFERROR(VLOOKUP(M361,'Horario Pabellones'!$A$4:$D$17,3,FALSE),"")</f>
        <v/>
      </c>
      <c r="W361" s="99">
        <f>IFERROR(VLOOKUP(M361,'Horario Pabellones'!$A$4:$D$17,4,FALSE),"")</f>
        <v/>
      </c>
      <c r="X361" s="89">
        <f>IFERROR(IF(OR(A361="",M361="",W361=""),"",(((_xludf.AGGREGATE(14,6,MOD($S$4:$S$500,1)/(($A$4:$A$500=A361)*($M$4:$M$500=M361)*($R$4:$R$500&lt;&gt;"")*($S$4:$S$500&lt;&gt;"")),1)-_xludf.AGGREGATE(15,6,MOD($R$4:$R$500,1)/(($A$4:$A$500=A361)*($M$4:$M$500=M361)*($R$4:$R$500&lt;&gt;"")*($S$4:$S$500&lt;&gt;"")),1))*1440)/60)/(W361/60)),"")</f>
        <v/>
      </c>
      <c r="Y361" s="26">
        <f>IFERROR(IF(OR(O361="",A361="",M361=""),"",(IF(ISNUMBER(O361),MOD(O361,1),TIMEVALUE(O361))-LOOKUP(2,1/(($A$4:$A$500=A361)*($M$4:$M$500=M361)*($T$4:$T$500&lt;&gt;"")*($T$4:$T$500&lt;IF(ISNUMBER(O361),MOD(O361,1),TIMEVALUE(O361)))),$T$4:$T$500))*1440),"")</f>
        <v/>
      </c>
      <c r="Z361" s="27">
        <f>IFERROR(IF(Y361="","",IF(ROUND(Y361,0)&lt;=15,"Cumple","No cumple")),"")</f>
        <v/>
      </c>
      <c r="AA361" s="27" t="n"/>
      <c r="AB361" s="26">
        <f>IFERROR(IF(OR(O361="",R361=""),"",IF(IF(ISNUMBER(R361),MOD(R361,1),TIMEVALUE(R361))&gt;=IF(ISNUMBER(O361),MOD(O361,1),TIMEVALUE(O361)),(IF(ISNUMBER(R361),MOD(R361,1),TIMEVALUE(R361))-IF(ISNUMBER(O361),MOD(O361,1),TIMEVALUE(O361)))*1440,(IF(ISNUMBER(R361),MOD(R361,1),TIMEVALUE(R361))+1-IF(ISNUMBER(O361),MOD(O361,1),TIMEVALUE(O361)))*1440)),"")</f>
        <v/>
      </c>
      <c r="AC361" s="26">
        <f>IFERROR(IF(OR(R361="",S361=""),"",IF(IF(ISNUMBER(S361),MOD(S361,1),TIMEVALUE(S361))&gt;=IF(ISNUMBER(R361),MOD(R361,1),TIMEVALUE(R361)),(IF(ISNUMBER(S361),MOD(S361,1),TIMEVALUE(S361))-IF(ISNUMBER(R361),MOD(R361,1),TIMEVALUE(R361)))*1440,(IF(ISNUMBER(S361),MOD(S361,1),TIMEVALUE(S361))+1-IF(ISNUMBER(R361),MOD(R361,1),TIMEVALUE(R361)))*1440)),"")</f>
        <v/>
      </c>
      <c r="AD361" s="29" t="n"/>
      <c r="AE361" s="26">
        <f>IFERROR(IF(OR(AC361="",AD361=""),"",AC361-AD361),"")</f>
        <v/>
      </c>
      <c r="AF361" s="27">
        <f>IFERROR(IF(AE361="","",IF(ROUND(AE361,0)&gt;15,"Subestimacion",IF(ROUND(AE361,0)&lt;-15,"Sobrestimacion","Asertivo"))),"")</f>
        <v/>
      </c>
      <c r="AG361" s="19" t="n"/>
      <c r="AH361" s="19" t="n"/>
      <c r="AI361" s="19" t="n"/>
      <c r="AJ361" s="19" t="n"/>
      <c r="AK361" s="19" t="n"/>
      <c r="AL361" s="19" t="n"/>
      <c r="AM361" s="19" t="n"/>
      <c r="AN361" s="19" t="n"/>
      <c r="AO361" s="19" t="n"/>
      <c r="AP361" s="127">
        <f>IF(A361="","",A361-WEEKDAY(A361,2)+1)</f>
        <v/>
      </c>
      <c r="AQ361" s="127">
        <f>IF(AO361="","",AO361+6)</f>
        <v/>
      </c>
      <c r="AR361" s="19">
        <f>IF(AO361="","","Semana "&amp;TEXT(AO361,"dd-mm-yyyy")&amp;" al "&amp;TEXT(AP361,"dd-mm-yyyy"))</f>
        <v/>
      </c>
      <c r="AS361" s="19">
        <f>IF(A361="","",TEXT(A361,"mmmm yyyy"))</f>
        <v/>
      </c>
      <c r="AT361" s="19">
        <f>IF(A361="","",TEXT(A361,"dddd"))</f>
        <v/>
      </c>
      <c r="AU361" s="19">
        <f>IF(A361="","","CRR-"&amp;TEXT(A361,"yyyymmdd")&amp;"-"&amp;M361&amp;"-"&amp;TEXT(ROW()-3,"0000"))</f>
        <v/>
      </c>
      <c r="AV361" s="19">
        <f>IF(A361="","",IF(OR(B361="",C361="",E361="",F361="",M361="",N361=""),"Revisar campos obligatorios",IF(AND(P361="Atraso primera hora",Q361=""),"Falta justificación atraso primera hora",IF(AND(Z361="No cumple",AA361=""),"Falta justificación recambio &gt;15 min",IF(AND(ISNUMBER(SEARCH("suspend",N361)),OR(AG361="",AH361="")),"Falta causa/motivo suspensión","OK")))))</f>
        <v/>
      </c>
      <c r="AW361" s="19">
        <f>IF(N361="","",IF(ISNUMBER(SEARCH("suspend",N361)),IF(AND(AG361="",AH361=""),"Sin causa/motivo registrado",IF(AG361="",AH361,IF(AH361="",AG361,AG361&amp;": "&amp;AH361))),""))</f>
        <v/>
      </c>
    </row>
    <row r="362" ht="16" customHeight="1" s="151">
      <c r="A362" s="62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20">
        <f>IF(H362&lt;&gt;"",IFERROR(VLOOKUP(IFERROR(LEFT(H362,FIND("-",H362)-1),H362),'Catalogo MINSAL'!A:E,5,FALSE),""),IF(I362&lt;&gt;"",IFERROR(VLOOKUP(IFERROR(LEFT(I362,FIND("-",I362)-1),I362),'Catalogo MINSAL'!A:E,5,FALSE),""),""))</f>
        <v/>
      </c>
      <c r="K362" s="19" t="n"/>
      <c r="L362" s="19" t="n"/>
      <c r="M362" s="19" t="n"/>
      <c r="N362" s="19" t="n"/>
      <c r="O362" s="25" t="n"/>
      <c r="P362" s="27">
        <f>IFERROR(IF(OR(O362="",A362="",M362=""),"",IF(SUMPRODUCT(($A$4:$A$500=A362)*($M$4:$M$500=M362)*($O$4:$O$500&lt;&gt;"")*(MOD($O$4:$O$500,1)&lt;MOD(O362,1)))=0,IF(MOD(O362,1)&lt;=TIME(8,15,0),"Ingreso adecuado primera hora","Atraso primera hora"),"No aplica")),"")</f>
        <v/>
      </c>
      <c r="Q362" s="27" t="n"/>
      <c r="R362" s="25" t="n"/>
      <c r="S362" s="25" t="n"/>
      <c r="T362" s="25" t="n"/>
      <c r="U362" s="25">
        <f>IFERROR(VLOOKUP(M362,'Horario Pabellones'!$A$4:$D$17,2,FALSE),"")</f>
        <v/>
      </c>
      <c r="V362" s="25">
        <f>IFERROR(VLOOKUP(M362,'Horario Pabellones'!$A$4:$D$17,3,FALSE),"")</f>
        <v/>
      </c>
      <c r="W362" s="99">
        <f>IFERROR(VLOOKUP(M362,'Horario Pabellones'!$A$4:$D$17,4,FALSE),"")</f>
        <v/>
      </c>
      <c r="X362" s="89">
        <f>IFERROR(IF(OR(A362="",M362="",W362=""),"",(((_xludf.AGGREGATE(14,6,MOD($S$4:$S$500,1)/(($A$4:$A$500=A362)*($M$4:$M$500=M362)*($R$4:$R$500&lt;&gt;"")*($S$4:$S$500&lt;&gt;"")),1)-_xludf.AGGREGATE(15,6,MOD($R$4:$R$500,1)/(($A$4:$A$500=A362)*($M$4:$M$500=M362)*($R$4:$R$500&lt;&gt;"")*($S$4:$S$500&lt;&gt;"")),1))*1440)/60)/(W362/60)),"")</f>
        <v/>
      </c>
      <c r="Y362" s="26">
        <f>IFERROR(IF(OR(O362="",A362="",M362=""),"",(IF(ISNUMBER(O362),MOD(O362,1),TIMEVALUE(O362))-LOOKUP(2,1/(($A$4:$A$500=A362)*($M$4:$M$500=M362)*($T$4:$T$500&lt;&gt;"")*($T$4:$T$500&lt;IF(ISNUMBER(O362),MOD(O362,1),TIMEVALUE(O362)))),$T$4:$T$500))*1440),"")</f>
        <v/>
      </c>
      <c r="Z362" s="27">
        <f>IFERROR(IF(Y362="","",IF(ROUND(Y362,0)&lt;=15,"Cumple","No cumple")),"")</f>
        <v/>
      </c>
      <c r="AA362" s="27" t="n"/>
      <c r="AB362" s="26">
        <f>IFERROR(IF(OR(O362="",R362=""),"",IF(IF(ISNUMBER(R362),MOD(R362,1),TIMEVALUE(R362))&gt;=IF(ISNUMBER(O362),MOD(O362,1),TIMEVALUE(O362)),(IF(ISNUMBER(R362),MOD(R362,1),TIMEVALUE(R362))-IF(ISNUMBER(O362),MOD(O362,1),TIMEVALUE(O362)))*1440,(IF(ISNUMBER(R362),MOD(R362,1),TIMEVALUE(R362))+1-IF(ISNUMBER(O362),MOD(O362,1),TIMEVALUE(O362)))*1440)),"")</f>
        <v/>
      </c>
      <c r="AC362" s="26">
        <f>IFERROR(IF(OR(R362="",S362=""),"",IF(IF(ISNUMBER(S362),MOD(S362,1),TIMEVALUE(S362))&gt;=IF(ISNUMBER(R362),MOD(R362,1),TIMEVALUE(R362)),(IF(ISNUMBER(S362),MOD(S362,1),TIMEVALUE(S362))-IF(ISNUMBER(R362),MOD(R362,1),TIMEVALUE(R362)))*1440,(IF(ISNUMBER(S362),MOD(S362,1),TIMEVALUE(S362))+1-IF(ISNUMBER(R362),MOD(R362,1),TIMEVALUE(R362)))*1440)),"")</f>
        <v/>
      </c>
      <c r="AD362" s="29" t="n"/>
      <c r="AE362" s="26">
        <f>IFERROR(IF(OR(AC362="",AD362=""),"",AC362-AD362),"")</f>
        <v/>
      </c>
      <c r="AF362" s="27">
        <f>IFERROR(IF(AE362="","",IF(ROUND(AE362,0)&gt;15,"Subestimacion",IF(ROUND(AE362,0)&lt;-15,"Sobrestimacion","Asertivo"))),"")</f>
        <v/>
      </c>
      <c r="AG362" s="19" t="n"/>
      <c r="AH362" s="19" t="n"/>
      <c r="AI362" s="19" t="n"/>
      <c r="AJ362" s="19" t="n"/>
      <c r="AK362" s="19" t="n"/>
      <c r="AL362" s="19" t="n"/>
      <c r="AM362" s="19" t="n"/>
      <c r="AN362" s="19" t="n"/>
      <c r="AO362" s="19" t="n"/>
      <c r="AP362" s="127">
        <f>IF(A362="","",A362-WEEKDAY(A362,2)+1)</f>
        <v/>
      </c>
      <c r="AQ362" s="127">
        <f>IF(AO362="","",AO362+6)</f>
        <v/>
      </c>
      <c r="AR362" s="19">
        <f>IF(AO362="","","Semana "&amp;TEXT(AO362,"dd-mm-yyyy")&amp;" al "&amp;TEXT(AP362,"dd-mm-yyyy"))</f>
        <v/>
      </c>
      <c r="AS362" s="19">
        <f>IF(A362="","",TEXT(A362,"mmmm yyyy"))</f>
        <v/>
      </c>
      <c r="AT362" s="19">
        <f>IF(A362="","",TEXT(A362,"dddd"))</f>
        <v/>
      </c>
      <c r="AU362" s="19">
        <f>IF(A362="","","CRR-"&amp;TEXT(A362,"yyyymmdd")&amp;"-"&amp;M362&amp;"-"&amp;TEXT(ROW()-3,"0000"))</f>
        <v/>
      </c>
      <c r="AV362" s="19">
        <f>IF(A362="","",IF(OR(B362="",C362="",E362="",F362="",M362="",N362=""),"Revisar campos obligatorios",IF(AND(P362="Atraso primera hora",Q362=""),"Falta justificación atraso primera hora",IF(AND(Z362="No cumple",AA362=""),"Falta justificación recambio &gt;15 min",IF(AND(ISNUMBER(SEARCH("suspend",N362)),OR(AG362="",AH362="")),"Falta causa/motivo suspensión","OK")))))</f>
        <v/>
      </c>
      <c r="AW362" s="19">
        <f>IF(N362="","",IF(ISNUMBER(SEARCH("suspend",N362)),IF(AND(AG362="",AH362=""),"Sin causa/motivo registrado",IF(AG362="",AH362,IF(AH362="",AG362,AG362&amp;": "&amp;AH362))),""))</f>
        <v/>
      </c>
    </row>
    <row r="363" ht="16" customHeight="1" s="151">
      <c r="A363" s="62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20">
        <f>IF(H363&lt;&gt;"",IFERROR(VLOOKUP(IFERROR(LEFT(H363,FIND("-",H363)-1),H363),'Catalogo MINSAL'!A:E,5,FALSE),""),IF(I363&lt;&gt;"",IFERROR(VLOOKUP(IFERROR(LEFT(I363,FIND("-",I363)-1),I363),'Catalogo MINSAL'!A:E,5,FALSE),""),""))</f>
        <v/>
      </c>
      <c r="K363" s="19" t="n"/>
      <c r="L363" s="19" t="n"/>
      <c r="M363" s="19" t="n"/>
      <c r="N363" s="19" t="n"/>
      <c r="O363" s="25" t="n"/>
      <c r="P363" s="27">
        <f>IFERROR(IF(OR(O363="",A363="",M363=""),"",IF(SUMPRODUCT(($A$4:$A$500=A363)*($M$4:$M$500=M363)*($O$4:$O$500&lt;&gt;"")*(MOD($O$4:$O$500,1)&lt;MOD(O363,1)))=0,IF(MOD(O363,1)&lt;=TIME(8,15,0),"Ingreso adecuado primera hora","Atraso primera hora"),"No aplica")),"")</f>
        <v/>
      </c>
      <c r="Q363" s="27" t="n"/>
      <c r="R363" s="25" t="n"/>
      <c r="S363" s="25" t="n"/>
      <c r="T363" s="25" t="n"/>
      <c r="U363" s="25">
        <f>IFERROR(VLOOKUP(M363,'Horario Pabellones'!$A$4:$D$17,2,FALSE),"")</f>
        <v/>
      </c>
      <c r="V363" s="25">
        <f>IFERROR(VLOOKUP(M363,'Horario Pabellones'!$A$4:$D$17,3,FALSE),"")</f>
        <v/>
      </c>
      <c r="W363" s="99">
        <f>IFERROR(VLOOKUP(M363,'Horario Pabellones'!$A$4:$D$17,4,FALSE),"")</f>
        <v/>
      </c>
      <c r="X363" s="89">
        <f>IFERROR(IF(OR(A363="",M363="",W363=""),"",(((_xludf.AGGREGATE(14,6,MOD($S$4:$S$500,1)/(($A$4:$A$500=A363)*($M$4:$M$500=M363)*($R$4:$R$500&lt;&gt;"")*($S$4:$S$500&lt;&gt;"")),1)-_xludf.AGGREGATE(15,6,MOD($R$4:$R$500,1)/(($A$4:$A$500=A363)*($M$4:$M$500=M363)*($R$4:$R$500&lt;&gt;"")*($S$4:$S$500&lt;&gt;"")),1))*1440)/60)/(W363/60)),"")</f>
        <v/>
      </c>
      <c r="Y363" s="26">
        <f>IFERROR(IF(OR(O363="",A363="",M363=""),"",(IF(ISNUMBER(O363),MOD(O363,1),TIMEVALUE(O363))-LOOKUP(2,1/(($A$4:$A$500=A363)*($M$4:$M$500=M363)*($T$4:$T$500&lt;&gt;"")*($T$4:$T$500&lt;IF(ISNUMBER(O363),MOD(O363,1),TIMEVALUE(O363)))),$T$4:$T$500))*1440),"")</f>
        <v/>
      </c>
      <c r="Z363" s="27">
        <f>IFERROR(IF(Y363="","",IF(ROUND(Y363,0)&lt;=15,"Cumple","No cumple")),"")</f>
        <v/>
      </c>
      <c r="AA363" s="27" t="n"/>
      <c r="AB363" s="26">
        <f>IFERROR(IF(OR(O363="",R363=""),"",IF(IF(ISNUMBER(R363),MOD(R363,1),TIMEVALUE(R363))&gt;=IF(ISNUMBER(O363),MOD(O363,1),TIMEVALUE(O363)),(IF(ISNUMBER(R363),MOD(R363,1),TIMEVALUE(R363))-IF(ISNUMBER(O363),MOD(O363,1),TIMEVALUE(O363)))*1440,(IF(ISNUMBER(R363),MOD(R363,1),TIMEVALUE(R363))+1-IF(ISNUMBER(O363),MOD(O363,1),TIMEVALUE(O363)))*1440)),"")</f>
        <v/>
      </c>
      <c r="AC363" s="26">
        <f>IFERROR(IF(OR(R363="",S363=""),"",IF(IF(ISNUMBER(S363),MOD(S363,1),TIMEVALUE(S363))&gt;=IF(ISNUMBER(R363),MOD(R363,1),TIMEVALUE(R363)),(IF(ISNUMBER(S363),MOD(S363,1),TIMEVALUE(S363))-IF(ISNUMBER(R363),MOD(R363,1),TIMEVALUE(R363)))*1440,(IF(ISNUMBER(S363),MOD(S363,1),TIMEVALUE(S363))+1-IF(ISNUMBER(R363),MOD(R363,1),TIMEVALUE(R363)))*1440)),"")</f>
        <v/>
      </c>
      <c r="AD363" s="29" t="n"/>
      <c r="AE363" s="26">
        <f>IFERROR(IF(OR(AC363="",AD363=""),"",AC363-AD363),"")</f>
        <v/>
      </c>
      <c r="AF363" s="27">
        <f>IFERROR(IF(AE363="","",IF(ROUND(AE363,0)&gt;15,"Subestimacion",IF(ROUND(AE363,0)&lt;-15,"Sobrestimacion","Asertivo"))),"")</f>
        <v/>
      </c>
      <c r="AG363" s="19" t="n"/>
      <c r="AH363" s="19" t="n"/>
      <c r="AI363" s="19" t="n"/>
      <c r="AJ363" s="19" t="n"/>
      <c r="AK363" s="19" t="n"/>
      <c r="AL363" s="19" t="n"/>
      <c r="AM363" s="19" t="n"/>
      <c r="AN363" s="19" t="n"/>
      <c r="AO363" s="19" t="n"/>
      <c r="AP363" s="127">
        <f>IF(A363="","",A363-WEEKDAY(A363,2)+1)</f>
        <v/>
      </c>
      <c r="AQ363" s="127">
        <f>IF(AO363="","",AO363+6)</f>
        <v/>
      </c>
      <c r="AR363" s="19">
        <f>IF(AO363="","","Semana "&amp;TEXT(AO363,"dd-mm-yyyy")&amp;" al "&amp;TEXT(AP363,"dd-mm-yyyy"))</f>
        <v/>
      </c>
      <c r="AS363" s="19">
        <f>IF(A363="","",TEXT(A363,"mmmm yyyy"))</f>
        <v/>
      </c>
      <c r="AT363" s="19">
        <f>IF(A363="","",TEXT(A363,"dddd"))</f>
        <v/>
      </c>
      <c r="AU363" s="19">
        <f>IF(A363="","","CRR-"&amp;TEXT(A363,"yyyymmdd")&amp;"-"&amp;M363&amp;"-"&amp;TEXT(ROW()-3,"0000"))</f>
        <v/>
      </c>
      <c r="AV363" s="19">
        <f>IF(A363="","",IF(OR(B363="",C363="",E363="",F363="",M363="",N363=""),"Revisar campos obligatorios",IF(AND(P363="Atraso primera hora",Q363=""),"Falta justificación atraso primera hora",IF(AND(Z363="No cumple",AA363=""),"Falta justificación recambio &gt;15 min",IF(AND(ISNUMBER(SEARCH("suspend",N363)),OR(AG363="",AH363="")),"Falta causa/motivo suspensión","OK")))))</f>
        <v/>
      </c>
      <c r="AW363" s="19">
        <f>IF(N363="","",IF(ISNUMBER(SEARCH("suspend",N363)),IF(AND(AG363="",AH363=""),"Sin causa/motivo registrado",IF(AG363="",AH363,IF(AH363="",AG363,AG363&amp;": "&amp;AH363))),""))</f>
        <v/>
      </c>
    </row>
    <row r="364" ht="16" customHeight="1" s="151">
      <c r="A364" s="62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20">
        <f>IF(H364&lt;&gt;"",IFERROR(VLOOKUP(IFERROR(LEFT(H364,FIND("-",H364)-1),H364),'Catalogo MINSAL'!A:E,5,FALSE),""),IF(I364&lt;&gt;"",IFERROR(VLOOKUP(IFERROR(LEFT(I364,FIND("-",I364)-1),I364),'Catalogo MINSAL'!A:E,5,FALSE),""),""))</f>
        <v/>
      </c>
      <c r="K364" s="19" t="n"/>
      <c r="L364" s="19" t="n"/>
      <c r="M364" s="19" t="n"/>
      <c r="N364" s="19" t="n"/>
      <c r="O364" s="25" t="n"/>
      <c r="P364" s="27">
        <f>IFERROR(IF(OR(O364="",A364="",M364=""),"",IF(SUMPRODUCT(($A$4:$A$500=A364)*($M$4:$M$500=M364)*($O$4:$O$500&lt;&gt;"")*(MOD($O$4:$O$500,1)&lt;MOD(O364,1)))=0,IF(MOD(O364,1)&lt;=TIME(8,15,0),"Ingreso adecuado primera hora","Atraso primera hora"),"No aplica")),"")</f>
        <v/>
      </c>
      <c r="Q364" s="27" t="n"/>
      <c r="R364" s="25" t="n"/>
      <c r="S364" s="25" t="n"/>
      <c r="T364" s="25" t="n"/>
      <c r="U364" s="25">
        <f>IFERROR(VLOOKUP(M364,'Horario Pabellones'!$A$4:$D$17,2,FALSE),"")</f>
        <v/>
      </c>
      <c r="V364" s="25">
        <f>IFERROR(VLOOKUP(M364,'Horario Pabellones'!$A$4:$D$17,3,FALSE),"")</f>
        <v/>
      </c>
      <c r="W364" s="99">
        <f>IFERROR(VLOOKUP(M364,'Horario Pabellones'!$A$4:$D$17,4,FALSE),"")</f>
        <v/>
      </c>
      <c r="X364" s="89">
        <f>IFERROR(IF(OR(A364="",M364="",W364=""),"",(((_xludf.AGGREGATE(14,6,MOD($S$4:$S$500,1)/(($A$4:$A$500=A364)*($M$4:$M$500=M364)*($R$4:$R$500&lt;&gt;"")*($S$4:$S$500&lt;&gt;"")),1)-_xludf.AGGREGATE(15,6,MOD($R$4:$R$500,1)/(($A$4:$A$500=A364)*($M$4:$M$500=M364)*($R$4:$R$500&lt;&gt;"")*($S$4:$S$500&lt;&gt;"")),1))*1440)/60)/(W364/60)),"")</f>
        <v/>
      </c>
      <c r="Y364" s="26">
        <f>IFERROR(IF(OR(O364="",A364="",M364=""),"",(IF(ISNUMBER(O364),MOD(O364,1),TIMEVALUE(O364))-LOOKUP(2,1/(($A$4:$A$500=A364)*($M$4:$M$500=M364)*($T$4:$T$500&lt;&gt;"")*($T$4:$T$500&lt;IF(ISNUMBER(O364),MOD(O364,1),TIMEVALUE(O364)))),$T$4:$T$500))*1440),"")</f>
        <v/>
      </c>
      <c r="Z364" s="27">
        <f>IFERROR(IF(Y364="","",IF(ROUND(Y364,0)&lt;=15,"Cumple","No cumple")),"")</f>
        <v/>
      </c>
      <c r="AA364" s="27" t="n"/>
      <c r="AB364" s="26">
        <f>IFERROR(IF(OR(O364="",R364=""),"",IF(IF(ISNUMBER(R364),MOD(R364,1),TIMEVALUE(R364))&gt;=IF(ISNUMBER(O364),MOD(O364,1),TIMEVALUE(O364)),(IF(ISNUMBER(R364),MOD(R364,1),TIMEVALUE(R364))-IF(ISNUMBER(O364),MOD(O364,1),TIMEVALUE(O364)))*1440,(IF(ISNUMBER(R364),MOD(R364,1),TIMEVALUE(R364))+1-IF(ISNUMBER(O364),MOD(O364,1),TIMEVALUE(O364)))*1440)),"")</f>
        <v/>
      </c>
      <c r="AC364" s="26">
        <f>IFERROR(IF(OR(R364="",S364=""),"",IF(IF(ISNUMBER(S364),MOD(S364,1),TIMEVALUE(S364))&gt;=IF(ISNUMBER(R364),MOD(R364,1),TIMEVALUE(R364)),(IF(ISNUMBER(S364),MOD(S364,1),TIMEVALUE(S364))-IF(ISNUMBER(R364),MOD(R364,1),TIMEVALUE(R364)))*1440,(IF(ISNUMBER(S364),MOD(S364,1),TIMEVALUE(S364))+1-IF(ISNUMBER(R364),MOD(R364,1),TIMEVALUE(R364)))*1440)),"")</f>
        <v/>
      </c>
      <c r="AD364" s="29" t="n"/>
      <c r="AE364" s="26">
        <f>IFERROR(IF(OR(AC364="",AD364=""),"",AC364-AD364),"")</f>
        <v/>
      </c>
      <c r="AF364" s="27">
        <f>IFERROR(IF(AE364="","",IF(ROUND(AE364,0)&gt;15,"Subestimacion",IF(ROUND(AE364,0)&lt;-15,"Sobrestimacion","Asertivo"))),"")</f>
        <v/>
      </c>
      <c r="AG364" s="19" t="n"/>
      <c r="AH364" s="19" t="n"/>
      <c r="AI364" s="19" t="n"/>
      <c r="AJ364" s="19" t="n"/>
      <c r="AK364" s="19" t="n"/>
      <c r="AL364" s="19" t="n"/>
      <c r="AM364" s="19" t="n"/>
      <c r="AN364" s="19" t="n"/>
      <c r="AO364" s="19" t="n"/>
      <c r="AP364" s="127">
        <f>IF(A364="","",A364-WEEKDAY(A364,2)+1)</f>
        <v/>
      </c>
      <c r="AQ364" s="127">
        <f>IF(AO364="","",AO364+6)</f>
        <v/>
      </c>
      <c r="AR364" s="19">
        <f>IF(AO364="","","Semana "&amp;TEXT(AO364,"dd-mm-yyyy")&amp;" al "&amp;TEXT(AP364,"dd-mm-yyyy"))</f>
        <v/>
      </c>
      <c r="AS364" s="19">
        <f>IF(A364="","",TEXT(A364,"mmmm yyyy"))</f>
        <v/>
      </c>
      <c r="AT364" s="19">
        <f>IF(A364="","",TEXT(A364,"dddd"))</f>
        <v/>
      </c>
      <c r="AU364" s="19">
        <f>IF(A364="","","CRR-"&amp;TEXT(A364,"yyyymmdd")&amp;"-"&amp;M364&amp;"-"&amp;TEXT(ROW()-3,"0000"))</f>
        <v/>
      </c>
      <c r="AV364" s="19">
        <f>IF(A364="","",IF(OR(B364="",C364="",E364="",F364="",M364="",N364=""),"Revisar campos obligatorios",IF(AND(P364="Atraso primera hora",Q364=""),"Falta justificación atraso primera hora",IF(AND(Z364="No cumple",AA364=""),"Falta justificación recambio &gt;15 min",IF(AND(ISNUMBER(SEARCH("suspend",N364)),OR(AG364="",AH364="")),"Falta causa/motivo suspensión","OK")))))</f>
        <v/>
      </c>
      <c r="AW364" s="19">
        <f>IF(N364="","",IF(ISNUMBER(SEARCH("suspend",N364)),IF(AND(AG364="",AH364=""),"Sin causa/motivo registrado",IF(AG364="",AH364,IF(AH364="",AG364,AG364&amp;": "&amp;AH364))),""))</f>
        <v/>
      </c>
    </row>
    <row r="365" ht="16" customHeight="1" s="151">
      <c r="A365" s="62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20">
        <f>IF(H365&lt;&gt;"",IFERROR(VLOOKUP(IFERROR(LEFT(H365,FIND("-",H365)-1),H365),'Catalogo MINSAL'!A:E,5,FALSE),""),IF(I365&lt;&gt;"",IFERROR(VLOOKUP(IFERROR(LEFT(I365,FIND("-",I365)-1),I365),'Catalogo MINSAL'!A:E,5,FALSE),""),""))</f>
        <v/>
      </c>
      <c r="K365" s="19" t="n"/>
      <c r="L365" s="19" t="n"/>
      <c r="M365" s="19" t="n"/>
      <c r="N365" s="19" t="n"/>
      <c r="O365" s="25" t="n"/>
      <c r="P365" s="27">
        <f>IFERROR(IF(OR(O365="",A365="",M365=""),"",IF(SUMPRODUCT(($A$4:$A$500=A365)*($M$4:$M$500=M365)*($O$4:$O$500&lt;&gt;"")*(MOD($O$4:$O$500,1)&lt;MOD(O365,1)))=0,IF(MOD(O365,1)&lt;=TIME(8,15,0),"Ingreso adecuado primera hora","Atraso primera hora"),"No aplica")),"")</f>
        <v/>
      </c>
      <c r="Q365" s="27" t="n"/>
      <c r="R365" s="25" t="n"/>
      <c r="S365" s="25" t="n"/>
      <c r="T365" s="25" t="n"/>
      <c r="U365" s="25">
        <f>IFERROR(VLOOKUP(M365,'Horario Pabellones'!$A$4:$D$17,2,FALSE),"")</f>
        <v/>
      </c>
      <c r="V365" s="25">
        <f>IFERROR(VLOOKUP(M365,'Horario Pabellones'!$A$4:$D$17,3,FALSE),"")</f>
        <v/>
      </c>
      <c r="W365" s="99">
        <f>IFERROR(VLOOKUP(M365,'Horario Pabellones'!$A$4:$D$17,4,FALSE),"")</f>
        <v/>
      </c>
      <c r="X365" s="89">
        <f>IFERROR(IF(OR(A365="",M365="",W365=""),"",(((_xludf.AGGREGATE(14,6,MOD($S$4:$S$500,1)/(($A$4:$A$500=A365)*($M$4:$M$500=M365)*($R$4:$R$500&lt;&gt;"")*($S$4:$S$500&lt;&gt;"")),1)-_xludf.AGGREGATE(15,6,MOD($R$4:$R$500,1)/(($A$4:$A$500=A365)*($M$4:$M$500=M365)*($R$4:$R$500&lt;&gt;"")*($S$4:$S$500&lt;&gt;"")),1))*1440)/60)/(W365/60)),"")</f>
        <v/>
      </c>
      <c r="Y365" s="26">
        <f>IFERROR(IF(OR(O365="",A365="",M365=""),"",(IF(ISNUMBER(O365),MOD(O365,1),TIMEVALUE(O365))-LOOKUP(2,1/(($A$4:$A$500=A365)*($M$4:$M$500=M365)*($T$4:$T$500&lt;&gt;"")*($T$4:$T$500&lt;IF(ISNUMBER(O365),MOD(O365,1),TIMEVALUE(O365)))),$T$4:$T$500))*1440),"")</f>
        <v/>
      </c>
      <c r="Z365" s="27">
        <f>IFERROR(IF(Y365="","",IF(ROUND(Y365,0)&lt;=15,"Cumple","No cumple")),"")</f>
        <v/>
      </c>
      <c r="AA365" s="27" t="n"/>
      <c r="AB365" s="26">
        <f>IFERROR(IF(OR(O365="",R365=""),"",IF(IF(ISNUMBER(R365),MOD(R365,1),TIMEVALUE(R365))&gt;=IF(ISNUMBER(O365),MOD(O365,1),TIMEVALUE(O365)),(IF(ISNUMBER(R365),MOD(R365,1),TIMEVALUE(R365))-IF(ISNUMBER(O365),MOD(O365,1),TIMEVALUE(O365)))*1440,(IF(ISNUMBER(R365),MOD(R365,1),TIMEVALUE(R365))+1-IF(ISNUMBER(O365),MOD(O365,1),TIMEVALUE(O365)))*1440)),"")</f>
        <v/>
      </c>
      <c r="AC365" s="26">
        <f>IFERROR(IF(OR(R365="",S365=""),"",IF(IF(ISNUMBER(S365),MOD(S365,1),TIMEVALUE(S365))&gt;=IF(ISNUMBER(R365),MOD(R365,1),TIMEVALUE(R365)),(IF(ISNUMBER(S365),MOD(S365,1),TIMEVALUE(S365))-IF(ISNUMBER(R365),MOD(R365,1),TIMEVALUE(R365)))*1440,(IF(ISNUMBER(S365),MOD(S365,1),TIMEVALUE(S365))+1-IF(ISNUMBER(R365),MOD(R365,1),TIMEVALUE(R365)))*1440)),"")</f>
        <v/>
      </c>
      <c r="AD365" s="29" t="n"/>
      <c r="AE365" s="26">
        <f>IFERROR(IF(OR(AC365="",AD365=""),"",AC365-AD365),"")</f>
        <v/>
      </c>
      <c r="AF365" s="27">
        <f>IFERROR(IF(AE365="","",IF(ROUND(AE365,0)&gt;15,"Subestimacion",IF(ROUND(AE365,0)&lt;-15,"Sobrestimacion","Asertivo"))),"")</f>
        <v/>
      </c>
      <c r="AG365" s="19" t="n"/>
      <c r="AH365" s="19" t="n"/>
      <c r="AI365" s="19" t="n"/>
      <c r="AJ365" s="19" t="n"/>
      <c r="AK365" s="19" t="n"/>
      <c r="AL365" s="19" t="n"/>
      <c r="AM365" s="19" t="n"/>
      <c r="AN365" s="19" t="n"/>
      <c r="AO365" s="19" t="n"/>
      <c r="AP365" s="127">
        <f>IF(A365="","",A365-WEEKDAY(A365,2)+1)</f>
        <v/>
      </c>
      <c r="AQ365" s="127">
        <f>IF(AO365="","",AO365+6)</f>
        <v/>
      </c>
      <c r="AR365" s="19">
        <f>IF(AO365="","","Semana "&amp;TEXT(AO365,"dd-mm-yyyy")&amp;" al "&amp;TEXT(AP365,"dd-mm-yyyy"))</f>
        <v/>
      </c>
      <c r="AS365" s="19">
        <f>IF(A365="","",TEXT(A365,"mmmm yyyy"))</f>
        <v/>
      </c>
      <c r="AT365" s="19">
        <f>IF(A365="","",TEXT(A365,"dddd"))</f>
        <v/>
      </c>
      <c r="AU365" s="19">
        <f>IF(A365="","","CRR-"&amp;TEXT(A365,"yyyymmdd")&amp;"-"&amp;M365&amp;"-"&amp;TEXT(ROW()-3,"0000"))</f>
        <v/>
      </c>
      <c r="AV365" s="19">
        <f>IF(A365="","",IF(OR(B365="",C365="",E365="",F365="",M365="",N365=""),"Revisar campos obligatorios",IF(AND(P365="Atraso primera hora",Q365=""),"Falta justificación atraso primera hora",IF(AND(Z365="No cumple",AA365=""),"Falta justificación recambio &gt;15 min",IF(AND(ISNUMBER(SEARCH("suspend",N365)),OR(AG365="",AH365="")),"Falta causa/motivo suspensión","OK")))))</f>
        <v/>
      </c>
      <c r="AW365" s="19">
        <f>IF(N365="","",IF(ISNUMBER(SEARCH("suspend",N365)),IF(AND(AG365="",AH365=""),"Sin causa/motivo registrado",IF(AG365="",AH365,IF(AH365="",AG365,AG365&amp;": "&amp;AH365))),""))</f>
        <v/>
      </c>
    </row>
    <row r="366" ht="16" customHeight="1" s="151">
      <c r="A366" s="62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20">
        <f>IF(H366&lt;&gt;"",IFERROR(VLOOKUP(IFERROR(LEFT(H366,FIND("-",H366)-1),H366),'Catalogo MINSAL'!A:E,5,FALSE),""),IF(I366&lt;&gt;"",IFERROR(VLOOKUP(IFERROR(LEFT(I366,FIND("-",I366)-1),I366),'Catalogo MINSAL'!A:E,5,FALSE),""),""))</f>
        <v/>
      </c>
      <c r="K366" s="19" t="n"/>
      <c r="L366" s="19" t="n"/>
      <c r="M366" s="19" t="n"/>
      <c r="N366" s="19" t="n"/>
      <c r="O366" s="25" t="n"/>
      <c r="P366" s="27">
        <f>IFERROR(IF(OR(O366="",A366="",M366=""),"",IF(SUMPRODUCT(($A$4:$A$500=A366)*($M$4:$M$500=M366)*($O$4:$O$500&lt;&gt;"")*(MOD($O$4:$O$500,1)&lt;MOD(O366,1)))=0,IF(MOD(O366,1)&lt;=TIME(8,15,0),"Ingreso adecuado primera hora","Atraso primera hora"),"No aplica")),"")</f>
        <v/>
      </c>
      <c r="Q366" s="27" t="n"/>
      <c r="R366" s="25" t="n"/>
      <c r="S366" s="25" t="n"/>
      <c r="T366" s="25" t="n"/>
      <c r="U366" s="25">
        <f>IFERROR(VLOOKUP(M366,'Horario Pabellones'!$A$4:$D$17,2,FALSE),"")</f>
        <v/>
      </c>
      <c r="V366" s="25">
        <f>IFERROR(VLOOKUP(M366,'Horario Pabellones'!$A$4:$D$17,3,FALSE),"")</f>
        <v/>
      </c>
      <c r="W366" s="99">
        <f>IFERROR(VLOOKUP(M366,'Horario Pabellones'!$A$4:$D$17,4,FALSE),"")</f>
        <v/>
      </c>
      <c r="X366" s="89">
        <f>IFERROR(IF(OR(A366="",M366="",W366=""),"",(((_xludf.AGGREGATE(14,6,MOD($S$4:$S$500,1)/(($A$4:$A$500=A366)*($M$4:$M$500=M366)*($R$4:$R$500&lt;&gt;"")*($S$4:$S$500&lt;&gt;"")),1)-_xludf.AGGREGATE(15,6,MOD($R$4:$R$500,1)/(($A$4:$A$500=A366)*($M$4:$M$500=M366)*($R$4:$R$500&lt;&gt;"")*($S$4:$S$500&lt;&gt;"")),1))*1440)/60)/(W366/60)),"")</f>
        <v/>
      </c>
      <c r="Y366" s="26">
        <f>IFERROR(IF(OR(O366="",A366="",M366=""),"",(IF(ISNUMBER(O366),MOD(O366,1),TIMEVALUE(O366))-LOOKUP(2,1/(($A$4:$A$500=A366)*($M$4:$M$500=M366)*($T$4:$T$500&lt;&gt;"")*($T$4:$T$500&lt;IF(ISNUMBER(O366),MOD(O366,1),TIMEVALUE(O366)))),$T$4:$T$500))*1440),"")</f>
        <v/>
      </c>
      <c r="Z366" s="27">
        <f>IFERROR(IF(Y366="","",IF(ROUND(Y366,0)&lt;=15,"Cumple","No cumple")),"")</f>
        <v/>
      </c>
      <c r="AA366" s="27" t="n"/>
      <c r="AB366" s="26">
        <f>IFERROR(IF(OR(O366="",R366=""),"",IF(IF(ISNUMBER(R366),MOD(R366,1),TIMEVALUE(R366))&gt;=IF(ISNUMBER(O366),MOD(O366,1),TIMEVALUE(O366)),(IF(ISNUMBER(R366),MOD(R366,1),TIMEVALUE(R366))-IF(ISNUMBER(O366),MOD(O366,1),TIMEVALUE(O366)))*1440,(IF(ISNUMBER(R366),MOD(R366,1),TIMEVALUE(R366))+1-IF(ISNUMBER(O366),MOD(O366,1),TIMEVALUE(O366)))*1440)),"")</f>
        <v/>
      </c>
      <c r="AC366" s="26">
        <f>IFERROR(IF(OR(R366="",S366=""),"",IF(IF(ISNUMBER(S366),MOD(S366,1),TIMEVALUE(S366))&gt;=IF(ISNUMBER(R366),MOD(R366,1),TIMEVALUE(R366)),(IF(ISNUMBER(S366),MOD(S366,1),TIMEVALUE(S366))-IF(ISNUMBER(R366),MOD(R366,1),TIMEVALUE(R366)))*1440,(IF(ISNUMBER(S366),MOD(S366,1),TIMEVALUE(S366))+1-IF(ISNUMBER(R366),MOD(R366,1),TIMEVALUE(R366)))*1440)),"")</f>
        <v/>
      </c>
      <c r="AD366" s="29" t="n"/>
      <c r="AE366" s="26">
        <f>IFERROR(IF(OR(AC366="",AD366=""),"",AC366-AD366),"")</f>
        <v/>
      </c>
      <c r="AF366" s="27">
        <f>IFERROR(IF(AE366="","",IF(ROUND(AE366,0)&gt;15,"Subestimacion",IF(ROUND(AE366,0)&lt;-15,"Sobrestimacion","Asertivo"))),"")</f>
        <v/>
      </c>
      <c r="AG366" s="19" t="n"/>
      <c r="AH366" s="19" t="n"/>
      <c r="AI366" s="19" t="n"/>
      <c r="AJ366" s="19" t="n"/>
      <c r="AK366" s="19" t="n"/>
      <c r="AL366" s="19" t="n"/>
      <c r="AM366" s="19" t="n"/>
      <c r="AN366" s="19" t="n"/>
      <c r="AO366" s="19" t="n"/>
      <c r="AP366" s="127">
        <f>IF(A366="","",A366-WEEKDAY(A366,2)+1)</f>
        <v/>
      </c>
      <c r="AQ366" s="127">
        <f>IF(AO366="","",AO366+6)</f>
        <v/>
      </c>
      <c r="AR366" s="19">
        <f>IF(AO366="","","Semana "&amp;TEXT(AO366,"dd-mm-yyyy")&amp;" al "&amp;TEXT(AP366,"dd-mm-yyyy"))</f>
        <v/>
      </c>
      <c r="AS366" s="19">
        <f>IF(A366="","",TEXT(A366,"mmmm yyyy"))</f>
        <v/>
      </c>
      <c r="AT366" s="19">
        <f>IF(A366="","",TEXT(A366,"dddd"))</f>
        <v/>
      </c>
      <c r="AU366" s="19">
        <f>IF(A366="","","CRR-"&amp;TEXT(A366,"yyyymmdd")&amp;"-"&amp;M366&amp;"-"&amp;TEXT(ROW()-3,"0000"))</f>
        <v/>
      </c>
      <c r="AV366" s="19">
        <f>IF(A366="","",IF(OR(B366="",C366="",E366="",F366="",M366="",N366=""),"Revisar campos obligatorios",IF(AND(P366="Atraso primera hora",Q366=""),"Falta justificación atraso primera hora",IF(AND(Z366="No cumple",AA366=""),"Falta justificación recambio &gt;15 min",IF(AND(ISNUMBER(SEARCH("suspend",N366)),OR(AG366="",AH366="")),"Falta causa/motivo suspensión","OK")))))</f>
        <v/>
      </c>
      <c r="AW366" s="19">
        <f>IF(N366="","",IF(ISNUMBER(SEARCH("suspend",N366)),IF(AND(AG366="",AH366=""),"Sin causa/motivo registrado",IF(AG366="",AH366,IF(AH366="",AG366,AG366&amp;": "&amp;AH366))),""))</f>
        <v/>
      </c>
    </row>
    <row r="367" ht="16" customHeight="1" s="151">
      <c r="A367" s="62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20">
        <f>IF(H367&lt;&gt;"",IFERROR(VLOOKUP(IFERROR(LEFT(H367,FIND("-",H367)-1),H367),'Catalogo MINSAL'!A:E,5,FALSE),""),IF(I367&lt;&gt;"",IFERROR(VLOOKUP(IFERROR(LEFT(I367,FIND("-",I367)-1),I367),'Catalogo MINSAL'!A:E,5,FALSE),""),""))</f>
        <v/>
      </c>
      <c r="K367" s="19" t="n"/>
      <c r="L367" s="19" t="n"/>
      <c r="M367" s="19" t="n"/>
      <c r="N367" s="19" t="n"/>
      <c r="O367" s="25" t="n"/>
      <c r="P367" s="27">
        <f>IFERROR(IF(OR(O367="",A367="",M367=""),"",IF(SUMPRODUCT(($A$4:$A$500=A367)*($M$4:$M$500=M367)*($O$4:$O$500&lt;&gt;"")*(MOD($O$4:$O$500,1)&lt;MOD(O367,1)))=0,IF(MOD(O367,1)&lt;=TIME(8,15,0),"Ingreso adecuado primera hora","Atraso primera hora"),"No aplica")),"")</f>
        <v/>
      </c>
      <c r="Q367" s="27" t="n"/>
      <c r="R367" s="25" t="n"/>
      <c r="S367" s="25" t="n"/>
      <c r="T367" s="25" t="n"/>
      <c r="U367" s="25">
        <f>IFERROR(VLOOKUP(M367,'Horario Pabellones'!$A$4:$D$17,2,FALSE),"")</f>
        <v/>
      </c>
      <c r="V367" s="25">
        <f>IFERROR(VLOOKUP(M367,'Horario Pabellones'!$A$4:$D$17,3,FALSE),"")</f>
        <v/>
      </c>
      <c r="W367" s="99">
        <f>IFERROR(VLOOKUP(M367,'Horario Pabellones'!$A$4:$D$17,4,FALSE),"")</f>
        <v/>
      </c>
      <c r="X367" s="89">
        <f>IFERROR(IF(OR(A367="",M367="",W367=""),"",(((_xludf.AGGREGATE(14,6,MOD($S$4:$S$500,1)/(($A$4:$A$500=A367)*($M$4:$M$500=M367)*($R$4:$R$500&lt;&gt;"")*($S$4:$S$500&lt;&gt;"")),1)-_xludf.AGGREGATE(15,6,MOD($R$4:$R$500,1)/(($A$4:$A$500=A367)*($M$4:$M$500=M367)*($R$4:$R$500&lt;&gt;"")*($S$4:$S$500&lt;&gt;"")),1))*1440)/60)/(W367/60)),"")</f>
        <v/>
      </c>
      <c r="Y367" s="26">
        <f>IFERROR(IF(OR(O367="",A367="",M367=""),"",(IF(ISNUMBER(O367),MOD(O367,1),TIMEVALUE(O367))-LOOKUP(2,1/(($A$4:$A$500=A367)*($M$4:$M$500=M367)*($T$4:$T$500&lt;&gt;"")*($T$4:$T$500&lt;IF(ISNUMBER(O367),MOD(O367,1),TIMEVALUE(O367)))),$T$4:$T$500))*1440),"")</f>
        <v/>
      </c>
      <c r="Z367" s="27">
        <f>IFERROR(IF(Y367="","",IF(ROUND(Y367,0)&lt;=15,"Cumple","No cumple")),"")</f>
        <v/>
      </c>
      <c r="AA367" s="27" t="n"/>
      <c r="AB367" s="26">
        <f>IFERROR(IF(OR(O367="",R367=""),"",IF(IF(ISNUMBER(R367),MOD(R367,1),TIMEVALUE(R367))&gt;=IF(ISNUMBER(O367),MOD(O367,1),TIMEVALUE(O367)),(IF(ISNUMBER(R367),MOD(R367,1),TIMEVALUE(R367))-IF(ISNUMBER(O367),MOD(O367,1),TIMEVALUE(O367)))*1440,(IF(ISNUMBER(R367),MOD(R367,1),TIMEVALUE(R367))+1-IF(ISNUMBER(O367),MOD(O367,1),TIMEVALUE(O367)))*1440)),"")</f>
        <v/>
      </c>
      <c r="AC367" s="26">
        <f>IFERROR(IF(OR(R367="",S367=""),"",IF(IF(ISNUMBER(S367),MOD(S367,1),TIMEVALUE(S367))&gt;=IF(ISNUMBER(R367),MOD(R367,1),TIMEVALUE(R367)),(IF(ISNUMBER(S367),MOD(S367,1),TIMEVALUE(S367))-IF(ISNUMBER(R367),MOD(R367,1),TIMEVALUE(R367)))*1440,(IF(ISNUMBER(S367),MOD(S367,1),TIMEVALUE(S367))+1-IF(ISNUMBER(R367),MOD(R367,1),TIMEVALUE(R367)))*1440)),"")</f>
        <v/>
      </c>
      <c r="AD367" s="29" t="n"/>
      <c r="AE367" s="26">
        <f>IFERROR(IF(OR(AC367="",AD367=""),"",AC367-AD367),"")</f>
        <v/>
      </c>
      <c r="AF367" s="27">
        <f>IFERROR(IF(AE367="","",IF(ROUND(AE367,0)&gt;15,"Subestimacion",IF(ROUND(AE367,0)&lt;-15,"Sobrestimacion","Asertivo"))),"")</f>
        <v/>
      </c>
      <c r="AG367" s="19" t="n"/>
      <c r="AH367" s="19" t="n"/>
      <c r="AI367" s="19" t="n"/>
      <c r="AJ367" s="19" t="n"/>
      <c r="AK367" s="19" t="n"/>
      <c r="AL367" s="19" t="n"/>
      <c r="AM367" s="19" t="n"/>
      <c r="AN367" s="19" t="n"/>
      <c r="AO367" s="19" t="n"/>
      <c r="AP367" s="127">
        <f>IF(A367="","",A367-WEEKDAY(A367,2)+1)</f>
        <v/>
      </c>
      <c r="AQ367" s="127">
        <f>IF(AO367="","",AO367+6)</f>
        <v/>
      </c>
      <c r="AR367" s="19">
        <f>IF(AO367="","","Semana "&amp;TEXT(AO367,"dd-mm-yyyy")&amp;" al "&amp;TEXT(AP367,"dd-mm-yyyy"))</f>
        <v/>
      </c>
      <c r="AS367" s="19">
        <f>IF(A367="","",TEXT(A367,"mmmm yyyy"))</f>
        <v/>
      </c>
      <c r="AT367" s="19">
        <f>IF(A367="","",TEXT(A367,"dddd"))</f>
        <v/>
      </c>
      <c r="AU367" s="19">
        <f>IF(A367="","","CRR-"&amp;TEXT(A367,"yyyymmdd")&amp;"-"&amp;M367&amp;"-"&amp;TEXT(ROW()-3,"0000"))</f>
        <v/>
      </c>
      <c r="AV367" s="19">
        <f>IF(A367="","",IF(OR(B367="",C367="",E367="",F367="",M367="",N367=""),"Revisar campos obligatorios",IF(AND(P367="Atraso primera hora",Q367=""),"Falta justificación atraso primera hora",IF(AND(Z367="No cumple",AA367=""),"Falta justificación recambio &gt;15 min",IF(AND(ISNUMBER(SEARCH("suspend",N367)),OR(AG367="",AH367="")),"Falta causa/motivo suspensión","OK")))))</f>
        <v/>
      </c>
      <c r="AW367" s="19">
        <f>IF(N367="","",IF(ISNUMBER(SEARCH("suspend",N367)),IF(AND(AG367="",AH367=""),"Sin causa/motivo registrado",IF(AG367="",AH367,IF(AH367="",AG367,AG367&amp;": "&amp;AH367))),""))</f>
        <v/>
      </c>
    </row>
    <row r="368" ht="16" customHeight="1" s="151">
      <c r="A368" s="62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20">
        <f>IF(H368&lt;&gt;"",IFERROR(VLOOKUP(IFERROR(LEFT(H368,FIND("-",H368)-1),H368),'Catalogo MINSAL'!A:E,5,FALSE),""),IF(I368&lt;&gt;"",IFERROR(VLOOKUP(IFERROR(LEFT(I368,FIND("-",I368)-1),I368),'Catalogo MINSAL'!A:E,5,FALSE),""),""))</f>
        <v/>
      </c>
      <c r="K368" s="19" t="n"/>
      <c r="L368" s="19" t="n"/>
      <c r="M368" s="19" t="n"/>
      <c r="N368" s="19" t="n"/>
      <c r="O368" s="25" t="n"/>
      <c r="P368" s="27">
        <f>IFERROR(IF(OR(O368="",A368="",M368=""),"",IF(SUMPRODUCT(($A$4:$A$500=A368)*($M$4:$M$500=M368)*($O$4:$O$500&lt;&gt;"")*(MOD($O$4:$O$500,1)&lt;MOD(O368,1)))=0,IF(MOD(O368,1)&lt;=TIME(8,15,0),"Ingreso adecuado primera hora","Atraso primera hora"),"No aplica")),"")</f>
        <v/>
      </c>
      <c r="Q368" s="27" t="n"/>
      <c r="R368" s="25" t="n"/>
      <c r="S368" s="25" t="n"/>
      <c r="T368" s="25" t="n"/>
      <c r="U368" s="25">
        <f>IFERROR(VLOOKUP(M368,'Horario Pabellones'!$A$4:$D$17,2,FALSE),"")</f>
        <v/>
      </c>
      <c r="V368" s="25">
        <f>IFERROR(VLOOKUP(M368,'Horario Pabellones'!$A$4:$D$17,3,FALSE),"")</f>
        <v/>
      </c>
      <c r="W368" s="99">
        <f>IFERROR(VLOOKUP(M368,'Horario Pabellones'!$A$4:$D$17,4,FALSE),"")</f>
        <v/>
      </c>
      <c r="X368" s="89">
        <f>IFERROR(IF(OR(A368="",M368="",W368=""),"",(((_xludf.AGGREGATE(14,6,MOD($S$4:$S$500,1)/(($A$4:$A$500=A368)*($M$4:$M$500=M368)*($R$4:$R$500&lt;&gt;"")*($S$4:$S$500&lt;&gt;"")),1)-_xludf.AGGREGATE(15,6,MOD($R$4:$R$500,1)/(($A$4:$A$500=A368)*($M$4:$M$500=M368)*($R$4:$R$500&lt;&gt;"")*($S$4:$S$500&lt;&gt;"")),1))*1440)/60)/(W368/60)),"")</f>
        <v/>
      </c>
      <c r="Y368" s="26">
        <f>IFERROR(IF(OR(O368="",A368="",M368=""),"",(IF(ISNUMBER(O368),MOD(O368,1),TIMEVALUE(O368))-LOOKUP(2,1/(($A$4:$A$500=A368)*($M$4:$M$500=M368)*($T$4:$T$500&lt;&gt;"")*($T$4:$T$500&lt;IF(ISNUMBER(O368),MOD(O368,1),TIMEVALUE(O368)))),$T$4:$T$500))*1440),"")</f>
        <v/>
      </c>
      <c r="Z368" s="27">
        <f>IFERROR(IF(Y368="","",IF(ROUND(Y368,0)&lt;=15,"Cumple","No cumple")),"")</f>
        <v/>
      </c>
      <c r="AA368" s="27" t="n"/>
      <c r="AB368" s="26">
        <f>IFERROR(IF(OR(O368="",R368=""),"",IF(IF(ISNUMBER(R368),MOD(R368,1),TIMEVALUE(R368))&gt;=IF(ISNUMBER(O368),MOD(O368,1),TIMEVALUE(O368)),(IF(ISNUMBER(R368),MOD(R368,1),TIMEVALUE(R368))-IF(ISNUMBER(O368),MOD(O368,1),TIMEVALUE(O368)))*1440,(IF(ISNUMBER(R368),MOD(R368,1),TIMEVALUE(R368))+1-IF(ISNUMBER(O368),MOD(O368,1),TIMEVALUE(O368)))*1440)),"")</f>
        <v/>
      </c>
      <c r="AC368" s="26">
        <f>IFERROR(IF(OR(R368="",S368=""),"",IF(IF(ISNUMBER(S368),MOD(S368,1),TIMEVALUE(S368))&gt;=IF(ISNUMBER(R368),MOD(R368,1),TIMEVALUE(R368)),(IF(ISNUMBER(S368),MOD(S368,1),TIMEVALUE(S368))-IF(ISNUMBER(R368),MOD(R368,1),TIMEVALUE(R368)))*1440,(IF(ISNUMBER(S368),MOD(S368,1),TIMEVALUE(S368))+1-IF(ISNUMBER(R368),MOD(R368,1),TIMEVALUE(R368)))*1440)),"")</f>
        <v/>
      </c>
      <c r="AD368" s="29" t="n"/>
      <c r="AE368" s="26">
        <f>IFERROR(IF(OR(AC368="",AD368=""),"",AC368-AD368),"")</f>
        <v/>
      </c>
      <c r="AF368" s="27">
        <f>IFERROR(IF(AE368="","",IF(ROUND(AE368,0)&gt;15,"Subestimacion",IF(ROUND(AE368,0)&lt;-15,"Sobrestimacion","Asertivo"))),"")</f>
        <v/>
      </c>
      <c r="AG368" s="19" t="n"/>
      <c r="AH368" s="19" t="n"/>
      <c r="AI368" s="19" t="n"/>
      <c r="AJ368" s="19" t="n"/>
      <c r="AK368" s="19" t="n"/>
      <c r="AL368" s="19" t="n"/>
      <c r="AM368" s="19" t="n"/>
      <c r="AN368" s="19" t="n"/>
      <c r="AO368" s="19" t="n"/>
      <c r="AP368" s="127">
        <f>IF(A368="","",A368-WEEKDAY(A368,2)+1)</f>
        <v/>
      </c>
      <c r="AQ368" s="127">
        <f>IF(AO368="","",AO368+6)</f>
        <v/>
      </c>
      <c r="AR368" s="19">
        <f>IF(AO368="","","Semana "&amp;TEXT(AO368,"dd-mm-yyyy")&amp;" al "&amp;TEXT(AP368,"dd-mm-yyyy"))</f>
        <v/>
      </c>
      <c r="AS368" s="19">
        <f>IF(A368="","",TEXT(A368,"mmmm yyyy"))</f>
        <v/>
      </c>
      <c r="AT368" s="19">
        <f>IF(A368="","",TEXT(A368,"dddd"))</f>
        <v/>
      </c>
      <c r="AU368" s="19">
        <f>IF(A368="","","CRR-"&amp;TEXT(A368,"yyyymmdd")&amp;"-"&amp;M368&amp;"-"&amp;TEXT(ROW()-3,"0000"))</f>
        <v/>
      </c>
      <c r="AV368" s="19">
        <f>IF(A368="","",IF(OR(B368="",C368="",E368="",F368="",M368="",N368=""),"Revisar campos obligatorios",IF(AND(P368="Atraso primera hora",Q368=""),"Falta justificación atraso primera hora",IF(AND(Z368="No cumple",AA368=""),"Falta justificación recambio &gt;15 min",IF(AND(ISNUMBER(SEARCH("suspend",N368)),OR(AG368="",AH368="")),"Falta causa/motivo suspensión","OK")))))</f>
        <v/>
      </c>
      <c r="AW368" s="19">
        <f>IF(N368="","",IF(ISNUMBER(SEARCH("suspend",N368)),IF(AND(AG368="",AH368=""),"Sin causa/motivo registrado",IF(AG368="",AH368,IF(AH368="",AG368,AG368&amp;": "&amp;AH368))),""))</f>
        <v/>
      </c>
    </row>
    <row r="369" ht="16" customHeight="1" s="151">
      <c r="A369" s="62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20">
        <f>IF(H369&lt;&gt;"",IFERROR(VLOOKUP(IFERROR(LEFT(H369,FIND("-",H369)-1),H369),'Catalogo MINSAL'!A:E,5,FALSE),""),IF(I369&lt;&gt;"",IFERROR(VLOOKUP(IFERROR(LEFT(I369,FIND("-",I369)-1),I369),'Catalogo MINSAL'!A:E,5,FALSE),""),""))</f>
        <v/>
      </c>
      <c r="K369" s="19" t="n"/>
      <c r="L369" s="19" t="n"/>
      <c r="M369" s="19" t="n"/>
      <c r="N369" s="19" t="n"/>
      <c r="O369" s="25" t="n"/>
      <c r="P369" s="27">
        <f>IFERROR(IF(OR(O369="",A369="",M369=""),"",IF(SUMPRODUCT(($A$4:$A$500=A369)*($M$4:$M$500=M369)*($O$4:$O$500&lt;&gt;"")*(MOD($O$4:$O$500,1)&lt;MOD(O369,1)))=0,IF(MOD(O369,1)&lt;=TIME(8,15,0),"Ingreso adecuado primera hora","Atraso primera hora"),"No aplica")),"")</f>
        <v/>
      </c>
      <c r="Q369" s="27" t="n"/>
      <c r="R369" s="25" t="n"/>
      <c r="S369" s="25" t="n"/>
      <c r="T369" s="25" t="n"/>
      <c r="U369" s="25">
        <f>IFERROR(VLOOKUP(M369,'Horario Pabellones'!$A$4:$D$17,2,FALSE),"")</f>
        <v/>
      </c>
      <c r="V369" s="25">
        <f>IFERROR(VLOOKUP(M369,'Horario Pabellones'!$A$4:$D$17,3,FALSE),"")</f>
        <v/>
      </c>
      <c r="W369" s="99">
        <f>IFERROR(VLOOKUP(M369,'Horario Pabellones'!$A$4:$D$17,4,FALSE),"")</f>
        <v/>
      </c>
      <c r="X369" s="89">
        <f>IFERROR(IF(OR(A369="",M369="",W369=""),"",(((_xludf.AGGREGATE(14,6,MOD($S$4:$S$500,1)/(($A$4:$A$500=A369)*($M$4:$M$500=M369)*($R$4:$R$500&lt;&gt;"")*($S$4:$S$500&lt;&gt;"")),1)-_xludf.AGGREGATE(15,6,MOD($R$4:$R$500,1)/(($A$4:$A$500=A369)*($M$4:$M$500=M369)*($R$4:$R$500&lt;&gt;"")*($S$4:$S$500&lt;&gt;"")),1))*1440)/60)/(W369/60)),"")</f>
        <v/>
      </c>
      <c r="Y369" s="26">
        <f>IFERROR(IF(OR(O369="",A369="",M369=""),"",(IF(ISNUMBER(O369),MOD(O369,1),TIMEVALUE(O369))-LOOKUP(2,1/(($A$4:$A$500=A369)*($M$4:$M$500=M369)*($T$4:$T$500&lt;&gt;"")*($T$4:$T$500&lt;IF(ISNUMBER(O369),MOD(O369,1),TIMEVALUE(O369)))),$T$4:$T$500))*1440),"")</f>
        <v/>
      </c>
      <c r="Z369" s="27">
        <f>IFERROR(IF(Y369="","",IF(ROUND(Y369,0)&lt;=15,"Cumple","No cumple")),"")</f>
        <v/>
      </c>
      <c r="AA369" s="27" t="n"/>
      <c r="AB369" s="26">
        <f>IFERROR(IF(OR(O369="",R369=""),"",IF(IF(ISNUMBER(R369),MOD(R369,1),TIMEVALUE(R369))&gt;=IF(ISNUMBER(O369),MOD(O369,1),TIMEVALUE(O369)),(IF(ISNUMBER(R369),MOD(R369,1),TIMEVALUE(R369))-IF(ISNUMBER(O369),MOD(O369,1),TIMEVALUE(O369)))*1440,(IF(ISNUMBER(R369),MOD(R369,1),TIMEVALUE(R369))+1-IF(ISNUMBER(O369),MOD(O369,1),TIMEVALUE(O369)))*1440)),"")</f>
        <v/>
      </c>
      <c r="AC369" s="26">
        <f>IFERROR(IF(OR(R369="",S369=""),"",IF(IF(ISNUMBER(S369),MOD(S369,1),TIMEVALUE(S369))&gt;=IF(ISNUMBER(R369),MOD(R369,1),TIMEVALUE(R369)),(IF(ISNUMBER(S369),MOD(S369,1),TIMEVALUE(S369))-IF(ISNUMBER(R369),MOD(R369,1),TIMEVALUE(R369)))*1440,(IF(ISNUMBER(S369),MOD(S369,1),TIMEVALUE(S369))+1-IF(ISNUMBER(R369),MOD(R369,1),TIMEVALUE(R369)))*1440)),"")</f>
        <v/>
      </c>
      <c r="AD369" s="29" t="n"/>
      <c r="AE369" s="26">
        <f>IFERROR(IF(OR(AC369="",AD369=""),"",AC369-AD369),"")</f>
        <v/>
      </c>
      <c r="AF369" s="27">
        <f>IFERROR(IF(AE369="","",IF(ROUND(AE369,0)&gt;15,"Subestimacion",IF(ROUND(AE369,0)&lt;-15,"Sobrestimacion","Asertivo"))),"")</f>
        <v/>
      </c>
      <c r="AG369" s="19" t="n"/>
      <c r="AH369" s="19" t="n"/>
      <c r="AI369" s="19" t="n"/>
      <c r="AJ369" s="19" t="n"/>
      <c r="AK369" s="19" t="n"/>
      <c r="AL369" s="19" t="n"/>
      <c r="AM369" s="19" t="n"/>
      <c r="AN369" s="19" t="n"/>
      <c r="AO369" s="19" t="n"/>
      <c r="AP369" s="127">
        <f>IF(A369="","",A369-WEEKDAY(A369,2)+1)</f>
        <v/>
      </c>
      <c r="AQ369" s="127">
        <f>IF(AO369="","",AO369+6)</f>
        <v/>
      </c>
      <c r="AR369" s="19">
        <f>IF(AO369="","","Semana "&amp;TEXT(AO369,"dd-mm-yyyy")&amp;" al "&amp;TEXT(AP369,"dd-mm-yyyy"))</f>
        <v/>
      </c>
      <c r="AS369" s="19">
        <f>IF(A369="","",TEXT(A369,"mmmm yyyy"))</f>
        <v/>
      </c>
      <c r="AT369" s="19">
        <f>IF(A369="","",TEXT(A369,"dddd"))</f>
        <v/>
      </c>
      <c r="AU369" s="19">
        <f>IF(A369="","","CRR-"&amp;TEXT(A369,"yyyymmdd")&amp;"-"&amp;M369&amp;"-"&amp;TEXT(ROW()-3,"0000"))</f>
        <v/>
      </c>
      <c r="AV369" s="19">
        <f>IF(A369="","",IF(OR(B369="",C369="",E369="",F369="",M369="",N369=""),"Revisar campos obligatorios",IF(AND(P369="Atraso primera hora",Q369=""),"Falta justificación atraso primera hora",IF(AND(Z369="No cumple",AA369=""),"Falta justificación recambio &gt;15 min",IF(AND(ISNUMBER(SEARCH("suspend",N369)),OR(AG369="",AH369="")),"Falta causa/motivo suspensión","OK")))))</f>
        <v/>
      </c>
      <c r="AW369" s="19">
        <f>IF(N369="","",IF(ISNUMBER(SEARCH("suspend",N369)),IF(AND(AG369="",AH369=""),"Sin causa/motivo registrado",IF(AG369="",AH369,IF(AH369="",AG369,AG369&amp;": "&amp;AH369))),""))</f>
        <v/>
      </c>
    </row>
    <row r="370" ht="16" customHeight="1" s="151">
      <c r="A370" s="62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20">
        <f>IF(H370&lt;&gt;"",IFERROR(VLOOKUP(IFERROR(LEFT(H370,FIND("-",H370)-1),H370),'Catalogo MINSAL'!A:E,5,FALSE),""),IF(I370&lt;&gt;"",IFERROR(VLOOKUP(IFERROR(LEFT(I370,FIND("-",I370)-1),I370),'Catalogo MINSAL'!A:E,5,FALSE),""),""))</f>
        <v/>
      </c>
      <c r="K370" s="19" t="n"/>
      <c r="L370" s="19" t="n"/>
      <c r="M370" s="19" t="n"/>
      <c r="N370" s="19" t="n"/>
      <c r="O370" s="25" t="n"/>
      <c r="P370" s="27">
        <f>IFERROR(IF(OR(O370="",A370="",M370=""),"",IF(SUMPRODUCT(($A$4:$A$500=A370)*($M$4:$M$500=M370)*($O$4:$O$500&lt;&gt;"")*(MOD($O$4:$O$500,1)&lt;MOD(O370,1)))=0,IF(MOD(O370,1)&lt;=TIME(8,15,0),"Ingreso adecuado primera hora","Atraso primera hora"),"No aplica")),"")</f>
        <v/>
      </c>
      <c r="Q370" s="27" t="n"/>
      <c r="R370" s="25" t="n"/>
      <c r="S370" s="25" t="n"/>
      <c r="T370" s="25" t="n"/>
      <c r="U370" s="25">
        <f>IFERROR(VLOOKUP(M370,'Horario Pabellones'!$A$4:$D$17,2,FALSE),"")</f>
        <v/>
      </c>
      <c r="V370" s="25">
        <f>IFERROR(VLOOKUP(M370,'Horario Pabellones'!$A$4:$D$17,3,FALSE),"")</f>
        <v/>
      </c>
      <c r="W370" s="99">
        <f>IFERROR(VLOOKUP(M370,'Horario Pabellones'!$A$4:$D$17,4,FALSE),"")</f>
        <v/>
      </c>
      <c r="X370" s="89">
        <f>IFERROR(IF(OR(A370="",M370="",W370=""),"",(((_xludf.AGGREGATE(14,6,MOD($S$4:$S$500,1)/(($A$4:$A$500=A370)*($M$4:$M$500=M370)*($R$4:$R$500&lt;&gt;"")*($S$4:$S$500&lt;&gt;"")),1)-_xludf.AGGREGATE(15,6,MOD($R$4:$R$500,1)/(($A$4:$A$500=A370)*($M$4:$M$500=M370)*($R$4:$R$500&lt;&gt;"")*($S$4:$S$500&lt;&gt;"")),1))*1440)/60)/(W370/60)),"")</f>
        <v/>
      </c>
      <c r="Y370" s="26">
        <f>IFERROR(IF(OR(O370="",A370="",M370=""),"",(IF(ISNUMBER(O370),MOD(O370,1),TIMEVALUE(O370))-LOOKUP(2,1/(($A$4:$A$500=A370)*($M$4:$M$500=M370)*($T$4:$T$500&lt;&gt;"")*($T$4:$T$500&lt;IF(ISNUMBER(O370),MOD(O370,1),TIMEVALUE(O370)))),$T$4:$T$500))*1440),"")</f>
        <v/>
      </c>
      <c r="Z370" s="27">
        <f>IFERROR(IF(Y370="","",IF(ROUND(Y370,0)&lt;=15,"Cumple","No cumple")),"")</f>
        <v/>
      </c>
      <c r="AA370" s="27" t="n"/>
      <c r="AB370" s="26">
        <f>IFERROR(IF(OR(O370="",R370=""),"",IF(IF(ISNUMBER(R370),MOD(R370,1),TIMEVALUE(R370))&gt;=IF(ISNUMBER(O370),MOD(O370,1),TIMEVALUE(O370)),(IF(ISNUMBER(R370),MOD(R370,1),TIMEVALUE(R370))-IF(ISNUMBER(O370),MOD(O370,1),TIMEVALUE(O370)))*1440,(IF(ISNUMBER(R370),MOD(R370,1),TIMEVALUE(R370))+1-IF(ISNUMBER(O370),MOD(O370,1),TIMEVALUE(O370)))*1440)),"")</f>
        <v/>
      </c>
      <c r="AC370" s="26">
        <f>IFERROR(IF(OR(R370="",S370=""),"",IF(IF(ISNUMBER(S370),MOD(S370,1),TIMEVALUE(S370))&gt;=IF(ISNUMBER(R370),MOD(R370,1),TIMEVALUE(R370)),(IF(ISNUMBER(S370),MOD(S370,1),TIMEVALUE(S370))-IF(ISNUMBER(R370),MOD(R370,1),TIMEVALUE(R370)))*1440,(IF(ISNUMBER(S370),MOD(S370,1),TIMEVALUE(S370))+1-IF(ISNUMBER(R370),MOD(R370,1),TIMEVALUE(R370)))*1440)),"")</f>
        <v/>
      </c>
      <c r="AD370" s="29" t="n"/>
      <c r="AE370" s="26">
        <f>IFERROR(IF(OR(AC370="",AD370=""),"",AC370-AD370),"")</f>
        <v/>
      </c>
      <c r="AF370" s="27">
        <f>IFERROR(IF(AE370="","",IF(ROUND(AE370,0)&gt;15,"Subestimacion",IF(ROUND(AE370,0)&lt;-15,"Sobrestimacion","Asertivo"))),"")</f>
        <v/>
      </c>
      <c r="AG370" s="19" t="n"/>
      <c r="AH370" s="19" t="n"/>
      <c r="AI370" s="19" t="n"/>
      <c r="AJ370" s="19" t="n"/>
      <c r="AK370" s="19" t="n"/>
      <c r="AL370" s="19" t="n"/>
      <c r="AM370" s="19" t="n"/>
      <c r="AN370" s="19" t="n"/>
      <c r="AO370" s="19" t="n"/>
      <c r="AP370" s="127">
        <f>IF(A370="","",A370-WEEKDAY(A370,2)+1)</f>
        <v/>
      </c>
      <c r="AQ370" s="127">
        <f>IF(AO370="","",AO370+6)</f>
        <v/>
      </c>
      <c r="AR370" s="19">
        <f>IF(AO370="","","Semana "&amp;TEXT(AO370,"dd-mm-yyyy")&amp;" al "&amp;TEXT(AP370,"dd-mm-yyyy"))</f>
        <v/>
      </c>
      <c r="AS370" s="19">
        <f>IF(A370="","",TEXT(A370,"mmmm yyyy"))</f>
        <v/>
      </c>
      <c r="AT370" s="19">
        <f>IF(A370="","",TEXT(A370,"dddd"))</f>
        <v/>
      </c>
      <c r="AU370" s="19">
        <f>IF(A370="","","CRR-"&amp;TEXT(A370,"yyyymmdd")&amp;"-"&amp;M370&amp;"-"&amp;TEXT(ROW()-3,"0000"))</f>
        <v/>
      </c>
      <c r="AV370" s="19">
        <f>IF(A370="","",IF(OR(B370="",C370="",E370="",F370="",M370="",N370=""),"Revisar campos obligatorios",IF(AND(P370="Atraso primera hora",Q370=""),"Falta justificación atraso primera hora",IF(AND(Z370="No cumple",AA370=""),"Falta justificación recambio &gt;15 min",IF(AND(ISNUMBER(SEARCH("suspend",N370)),OR(AG370="",AH370="")),"Falta causa/motivo suspensión","OK")))))</f>
        <v/>
      </c>
      <c r="AW370" s="19">
        <f>IF(N370="","",IF(ISNUMBER(SEARCH("suspend",N370)),IF(AND(AG370="",AH370=""),"Sin causa/motivo registrado",IF(AG370="",AH370,IF(AH370="",AG370,AG370&amp;": "&amp;AH370))),""))</f>
        <v/>
      </c>
    </row>
    <row r="371" ht="16" customHeight="1" s="151">
      <c r="A371" s="62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20">
        <f>IF(H371&lt;&gt;"",IFERROR(VLOOKUP(IFERROR(LEFT(H371,FIND("-",H371)-1),H371),'Catalogo MINSAL'!A:E,5,FALSE),""),IF(I371&lt;&gt;"",IFERROR(VLOOKUP(IFERROR(LEFT(I371,FIND("-",I371)-1),I371),'Catalogo MINSAL'!A:E,5,FALSE),""),""))</f>
        <v/>
      </c>
      <c r="K371" s="19" t="n"/>
      <c r="L371" s="19" t="n"/>
      <c r="M371" s="19" t="n"/>
      <c r="N371" s="19" t="n"/>
      <c r="O371" s="25" t="n"/>
      <c r="P371" s="27">
        <f>IFERROR(IF(OR(O371="",A371="",M371=""),"",IF(SUMPRODUCT(($A$4:$A$500=A371)*($M$4:$M$500=M371)*($O$4:$O$500&lt;&gt;"")*(MOD($O$4:$O$500,1)&lt;MOD(O371,1)))=0,IF(MOD(O371,1)&lt;=TIME(8,15,0),"Ingreso adecuado primera hora","Atraso primera hora"),"No aplica")),"")</f>
        <v/>
      </c>
      <c r="Q371" s="27" t="n"/>
      <c r="R371" s="25" t="n"/>
      <c r="S371" s="25" t="n"/>
      <c r="T371" s="25" t="n"/>
      <c r="U371" s="25">
        <f>IFERROR(VLOOKUP(M371,'Horario Pabellones'!$A$4:$D$17,2,FALSE),"")</f>
        <v/>
      </c>
      <c r="V371" s="25">
        <f>IFERROR(VLOOKUP(M371,'Horario Pabellones'!$A$4:$D$17,3,FALSE),"")</f>
        <v/>
      </c>
      <c r="W371" s="99">
        <f>IFERROR(VLOOKUP(M371,'Horario Pabellones'!$A$4:$D$17,4,FALSE),"")</f>
        <v/>
      </c>
      <c r="X371" s="89">
        <f>IFERROR(IF(OR(A371="",M371="",W371=""),"",(((_xludf.AGGREGATE(14,6,MOD($S$4:$S$500,1)/(($A$4:$A$500=A371)*($M$4:$M$500=M371)*($R$4:$R$500&lt;&gt;"")*($S$4:$S$500&lt;&gt;"")),1)-_xludf.AGGREGATE(15,6,MOD($R$4:$R$500,1)/(($A$4:$A$500=A371)*($M$4:$M$500=M371)*($R$4:$R$500&lt;&gt;"")*($S$4:$S$500&lt;&gt;"")),1))*1440)/60)/(W371/60)),"")</f>
        <v/>
      </c>
      <c r="Y371" s="26">
        <f>IFERROR(IF(OR(O371="",A371="",M371=""),"",(IF(ISNUMBER(O371),MOD(O371,1),TIMEVALUE(O371))-LOOKUP(2,1/(($A$4:$A$500=A371)*($M$4:$M$500=M371)*($T$4:$T$500&lt;&gt;"")*($T$4:$T$500&lt;IF(ISNUMBER(O371),MOD(O371,1),TIMEVALUE(O371)))),$T$4:$T$500))*1440),"")</f>
        <v/>
      </c>
      <c r="Z371" s="27">
        <f>IFERROR(IF(Y371="","",IF(ROUND(Y371,0)&lt;=15,"Cumple","No cumple")),"")</f>
        <v/>
      </c>
      <c r="AA371" s="27" t="n"/>
      <c r="AB371" s="26">
        <f>IFERROR(IF(OR(O371="",R371=""),"",IF(IF(ISNUMBER(R371),MOD(R371,1),TIMEVALUE(R371))&gt;=IF(ISNUMBER(O371),MOD(O371,1),TIMEVALUE(O371)),(IF(ISNUMBER(R371),MOD(R371,1),TIMEVALUE(R371))-IF(ISNUMBER(O371),MOD(O371,1),TIMEVALUE(O371)))*1440,(IF(ISNUMBER(R371),MOD(R371,1),TIMEVALUE(R371))+1-IF(ISNUMBER(O371),MOD(O371,1),TIMEVALUE(O371)))*1440)),"")</f>
        <v/>
      </c>
      <c r="AC371" s="26">
        <f>IFERROR(IF(OR(R371="",S371=""),"",IF(IF(ISNUMBER(S371),MOD(S371,1),TIMEVALUE(S371))&gt;=IF(ISNUMBER(R371),MOD(R371,1),TIMEVALUE(R371)),(IF(ISNUMBER(S371),MOD(S371,1),TIMEVALUE(S371))-IF(ISNUMBER(R371),MOD(R371,1),TIMEVALUE(R371)))*1440,(IF(ISNUMBER(S371),MOD(S371,1),TIMEVALUE(S371))+1-IF(ISNUMBER(R371),MOD(R371,1),TIMEVALUE(R371)))*1440)),"")</f>
        <v/>
      </c>
      <c r="AD371" s="29" t="n"/>
      <c r="AE371" s="26">
        <f>IFERROR(IF(OR(AC371="",AD371=""),"",AC371-AD371),"")</f>
        <v/>
      </c>
      <c r="AF371" s="27">
        <f>IFERROR(IF(AE371="","",IF(ROUND(AE371,0)&gt;15,"Subestimacion",IF(ROUND(AE371,0)&lt;-15,"Sobrestimacion","Asertivo"))),"")</f>
        <v/>
      </c>
      <c r="AG371" s="19" t="n"/>
      <c r="AH371" s="19" t="n"/>
      <c r="AI371" s="19" t="n"/>
      <c r="AJ371" s="19" t="n"/>
      <c r="AK371" s="19" t="n"/>
      <c r="AL371" s="19" t="n"/>
      <c r="AM371" s="19" t="n"/>
      <c r="AN371" s="19" t="n"/>
      <c r="AO371" s="19" t="n"/>
      <c r="AP371" s="127">
        <f>IF(A371="","",A371-WEEKDAY(A371,2)+1)</f>
        <v/>
      </c>
      <c r="AQ371" s="127">
        <f>IF(AO371="","",AO371+6)</f>
        <v/>
      </c>
      <c r="AR371" s="19">
        <f>IF(AO371="","","Semana "&amp;TEXT(AO371,"dd-mm-yyyy")&amp;" al "&amp;TEXT(AP371,"dd-mm-yyyy"))</f>
        <v/>
      </c>
      <c r="AS371" s="19">
        <f>IF(A371="","",TEXT(A371,"mmmm yyyy"))</f>
        <v/>
      </c>
      <c r="AT371" s="19">
        <f>IF(A371="","",TEXT(A371,"dddd"))</f>
        <v/>
      </c>
      <c r="AU371" s="19">
        <f>IF(A371="","","CRR-"&amp;TEXT(A371,"yyyymmdd")&amp;"-"&amp;M371&amp;"-"&amp;TEXT(ROW()-3,"0000"))</f>
        <v/>
      </c>
      <c r="AV371" s="19">
        <f>IF(A371="","",IF(OR(B371="",C371="",E371="",F371="",M371="",N371=""),"Revisar campos obligatorios",IF(AND(P371="Atraso primera hora",Q371=""),"Falta justificación atraso primera hora",IF(AND(Z371="No cumple",AA371=""),"Falta justificación recambio &gt;15 min",IF(AND(ISNUMBER(SEARCH("suspend",N371)),OR(AG371="",AH371="")),"Falta causa/motivo suspensión","OK")))))</f>
        <v/>
      </c>
      <c r="AW371" s="19">
        <f>IF(N371="","",IF(ISNUMBER(SEARCH("suspend",N371)),IF(AND(AG371="",AH371=""),"Sin causa/motivo registrado",IF(AG371="",AH371,IF(AH371="",AG371,AG371&amp;": "&amp;AH371))),""))</f>
        <v/>
      </c>
    </row>
    <row r="372" ht="16" customHeight="1" s="151">
      <c r="A372" s="62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20">
        <f>IF(H372&lt;&gt;"",IFERROR(VLOOKUP(IFERROR(LEFT(H372,FIND("-",H372)-1),H372),'Catalogo MINSAL'!A:E,5,FALSE),""),IF(I372&lt;&gt;"",IFERROR(VLOOKUP(IFERROR(LEFT(I372,FIND("-",I372)-1),I372),'Catalogo MINSAL'!A:E,5,FALSE),""),""))</f>
        <v/>
      </c>
      <c r="K372" s="19" t="n"/>
      <c r="L372" s="19" t="n"/>
      <c r="M372" s="19" t="n"/>
      <c r="N372" s="19" t="n"/>
      <c r="O372" s="25" t="n"/>
      <c r="P372" s="27">
        <f>IFERROR(IF(OR(O372="",A372="",M372=""),"",IF(SUMPRODUCT(($A$4:$A$500=A372)*($M$4:$M$500=M372)*($O$4:$O$500&lt;&gt;"")*(MOD($O$4:$O$500,1)&lt;MOD(O372,1)))=0,IF(MOD(O372,1)&lt;=TIME(8,15,0),"Ingreso adecuado primera hora","Atraso primera hora"),"No aplica")),"")</f>
        <v/>
      </c>
      <c r="Q372" s="27" t="n"/>
      <c r="R372" s="25" t="n"/>
      <c r="S372" s="25" t="n"/>
      <c r="T372" s="25" t="n"/>
      <c r="U372" s="25">
        <f>IFERROR(VLOOKUP(M372,'Horario Pabellones'!$A$4:$D$17,2,FALSE),"")</f>
        <v/>
      </c>
      <c r="V372" s="25">
        <f>IFERROR(VLOOKUP(M372,'Horario Pabellones'!$A$4:$D$17,3,FALSE),"")</f>
        <v/>
      </c>
      <c r="W372" s="99">
        <f>IFERROR(VLOOKUP(M372,'Horario Pabellones'!$A$4:$D$17,4,FALSE),"")</f>
        <v/>
      </c>
      <c r="X372" s="89">
        <f>IFERROR(IF(OR(A372="",M372="",W372=""),"",(((_xludf.AGGREGATE(14,6,MOD($S$4:$S$500,1)/(($A$4:$A$500=A372)*($M$4:$M$500=M372)*($R$4:$R$500&lt;&gt;"")*($S$4:$S$500&lt;&gt;"")),1)-_xludf.AGGREGATE(15,6,MOD($R$4:$R$500,1)/(($A$4:$A$500=A372)*($M$4:$M$500=M372)*($R$4:$R$500&lt;&gt;"")*($S$4:$S$500&lt;&gt;"")),1))*1440)/60)/(W372/60)),"")</f>
        <v/>
      </c>
      <c r="Y372" s="26">
        <f>IFERROR(IF(OR(O372="",A372="",M372=""),"",(IF(ISNUMBER(O372),MOD(O372,1),TIMEVALUE(O372))-LOOKUP(2,1/(($A$4:$A$500=A372)*($M$4:$M$500=M372)*($T$4:$T$500&lt;&gt;"")*($T$4:$T$500&lt;IF(ISNUMBER(O372),MOD(O372,1),TIMEVALUE(O372)))),$T$4:$T$500))*1440),"")</f>
        <v/>
      </c>
      <c r="Z372" s="27">
        <f>IFERROR(IF(Y372="","",IF(ROUND(Y372,0)&lt;=15,"Cumple","No cumple")),"")</f>
        <v/>
      </c>
      <c r="AA372" s="27" t="n"/>
      <c r="AB372" s="26">
        <f>IFERROR(IF(OR(O372="",R372=""),"",IF(IF(ISNUMBER(R372),MOD(R372,1),TIMEVALUE(R372))&gt;=IF(ISNUMBER(O372),MOD(O372,1),TIMEVALUE(O372)),(IF(ISNUMBER(R372),MOD(R372,1),TIMEVALUE(R372))-IF(ISNUMBER(O372),MOD(O372,1),TIMEVALUE(O372)))*1440,(IF(ISNUMBER(R372),MOD(R372,1),TIMEVALUE(R372))+1-IF(ISNUMBER(O372),MOD(O372,1),TIMEVALUE(O372)))*1440)),"")</f>
        <v/>
      </c>
      <c r="AC372" s="26">
        <f>IFERROR(IF(OR(R372="",S372=""),"",IF(IF(ISNUMBER(S372),MOD(S372,1),TIMEVALUE(S372))&gt;=IF(ISNUMBER(R372),MOD(R372,1),TIMEVALUE(R372)),(IF(ISNUMBER(S372),MOD(S372,1),TIMEVALUE(S372))-IF(ISNUMBER(R372),MOD(R372,1),TIMEVALUE(R372)))*1440,(IF(ISNUMBER(S372),MOD(S372,1),TIMEVALUE(S372))+1-IF(ISNUMBER(R372),MOD(R372,1),TIMEVALUE(R372)))*1440)),"")</f>
        <v/>
      </c>
      <c r="AD372" s="29" t="n"/>
      <c r="AE372" s="26">
        <f>IFERROR(IF(OR(AC372="",AD372=""),"",AC372-AD372),"")</f>
        <v/>
      </c>
      <c r="AF372" s="27">
        <f>IFERROR(IF(AE372="","",IF(ROUND(AE372,0)&gt;15,"Subestimacion",IF(ROUND(AE372,0)&lt;-15,"Sobrestimacion","Asertivo"))),"")</f>
        <v/>
      </c>
      <c r="AG372" s="19" t="n"/>
      <c r="AH372" s="19" t="n"/>
      <c r="AI372" s="19" t="n"/>
      <c r="AJ372" s="19" t="n"/>
      <c r="AK372" s="19" t="n"/>
      <c r="AL372" s="19" t="n"/>
      <c r="AM372" s="19" t="n"/>
      <c r="AN372" s="19" t="n"/>
      <c r="AO372" s="19" t="n"/>
      <c r="AP372" s="127">
        <f>IF(A372="","",A372-WEEKDAY(A372,2)+1)</f>
        <v/>
      </c>
      <c r="AQ372" s="127">
        <f>IF(AO372="","",AO372+6)</f>
        <v/>
      </c>
      <c r="AR372" s="19">
        <f>IF(AO372="","","Semana "&amp;TEXT(AO372,"dd-mm-yyyy")&amp;" al "&amp;TEXT(AP372,"dd-mm-yyyy"))</f>
        <v/>
      </c>
      <c r="AS372" s="19">
        <f>IF(A372="","",TEXT(A372,"mmmm yyyy"))</f>
        <v/>
      </c>
      <c r="AT372" s="19">
        <f>IF(A372="","",TEXT(A372,"dddd"))</f>
        <v/>
      </c>
      <c r="AU372" s="19">
        <f>IF(A372="","","CRR-"&amp;TEXT(A372,"yyyymmdd")&amp;"-"&amp;M372&amp;"-"&amp;TEXT(ROW()-3,"0000"))</f>
        <v/>
      </c>
      <c r="AV372" s="19">
        <f>IF(A372="","",IF(OR(B372="",C372="",E372="",F372="",M372="",N372=""),"Revisar campos obligatorios",IF(AND(P372="Atraso primera hora",Q372=""),"Falta justificación atraso primera hora",IF(AND(Z372="No cumple",AA372=""),"Falta justificación recambio &gt;15 min",IF(AND(ISNUMBER(SEARCH("suspend",N372)),OR(AG372="",AH372="")),"Falta causa/motivo suspensión","OK")))))</f>
        <v/>
      </c>
      <c r="AW372" s="19">
        <f>IF(N372="","",IF(ISNUMBER(SEARCH("suspend",N372)),IF(AND(AG372="",AH372=""),"Sin causa/motivo registrado",IF(AG372="",AH372,IF(AH372="",AG372,AG372&amp;": "&amp;AH372))),""))</f>
        <v/>
      </c>
    </row>
    <row r="373" ht="16" customHeight="1" s="151">
      <c r="A373" s="62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20">
        <f>IF(H373&lt;&gt;"",IFERROR(VLOOKUP(IFERROR(LEFT(H373,FIND("-",H373)-1),H373),'Catalogo MINSAL'!A:E,5,FALSE),""),IF(I373&lt;&gt;"",IFERROR(VLOOKUP(IFERROR(LEFT(I373,FIND("-",I373)-1),I373),'Catalogo MINSAL'!A:E,5,FALSE),""),""))</f>
        <v/>
      </c>
      <c r="K373" s="19" t="n"/>
      <c r="L373" s="19" t="n"/>
      <c r="M373" s="19" t="n"/>
      <c r="N373" s="19" t="n"/>
      <c r="O373" s="25" t="n"/>
      <c r="P373" s="27">
        <f>IFERROR(IF(OR(O373="",A373="",M373=""),"",IF(SUMPRODUCT(($A$4:$A$500=A373)*($M$4:$M$500=M373)*($O$4:$O$500&lt;&gt;"")*(MOD($O$4:$O$500,1)&lt;MOD(O373,1)))=0,IF(MOD(O373,1)&lt;=TIME(8,15,0),"Ingreso adecuado primera hora","Atraso primera hora"),"No aplica")),"")</f>
        <v/>
      </c>
      <c r="Q373" s="27" t="n"/>
      <c r="R373" s="25" t="n"/>
      <c r="S373" s="25" t="n"/>
      <c r="T373" s="25" t="n"/>
      <c r="U373" s="25">
        <f>IFERROR(VLOOKUP(M373,'Horario Pabellones'!$A$4:$D$17,2,FALSE),"")</f>
        <v/>
      </c>
      <c r="V373" s="25">
        <f>IFERROR(VLOOKUP(M373,'Horario Pabellones'!$A$4:$D$17,3,FALSE),"")</f>
        <v/>
      </c>
      <c r="W373" s="99">
        <f>IFERROR(VLOOKUP(M373,'Horario Pabellones'!$A$4:$D$17,4,FALSE),"")</f>
        <v/>
      </c>
      <c r="X373" s="89">
        <f>IFERROR(IF(OR(A373="",M373="",W373=""),"",(((_xludf.AGGREGATE(14,6,MOD($S$4:$S$500,1)/(($A$4:$A$500=A373)*($M$4:$M$500=M373)*($R$4:$R$500&lt;&gt;"")*($S$4:$S$500&lt;&gt;"")),1)-_xludf.AGGREGATE(15,6,MOD($R$4:$R$500,1)/(($A$4:$A$500=A373)*($M$4:$M$500=M373)*($R$4:$R$500&lt;&gt;"")*($S$4:$S$500&lt;&gt;"")),1))*1440)/60)/(W373/60)),"")</f>
        <v/>
      </c>
      <c r="Y373" s="26">
        <f>IFERROR(IF(OR(O373="",A373="",M373=""),"",(IF(ISNUMBER(O373),MOD(O373,1),TIMEVALUE(O373))-LOOKUP(2,1/(($A$4:$A$500=A373)*($M$4:$M$500=M373)*($T$4:$T$500&lt;&gt;"")*($T$4:$T$500&lt;IF(ISNUMBER(O373),MOD(O373,1),TIMEVALUE(O373)))),$T$4:$T$500))*1440),"")</f>
        <v/>
      </c>
      <c r="Z373" s="27">
        <f>IFERROR(IF(Y373="","",IF(ROUND(Y373,0)&lt;=15,"Cumple","No cumple")),"")</f>
        <v/>
      </c>
      <c r="AA373" s="27" t="n"/>
      <c r="AB373" s="26">
        <f>IFERROR(IF(OR(O373="",R373=""),"",IF(IF(ISNUMBER(R373),MOD(R373,1),TIMEVALUE(R373))&gt;=IF(ISNUMBER(O373),MOD(O373,1),TIMEVALUE(O373)),(IF(ISNUMBER(R373),MOD(R373,1),TIMEVALUE(R373))-IF(ISNUMBER(O373),MOD(O373,1),TIMEVALUE(O373)))*1440,(IF(ISNUMBER(R373),MOD(R373,1),TIMEVALUE(R373))+1-IF(ISNUMBER(O373),MOD(O373,1),TIMEVALUE(O373)))*1440)),"")</f>
        <v/>
      </c>
      <c r="AC373" s="26">
        <f>IFERROR(IF(OR(R373="",S373=""),"",IF(IF(ISNUMBER(S373),MOD(S373,1),TIMEVALUE(S373))&gt;=IF(ISNUMBER(R373),MOD(R373,1),TIMEVALUE(R373)),(IF(ISNUMBER(S373),MOD(S373,1),TIMEVALUE(S373))-IF(ISNUMBER(R373),MOD(R373,1),TIMEVALUE(R373)))*1440,(IF(ISNUMBER(S373),MOD(S373,1),TIMEVALUE(S373))+1-IF(ISNUMBER(R373),MOD(R373,1),TIMEVALUE(R373)))*1440)),"")</f>
        <v/>
      </c>
      <c r="AD373" s="29" t="n"/>
      <c r="AE373" s="26">
        <f>IFERROR(IF(OR(AC373="",AD373=""),"",AC373-AD373),"")</f>
        <v/>
      </c>
      <c r="AF373" s="27">
        <f>IFERROR(IF(AE373="","",IF(ROUND(AE373,0)&gt;15,"Subestimacion",IF(ROUND(AE373,0)&lt;-15,"Sobrestimacion","Asertivo"))),"")</f>
        <v/>
      </c>
      <c r="AG373" s="19" t="n"/>
      <c r="AH373" s="19" t="n"/>
      <c r="AI373" s="19" t="n"/>
      <c r="AJ373" s="19" t="n"/>
      <c r="AK373" s="19" t="n"/>
      <c r="AL373" s="19" t="n"/>
      <c r="AM373" s="19" t="n"/>
      <c r="AN373" s="19" t="n"/>
      <c r="AO373" s="19" t="n"/>
      <c r="AP373" s="127">
        <f>IF(A373="","",A373-WEEKDAY(A373,2)+1)</f>
        <v/>
      </c>
      <c r="AQ373" s="127">
        <f>IF(AO373="","",AO373+6)</f>
        <v/>
      </c>
      <c r="AR373" s="19">
        <f>IF(AO373="","","Semana "&amp;TEXT(AO373,"dd-mm-yyyy")&amp;" al "&amp;TEXT(AP373,"dd-mm-yyyy"))</f>
        <v/>
      </c>
      <c r="AS373" s="19">
        <f>IF(A373="","",TEXT(A373,"mmmm yyyy"))</f>
        <v/>
      </c>
      <c r="AT373" s="19">
        <f>IF(A373="","",TEXT(A373,"dddd"))</f>
        <v/>
      </c>
      <c r="AU373" s="19">
        <f>IF(A373="","","CRR-"&amp;TEXT(A373,"yyyymmdd")&amp;"-"&amp;M373&amp;"-"&amp;TEXT(ROW()-3,"0000"))</f>
        <v/>
      </c>
      <c r="AV373" s="19">
        <f>IF(A373="","",IF(OR(B373="",C373="",E373="",F373="",M373="",N373=""),"Revisar campos obligatorios",IF(AND(P373="Atraso primera hora",Q373=""),"Falta justificación atraso primera hora",IF(AND(Z373="No cumple",AA373=""),"Falta justificación recambio &gt;15 min",IF(AND(ISNUMBER(SEARCH("suspend",N373)),OR(AG373="",AH373="")),"Falta causa/motivo suspensión","OK")))))</f>
        <v/>
      </c>
      <c r="AW373" s="19">
        <f>IF(N373="","",IF(ISNUMBER(SEARCH("suspend",N373)),IF(AND(AG373="",AH373=""),"Sin causa/motivo registrado",IF(AG373="",AH373,IF(AH373="",AG373,AG373&amp;": "&amp;AH373))),""))</f>
        <v/>
      </c>
    </row>
    <row r="374" ht="16" customHeight="1" s="151">
      <c r="A374" s="62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20">
        <f>IF(H374&lt;&gt;"",IFERROR(VLOOKUP(IFERROR(LEFT(H374,FIND("-",H374)-1),H374),'Catalogo MINSAL'!A:E,5,FALSE),""),IF(I374&lt;&gt;"",IFERROR(VLOOKUP(IFERROR(LEFT(I374,FIND("-",I374)-1),I374),'Catalogo MINSAL'!A:E,5,FALSE),""),""))</f>
        <v/>
      </c>
      <c r="K374" s="19" t="n"/>
      <c r="L374" s="19" t="n"/>
      <c r="M374" s="19" t="n"/>
      <c r="N374" s="19" t="n"/>
      <c r="O374" s="25" t="n"/>
      <c r="P374" s="27">
        <f>IFERROR(IF(OR(O374="",A374="",M374=""),"",IF(SUMPRODUCT(($A$4:$A$500=A374)*($M$4:$M$500=M374)*($O$4:$O$500&lt;&gt;"")*(MOD($O$4:$O$500,1)&lt;MOD(O374,1)))=0,IF(MOD(O374,1)&lt;=TIME(8,15,0),"Ingreso adecuado primera hora","Atraso primera hora"),"No aplica")),"")</f>
        <v/>
      </c>
      <c r="Q374" s="27" t="n"/>
      <c r="R374" s="25" t="n"/>
      <c r="S374" s="25" t="n"/>
      <c r="T374" s="25" t="n"/>
      <c r="U374" s="25">
        <f>IFERROR(VLOOKUP(M374,'Horario Pabellones'!$A$4:$D$17,2,FALSE),"")</f>
        <v/>
      </c>
      <c r="V374" s="25">
        <f>IFERROR(VLOOKUP(M374,'Horario Pabellones'!$A$4:$D$17,3,FALSE),"")</f>
        <v/>
      </c>
      <c r="W374" s="99">
        <f>IFERROR(VLOOKUP(M374,'Horario Pabellones'!$A$4:$D$17,4,FALSE),"")</f>
        <v/>
      </c>
      <c r="X374" s="89">
        <f>IFERROR(IF(OR(A374="",M374="",W374=""),"",(((_xludf.AGGREGATE(14,6,MOD($S$4:$S$500,1)/(($A$4:$A$500=A374)*($M$4:$M$500=M374)*($R$4:$R$500&lt;&gt;"")*($S$4:$S$500&lt;&gt;"")),1)-_xludf.AGGREGATE(15,6,MOD($R$4:$R$500,1)/(($A$4:$A$500=A374)*($M$4:$M$500=M374)*($R$4:$R$500&lt;&gt;"")*($S$4:$S$500&lt;&gt;"")),1))*1440)/60)/(W374/60)),"")</f>
        <v/>
      </c>
      <c r="Y374" s="26">
        <f>IFERROR(IF(OR(O374="",A374="",M374=""),"",(IF(ISNUMBER(O374),MOD(O374,1),TIMEVALUE(O374))-LOOKUP(2,1/(($A$4:$A$500=A374)*($M$4:$M$500=M374)*($T$4:$T$500&lt;&gt;"")*($T$4:$T$500&lt;IF(ISNUMBER(O374),MOD(O374,1),TIMEVALUE(O374)))),$T$4:$T$500))*1440),"")</f>
        <v/>
      </c>
      <c r="Z374" s="27">
        <f>IFERROR(IF(Y374="","",IF(ROUND(Y374,0)&lt;=15,"Cumple","No cumple")),"")</f>
        <v/>
      </c>
      <c r="AA374" s="27" t="n"/>
      <c r="AB374" s="26">
        <f>IFERROR(IF(OR(O374="",R374=""),"",IF(IF(ISNUMBER(R374),MOD(R374,1),TIMEVALUE(R374))&gt;=IF(ISNUMBER(O374),MOD(O374,1),TIMEVALUE(O374)),(IF(ISNUMBER(R374),MOD(R374,1),TIMEVALUE(R374))-IF(ISNUMBER(O374),MOD(O374,1),TIMEVALUE(O374)))*1440,(IF(ISNUMBER(R374),MOD(R374,1),TIMEVALUE(R374))+1-IF(ISNUMBER(O374),MOD(O374,1),TIMEVALUE(O374)))*1440)),"")</f>
        <v/>
      </c>
      <c r="AC374" s="26">
        <f>IFERROR(IF(OR(R374="",S374=""),"",IF(IF(ISNUMBER(S374),MOD(S374,1),TIMEVALUE(S374))&gt;=IF(ISNUMBER(R374),MOD(R374,1),TIMEVALUE(R374)),(IF(ISNUMBER(S374),MOD(S374,1),TIMEVALUE(S374))-IF(ISNUMBER(R374),MOD(R374,1),TIMEVALUE(R374)))*1440,(IF(ISNUMBER(S374),MOD(S374,1),TIMEVALUE(S374))+1-IF(ISNUMBER(R374),MOD(R374,1),TIMEVALUE(R374)))*1440)),"")</f>
        <v/>
      </c>
      <c r="AD374" s="29" t="n"/>
      <c r="AE374" s="26">
        <f>IFERROR(IF(OR(AC374="",AD374=""),"",AC374-AD374),"")</f>
        <v/>
      </c>
      <c r="AF374" s="27">
        <f>IFERROR(IF(AE374="","",IF(ROUND(AE374,0)&gt;15,"Subestimacion",IF(ROUND(AE374,0)&lt;-15,"Sobrestimacion","Asertivo"))),"")</f>
        <v/>
      </c>
      <c r="AG374" s="19" t="n"/>
      <c r="AH374" s="19" t="n"/>
      <c r="AI374" s="19" t="n"/>
      <c r="AJ374" s="19" t="n"/>
      <c r="AK374" s="19" t="n"/>
      <c r="AL374" s="19" t="n"/>
      <c r="AM374" s="19" t="n"/>
      <c r="AN374" s="19" t="n"/>
      <c r="AO374" s="19" t="n"/>
      <c r="AP374" s="127">
        <f>IF(A374="","",A374-WEEKDAY(A374,2)+1)</f>
        <v/>
      </c>
      <c r="AQ374" s="127">
        <f>IF(AO374="","",AO374+6)</f>
        <v/>
      </c>
      <c r="AR374" s="19">
        <f>IF(AO374="","","Semana "&amp;TEXT(AO374,"dd-mm-yyyy")&amp;" al "&amp;TEXT(AP374,"dd-mm-yyyy"))</f>
        <v/>
      </c>
      <c r="AS374" s="19">
        <f>IF(A374="","",TEXT(A374,"mmmm yyyy"))</f>
        <v/>
      </c>
      <c r="AT374" s="19">
        <f>IF(A374="","",TEXT(A374,"dddd"))</f>
        <v/>
      </c>
      <c r="AU374" s="19">
        <f>IF(A374="","","CRR-"&amp;TEXT(A374,"yyyymmdd")&amp;"-"&amp;M374&amp;"-"&amp;TEXT(ROW()-3,"0000"))</f>
        <v/>
      </c>
      <c r="AV374" s="19">
        <f>IF(A374="","",IF(OR(B374="",C374="",E374="",F374="",M374="",N374=""),"Revisar campos obligatorios",IF(AND(P374="Atraso primera hora",Q374=""),"Falta justificación atraso primera hora",IF(AND(Z374="No cumple",AA374=""),"Falta justificación recambio &gt;15 min",IF(AND(ISNUMBER(SEARCH("suspend",N374)),OR(AG374="",AH374="")),"Falta causa/motivo suspensión","OK")))))</f>
        <v/>
      </c>
      <c r="AW374" s="19">
        <f>IF(N374="","",IF(ISNUMBER(SEARCH("suspend",N374)),IF(AND(AG374="",AH374=""),"Sin causa/motivo registrado",IF(AG374="",AH374,IF(AH374="",AG374,AG374&amp;": "&amp;AH374))),""))</f>
        <v/>
      </c>
    </row>
    <row r="375" ht="16" customHeight="1" s="151">
      <c r="A375" s="62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20">
        <f>IF(H375&lt;&gt;"",IFERROR(VLOOKUP(IFERROR(LEFT(H375,FIND("-",H375)-1),H375),'Catalogo MINSAL'!A:E,5,FALSE),""),IF(I375&lt;&gt;"",IFERROR(VLOOKUP(IFERROR(LEFT(I375,FIND("-",I375)-1),I375),'Catalogo MINSAL'!A:E,5,FALSE),""),""))</f>
        <v/>
      </c>
      <c r="K375" s="19" t="n"/>
      <c r="L375" s="19" t="n"/>
      <c r="M375" s="19" t="n"/>
      <c r="N375" s="19" t="n"/>
      <c r="O375" s="25" t="n"/>
      <c r="P375" s="27">
        <f>IFERROR(IF(OR(O375="",A375="",M375=""),"",IF(SUMPRODUCT(($A$4:$A$500=A375)*($M$4:$M$500=M375)*($O$4:$O$500&lt;&gt;"")*(MOD($O$4:$O$500,1)&lt;MOD(O375,1)))=0,IF(MOD(O375,1)&lt;=TIME(8,15,0),"Ingreso adecuado primera hora","Atraso primera hora"),"No aplica")),"")</f>
        <v/>
      </c>
      <c r="Q375" s="27" t="n"/>
      <c r="R375" s="25" t="n"/>
      <c r="S375" s="25" t="n"/>
      <c r="T375" s="25" t="n"/>
      <c r="U375" s="25">
        <f>IFERROR(VLOOKUP(M375,'Horario Pabellones'!$A$4:$D$17,2,FALSE),"")</f>
        <v/>
      </c>
      <c r="V375" s="25">
        <f>IFERROR(VLOOKUP(M375,'Horario Pabellones'!$A$4:$D$17,3,FALSE),"")</f>
        <v/>
      </c>
      <c r="W375" s="99">
        <f>IFERROR(VLOOKUP(M375,'Horario Pabellones'!$A$4:$D$17,4,FALSE),"")</f>
        <v/>
      </c>
      <c r="X375" s="89">
        <f>IFERROR(IF(OR(A375="",M375="",W375=""),"",(((_xludf.AGGREGATE(14,6,MOD($S$4:$S$500,1)/(($A$4:$A$500=A375)*($M$4:$M$500=M375)*($R$4:$R$500&lt;&gt;"")*($S$4:$S$500&lt;&gt;"")),1)-_xludf.AGGREGATE(15,6,MOD($R$4:$R$500,1)/(($A$4:$A$500=A375)*($M$4:$M$500=M375)*($R$4:$R$500&lt;&gt;"")*($S$4:$S$500&lt;&gt;"")),1))*1440)/60)/(W375/60)),"")</f>
        <v/>
      </c>
      <c r="Y375" s="26">
        <f>IFERROR(IF(OR(O375="",A375="",M375=""),"",(IF(ISNUMBER(O375),MOD(O375,1),TIMEVALUE(O375))-LOOKUP(2,1/(($A$4:$A$500=A375)*($M$4:$M$500=M375)*($T$4:$T$500&lt;&gt;"")*($T$4:$T$500&lt;IF(ISNUMBER(O375),MOD(O375,1),TIMEVALUE(O375)))),$T$4:$T$500))*1440),"")</f>
        <v/>
      </c>
      <c r="Z375" s="27">
        <f>IFERROR(IF(Y375="","",IF(ROUND(Y375,0)&lt;=15,"Cumple","No cumple")),"")</f>
        <v/>
      </c>
      <c r="AA375" s="27" t="n"/>
      <c r="AB375" s="26">
        <f>IFERROR(IF(OR(O375="",R375=""),"",IF(IF(ISNUMBER(R375),MOD(R375,1),TIMEVALUE(R375))&gt;=IF(ISNUMBER(O375),MOD(O375,1),TIMEVALUE(O375)),(IF(ISNUMBER(R375),MOD(R375,1),TIMEVALUE(R375))-IF(ISNUMBER(O375),MOD(O375,1),TIMEVALUE(O375)))*1440,(IF(ISNUMBER(R375),MOD(R375,1),TIMEVALUE(R375))+1-IF(ISNUMBER(O375),MOD(O375,1),TIMEVALUE(O375)))*1440)),"")</f>
        <v/>
      </c>
      <c r="AC375" s="26">
        <f>IFERROR(IF(OR(R375="",S375=""),"",IF(IF(ISNUMBER(S375),MOD(S375,1),TIMEVALUE(S375))&gt;=IF(ISNUMBER(R375),MOD(R375,1),TIMEVALUE(R375)),(IF(ISNUMBER(S375),MOD(S375,1),TIMEVALUE(S375))-IF(ISNUMBER(R375),MOD(R375,1),TIMEVALUE(R375)))*1440,(IF(ISNUMBER(S375),MOD(S375,1),TIMEVALUE(S375))+1-IF(ISNUMBER(R375),MOD(R375,1),TIMEVALUE(R375)))*1440)),"")</f>
        <v/>
      </c>
      <c r="AD375" s="29" t="n"/>
      <c r="AE375" s="26">
        <f>IFERROR(IF(OR(AC375="",AD375=""),"",AC375-AD375),"")</f>
        <v/>
      </c>
      <c r="AF375" s="27">
        <f>IFERROR(IF(AE375="","",IF(ROUND(AE375,0)&gt;15,"Subestimacion",IF(ROUND(AE375,0)&lt;-15,"Sobrestimacion","Asertivo"))),"")</f>
        <v/>
      </c>
      <c r="AG375" s="19" t="n"/>
      <c r="AH375" s="19" t="n"/>
      <c r="AI375" s="19" t="n"/>
      <c r="AJ375" s="19" t="n"/>
      <c r="AK375" s="19" t="n"/>
      <c r="AL375" s="19" t="n"/>
      <c r="AM375" s="19" t="n"/>
      <c r="AN375" s="19" t="n"/>
      <c r="AO375" s="19" t="n"/>
      <c r="AP375" s="127">
        <f>IF(A375="","",A375-WEEKDAY(A375,2)+1)</f>
        <v/>
      </c>
      <c r="AQ375" s="127">
        <f>IF(AO375="","",AO375+6)</f>
        <v/>
      </c>
      <c r="AR375" s="19">
        <f>IF(AO375="","","Semana "&amp;TEXT(AO375,"dd-mm-yyyy")&amp;" al "&amp;TEXT(AP375,"dd-mm-yyyy"))</f>
        <v/>
      </c>
      <c r="AS375" s="19">
        <f>IF(A375="","",TEXT(A375,"mmmm yyyy"))</f>
        <v/>
      </c>
      <c r="AT375" s="19">
        <f>IF(A375="","",TEXT(A375,"dddd"))</f>
        <v/>
      </c>
      <c r="AU375" s="19">
        <f>IF(A375="","","CRR-"&amp;TEXT(A375,"yyyymmdd")&amp;"-"&amp;M375&amp;"-"&amp;TEXT(ROW()-3,"0000"))</f>
        <v/>
      </c>
      <c r="AV375" s="19">
        <f>IF(A375="","",IF(OR(B375="",C375="",E375="",F375="",M375="",N375=""),"Revisar campos obligatorios",IF(AND(P375="Atraso primera hora",Q375=""),"Falta justificación atraso primera hora",IF(AND(Z375="No cumple",AA375=""),"Falta justificación recambio &gt;15 min",IF(AND(ISNUMBER(SEARCH("suspend",N375)),OR(AG375="",AH375="")),"Falta causa/motivo suspensión","OK")))))</f>
        <v/>
      </c>
      <c r="AW375" s="19">
        <f>IF(N375="","",IF(ISNUMBER(SEARCH("suspend",N375)),IF(AND(AG375="",AH375=""),"Sin causa/motivo registrado",IF(AG375="",AH375,IF(AH375="",AG375,AG375&amp;": "&amp;AH375))),""))</f>
        <v/>
      </c>
    </row>
    <row r="376" ht="16" customHeight="1" s="151">
      <c r="A376" s="62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20">
        <f>IF(H376&lt;&gt;"",IFERROR(VLOOKUP(IFERROR(LEFT(H376,FIND("-",H376)-1),H376),'Catalogo MINSAL'!A:E,5,FALSE),""),IF(I376&lt;&gt;"",IFERROR(VLOOKUP(IFERROR(LEFT(I376,FIND("-",I376)-1),I376),'Catalogo MINSAL'!A:E,5,FALSE),""),""))</f>
        <v/>
      </c>
      <c r="K376" s="19" t="n"/>
      <c r="L376" s="19" t="n"/>
      <c r="M376" s="19" t="n"/>
      <c r="N376" s="19" t="n"/>
      <c r="O376" s="25" t="n"/>
      <c r="P376" s="27">
        <f>IFERROR(IF(OR(O376="",A376="",M376=""),"",IF(SUMPRODUCT(($A$4:$A$500=A376)*($M$4:$M$500=M376)*($O$4:$O$500&lt;&gt;"")*(MOD($O$4:$O$500,1)&lt;MOD(O376,1)))=0,IF(MOD(O376,1)&lt;=TIME(8,15,0),"Ingreso adecuado primera hora","Atraso primera hora"),"No aplica")),"")</f>
        <v/>
      </c>
      <c r="Q376" s="27" t="n"/>
      <c r="R376" s="25" t="n"/>
      <c r="S376" s="25" t="n"/>
      <c r="T376" s="25" t="n"/>
      <c r="U376" s="25">
        <f>IFERROR(VLOOKUP(M376,'Horario Pabellones'!$A$4:$D$17,2,FALSE),"")</f>
        <v/>
      </c>
      <c r="V376" s="25">
        <f>IFERROR(VLOOKUP(M376,'Horario Pabellones'!$A$4:$D$17,3,FALSE),"")</f>
        <v/>
      </c>
      <c r="W376" s="99">
        <f>IFERROR(VLOOKUP(M376,'Horario Pabellones'!$A$4:$D$17,4,FALSE),"")</f>
        <v/>
      </c>
      <c r="X376" s="89">
        <f>IFERROR(IF(OR(A376="",M376="",W376=""),"",(((_xludf.AGGREGATE(14,6,MOD($S$4:$S$500,1)/(($A$4:$A$500=A376)*($M$4:$M$500=M376)*($R$4:$R$500&lt;&gt;"")*($S$4:$S$500&lt;&gt;"")),1)-_xludf.AGGREGATE(15,6,MOD($R$4:$R$500,1)/(($A$4:$A$500=A376)*($M$4:$M$500=M376)*($R$4:$R$500&lt;&gt;"")*($S$4:$S$500&lt;&gt;"")),1))*1440)/60)/(W376/60)),"")</f>
        <v/>
      </c>
      <c r="Y376" s="26">
        <f>IFERROR(IF(OR(O376="",A376="",M376=""),"",(IF(ISNUMBER(O376),MOD(O376,1),TIMEVALUE(O376))-LOOKUP(2,1/(($A$4:$A$500=A376)*($M$4:$M$500=M376)*($T$4:$T$500&lt;&gt;"")*($T$4:$T$500&lt;IF(ISNUMBER(O376),MOD(O376,1),TIMEVALUE(O376)))),$T$4:$T$500))*1440),"")</f>
        <v/>
      </c>
      <c r="Z376" s="27">
        <f>IFERROR(IF(Y376="","",IF(ROUND(Y376,0)&lt;=15,"Cumple","No cumple")),"")</f>
        <v/>
      </c>
      <c r="AA376" s="27" t="n"/>
      <c r="AB376" s="26">
        <f>IFERROR(IF(OR(O376="",R376=""),"",IF(IF(ISNUMBER(R376),MOD(R376,1),TIMEVALUE(R376))&gt;=IF(ISNUMBER(O376),MOD(O376,1),TIMEVALUE(O376)),(IF(ISNUMBER(R376),MOD(R376,1),TIMEVALUE(R376))-IF(ISNUMBER(O376),MOD(O376,1),TIMEVALUE(O376)))*1440,(IF(ISNUMBER(R376),MOD(R376,1),TIMEVALUE(R376))+1-IF(ISNUMBER(O376),MOD(O376,1),TIMEVALUE(O376)))*1440)),"")</f>
        <v/>
      </c>
      <c r="AC376" s="26">
        <f>IFERROR(IF(OR(R376="",S376=""),"",IF(IF(ISNUMBER(S376),MOD(S376,1),TIMEVALUE(S376))&gt;=IF(ISNUMBER(R376),MOD(R376,1),TIMEVALUE(R376)),(IF(ISNUMBER(S376),MOD(S376,1),TIMEVALUE(S376))-IF(ISNUMBER(R376),MOD(R376,1),TIMEVALUE(R376)))*1440,(IF(ISNUMBER(S376),MOD(S376,1),TIMEVALUE(S376))+1-IF(ISNUMBER(R376),MOD(R376,1),TIMEVALUE(R376)))*1440)),"")</f>
        <v/>
      </c>
      <c r="AD376" s="29" t="n"/>
      <c r="AE376" s="26">
        <f>IFERROR(IF(OR(AC376="",AD376=""),"",AC376-AD376),"")</f>
        <v/>
      </c>
      <c r="AF376" s="27">
        <f>IFERROR(IF(AE376="","",IF(ROUND(AE376,0)&gt;15,"Subestimacion",IF(ROUND(AE376,0)&lt;-15,"Sobrestimacion","Asertivo"))),"")</f>
        <v/>
      </c>
      <c r="AG376" s="19" t="n"/>
      <c r="AH376" s="19" t="n"/>
      <c r="AI376" s="19" t="n"/>
      <c r="AJ376" s="19" t="n"/>
      <c r="AK376" s="19" t="n"/>
      <c r="AL376" s="19" t="n"/>
      <c r="AM376" s="19" t="n"/>
      <c r="AN376" s="19" t="n"/>
      <c r="AO376" s="19" t="n"/>
      <c r="AP376" s="127">
        <f>IF(A376="","",A376-WEEKDAY(A376,2)+1)</f>
        <v/>
      </c>
      <c r="AQ376" s="127">
        <f>IF(AO376="","",AO376+6)</f>
        <v/>
      </c>
      <c r="AR376" s="19">
        <f>IF(AO376="","","Semana "&amp;TEXT(AO376,"dd-mm-yyyy")&amp;" al "&amp;TEXT(AP376,"dd-mm-yyyy"))</f>
        <v/>
      </c>
      <c r="AS376" s="19">
        <f>IF(A376="","",TEXT(A376,"mmmm yyyy"))</f>
        <v/>
      </c>
      <c r="AT376" s="19">
        <f>IF(A376="","",TEXT(A376,"dddd"))</f>
        <v/>
      </c>
      <c r="AU376" s="19">
        <f>IF(A376="","","CRR-"&amp;TEXT(A376,"yyyymmdd")&amp;"-"&amp;M376&amp;"-"&amp;TEXT(ROW()-3,"0000"))</f>
        <v/>
      </c>
      <c r="AV376" s="19">
        <f>IF(A376="","",IF(OR(B376="",C376="",E376="",F376="",M376="",N376=""),"Revisar campos obligatorios",IF(AND(P376="Atraso primera hora",Q376=""),"Falta justificación atraso primera hora",IF(AND(Z376="No cumple",AA376=""),"Falta justificación recambio &gt;15 min",IF(AND(ISNUMBER(SEARCH("suspend",N376)),OR(AG376="",AH376="")),"Falta causa/motivo suspensión","OK")))))</f>
        <v/>
      </c>
      <c r="AW376" s="19">
        <f>IF(N376="","",IF(ISNUMBER(SEARCH("suspend",N376)),IF(AND(AG376="",AH376=""),"Sin causa/motivo registrado",IF(AG376="",AH376,IF(AH376="",AG376,AG376&amp;": "&amp;AH376))),""))</f>
        <v/>
      </c>
    </row>
    <row r="377" ht="16" customHeight="1" s="151">
      <c r="A377" s="62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20">
        <f>IF(H377&lt;&gt;"",IFERROR(VLOOKUP(IFERROR(LEFT(H377,FIND("-",H377)-1),H377),'Catalogo MINSAL'!A:E,5,FALSE),""),IF(I377&lt;&gt;"",IFERROR(VLOOKUP(IFERROR(LEFT(I377,FIND("-",I377)-1),I377),'Catalogo MINSAL'!A:E,5,FALSE),""),""))</f>
        <v/>
      </c>
      <c r="K377" s="19" t="n"/>
      <c r="L377" s="19" t="n"/>
      <c r="M377" s="19" t="n"/>
      <c r="N377" s="19" t="n"/>
      <c r="O377" s="25" t="n"/>
      <c r="P377" s="27">
        <f>IFERROR(IF(OR(O377="",A377="",M377=""),"",IF(SUMPRODUCT(($A$4:$A$500=A377)*($M$4:$M$500=M377)*($O$4:$O$500&lt;&gt;"")*(MOD($O$4:$O$500,1)&lt;MOD(O377,1)))=0,IF(MOD(O377,1)&lt;=TIME(8,15,0),"Ingreso adecuado primera hora","Atraso primera hora"),"No aplica")),"")</f>
        <v/>
      </c>
      <c r="Q377" s="27" t="n"/>
      <c r="R377" s="25" t="n"/>
      <c r="S377" s="25" t="n"/>
      <c r="T377" s="25" t="n"/>
      <c r="U377" s="25">
        <f>IFERROR(VLOOKUP(M377,'Horario Pabellones'!$A$4:$D$17,2,FALSE),"")</f>
        <v/>
      </c>
      <c r="V377" s="25">
        <f>IFERROR(VLOOKUP(M377,'Horario Pabellones'!$A$4:$D$17,3,FALSE),"")</f>
        <v/>
      </c>
      <c r="W377" s="99">
        <f>IFERROR(VLOOKUP(M377,'Horario Pabellones'!$A$4:$D$17,4,FALSE),"")</f>
        <v/>
      </c>
      <c r="X377" s="89">
        <f>IFERROR(IF(OR(A377="",M377="",W377=""),"",(((_xludf.AGGREGATE(14,6,MOD($S$4:$S$500,1)/(($A$4:$A$500=A377)*($M$4:$M$500=M377)*($R$4:$R$500&lt;&gt;"")*($S$4:$S$500&lt;&gt;"")),1)-_xludf.AGGREGATE(15,6,MOD($R$4:$R$500,1)/(($A$4:$A$500=A377)*($M$4:$M$500=M377)*($R$4:$R$500&lt;&gt;"")*($S$4:$S$500&lt;&gt;"")),1))*1440)/60)/(W377/60)),"")</f>
        <v/>
      </c>
      <c r="Y377" s="26">
        <f>IFERROR(IF(OR(O377="",A377="",M377=""),"",(IF(ISNUMBER(O377),MOD(O377,1),TIMEVALUE(O377))-LOOKUP(2,1/(($A$4:$A$500=A377)*($M$4:$M$500=M377)*($T$4:$T$500&lt;&gt;"")*($T$4:$T$500&lt;IF(ISNUMBER(O377),MOD(O377,1),TIMEVALUE(O377)))),$T$4:$T$500))*1440),"")</f>
        <v/>
      </c>
      <c r="Z377" s="27">
        <f>IFERROR(IF(Y377="","",IF(ROUND(Y377,0)&lt;=15,"Cumple","No cumple")),"")</f>
        <v/>
      </c>
      <c r="AA377" s="27" t="n"/>
      <c r="AB377" s="26">
        <f>IFERROR(IF(OR(O377="",R377=""),"",IF(IF(ISNUMBER(R377),MOD(R377,1),TIMEVALUE(R377))&gt;=IF(ISNUMBER(O377),MOD(O377,1),TIMEVALUE(O377)),(IF(ISNUMBER(R377),MOD(R377,1),TIMEVALUE(R377))-IF(ISNUMBER(O377),MOD(O377,1),TIMEVALUE(O377)))*1440,(IF(ISNUMBER(R377),MOD(R377,1),TIMEVALUE(R377))+1-IF(ISNUMBER(O377),MOD(O377,1),TIMEVALUE(O377)))*1440)),"")</f>
        <v/>
      </c>
      <c r="AC377" s="26">
        <f>IFERROR(IF(OR(R377="",S377=""),"",IF(IF(ISNUMBER(S377),MOD(S377,1),TIMEVALUE(S377))&gt;=IF(ISNUMBER(R377),MOD(R377,1),TIMEVALUE(R377)),(IF(ISNUMBER(S377),MOD(S377,1),TIMEVALUE(S377))-IF(ISNUMBER(R377),MOD(R377,1),TIMEVALUE(R377)))*1440,(IF(ISNUMBER(S377),MOD(S377,1),TIMEVALUE(S377))+1-IF(ISNUMBER(R377),MOD(R377,1),TIMEVALUE(R377)))*1440)),"")</f>
        <v/>
      </c>
      <c r="AD377" s="29" t="n"/>
      <c r="AE377" s="26">
        <f>IFERROR(IF(OR(AC377="",AD377=""),"",AC377-AD377),"")</f>
        <v/>
      </c>
      <c r="AF377" s="27">
        <f>IFERROR(IF(AE377="","",IF(ROUND(AE377,0)&gt;15,"Subestimacion",IF(ROUND(AE377,0)&lt;-15,"Sobrestimacion","Asertivo"))),"")</f>
        <v/>
      </c>
      <c r="AG377" s="19" t="n"/>
      <c r="AH377" s="19" t="n"/>
      <c r="AI377" s="19" t="n"/>
      <c r="AJ377" s="19" t="n"/>
      <c r="AK377" s="19" t="n"/>
      <c r="AL377" s="19" t="n"/>
      <c r="AM377" s="19" t="n"/>
      <c r="AN377" s="19" t="n"/>
      <c r="AO377" s="19" t="n"/>
      <c r="AP377" s="127">
        <f>IF(A377="","",A377-WEEKDAY(A377,2)+1)</f>
        <v/>
      </c>
      <c r="AQ377" s="127">
        <f>IF(AO377="","",AO377+6)</f>
        <v/>
      </c>
      <c r="AR377" s="19">
        <f>IF(AO377="","","Semana "&amp;TEXT(AO377,"dd-mm-yyyy")&amp;" al "&amp;TEXT(AP377,"dd-mm-yyyy"))</f>
        <v/>
      </c>
      <c r="AS377" s="19">
        <f>IF(A377="","",TEXT(A377,"mmmm yyyy"))</f>
        <v/>
      </c>
      <c r="AT377" s="19">
        <f>IF(A377="","",TEXT(A377,"dddd"))</f>
        <v/>
      </c>
      <c r="AU377" s="19">
        <f>IF(A377="","","CRR-"&amp;TEXT(A377,"yyyymmdd")&amp;"-"&amp;M377&amp;"-"&amp;TEXT(ROW()-3,"0000"))</f>
        <v/>
      </c>
      <c r="AV377" s="19">
        <f>IF(A377="","",IF(OR(B377="",C377="",E377="",F377="",M377="",N377=""),"Revisar campos obligatorios",IF(AND(P377="Atraso primera hora",Q377=""),"Falta justificación atraso primera hora",IF(AND(Z377="No cumple",AA377=""),"Falta justificación recambio &gt;15 min",IF(AND(ISNUMBER(SEARCH("suspend",N377)),OR(AG377="",AH377="")),"Falta causa/motivo suspensión","OK")))))</f>
        <v/>
      </c>
      <c r="AW377" s="19">
        <f>IF(N377="","",IF(ISNUMBER(SEARCH("suspend",N377)),IF(AND(AG377="",AH377=""),"Sin causa/motivo registrado",IF(AG377="",AH377,IF(AH377="",AG377,AG377&amp;": "&amp;AH377))),""))</f>
        <v/>
      </c>
    </row>
    <row r="378" ht="16" customHeight="1" s="151">
      <c r="A378" s="62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20">
        <f>IF(H378&lt;&gt;"",IFERROR(VLOOKUP(IFERROR(LEFT(H378,FIND("-",H378)-1),H378),'Catalogo MINSAL'!A:E,5,FALSE),""),IF(I378&lt;&gt;"",IFERROR(VLOOKUP(IFERROR(LEFT(I378,FIND("-",I378)-1),I378),'Catalogo MINSAL'!A:E,5,FALSE),""),""))</f>
        <v/>
      </c>
      <c r="K378" s="19" t="n"/>
      <c r="L378" s="19" t="n"/>
      <c r="M378" s="19" t="n"/>
      <c r="N378" s="19" t="n"/>
      <c r="O378" s="25" t="n"/>
      <c r="P378" s="27">
        <f>IFERROR(IF(OR(O378="",A378="",M378=""),"",IF(SUMPRODUCT(($A$4:$A$500=A378)*($M$4:$M$500=M378)*($O$4:$O$500&lt;&gt;"")*(MOD($O$4:$O$500,1)&lt;MOD(O378,1)))=0,IF(MOD(O378,1)&lt;=TIME(8,15,0),"Ingreso adecuado primera hora","Atraso primera hora"),"No aplica")),"")</f>
        <v/>
      </c>
      <c r="Q378" s="27" t="n"/>
      <c r="R378" s="25" t="n"/>
      <c r="S378" s="25" t="n"/>
      <c r="T378" s="25" t="n"/>
      <c r="U378" s="25">
        <f>IFERROR(VLOOKUP(M378,'Horario Pabellones'!$A$4:$D$17,2,FALSE),"")</f>
        <v/>
      </c>
      <c r="V378" s="25">
        <f>IFERROR(VLOOKUP(M378,'Horario Pabellones'!$A$4:$D$17,3,FALSE),"")</f>
        <v/>
      </c>
      <c r="W378" s="99">
        <f>IFERROR(VLOOKUP(M378,'Horario Pabellones'!$A$4:$D$17,4,FALSE),"")</f>
        <v/>
      </c>
      <c r="X378" s="89">
        <f>IFERROR(IF(OR(A378="",M378="",W378=""),"",(((_xludf.AGGREGATE(14,6,MOD($S$4:$S$500,1)/(($A$4:$A$500=A378)*($M$4:$M$500=M378)*($R$4:$R$500&lt;&gt;"")*($S$4:$S$500&lt;&gt;"")),1)-_xludf.AGGREGATE(15,6,MOD($R$4:$R$500,1)/(($A$4:$A$500=A378)*($M$4:$M$500=M378)*($R$4:$R$500&lt;&gt;"")*($S$4:$S$500&lt;&gt;"")),1))*1440)/60)/(W378/60)),"")</f>
        <v/>
      </c>
      <c r="Y378" s="26">
        <f>IFERROR(IF(OR(O378="",A378="",M378=""),"",(IF(ISNUMBER(O378),MOD(O378,1),TIMEVALUE(O378))-LOOKUP(2,1/(($A$4:$A$500=A378)*($M$4:$M$500=M378)*($T$4:$T$500&lt;&gt;"")*($T$4:$T$500&lt;IF(ISNUMBER(O378),MOD(O378,1),TIMEVALUE(O378)))),$T$4:$T$500))*1440),"")</f>
        <v/>
      </c>
      <c r="Z378" s="27">
        <f>IFERROR(IF(Y378="","",IF(ROUND(Y378,0)&lt;=15,"Cumple","No cumple")),"")</f>
        <v/>
      </c>
      <c r="AA378" s="27" t="n"/>
      <c r="AB378" s="26">
        <f>IFERROR(IF(OR(O378="",R378=""),"",IF(IF(ISNUMBER(R378),MOD(R378,1),TIMEVALUE(R378))&gt;=IF(ISNUMBER(O378),MOD(O378,1),TIMEVALUE(O378)),(IF(ISNUMBER(R378),MOD(R378,1),TIMEVALUE(R378))-IF(ISNUMBER(O378),MOD(O378,1),TIMEVALUE(O378)))*1440,(IF(ISNUMBER(R378),MOD(R378,1),TIMEVALUE(R378))+1-IF(ISNUMBER(O378),MOD(O378,1),TIMEVALUE(O378)))*1440)),"")</f>
        <v/>
      </c>
      <c r="AC378" s="26">
        <f>IFERROR(IF(OR(R378="",S378=""),"",IF(IF(ISNUMBER(S378),MOD(S378,1),TIMEVALUE(S378))&gt;=IF(ISNUMBER(R378),MOD(R378,1),TIMEVALUE(R378)),(IF(ISNUMBER(S378),MOD(S378,1),TIMEVALUE(S378))-IF(ISNUMBER(R378),MOD(R378,1),TIMEVALUE(R378)))*1440,(IF(ISNUMBER(S378),MOD(S378,1),TIMEVALUE(S378))+1-IF(ISNUMBER(R378),MOD(R378,1),TIMEVALUE(R378)))*1440)),"")</f>
        <v/>
      </c>
      <c r="AD378" s="29" t="n"/>
      <c r="AE378" s="26">
        <f>IFERROR(IF(OR(AC378="",AD378=""),"",AC378-AD378),"")</f>
        <v/>
      </c>
      <c r="AF378" s="27">
        <f>IFERROR(IF(AE378="","",IF(ROUND(AE378,0)&gt;15,"Subestimacion",IF(ROUND(AE378,0)&lt;-15,"Sobrestimacion","Asertivo"))),"")</f>
        <v/>
      </c>
      <c r="AG378" s="19" t="n"/>
      <c r="AH378" s="19" t="n"/>
      <c r="AI378" s="19" t="n"/>
      <c r="AJ378" s="19" t="n"/>
      <c r="AK378" s="19" t="n"/>
      <c r="AL378" s="19" t="n"/>
      <c r="AM378" s="19" t="n"/>
      <c r="AN378" s="19" t="n"/>
      <c r="AO378" s="19" t="n"/>
      <c r="AP378" s="127">
        <f>IF(A378="","",A378-WEEKDAY(A378,2)+1)</f>
        <v/>
      </c>
      <c r="AQ378" s="127">
        <f>IF(AO378="","",AO378+6)</f>
        <v/>
      </c>
      <c r="AR378" s="19">
        <f>IF(AO378="","","Semana "&amp;TEXT(AO378,"dd-mm-yyyy")&amp;" al "&amp;TEXT(AP378,"dd-mm-yyyy"))</f>
        <v/>
      </c>
      <c r="AS378" s="19">
        <f>IF(A378="","",TEXT(A378,"mmmm yyyy"))</f>
        <v/>
      </c>
      <c r="AT378" s="19">
        <f>IF(A378="","",TEXT(A378,"dddd"))</f>
        <v/>
      </c>
      <c r="AU378" s="19">
        <f>IF(A378="","","CRR-"&amp;TEXT(A378,"yyyymmdd")&amp;"-"&amp;M378&amp;"-"&amp;TEXT(ROW()-3,"0000"))</f>
        <v/>
      </c>
      <c r="AV378" s="19">
        <f>IF(A378="","",IF(OR(B378="",C378="",E378="",F378="",M378="",N378=""),"Revisar campos obligatorios",IF(AND(P378="Atraso primera hora",Q378=""),"Falta justificación atraso primera hora",IF(AND(Z378="No cumple",AA378=""),"Falta justificación recambio &gt;15 min",IF(AND(ISNUMBER(SEARCH("suspend",N378)),OR(AG378="",AH378="")),"Falta causa/motivo suspensión","OK")))))</f>
        <v/>
      </c>
      <c r="AW378" s="19">
        <f>IF(N378="","",IF(ISNUMBER(SEARCH("suspend",N378)),IF(AND(AG378="",AH378=""),"Sin causa/motivo registrado",IF(AG378="",AH378,IF(AH378="",AG378,AG378&amp;": "&amp;AH378))),""))</f>
        <v/>
      </c>
    </row>
    <row r="379" ht="16" customHeight="1" s="151">
      <c r="A379" s="62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20">
        <f>IF(H379&lt;&gt;"",IFERROR(VLOOKUP(IFERROR(LEFT(H379,FIND("-",H379)-1),H379),'Catalogo MINSAL'!A:E,5,FALSE),""),IF(I379&lt;&gt;"",IFERROR(VLOOKUP(IFERROR(LEFT(I379,FIND("-",I379)-1),I379),'Catalogo MINSAL'!A:E,5,FALSE),""),""))</f>
        <v/>
      </c>
      <c r="K379" s="19" t="n"/>
      <c r="L379" s="19" t="n"/>
      <c r="M379" s="19" t="n"/>
      <c r="N379" s="19" t="n"/>
      <c r="O379" s="25" t="n"/>
      <c r="P379" s="27">
        <f>IFERROR(IF(OR(O379="",A379="",M379=""),"",IF(SUMPRODUCT(($A$4:$A$500=A379)*($M$4:$M$500=M379)*($O$4:$O$500&lt;&gt;"")*(MOD($O$4:$O$500,1)&lt;MOD(O379,1)))=0,IF(MOD(O379,1)&lt;=TIME(8,15,0),"Ingreso adecuado primera hora","Atraso primera hora"),"No aplica")),"")</f>
        <v/>
      </c>
      <c r="Q379" s="27" t="n"/>
      <c r="R379" s="25" t="n"/>
      <c r="S379" s="25" t="n"/>
      <c r="T379" s="25" t="n"/>
      <c r="U379" s="25">
        <f>IFERROR(VLOOKUP(M379,'Horario Pabellones'!$A$4:$D$17,2,FALSE),"")</f>
        <v/>
      </c>
      <c r="V379" s="25">
        <f>IFERROR(VLOOKUP(M379,'Horario Pabellones'!$A$4:$D$17,3,FALSE),"")</f>
        <v/>
      </c>
      <c r="W379" s="99">
        <f>IFERROR(VLOOKUP(M379,'Horario Pabellones'!$A$4:$D$17,4,FALSE),"")</f>
        <v/>
      </c>
      <c r="X379" s="89">
        <f>IFERROR(IF(OR(A379="",M379="",W379=""),"",(((_xludf.AGGREGATE(14,6,MOD($S$4:$S$500,1)/(($A$4:$A$500=A379)*($M$4:$M$500=M379)*($R$4:$R$500&lt;&gt;"")*($S$4:$S$500&lt;&gt;"")),1)-_xludf.AGGREGATE(15,6,MOD($R$4:$R$500,1)/(($A$4:$A$500=A379)*($M$4:$M$500=M379)*($R$4:$R$500&lt;&gt;"")*($S$4:$S$500&lt;&gt;"")),1))*1440)/60)/(W379/60)),"")</f>
        <v/>
      </c>
      <c r="Y379" s="26">
        <f>IFERROR(IF(OR(O379="",A379="",M379=""),"",(IF(ISNUMBER(O379),MOD(O379,1),TIMEVALUE(O379))-LOOKUP(2,1/(($A$4:$A$500=A379)*($M$4:$M$500=M379)*($T$4:$T$500&lt;&gt;"")*($T$4:$T$500&lt;IF(ISNUMBER(O379),MOD(O379,1),TIMEVALUE(O379)))),$T$4:$T$500))*1440),"")</f>
        <v/>
      </c>
      <c r="Z379" s="27">
        <f>IFERROR(IF(Y379="","",IF(ROUND(Y379,0)&lt;=15,"Cumple","No cumple")),"")</f>
        <v/>
      </c>
      <c r="AA379" s="27" t="n"/>
      <c r="AB379" s="26">
        <f>IFERROR(IF(OR(O379="",R379=""),"",IF(IF(ISNUMBER(R379),MOD(R379,1),TIMEVALUE(R379))&gt;=IF(ISNUMBER(O379),MOD(O379,1),TIMEVALUE(O379)),(IF(ISNUMBER(R379),MOD(R379,1),TIMEVALUE(R379))-IF(ISNUMBER(O379),MOD(O379,1),TIMEVALUE(O379)))*1440,(IF(ISNUMBER(R379),MOD(R379,1),TIMEVALUE(R379))+1-IF(ISNUMBER(O379),MOD(O379,1),TIMEVALUE(O379)))*1440)),"")</f>
        <v/>
      </c>
      <c r="AC379" s="26">
        <f>IFERROR(IF(OR(R379="",S379=""),"",IF(IF(ISNUMBER(S379),MOD(S379,1),TIMEVALUE(S379))&gt;=IF(ISNUMBER(R379),MOD(R379,1),TIMEVALUE(R379)),(IF(ISNUMBER(S379),MOD(S379,1),TIMEVALUE(S379))-IF(ISNUMBER(R379),MOD(R379,1),TIMEVALUE(R379)))*1440,(IF(ISNUMBER(S379),MOD(S379,1),TIMEVALUE(S379))+1-IF(ISNUMBER(R379),MOD(R379,1),TIMEVALUE(R379)))*1440)),"")</f>
        <v/>
      </c>
      <c r="AD379" s="29" t="n"/>
      <c r="AE379" s="26">
        <f>IFERROR(IF(OR(AC379="",AD379=""),"",AC379-AD379),"")</f>
        <v/>
      </c>
      <c r="AF379" s="27">
        <f>IFERROR(IF(AE379="","",IF(ROUND(AE379,0)&gt;15,"Subestimacion",IF(ROUND(AE379,0)&lt;-15,"Sobrestimacion","Asertivo"))),"")</f>
        <v/>
      </c>
      <c r="AG379" s="19" t="n"/>
      <c r="AH379" s="19" t="n"/>
      <c r="AI379" s="19" t="n"/>
      <c r="AJ379" s="19" t="n"/>
      <c r="AK379" s="19" t="n"/>
      <c r="AL379" s="19" t="n"/>
      <c r="AM379" s="19" t="n"/>
      <c r="AN379" s="19" t="n"/>
      <c r="AO379" s="19" t="n"/>
      <c r="AP379" s="127">
        <f>IF(A379="","",A379-WEEKDAY(A379,2)+1)</f>
        <v/>
      </c>
      <c r="AQ379" s="127">
        <f>IF(AO379="","",AO379+6)</f>
        <v/>
      </c>
      <c r="AR379" s="19">
        <f>IF(AO379="","","Semana "&amp;TEXT(AO379,"dd-mm-yyyy")&amp;" al "&amp;TEXT(AP379,"dd-mm-yyyy"))</f>
        <v/>
      </c>
      <c r="AS379" s="19">
        <f>IF(A379="","",TEXT(A379,"mmmm yyyy"))</f>
        <v/>
      </c>
      <c r="AT379" s="19">
        <f>IF(A379="","",TEXT(A379,"dddd"))</f>
        <v/>
      </c>
      <c r="AU379" s="19">
        <f>IF(A379="","","CRR-"&amp;TEXT(A379,"yyyymmdd")&amp;"-"&amp;M379&amp;"-"&amp;TEXT(ROW()-3,"0000"))</f>
        <v/>
      </c>
      <c r="AV379" s="19">
        <f>IF(A379="","",IF(OR(B379="",C379="",E379="",F379="",M379="",N379=""),"Revisar campos obligatorios",IF(AND(P379="Atraso primera hora",Q379=""),"Falta justificación atraso primera hora",IF(AND(Z379="No cumple",AA379=""),"Falta justificación recambio &gt;15 min",IF(AND(ISNUMBER(SEARCH("suspend",N379)),OR(AG379="",AH379="")),"Falta causa/motivo suspensión","OK")))))</f>
        <v/>
      </c>
      <c r="AW379" s="19">
        <f>IF(N379="","",IF(ISNUMBER(SEARCH("suspend",N379)),IF(AND(AG379="",AH379=""),"Sin causa/motivo registrado",IF(AG379="",AH379,IF(AH379="",AG379,AG379&amp;": "&amp;AH379))),""))</f>
        <v/>
      </c>
    </row>
    <row r="380" ht="16" customHeight="1" s="151">
      <c r="A380" s="62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20">
        <f>IF(H380&lt;&gt;"",IFERROR(VLOOKUP(IFERROR(LEFT(H380,FIND("-",H380)-1),H380),'Catalogo MINSAL'!A:E,5,FALSE),""),IF(I380&lt;&gt;"",IFERROR(VLOOKUP(IFERROR(LEFT(I380,FIND("-",I380)-1),I380),'Catalogo MINSAL'!A:E,5,FALSE),""),""))</f>
        <v/>
      </c>
      <c r="K380" s="19" t="n"/>
      <c r="L380" s="19" t="n"/>
      <c r="M380" s="19" t="n"/>
      <c r="N380" s="19" t="n"/>
      <c r="O380" s="25" t="n"/>
      <c r="P380" s="27">
        <f>IFERROR(IF(OR(O380="",A380="",M380=""),"",IF(SUMPRODUCT(($A$4:$A$500=A380)*($M$4:$M$500=M380)*($O$4:$O$500&lt;&gt;"")*(MOD($O$4:$O$500,1)&lt;MOD(O380,1)))=0,IF(MOD(O380,1)&lt;=TIME(8,15,0),"Ingreso adecuado primera hora","Atraso primera hora"),"No aplica")),"")</f>
        <v/>
      </c>
      <c r="Q380" s="27" t="n"/>
      <c r="R380" s="25" t="n"/>
      <c r="S380" s="25" t="n"/>
      <c r="T380" s="25" t="n"/>
      <c r="U380" s="25">
        <f>IFERROR(VLOOKUP(M380,'Horario Pabellones'!$A$4:$D$17,2,FALSE),"")</f>
        <v/>
      </c>
      <c r="V380" s="25">
        <f>IFERROR(VLOOKUP(M380,'Horario Pabellones'!$A$4:$D$17,3,FALSE),"")</f>
        <v/>
      </c>
      <c r="W380" s="99">
        <f>IFERROR(VLOOKUP(M380,'Horario Pabellones'!$A$4:$D$17,4,FALSE),"")</f>
        <v/>
      </c>
      <c r="X380" s="89">
        <f>IFERROR(IF(OR(A380="",M380="",W380=""),"",(((_xludf.AGGREGATE(14,6,MOD($S$4:$S$500,1)/(($A$4:$A$500=A380)*($M$4:$M$500=M380)*($R$4:$R$500&lt;&gt;"")*($S$4:$S$500&lt;&gt;"")),1)-_xludf.AGGREGATE(15,6,MOD($R$4:$R$500,1)/(($A$4:$A$500=A380)*($M$4:$M$500=M380)*($R$4:$R$500&lt;&gt;"")*($S$4:$S$500&lt;&gt;"")),1))*1440)/60)/(W380/60)),"")</f>
        <v/>
      </c>
      <c r="Y380" s="26">
        <f>IFERROR(IF(OR(O380="",A380="",M380=""),"",(IF(ISNUMBER(O380),MOD(O380,1),TIMEVALUE(O380))-LOOKUP(2,1/(($A$4:$A$500=A380)*($M$4:$M$500=M380)*($T$4:$T$500&lt;&gt;"")*($T$4:$T$500&lt;IF(ISNUMBER(O380),MOD(O380,1),TIMEVALUE(O380)))),$T$4:$T$500))*1440),"")</f>
        <v/>
      </c>
      <c r="Z380" s="27">
        <f>IFERROR(IF(Y380="","",IF(ROUND(Y380,0)&lt;=15,"Cumple","No cumple")),"")</f>
        <v/>
      </c>
      <c r="AA380" s="27" t="n"/>
      <c r="AB380" s="26">
        <f>IFERROR(IF(OR(O380="",R380=""),"",IF(IF(ISNUMBER(R380),MOD(R380,1),TIMEVALUE(R380))&gt;=IF(ISNUMBER(O380),MOD(O380,1),TIMEVALUE(O380)),(IF(ISNUMBER(R380),MOD(R380,1),TIMEVALUE(R380))-IF(ISNUMBER(O380),MOD(O380,1),TIMEVALUE(O380)))*1440,(IF(ISNUMBER(R380),MOD(R380,1),TIMEVALUE(R380))+1-IF(ISNUMBER(O380),MOD(O380,1),TIMEVALUE(O380)))*1440)),"")</f>
        <v/>
      </c>
      <c r="AC380" s="26">
        <f>IFERROR(IF(OR(R380="",S380=""),"",IF(IF(ISNUMBER(S380),MOD(S380,1),TIMEVALUE(S380))&gt;=IF(ISNUMBER(R380),MOD(R380,1),TIMEVALUE(R380)),(IF(ISNUMBER(S380),MOD(S380,1),TIMEVALUE(S380))-IF(ISNUMBER(R380),MOD(R380,1),TIMEVALUE(R380)))*1440,(IF(ISNUMBER(S380),MOD(S380,1),TIMEVALUE(S380))+1-IF(ISNUMBER(R380),MOD(R380,1),TIMEVALUE(R380)))*1440)),"")</f>
        <v/>
      </c>
      <c r="AD380" s="29" t="n"/>
      <c r="AE380" s="26">
        <f>IFERROR(IF(OR(AC380="",AD380=""),"",AC380-AD380),"")</f>
        <v/>
      </c>
      <c r="AF380" s="27">
        <f>IFERROR(IF(AE380="","",IF(ROUND(AE380,0)&gt;15,"Subestimacion",IF(ROUND(AE380,0)&lt;-15,"Sobrestimacion","Asertivo"))),"")</f>
        <v/>
      </c>
      <c r="AG380" s="19" t="n"/>
      <c r="AH380" s="19" t="n"/>
      <c r="AI380" s="19" t="n"/>
      <c r="AJ380" s="19" t="n"/>
      <c r="AK380" s="19" t="n"/>
      <c r="AL380" s="19" t="n"/>
      <c r="AM380" s="19" t="n"/>
      <c r="AN380" s="19" t="n"/>
      <c r="AO380" s="19" t="n"/>
      <c r="AP380" s="127">
        <f>IF(A380="","",A380-WEEKDAY(A380,2)+1)</f>
        <v/>
      </c>
      <c r="AQ380" s="127">
        <f>IF(AO380="","",AO380+6)</f>
        <v/>
      </c>
      <c r="AR380" s="19">
        <f>IF(AO380="","","Semana "&amp;TEXT(AO380,"dd-mm-yyyy")&amp;" al "&amp;TEXT(AP380,"dd-mm-yyyy"))</f>
        <v/>
      </c>
      <c r="AS380" s="19">
        <f>IF(A380="","",TEXT(A380,"mmmm yyyy"))</f>
        <v/>
      </c>
      <c r="AT380" s="19">
        <f>IF(A380="","",TEXT(A380,"dddd"))</f>
        <v/>
      </c>
      <c r="AU380" s="19">
        <f>IF(A380="","","CRR-"&amp;TEXT(A380,"yyyymmdd")&amp;"-"&amp;M380&amp;"-"&amp;TEXT(ROW()-3,"0000"))</f>
        <v/>
      </c>
      <c r="AV380" s="19">
        <f>IF(A380="","",IF(OR(B380="",C380="",E380="",F380="",M380="",N380=""),"Revisar campos obligatorios",IF(AND(P380="Atraso primera hora",Q380=""),"Falta justificación atraso primera hora",IF(AND(Z380="No cumple",AA380=""),"Falta justificación recambio &gt;15 min",IF(AND(ISNUMBER(SEARCH("suspend",N380)),OR(AG380="",AH380="")),"Falta causa/motivo suspensión","OK")))))</f>
        <v/>
      </c>
      <c r="AW380" s="19">
        <f>IF(N380="","",IF(ISNUMBER(SEARCH("suspend",N380)),IF(AND(AG380="",AH380=""),"Sin causa/motivo registrado",IF(AG380="",AH380,IF(AH380="",AG380,AG380&amp;": "&amp;AH380))),""))</f>
        <v/>
      </c>
    </row>
    <row r="381" ht="16" customHeight="1" s="151">
      <c r="A381" s="62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20">
        <f>IF(H381&lt;&gt;"",IFERROR(VLOOKUP(IFERROR(LEFT(H381,FIND("-",H381)-1),H381),'Catalogo MINSAL'!A:E,5,FALSE),""),IF(I381&lt;&gt;"",IFERROR(VLOOKUP(IFERROR(LEFT(I381,FIND("-",I381)-1),I381),'Catalogo MINSAL'!A:E,5,FALSE),""),""))</f>
        <v/>
      </c>
      <c r="K381" s="19" t="n"/>
      <c r="L381" s="19" t="n"/>
      <c r="M381" s="19" t="n"/>
      <c r="N381" s="19" t="n"/>
      <c r="O381" s="25" t="n"/>
      <c r="P381" s="27">
        <f>IFERROR(IF(OR(O381="",A381="",M381=""),"",IF(SUMPRODUCT(($A$4:$A$500=A381)*($M$4:$M$500=M381)*($O$4:$O$500&lt;&gt;"")*(MOD($O$4:$O$500,1)&lt;MOD(O381,1)))=0,IF(MOD(O381,1)&lt;=TIME(8,15,0),"Ingreso adecuado primera hora","Atraso primera hora"),"No aplica")),"")</f>
        <v/>
      </c>
      <c r="Q381" s="27" t="n"/>
      <c r="R381" s="25" t="n"/>
      <c r="S381" s="25" t="n"/>
      <c r="T381" s="25" t="n"/>
      <c r="U381" s="25">
        <f>IFERROR(VLOOKUP(M381,'Horario Pabellones'!$A$4:$D$17,2,FALSE),"")</f>
        <v/>
      </c>
      <c r="V381" s="25">
        <f>IFERROR(VLOOKUP(M381,'Horario Pabellones'!$A$4:$D$17,3,FALSE),"")</f>
        <v/>
      </c>
      <c r="W381" s="99">
        <f>IFERROR(VLOOKUP(M381,'Horario Pabellones'!$A$4:$D$17,4,FALSE),"")</f>
        <v/>
      </c>
      <c r="X381" s="89">
        <f>IFERROR(IF(OR(A381="",M381="",W381=""),"",(((_xludf.AGGREGATE(14,6,MOD($S$4:$S$500,1)/(($A$4:$A$500=A381)*($M$4:$M$500=M381)*($R$4:$R$500&lt;&gt;"")*($S$4:$S$500&lt;&gt;"")),1)-_xludf.AGGREGATE(15,6,MOD($R$4:$R$500,1)/(($A$4:$A$500=A381)*($M$4:$M$500=M381)*($R$4:$R$500&lt;&gt;"")*($S$4:$S$500&lt;&gt;"")),1))*1440)/60)/(W381/60)),"")</f>
        <v/>
      </c>
      <c r="Y381" s="26">
        <f>IFERROR(IF(OR(O381="",A381="",M381=""),"",(IF(ISNUMBER(O381),MOD(O381,1),TIMEVALUE(O381))-LOOKUP(2,1/(($A$4:$A$500=A381)*($M$4:$M$500=M381)*($T$4:$T$500&lt;&gt;"")*($T$4:$T$500&lt;IF(ISNUMBER(O381),MOD(O381,1),TIMEVALUE(O381)))),$T$4:$T$500))*1440),"")</f>
        <v/>
      </c>
      <c r="Z381" s="27">
        <f>IFERROR(IF(Y381="","",IF(ROUND(Y381,0)&lt;=15,"Cumple","No cumple")),"")</f>
        <v/>
      </c>
      <c r="AA381" s="27" t="n"/>
      <c r="AB381" s="26">
        <f>IFERROR(IF(OR(O381="",R381=""),"",IF(IF(ISNUMBER(R381),MOD(R381,1),TIMEVALUE(R381))&gt;=IF(ISNUMBER(O381),MOD(O381,1),TIMEVALUE(O381)),(IF(ISNUMBER(R381),MOD(R381,1),TIMEVALUE(R381))-IF(ISNUMBER(O381),MOD(O381,1),TIMEVALUE(O381)))*1440,(IF(ISNUMBER(R381),MOD(R381,1),TIMEVALUE(R381))+1-IF(ISNUMBER(O381),MOD(O381,1),TIMEVALUE(O381)))*1440)),"")</f>
        <v/>
      </c>
      <c r="AC381" s="26">
        <f>IFERROR(IF(OR(R381="",S381=""),"",IF(IF(ISNUMBER(S381),MOD(S381,1),TIMEVALUE(S381))&gt;=IF(ISNUMBER(R381),MOD(R381,1),TIMEVALUE(R381)),(IF(ISNUMBER(S381),MOD(S381,1),TIMEVALUE(S381))-IF(ISNUMBER(R381),MOD(R381,1),TIMEVALUE(R381)))*1440,(IF(ISNUMBER(S381),MOD(S381,1),TIMEVALUE(S381))+1-IF(ISNUMBER(R381),MOD(R381,1),TIMEVALUE(R381)))*1440)),"")</f>
        <v/>
      </c>
      <c r="AD381" s="29" t="n"/>
      <c r="AE381" s="26">
        <f>IFERROR(IF(OR(AC381="",AD381=""),"",AC381-AD381),"")</f>
        <v/>
      </c>
      <c r="AF381" s="27">
        <f>IFERROR(IF(AE381="","",IF(ROUND(AE381,0)&gt;15,"Subestimacion",IF(ROUND(AE381,0)&lt;-15,"Sobrestimacion","Asertivo"))),"")</f>
        <v/>
      </c>
      <c r="AG381" s="19" t="n"/>
      <c r="AH381" s="19" t="n"/>
      <c r="AI381" s="19" t="n"/>
      <c r="AJ381" s="19" t="n"/>
      <c r="AK381" s="19" t="n"/>
      <c r="AL381" s="19" t="n"/>
      <c r="AM381" s="19" t="n"/>
      <c r="AN381" s="19" t="n"/>
      <c r="AO381" s="19" t="n"/>
      <c r="AP381" s="127">
        <f>IF(A381="","",A381-WEEKDAY(A381,2)+1)</f>
        <v/>
      </c>
      <c r="AQ381" s="127">
        <f>IF(AO381="","",AO381+6)</f>
        <v/>
      </c>
      <c r="AR381" s="19">
        <f>IF(AO381="","","Semana "&amp;TEXT(AO381,"dd-mm-yyyy")&amp;" al "&amp;TEXT(AP381,"dd-mm-yyyy"))</f>
        <v/>
      </c>
      <c r="AS381" s="19">
        <f>IF(A381="","",TEXT(A381,"mmmm yyyy"))</f>
        <v/>
      </c>
      <c r="AT381" s="19">
        <f>IF(A381="","",TEXT(A381,"dddd"))</f>
        <v/>
      </c>
      <c r="AU381" s="19">
        <f>IF(A381="","","CRR-"&amp;TEXT(A381,"yyyymmdd")&amp;"-"&amp;M381&amp;"-"&amp;TEXT(ROW()-3,"0000"))</f>
        <v/>
      </c>
      <c r="AV381" s="19">
        <f>IF(A381="","",IF(OR(B381="",C381="",E381="",F381="",M381="",N381=""),"Revisar campos obligatorios",IF(AND(P381="Atraso primera hora",Q381=""),"Falta justificación atraso primera hora",IF(AND(Z381="No cumple",AA381=""),"Falta justificación recambio &gt;15 min",IF(AND(ISNUMBER(SEARCH("suspend",N381)),OR(AG381="",AH381="")),"Falta causa/motivo suspensión","OK")))))</f>
        <v/>
      </c>
      <c r="AW381" s="19">
        <f>IF(N381="","",IF(ISNUMBER(SEARCH("suspend",N381)),IF(AND(AG381="",AH381=""),"Sin causa/motivo registrado",IF(AG381="",AH381,IF(AH381="",AG381,AG381&amp;": "&amp;AH381))),""))</f>
        <v/>
      </c>
    </row>
    <row r="382" ht="16" customHeight="1" s="151">
      <c r="A382" s="62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20">
        <f>IF(H382&lt;&gt;"",IFERROR(VLOOKUP(IFERROR(LEFT(H382,FIND("-",H382)-1),H382),'Catalogo MINSAL'!A:E,5,FALSE),""),IF(I382&lt;&gt;"",IFERROR(VLOOKUP(IFERROR(LEFT(I382,FIND("-",I382)-1),I382),'Catalogo MINSAL'!A:E,5,FALSE),""),""))</f>
        <v/>
      </c>
      <c r="K382" s="19" t="n"/>
      <c r="L382" s="19" t="n"/>
      <c r="M382" s="19" t="n"/>
      <c r="N382" s="19" t="n"/>
      <c r="O382" s="25" t="n"/>
      <c r="P382" s="27">
        <f>IFERROR(IF(OR(O382="",A382="",M382=""),"",IF(SUMPRODUCT(($A$4:$A$500=A382)*($M$4:$M$500=M382)*($O$4:$O$500&lt;&gt;"")*(MOD($O$4:$O$500,1)&lt;MOD(O382,1)))=0,IF(MOD(O382,1)&lt;=TIME(8,15,0),"Ingreso adecuado primera hora","Atraso primera hora"),"No aplica")),"")</f>
        <v/>
      </c>
      <c r="Q382" s="27" t="n"/>
      <c r="R382" s="25" t="n"/>
      <c r="S382" s="25" t="n"/>
      <c r="T382" s="25" t="n"/>
      <c r="U382" s="25">
        <f>IFERROR(VLOOKUP(M382,'Horario Pabellones'!$A$4:$D$17,2,FALSE),"")</f>
        <v/>
      </c>
      <c r="V382" s="25">
        <f>IFERROR(VLOOKUP(M382,'Horario Pabellones'!$A$4:$D$17,3,FALSE),"")</f>
        <v/>
      </c>
      <c r="W382" s="99">
        <f>IFERROR(VLOOKUP(M382,'Horario Pabellones'!$A$4:$D$17,4,FALSE),"")</f>
        <v/>
      </c>
      <c r="X382" s="89">
        <f>IFERROR(IF(OR(A382="",M382="",W382=""),"",(((_xludf.AGGREGATE(14,6,MOD($S$4:$S$500,1)/(($A$4:$A$500=A382)*($M$4:$M$500=M382)*($R$4:$R$500&lt;&gt;"")*($S$4:$S$500&lt;&gt;"")),1)-_xludf.AGGREGATE(15,6,MOD($R$4:$R$500,1)/(($A$4:$A$500=A382)*($M$4:$M$500=M382)*($R$4:$R$500&lt;&gt;"")*($S$4:$S$500&lt;&gt;"")),1))*1440)/60)/(W382/60)),"")</f>
        <v/>
      </c>
      <c r="Y382" s="26">
        <f>IFERROR(IF(OR(O382="",A382="",M382=""),"",(IF(ISNUMBER(O382),MOD(O382,1),TIMEVALUE(O382))-LOOKUP(2,1/(($A$4:$A$500=A382)*($M$4:$M$500=M382)*($T$4:$T$500&lt;&gt;"")*($T$4:$T$500&lt;IF(ISNUMBER(O382),MOD(O382,1),TIMEVALUE(O382)))),$T$4:$T$500))*1440),"")</f>
        <v/>
      </c>
      <c r="Z382" s="27">
        <f>IFERROR(IF(Y382="","",IF(ROUND(Y382,0)&lt;=15,"Cumple","No cumple")),"")</f>
        <v/>
      </c>
      <c r="AA382" s="27" t="n"/>
      <c r="AB382" s="26">
        <f>IFERROR(IF(OR(O382="",R382=""),"",IF(IF(ISNUMBER(R382),MOD(R382,1),TIMEVALUE(R382))&gt;=IF(ISNUMBER(O382),MOD(O382,1),TIMEVALUE(O382)),(IF(ISNUMBER(R382),MOD(R382,1),TIMEVALUE(R382))-IF(ISNUMBER(O382),MOD(O382,1),TIMEVALUE(O382)))*1440,(IF(ISNUMBER(R382),MOD(R382,1),TIMEVALUE(R382))+1-IF(ISNUMBER(O382),MOD(O382,1),TIMEVALUE(O382)))*1440)),"")</f>
        <v/>
      </c>
      <c r="AC382" s="26">
        <f>IFERROR(IF(OR(R382="",S382=""),"",IF(IF(ISNUMBER(S382),MOD(S382,1),TIMEVALUE(S382))&gt;=IF(ISNUMBER(R382),MOD(R382,1),TIMEVALUE(R382)),(IF(ISNUMBER(S382),MOD(S382,1),TIMEVALUE(S382))-IF(ISNUMBER(R382),MOD(R382,1),TIMEVALUE(R382)))*1440,(IF(ISNUMBER(S382),MOD(S382,1),TIMEVALUE(S382))+1-IF(ISNUMBER(R382),MOD(R382,1),TIMEVALUE(R382)))*1440)),"")</f>
        <v/>
      </c>
      <c r="AD382" s="29" t="n"/>
      <c r="AE382" s="26">
        <f>IFERROR(IF(OR(AC382="",AD382=""),"",AC382-AD382),"")</f>
        <v/>
      </c>
      <c r="AF382" s="27">
        <f>IFERROR(IF(AE382="","",IF(ROUND(AE382,0)&gt;15,"Subestimacion",IF(ROUND(AE382,0)&lt;-15,"Sobrestimacion","Asertivo"))),"")</f>
        <v/>
      </c>
      <c r="AG382" s="19" t="n"/>
      <c r="AH382" s="19" t="n"/>
      <c r="AI382" s="19" t="n"/>
      <c r="AJ382" s="19" t="n"/>
      <c r="AK382" s="19" t="n"/>
      <c r="AL382" s="19" t="n"/>
      <c r="AM382" s="19" t="n"/>
      <c r="AN382" s="19" t="n"/>
      <c r="AO382" s="19" t="n"/>
      <c r="AP382" s="127">
        <f>IF(A382="","",A382-WEEKDAY(A382,2)+1)</f>
        <v/>
      </c>
      <c r="AQ382" s="127">
        <f>IF(AO382="","",AO382+6)</f>
        <v/>
      </c>
      <c r="AR382" s="19">
        <f>IF(AO382="","","Semana "&amp;TEXT(AO382,"dd-mm-yyyy")&amp;" al "&amp;TEXT(AP382,"dd-mm-yyyy"))</f>
        <v/>
      </c>
      <c r="AS382" s="19">
        <f>IF(A382="","",TEXT(A382,"mmmm yyyy"))</f>
        <v/>
      </c>
      <c r="AT382" s="19">
        <f>IF(A382="","",TEXT(A382,"dddd"))</f>
        <v/>
      </c>
      <c r="AU382" s="19">
        <f>IF(A382="","","CRR-"&amp;TEXT(A382,"yyyymmdd")&amp;"-"&amp;M382&amp;"-"&amp;TEXT(ROW()-3,"0000"))</f>
        <v/>
      </c>
      <c r="AV382" s="19">
        <f>IF(A382="","",IF(OR(B382="",C382="",E382="",F382="",M382="",N382=""),"Revisar campos obligatorios",IF(AND(P382="Atraso primera hora",Q382=""),"Falta justificación atraso primera hora",IF(AND(Z382="No cumple",AA382=""),"Falta justificación recambio &gt;15 min",IF(AND(ISNUMBER(SEARCH("suspend",N382)),OR(AG382="",AH382="")),"Falta causa/motivo suspensión","OK")))))</f>
        <v/>
      </c>
      <c r="AW382" s="19">
        <f>IF(N382="","",IF(ISNUMBER(SEARCH("suspend",N382)),IF(AND(AG382="",AH382=""),"Sin causa/motivo registrado",IF(AG382="",AH382,IF(AH382="",AG382,AG382&amp;": "&amp;AH382))),""))</f>
        <v/>
      </c>
    </row>
    <row r="383" ht="16" customHeight="1" s="151">
      <c r="A383" s="62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20">
        <f>IF(H383&lt;&gt;"",IFERROR(VLOOKUP(IFERROR(LEFT(H383,FIND("-",H383)-1),H383),'Catalogo MINSAL'!A:E,5,FALSE),""),IF(I383&lt;&gt;"",IFERROR(VLOOKUP(IFERROR(LEFT(I383,FIND("-",I383)-1),I383),'Catalogo MINSAL'!A:E,5,FALSE),""),""))</f>
        <v/>
      </c>
      <c r="K383" s="19" t="n"/>
      <c r="L383" s="19" t="n"/>
      <c r="M383" s="19" t="n"/>
      <c r="N383" s="19" t="n"/>
      <c r="O383" s="25" t="n"/>
      <c r="P383" s="27">
        <f>IFERROR(IF(OR(O383="",A383="",M383=""),"",IF(SUMPRODUCT(($A$4:$A$500=A383)*($M$4:$M$500=M383)*($O$4:$O$500&lt;&gt;"")*(MOD($O$4:$O$500,1)&lt;MOD(O383,1)))=0,IF(MOD(O383,1)&lt;=TIME(8,15,0),"Ingreso adecuado primera hora","Atraso primera hora"),"No aplica")),"")</f>
        <v/>
      </c>
      <c r="Q383" s="27" t="n"/>
      <c r="R383" s="25" t="n"/>
      <c r="S383" s="25" t="n"/>
      <c r="T383" s="25" t="n"/>
      <c r="U383" s="25">
        <f>IFERROR(VLOOKUP(M383,'Horario Pabellones'!$A$4:$D$17,2,FALSE),"")</f>
        <v/>
      </c>
      <c r="V383" s="25">
        <f>IFERROR(VLOOKUP(M383,'Horario Pabellones'!$A$4:$D$17,3,FALSE),"")</f>
        <v/>
      </c>
      <c r="W383" s="99">
        <f>IFERROR(VLOOKUP(M383,'Horario Pabellones'!$A$4:$D$17,4,FALSE),"")</f>
        <v/>
      </c>
      <c r="X383" s="89">
        <f>IFERROR(IF(OR(A383="",M383="",W383=""),"",(((_xludf.AGGREGATE(14,6,MOD($S$4:$S$500,1)/(($A$4:$A$500=A383)*($M$4:$M$500=M383)*($R$4:$R$500&lt;&gt;"")*($S$4:$S$500&lt;&gt;"")),1)-_xludf.AGGREGATE(15,6,MOD($R$4:$R$500,1)/(($A$4:$A$500=A383)*($M$4:$M$500=M383)*($R$4:$R$500&lt;&gt;"")*($S$4:$S$500&lt;&gt;"")),1))*1440)/60)/(W383/60)),"")</f>
        <v/>
      </c>
      <c r="Y383" s="26">
        <f>IFERROR(IF(OR(O383="",A383="",M383=""),"",(IF(ISNUMBER(O383),MOD(O383,1),TIMEVALUE(O383))-LOOKUP(2,1/(($A$4:$A$500=A383)*($M$4:$M$500=M383)*($T$4:$T$500&lt;&gt;"")*($T$4:$T$500&lt;IF(ISNUMBER(O383),MOD(O383,1),TIMEVALUE(O383)))),$T$4:$T$500))*1440),"")</f>
        <v/>
      </c>
      <c r="Z383" s="27">
        <f>IFERROR(IF(Y383="","",IF(ROUND(Y383,0)&lt;=15,"Cumple","No cumple")),"")</f>
        <v/>
      </c>
      <c r="AA383" s="27" t="n"/>
      <c r="AB383" s="26">
        <f>IFERROR(IF(OR(O383="",R383=""),"",IF(IF(ISNUMBER(R383),MOD(R383,1),TIMEVALUE(R383))&gt;=IF(ISNUMBER(O383),MOD(O383,1),TIMEVALUE(O383)),(IF(ISNUMBER(R383),MOD(R383,1),TIMEVALUE(R383))-IF(ISNUMBER(O383),MOD(O383,1),TIMEVALUE(O383)))*1440,(IF(ISNUMBER(R383),MOD(R383,1),TIMEVALUE(R383))+1-IF(ISNUMBER(O383),MOD(O383,1),TIMEVALUE(O383)))*1440)),"")</f>
        <v/>
      </c>
      <c r="AC383" s="26">
        <f>IFERROR(IF(OR(R383="",S383=""),"",IF(IF(ISNUMBER(S383),MOD(S383,1),TIMEVALUE(S383))&gt;=IF(ISNUMBER(R383),MOD(R383,1),TIMEVALUE(R383)),(IF(ISNUMBER(S383),MOD(S383,1),TIMEVALUE(S383))-IF(ISNUMBER(R383),MOD(R383,1),TIMEVALUE(R383)))*1440,(IF(ISNUMBER(S383),MOD(S383,1),TIMEVALUE(S383))+1-IF(ISNUMBER(R383),MOD(R383,1),TIMEVALUE(R383)))*1440)),"")</f>
        <v/>
      </c>
      <c r="AD383" s="29" t="n"/>
      <c r="AE383" s="26">
        <f>IFERROR(IF(OR(AC383="",AD383=""),"",AC383-AD383),"")</f>
        <v/>
      </c>
      <c r="AF383" s="27">
        <f>IFERROR(IF(AE383="","",IF(ROUND(AE383,0)&gt;15,"Subestimacion",IF(ROUND(AE383,0)&lt;-15,"Sobrestimacion","Asertivo"))),"")</f>
        <v/>
      </c>
      <c r="AG383" s="19" t="n"/>
      <c r="AH383" s="19" t="n"/>
      <c r="AI383" s="19" t="n"/>
      <c r="AJ383" s="19" t="n"/>
      <c r="AK383" s="19" t="n"/>
      <c r="AL383" s="19" t="n"/>
      <c r="AM383" s="19" t="n"/>
      <c r="AN383" s="19" t="n"/>
      <c r="AO383" s="19" t="n"/>
      <c r="AP383" s="127">
        <f>IF(A383="","",A383-WEEKDAY(A383,2)+1)</f>
        <v/>
      </c>
      <c r="AQ383" s="127">
        <f>IF(AO383="","",AO383+6)</f>
        <v/>
      </c>
      <c r="AR383" s="19">
        <f>IF(AO383="","","Semana "&amp;TEXT(AO383,"dd-mm-yyyy")&amp;" al "&amp;TEXT(AP383,"dd-mm-yyyy"))</f>
        <v/>
      </c>
      <c r="AS383" s="19">
        <f>IF(A383="","",TEXT(A383,"mmmm yyyy"))</f>
        <v/>
      </c>
      <c r="AT383" s="19">
        <f>IF(A383="","",TEXT(A383,"dddd"))</f>
        <v/>
      </c>
      <c r="AU383" s="19">
        <f>IF(A383="","","CRR-"&amp;TEXT(A383,"yyyymmdd")&amp;"-"&amp;M383&amp;"-"&amp;TEXT(ROW()-3,"0000"))</f>
        <v/>
      </c>
      <c r="AV383" s="19">
        <f>IF(A383="","",IF(OR(B383="",C383="",E383="",F383="",M383="",N383=""),"Revisar campos obligatorios",IF(AND(P383="Atraso primera hora",Q383=""),"Falta justificación atraso primera hora",IF(AND(Z383="No cumple",AA383=""),"Falta justificación recambio &gt;15 min",IF(AND(ISNUMBER(SEARCH("suspend",N383)),OR(AG383="",AH383="")),"Falta causa/motivo suspensión","OK")))))</f>
        <v/>
      </c>
      <c r="AW383" s="19">
        <f>IF(N383="","",IF(ISNUMBER(SEARCH("suspend",N383)),IF(AND(AG383="",AH383=""),"Sin causa/motivo registrado",IF(AG383="",AH383,IF(AH383="",AG383,AG383&amp;": "&amp;AH383))),""))</f>
        <v/>
      </c>
    </row>
    <row r="384" ht="16" customHeight="1" s="151">
      <c r="A384" s="62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20">
        <f>IF(H384&lt;&gt;"",IFERROR(VLOOKUP(IFERROR(LEFT(H384,FIND("-",H384)-1),H384),'Catalogo MINSAL'!A:E,5,FALSE),""),IF(I384&lt;&gt;"",IFERROR(VLOOKUP(IFERROR(LEFT(I384,FIND("-",I384)-1),I384),'Catalogo MINSAL'!A:E,5,FALSE),""),""))</f>
        <v/>
      </c>
      <c r="K384" s="19" t="n"/>
      <c r="L384" s="19" t="n"/>
      <c r="M384" s="19" t="n"/>
      <c r="N384" s="19" t="n"/>
      <c r="O384" s="25" t="n"/>
      <c r="P384" s="27">
        <f>IFERROR(IF(OR(O384="",A384="",M384=""),"",IF(SUMPRODUCT(($A$4:$A$500=A384)*($M$4:$M$500=M384)*($O$4:$O$500&lt;&gt;"")*(MOD($O$4:$O$500,1)&lt;MOD(O384,1)))=0,IF(MOD(O384,1)&lt;=TIME(8,15,0),"Ingreso adecuado primera hora","Atraso primera hora"),"No aplica")),"")</f>
        <v/>
      </c>
      <c r="Q384" s="27" t="n"/>
      <c r="R384" s="25" t="n"/>
      <c r="S384" s="25" t="n"/>
      <c r="T384" s="25" t="n"/>
      <c r="U384" s="25">
        <f>IFERROR(VLOOKUP(M384,'Horario Pabellones'!$A$4:$D$17,2,FALSE),"")</f>
        <v/>
      </c>
      <c r="V384" s="25">
        <f>IFERROR(VLOOKUP(M384,'Horario Pabellones'!$A$4:$D$17,3,FALSE),"")</f>
        <v/>
      </c>
      <c r="W384" s="99">
        <f>IFERROR(VLOOKUP(M384,'Horario Pabellones'!$A$4:$D$17,4,FALSE),"")</f>
        <v/>
      </c>
      <c r="X384" s="89">
        <f>IFERROR(IF(OR(A384="",M384="",W384=""),"",(((_xludf.AGGREGATE(14,6,MOD($S$4:$S$500,1)/(($A$4:$A$500=A384)*($M$4:$M$500=M384)*($R$4:$R$500&lt;&gt;"")*($S$4:$S$500&lt;&gt;"")),1)-_xludf.AGGREGATE(15,6,MOD($R$4:$R$500,1)/(($A$4:$A$500=A384)*($M$4:$M$500=M384)*($R$4:$R$500&lt;&gt;"")*($S$4:$S$500&lt;&gt;"")),1))*1440)/60)/(W384/60)),"")</f>
        <v/>
      </c>
      <c r="Y384" s="26">
        <f>IFERROR(IF(OR(O384="",A384="",M384=""),"",(IF(ISNUMBER(O384),MOD(O384,1),TIMEVALUE(O384))-LOOKUP(2,1/(($A$4:$A$500=A384)*($M$4:$M$500=M384)*($T$4:$T$500&lt;&gt;"")*($T$4:$T$500&lt;IF(ISNUMBER(O384),MOD(O384,1),TIMEVALUE(O384)))),$T$4:$T$500))*1440),"")</f>
        <v/>
      </c>
      <c r="Z384" s="27">
        <f>IFERROR(IF(Y384="","",IF(ROUND(Y384,0)&lt;=15,"Cumple","No cumple")),"")</f>
        <v/>
      </c>
      <c r="AA384" s="27" t="n"/>
      <c r="AB384" s="26">
        <f>IFERROR(IF(OR(O384="",R384=""),"",IF(IF(ISNUMBER(R384),MOD(R384,1),TIMEVALUE(R384))&gt;=IF(ISNUMBER(O384),MOD(O384,1),TIMEVALUE(O384)),(IF(ISNUMBER(R384),MOD(R384,1),TIMEVALUE(R384))-IF(ISNUMBER(O384),MOD(O384,1),TIMEVALUE(O384)))*1440,(IF(ISNUMBER(R384),MOD(R384,1),TIMEVALUE(R384))+1-IF(ISNUMBER(O384),MOD(O384,1),TIMEVALUE(O384)))*1440)),"")</f>
        <v/>
      </c>
      <c r="AC384" s="26">
        <f>IFERROR(IF(OR(R384="",S384=""),"",IF(IF(ISNUMBER(S384),MOD(S384,1),TIMEVALUE(S384))&gt;=IF(ISNUMBER(R384),MOD(R384,1),TIMEVALUE(R384)),(IF(ISNUMBER(S384),MOD(S384,1),TIMEVALUE(S384))-IF(ISNUMBER(R384),MOD(R384,1),TIMEVALUE(R384)))*1440,(IF(ISNUMBER(S384),MOD(S384,1),TIMEVALUE(S384))+1-IF(ISNUMBER(R384),MOD(R384,1),TIMEVALUE(R384)))*1440)),"")</f>
        <v/>
      </c>
      <c r="AD384" s="29" t="n"/>
      <c r="AE384" s="26">
        <f>IFERROR(IF(OR(AC384="",AD384=""),"",AC384-AD384),"")</f>
        <v/>
      </c>
      <c r="AF384" s="27">
        <f>IFERROR(IF(AE384="","",IF(ROUND(AE384,0)&gt;15,"Subestimacion",IF(ROUND(AE384,0)&lt;-15,"Sobrestimacion","Asertivo"))),"")</f>
        <v/>
      </c>
      <c r="AG384" s="19" t="n"/>
      <c r="AH384" s="19" t="n"/>
      <c r="AI384" s="19" t="n"/>
      <c r="AJ384" s="19" t="n"/>
      <c r="AK384" s="19" t="n"/>
      <c r="AL384" s="19" t="n"/>
      <c r="AM384" s="19" t="n"/>
      <c r="AN384" s="19" t="n"/>
      <c r="AO384" s="19" t="n"/>
      <c r="AP384" s="127">
        <f>IF(A384="","",A384-WEEKDAY(A384,2)+1)</f>
        <v/>
      </c>
      <c r="AQ384" s="127">
        <f>IF(AO384="","",AO384+6)</f>
        <v/>
      </c>
      <c r="AR384" s="19">
        <f>IF(AO384="","","Semana "&amp;TEXT(AO384,"dd-mm-yyyy")&amp;" al "&amp;TEXT(AP384,"dd-mm-yyyy"))</f>
        <v/>
      </c>
      <c r="AS384" s="19">
        <f>IF(A384="","",TEXT(A384,"mmmm yyyy"))</f>
        <v/>
      </c>
      <c r="AT384" s="19">
        <f>IF(A384="","",TEXT(A384,"dddd"))</f>
        <v/>
      </c>
      <c r="AU384" s="19">
        <f>IF(A384="","","CRR-"&amp;TEXT(A384,"yyyymmdd")&amp;"-"&amp;M384&amp;"-"&amp;TEXT(ROW()-3,"0000"))</f>
        <v/>
      </c>
      <c r="AV384" s="19">
        <f>IF(A384="","",IF(OR(B384="",C384="",E384="",F384="",M384="",N384=""),"Revisar campos obligatorios",IF(AND(P384="Atraso primera hora",Q384=""),"Falta justificación atraso primera hora",IF(AND(Z384="No cumple",AA384=""),"Falta justificación recambio &gt;15 min",IF(AND(ISNUMBER(SEARCH("suspend",N384)),OR(AG384="",AH384="")),"Falta causa/motivo suspensión","OK")))))</f>
        <v/>
      </c>
      <c r="AW384" s="19">
        <f>IF(N384="","",IF(ISNUMBER(SEARCH("suspend",N384)),IF(AND(AG384="",AH384=""),"Sin causa/motivo registrado",IF(AG384="",AH384,IF(AH384="",AG384,AG384&amp;": "&amp;AH384))),""))</f>
        <v/>
      </c>
    </row>
    <row r="385" ht="16" customHeight="1" s="151">
      <c r="A385" s="62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20">
        <f>IF(H385&lt;&gt;"",IFERROR(VLOOKUP(IFERROR(LEFT(H385,FIND("-",H385)-1),H385),'Catalogo MINSAL'!A:E,5,FALSE),""),IF(I385&lt;&gt;"",IFERROR(VLOOKUP(IFERROR(LEFT(I385,FIND("-",I385)-1),I385),'Catalogo MINSAL'!A:E,5,FALSE),""),""))</f>
        <v/>
      </c>
      <c r="K385" s="19" t="n"/>
      <c r="L385" s="19" t="n"/>
      <c r="M385" s="19" t="n"/>
      <c r="N385" s="19" t="n"/>
      <c r="O385" s="25" t="n"/>
      <c r="P385" s="27">
        <f>IFERROR(IF(OR(O385="",A385="",M385=""),"",IF(SUMPRODUCT(($A$4:$A$500=A385)*($M$4:$M$500=M385)*($O$4:$O$500&lt;&gt;"")*(MOD($O$4:$O$500,1)&lt;MOD(O385,1)))=0,IF(MOD(O385,1)&lt;=TIME(8,15,0),"Ingreso adecuado primera hora","Atraso primera hora"),"No aplica")),"")</f>
        <v/>
      </c>
      <c r="Q385" s="27" t="n"/>
      <c r="R385" s="25" t="n"/>
      <c r="S385" s="25" t="n"/>
      <c r="T385" s="25" t="n"/>
      <c r="U385" s="25">
        <f>IFERROR(VLOOKUP(M385,'Horario Pabellones'!$A$4:$D$17,2,FALSE),"")</f>
        <v/>
      </c>
      <c r="V385" s="25">
        <f>IFERROR(VLOOKUP(M385,'Horario Pabellones'!$A$4:$D$17,3,FALSE),"")</f>
        <v/>
      </c>
      <c r="W385" s="99">
        <f>IFERROR(VLOOKUP(M385,'Horario Pabellones'!$A$4:$D$17,4,FALSE),"")</f>
        <v/>
      </c>
      <c r="X385" s="89">
        <f>IFERROR(IF(OR(A385="",M385="",W385=""),"",(((_xludf.AGGREGATE(14,6,MOD($S$4:$S$500,1)/(($A$4:$A$500=A385)*($M$4:$M$500=M385)*($R$4:$R$500&lt;&gt;"")*($S$4:$S$500&lt;&gt;"")),1)-_xludf.AGGREGATE(15,6,MOD($R$4:$R$500,1)/(($A$4:$A$500=A385)*($M$4:$M$500=M385)*($R$4:$R$500&lt;&gt;"")*($S$4:$S$500&lt;&gt;"")),1))*1440)/60)/(W385/60)),"")</f>
        <v/>
      </c>
      <c r="Y385" s="26">
        <f>IFERROR(IF(OR(O385="",A385="",M385=""),"",(IF(ISNUMBER(O385),MOD(O385,1),TIMEVALUE(O385))-LOOKUP(2,1/(($A$4:$A$500=A385)*($M$4:$M$500=M385)*($T$4:$T$500&lt;&gt;"")*($T$4:$T$500&lt;IF(ISNUMBER(O385),MOD(O385,1),TIMEVALUE(O385)))),$T$4:$T$500))*1440),"")</f>
        <v/>
      </c>
      <c r="Z385" s="27">
        <f>IFERROR(IF(Y385="","",IF(ROUND(Y385,0)&lt;=15,"Cumple","No cumple")),"")</f>
        <v/>
      </c>
      <c r="AA385" s="27" t="n"/>
      <c r="AB385" s="26">
        <f>IFERROR(IF(OR(O385="",R385=""),"",IF(IF(ISNUMBER(R385),MOD(R385,1),TIMEVALUE(R385))&gt;=IF(ISNUMBER(O385),MOD(O385,1),TIMEVALUE(O385)),(IF(ISNUMBER(R385),MOD(R385,1),TIMEVALUE(R385))-IF(ISNUMBER(O385),MOD(O385,1),TIMEVALUE(O385)))*1440,(IF(ISNUMBER(R385),MOD(R385,1),TIMEVALUE(R385))+1-IF(ISNUMBER(O385),MOD(O385,1),TIMEVALUE(O385)))*1440)),"")</f>
        <v/>
      </c>
      <c r="AC385" s="26">
        <f>IFERROR(IF(OR(R385="",S385=""),"",IF(IF(ISNUMBER(S385),MOD(S385,1),TIMEVALUE(S385))&gt;=IF(ISNUMBER(R385),MOD(R385,1),TIMEVALUE(R385)),(IF(ISNUMBER(S385),MOD(S385,1),TIMEVALUE(S385))-IF(ISNUMBER(R385),MOD(R385,1),TIMEVALUE(R385)))*1440,(IF(ISNUMBER(S385),MOD(S385,1),TIMEVALUE(S385))+1-IF(ISNUMBER(R385),MOD(R385,1),TIMEVALUE(R385)))*1440)),"")</f>
        <v/>
      </c>
      <c r="AD385" s="29" t="n"/>
      <c r="AE385" s="26">
        <f>IFERROR(IF(OR(AC385="",AD385=""),"",AC385-AD385),"")</f>
        <v/>
      </c>
      <c r="AF385" s="27">
        <f>IFERROR(IF(AE385="","",IF(ROUND(AE385,0)&gt;15,"Subestimacion",IF(ROUND(AE385,0)&lt;-15,"Sobrestimacion","Asertivo"))),"")</f>
        <v/>
      </c>
      <c r="AG385" s="19" t="n"/>
      <c r="AH385" s="19" t="n"/>
      <c r="AI385" s="19" t="n"/>
      <c r="AJ385" s="19" t="n"/>
      <c r="AK385" s="19" t="n"/>
      <c r="AL385" s="19" t="n"/>
      <c r="AM385" s="19" t="n"/>
      <c r="AN385" s="19" t="n"/>
      <c r="AO385" s="19" t="n"/>
      <c r="AP385" s="127">
        <f>IF(A385="","",A385-WEEKDAY(A385,2)+1)</f>
        <v/>
      </c>
      <c r="AQ385" s="127">
        <f>IF(AO385="","",AO385+6)</f>
        <v/>
      </c>
      <c r="AR385" s="19">
        <f>IF(AO385="","","Semana "&amp;TEXT(AO385,"dd-mm-yyyy")&amp;" al "&amp;TEXT(AP385,"dd-mm-yyyy"))</f>
        <v/>
      </c>
      <c r="AS385" s="19">
        <f>IF(A385="","",TEXT(A385,"mmmm yyyy"))</f>
        <v/>
      </c>
      <c r="AT385" s="19">
        <f>IF(A385="","",TEXT(A385,"dddd"))</f>
        <v/>
      </c>
      <c r="AU385" s="19">
        <f>IF(A385="","","CRR-"&amp;TEXT(A385,"yyyymmdd")&amp;"-"&amp;M385&amp;"-"&amp;TEXT(ROW()-3,"0000"))</f>
        <v/>
      </c>
      <c r="AV385" s="19">
        <f>IF(A385="","",IF(OR(B385="",C385="",E385="",F385="",M385="",N385=""),"Revisar campos obligatorios",IF(AND(P385="Atraso primera hora",Q385=""),"Falta justificación atraso primera hora",IF(AND(Z385="No cumple",AA385=""),"Falta justificación recambio &gt;15 min",IF(AND(ISNUMBER(SEARCH("suspend",N385)),OR(AG385="",AH385="")),"Falta causa/motivo suspensión","OK")))))</f>
        <v/>
      </c>
      <c r="AW385" s="19">
        <f>IF(N385="","",IF(ISNUMBER(SEARCH("suspend",N385)),IF(AND(AG385="",AH385=""),"Sin causa/motivo registrado",IF(AG385="",AH385,IF(AH385="",AG385,AG385&amp;": "&amp;AH385))),""))</f>
        <v/>
      </c>
    </row>
    <row r="386" ht="16" customHeight="1" s="151">
      <c r="A386" s="62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20">
        <f>IF(H386&lt;&gt;"",IFERROR(VLOOKUP(IFERROR(LEFT(H386,FIND("-",H386)-1),H386),'Catalogo MINSAL'!A:E,5,FALSE),""),IF(I386&lt;&gt;"",IFERROR(VLOOKUP(IFERROR(LEFT(I386,FIND("-",I386)-1),I386),'Catalogo MINSAL'!A:E,5,FALSE),""),""))</f>
        <v/>
      </c>
      <c r="K386" s="19" t="n"/>
      <c r="L386" s="19" t="n"/>
      <c r="M386" s="19" t="n"/>
      <c r="N386" s="19" t="n"/>
      <c r="O386" s="25" t="n"/>
      <c r="P386" s="27">
        <f>IFERROR(IF(OR(O386="",A386="",M386=""),"",IF(SUMPRODUCT(($A$4:$A$500=A386)*($M$4:$M$500=M386)*($O$4:$O$500&lt;&gt;"")*(MOD($O$4:$O$500,1)&lt;MOD(O386,1)))=0,IF(MOD(O386,1)&lt;=TIME(8,15,0),"Ingreso adecuado primera hora","Atraso primera hora"),"No aplica")),"")</f>
        <v/>
      </c>
      <c r="Q386" s="27" t="n"/>
      <c r="R386" s="25" t="n"/>
      <c r="S386" s="25" t="n"/>
      <c r="T386" s="25" t="n"/>
      <c r="U386" s="25">
        <f>IFERROR(VLOOKUP(M386,'Horario Pabellones'!$A$4:$D$17,2,FALSE),"")</f>
        <v/>
      </c>
      <c r="V386" s="25">
        <f>IFERROR(VLOOKUP(M386,'Horario Pabellones'!$A$4:$D$17,3,FALSE),"")</f>
        <v/>
      </c>
      <c r="W386" s="99">
        <f>IFERROR(VLOOKUP(M386,'Horario Pabellones'!$A$4:$D$17,4,FALSE),"")</f>
        <v/>
      </c>
      <c r="X386" s="89">
        <f>IFERROR(IF(OR(A386="",M386="",W386=""),"",(((_xludf.AGGREGATE(14,6,MOD($S$4:$S$500,1)/(($A$4:$A$500=A386)*($M$4:$M$500=M386)*($R$4:$R$500&lt;&gt;"")*($S$4:$S$500&lt;&gt;"")),1)-_xludf.AGGREGATE(15,6,MOD($R$4:$R$500,1)/(($A$4:$A$500=A386)*($M$4:$M$500=M386)*($R$4:$R$500&lt;&gt;"")*($S$4:$S$500&lt;&gt;"")),1))*1440)/60)/(W386/60)),"")</f>
        <v/>
      </c>
      <c r="Y386" s="26">
        <f>IFERROR(IF(OR(O386="",A386="",M386=""),"",(IF(ISNUMBER(O386),MOD(O386,1),TIMEVALUE(O386))-LOOKUP(2,1/(($A$4:$A$500=A386)*($M$4:$M$500=M386)*($T$4:$T$500&lt;&gt;"")*($T$4:$T$500&lt;IF(ISNUMBER(O386),MOD(O386,1),TIMEVALUE(O386)))),$T$4:$T$500))*1440),"")</f>
        <v/>
      </c>
      <c r="Z386" s="27">
        <f>IFERROR(IF(Y386="","",IF(ROUND(Y386,0)&lt;=15,"Cumple","No cumple")),"")</f>
        <v/>
      </c>
      <c r="AA386" s="27" t="n"/>
      <c r="AB386" s="26">
        <f>IFERROR(IF(OR(O386="",R386=""),"",IF(IF(ISNUMBER(R386),MOD(R386,1),TIMEVALUE(R386))&gt;=IF(ISNUMBER(O386),MOD(O386,1),TIMEVALUE(O386)),(IF(ISNUMBER(R386),MOD(R386,1),TIMEVALUE(R386))-IF(ISNUMBER(O386),MOD(O386,1),TIMEVALUE(O386)))*1440,(IF(ISNUMBER(R386),MOD(R386,1),TIMEVALUE(R386))+1-IF(ISNUMBER(O386),MOD(O386,1),TIMEVALUE(O386)))*1440)),"")</f>
        <v/>
      </c>
      <c r="AC386" s="26">
        <f>IFERROR(IF(OR(R386="",S386=""),"",IF(IF(ISNUMBER(S386),MOD(S386,1),TIMEVALUE(S386))&gt;=IF(ISNUMBER(R386),MOD(R386,1),TIMEVALUE(R386)),(IF(ISNUMBER(S386),MOD(S386,1),TIMEVALUE(S386))-IF(ISNUMBER(R386),MOD(R386,1),TIMEVALUE(R386)))*1440,(IF(ISNUMBER(S386),MOD(S386,1),TIMEVALUE(S386))+1-IF(ISNUMBER(R386),MOD(R386,1),TIMEVALUE(R386)))*1440)),"")</f>
        <v/>
      </c>
      <c r="AD386" s="29" t="n"/>
      <c r="AE386" s="26">
        <f>IFERROR(IF(OR(AC386="",AD386=""),"",AC386-AD386),"")</f>
        <v/>
      </c>
      <c r="AF386" s="27">
        <f>IFERROR(IF(AE386="","",IF(ROUND(AE386,0)&gt;15,"Subestimacion",IF(ROUND(AE386,0)&lt;-15,"Sobrestimacion","Asertivo"))),"")</f>
        <v/>
      </c>
      <c r="AG386" s="19" t="n"/>
      <c r="AH386" s="19" t="n"/>
      <c r="AI386" s="19" t="n"/>
      <c r="AJ386" s="19" t="n"/>
      <c r="AK386" s="19" t="n"/>
      <c r="AL386" s="19" t="n"/>
      <c r="AM386" s="19" t="n"/>
      <c r="AN386" s="19" t="n"/>
      <c r="AO386" s="19" t="n"/>
      <c r="AP386" s="127">
        <f>IF(A386="","",A386-WEEKDAY(A386,2)+1)</f>
        <v/>
      </c>
      <c r="AQ386" s="127">
        <f>IF(AO386="","",AO386+6)</f>
        <v/>
      </c>
      <c r="AR386" s="19">
        <f>IF(AO386="","","Semana "&amp;TEXT(AO386,"dd-mm-yyyy")&amp;" al "&amp;TEXT(AP386,"dd-mm-yyyy"))</f>
        <v/>
      </c>
      <c r="AS386" s="19">
        <f>IF(A386="","",TEXT(A386,"mmmm yyyy"))</f>
        <v/>
      </c>
      <c r="AT386" s="19">
        <f>IF(A386="","",TEXT(A386,"dddd"))</f>
        <v/>
      </c>
      <c r="AU386" s="19">
        <f>IF(A386="","","CRR-"&amp;TEXT(A386,"yyyymmdd")&amp;"-"&amp;M386&amp;"-"&amp;TEXT(ROW()-3,"0000"))</f>
        <v/>
      </c>
      <c r="AV386" s="19">
        <f>IF(A386="","",IF(OR(B386="",C386="",E386="",F386="",M386="",N386=""),"Revisar campos obligatorios",IF(AND(P386="Atraso primera hora",Q386=""),"Falta justificación atraso primera hora",IF(AND(Z386="No cumple",AA386=""),"Falta justificación recambio &gt;15 min",IF(AND(ISNUMBER(SEARCH("suspend",N386)),OR(AG386="",AH386="")),"Falta causa/motivo suspensión","OK")))))</f>
        <v/>
      </c>
      <c r="AW386" s="19">
        <f>IF(N386="","",IF(ISNUMBER(SEARCH("suspend",N386)),IF(AND(AG386="",AH386=""),"Sin causa/motivo registrado",IF(AG386="",AH386,IF(AH386="",AG386,AG386&amp;": "&amp;AH386))),""))</f>
        <v/>
      </c>
    </row>
    <row r="387" ht="16" customHeight="1" s="151">
      <c r="A387" s="62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20">
        <f>IF(H387&lt;&gt;"",IFERROR(VLOOKUP(IFERROR(LEFT(H387,FIND("-",H387)-1),H387),'Catalogo MINSAL'!A:E,5,FALSE),""),IF(I387&lt;&gt;"",IFERROR(VLOOKUP(IFERROR(LEFT(I387,FIND("-",I387)-1),I387),'Catalogo MINSAL'!A:E,5,FALSE),""),""))</f>
        <v/>
      </c>
      <c r="K387" s="19" t="n"/>
      <c r="L387" s="19" t="n"/>
      <c r="M387" s="19" t="n"/>
      <c r="N387" s="19" t="n"/>
      <c r="O387" s="25" t="n"/>
      <c r="P387" s="27">
        <f>IFERROR(IF(OR(O387="",A387="",M387=""),"",IF(SUMPRODUCT(($A$4:$A$500=A387)*($M$4:$M$500=M387)*($O$4:$O$500&lt;&gt;"")*(MOD($O$4:$O$500,1)&lt;MOD(O387,1)))=0,IF(MOD(O387,1)&lt;=TIME(8,15,0),"Ingreso adecuado primera hora","Atraso primera hora"),"No aplica")),"")</f>
        <v/>
      </c>
      <c r="Q387" s="27" t="n"/>
      <c r="R387" s="25" t="n"/>
      <c r="S387" s="25" t="n"/>
      <c r="T387" s="25" t="n"/>
      <c r="U387" s="25">
        <f>IFERROR(VLOOKUP(M387,'Horario Pabellones'!$A$4:$D$17,2,FALSE),"")</f>
        <v/>
      </c>
      <c r="V387" s="25">
        <f>IFERROR(VLOOKUP(M387,'Horario Pabellones'!$A$4:$D$17,3,FALSE),"")</f>
        <v/>
      </c>
      <c r="W387" s="99">
        <f>IFERROR(VLOOKUP(M387,'Horario Pabellones'!$A$4:$D$17,4,FALSE),"")</f>
        <v/>
      </c>
      <c r="X387" s="89">
        <f>IFERROR(IF(OR(A387="",M387="",W387=""),"",(((_xludf.AGGREGATE(14,6,MOD($S$4:$S$500,1)/(($A$4:$A$500=A387)*($M$4:$M$500=M387)*($R$4:$R$500&lt;&gt;"")*($S$4:$S$500&lt;&gt;"")),1)-_xludf.AGGREGATE(15,6,MOD($R$4:$R$500,1)/(($A$4:$A$500=A387)*($M$4:$M$500=M387)*($R$4:$R$500&lt;&gt;"")*($S$4:$S$500&lt;&gt;"")),1))*1440)/60)/(W387/60)),"")</f>
        <v/>
      </c>
      <c r="Y387" s="26">
        <f>IFERROR(IF(OR(O387="",A387="",M387=""),"",(IF(ISNUMBER(O387),MOD(O387,1),TIMEVALUE(O387))-LOOKUP(2,1/(($A$4:$A$500=A387)*($M$4:$M$500=M387)*($T$4:$T$500&lt;&gt;"")*($T$4:$T$500&lt;IF(ISNUMBER(O387),MOD(O387,1),TIMEVALUE(O387)))),$T$4:$T$500))*1440),"")</f>
        <v/>
      </c>
      <c r="Z387" s="27">
        <f>IFERROR(IF(Y387="","",IF(ROUND(Y387,0)&lt;=15,"Cumple","No cumple")),"")</f>
        <v/>
      </c>
      <c r="AA387" s="27" t="n"/>
      <c r="AB387" s="26">
        <f>IFERROR(IF(OR(O387="",R387=""),"",IF(IF(ISNUMBER(R387),MOD(R387,1),TIMEVALUE(R387))&gt;=IF(ISNUMBER(O387),MOD(O387,1),TIMEVALUE(O387)),(IF(ISNUMBER(R387),MOD(R387,1),TIMEVALUE(R387))-IF(ISNUMBER(O387),MOD(O387,1),TIMEVALUE(O387)))*1440,(IF(ISNUMBER(R387),MOD(R387,1),TIMEVALUE(R387))+1-IF(ISNUMBER(O387),MOD(O387,1),TIMEVALUE(O387)))*1440)),"")</f>
        <v/>
      </c>
      <c r="AC387" s="26">
        <f>IFERROR(IF(OR(R387="",S387=""),"",IF(IF(ISNUMBER(S387),MOD(S387,1),TIMEVALUE(S387))&gt;=IF(ISNUMBER(R387),MOD(R387,1),TIMEVALUE(R387)),(IF(ISNUMBER(S387),MOD(S387,1),TIMEVALUE(S387))-IF(ISNUMBER(R387),MOD(R387,1),TIMEVALUE(R387)))*1440,(IF(ISNUMBER(S387),MOD(S387,1),TIMEVALUE(S387))+1-IF(ISNUMBER(R387),MOD(R387,1),TIMEVALUE(R387)))*1440)),"")</f>
        <v/>
      </c>
      <c r="AD387" s="29" t="n"/>
      <c r="AE387" s="26">
        <f>IFERROR(IF(OR(AC387="",AD387=""),"",AC387-AD387),"")</f>
        <v/>
      </c>
      <c r="AF387" s="27">
        <f>IFERROR(IF(AE387="","",IF(ROUND(AE387,0)&gt;15,"Subestimacion",IF(ROUND(AE387,0)&lt;-15,"Sobrestimacion","Asertivo"))),"")</f>
        <v/>
      </c>
      <c r="AG387" s="19" t="n"/>
      <c r="AH387" s="19" t="n"/>
      <c r="AI387" s="19" t="n"/>
      <c r="AJ387" s="19" t="n"/>
      <c r="AK387" s="19" t="n"/>
      <c r="AL387" s="19" t="n"/>
      <c r="AM387" s="19" t="n"/>
      <c r="AN387" s="19" t="n"/>
      <c r="AO387" s="19" t="n"/>
      <c r="AP387" s="127">
        <f>IF(A387="","",A387-WEEKDAY(A387,2)+1)</f>
        <v/>
      </c>
      <c r="AQ387" s="127">
        <f>IF(AO387="","",AO387+6)</f>
        <v/>
      </c>
      <c r="AR387" s="19">
        <f>IF(AO387="","","Semana "&amp;TEXT(AO387,"dd-mm-yyyy")&amp;" al "&amp;TEXT(AP387,"dd-mm-yyyy"))</f>
        <v/>
      </c>
      <c r="AS387" s="19">
        <f>IF(A387="","",TEXT(A387,"mmmm yyyy"))</f>
        <v/>
      </c>
      <c r="AT387" s="19">
        <f>IF(A387="","",TEXT(A387,"dddd"))</f>
        <v/>
      </c>
      <c r="AU387" s="19">
        <f>IF(A387="","","CRR-"&amp;TEXT(A387,"yyyymmdd")&amp;"-"&amp;M387&amp;"-"&amp;TEXT(ROW()-3,"0000"))</f>
        <v/>
      </c>
      <c r="AV387" s="19">
        <f>IF(A387="","",IF(OR(B387="",C387="",E387="",F387="",M387="",N387=""),"Revisar campos obligatorios",IF(AND(P387="Atraso primera hora",Q387=""),"Falta justificación atraso primera hora",IF(AND(Z387="No cumple",AA387=""),"Falta justificación recambio &gt;15 min",IF(AND(ISNUMBER(SEARCH("suspend",N387)),OR(AG387="",AH387="")),"Falta causa/motivo suspensión","OK")))))</f>
        <v/>
      </c>
      <c r="AW387" s="19">
        <f>IF(N387="","",IF(ISNUMBER(SEARCH("suspend",N387)),IF(AND(AG387="",AH387=""),"Sin causa/motivo registrado",IF(AG387="",AH387,IF(AH387="",AG387,AG387&amp;": "&amp;AH387))),""))</f>
        <v/>
      </c>
    </row>
    <row r="388" ht="16" customHeight="1" s="151">
      <c r="A388" s="62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20">
        <f>IF(H388&lt;&gt;"",IFERROR(VLOOKUP(IFERROR(LEFT(H388,FIND("-",H388)-1),H388),'Catalogo MINSAL'!A:E,5,FALSE),""),IF(I388&lt;&gt;"",IFERROR(VLOOKUP(IFERROR(LEFT(I388,FIND("-",I388)-1),I388),'Catalogo MINSAL'!A:E,5,FALSE),""),""))</f>
        <v/>
      </c>
      <c r="K388" s="19" t="n"/>
      <c r="L388" s="19" t="n"/>
      <c r="M388" s="19" t="n"/>
      <c r="N388" s="19" t="n"/>
      <c r="O388" s="25" t="n"/>
      <c r="P388" s="27">
        <f>IFERROR(IF(OR(O388="",A388="",M388=""),"",IF(SUMPRODUCT(($A$4:$A$500=A388)*($M$4:$M$500=M388)*($O$4:$O$500&lt;&gt;"")*(MOD($O$4:$O$500,1)&lt;MOD(O388,1)))=0,IF(MOD(O388,1)&lt;=TIME(8,15,0),"Ingreso adecuado primera hora","Atraso primera hora"),"No aplica")),"")</f>
        <v/>
      </c>
      <c r="Q388" s="27" t="n"/>
      <c r="R388" s="25" t="n"/>
      <c r="S388" s="25" t="n"/>
      <c r="T388" s="25" t="n"/>
      <c r="U388" s="25">
        <f>IFERROR(VLOOKUP(M388,'Horario Pabellones'!$A$4:$D$17,2,FALSE),"")</f>
        <v/>
      </c>
      <c r="V388" s="25">
        <f>IFERROR(VLOOKUP(M388,'Horario Pabellones'!$A$4:$D$17,3,FALSE),"")</f>
        <v/>
      </c>
      <c r="W388" s="99">
        <f>IFERROR(VLOOKUP(M388,'Horario Pabellones'!$A$4:$D$17,4,FALSE),"")</f>
        <v/>
      </c>
      <c r="X388" s="89">
        <f>IFERROR(IF(OR(A388="",M388="",W388=""),"",(((_xludf.AGGREGATE(14,6,MOD($S$4:$S$500,1)/(($A$4:$A$500=A388)*($M$4:$M$500=M388)*($R$4:$R$500&lt;&gt;"")*($S$4:$S$500&lt;&gt;"")),1)-_xludf.AGGREGATE(15,6,MOD($R$4:$R$500,1)/(($A$4:$A$500=A388)*($M$4:$M$500=M388)*($R$4:$R$500&lt;&gt;"")*($S$4:$S$500&lt;&gt;"")),1))*1440)/60)/(W388/60)),"")</f>
        <v/>
      </c>
      <c r="Y388" s="26">
        <f>IFERROR(IF(OR(O388="",A388="",M388=""),"",(IF(ISNUMBER(O388),MOD(O388,1),TIMEVALUE(O388))-LOOKUP(2,1/(($A$4:$A$500=A388)*($M$4:$M$500=M388)*($T$4:$T$500&lt;&gt;"")*($T$4:$T$500&lt;IF(ISNUMBER(O388),MOD(O388,1),TIMEVALUE(O388)))),$T$4:$T$500))*1440),"")</f>
        <v/>
      </c>
      <c r="Z388" s="27">
        <f>IFERROR(IF(Y388="","",IF(ROUND(Y388,0)&lt;=15,"Cumple","No cumple")),"")</f>
        <v/>
      </c>
      <c r="AA388" s="27" t="n"/>
      <c r="AB388" s="26">
        <f>IFERROR(IF(OR(O388="",R388=""),"",IF(IF(ISNUMBER(R388),MOD(R388,1),TIMEVALUE(R388))&gt;=IF(ISNUMBER(O388),MOD(O388,1),TIMEVALUE(O388)),(IF(ISNUMBER(R388),MOD(R388,1),TIMEVALUE(R388))-IF(ISNUMBER(O388),MOD(O388,1),TIMEVALUE(O388)))*1440,(IF(ISNUMBER(R388),MOD(R388,1),TIMEVALUE(R388))+1-IF(ISNUMBER(O388),MOD(O388,1),TIMEVALUE(O388)))*1440)),"")</f>
        <v/>
      </c>
      <c r="AC388" s="26">
        <f>IFERROR(IF(OR(R388="",S388=""),"",IF(IF(ISNUMBER(S388),MOD(S388,1),TIMEVALUE(S388))&gt;=IF(ISNUMBER(R388),MOD(R388,1),TIMEVALUE(R388)),(IF(ISNUMBER(S388),MOD(S388,1),TIMEVALUE(S388))-IF(ISNUMBER(R388),MOD(R388,1),TIMEVALUE(R388)))*1440,(IF(ISNUMBER(S388),MOD(S388,1),TIMEVALUE(S388))+1-IF(ISNUMBER(R388),MOD(R388,1),TIMEVALUE(R388)))*1440)),"")</f>
        <v/>
      </c>
      <c r="AD388" s="29" t="n"/>
      <c r="AE388" s="26">
        <f>IFERROR(IF(OR(AC388="",AD388=""),"",AC388-AD388),"")</f>
        <v/>
      </c>
      <c r="AF388" s="27">
        <f>IFERROR(IF(AE388="","",IF(ROUND(AE388,0)&gt;15,"Subestimacion",IF(ROUND(AE388,0)&lt;-15,"Sobrestimacion","Asertivo"))),"")</f>
        <v/>
      </c>
      <c r="AG388" s="19" t="n"/>
      <c r="AH388" s="19" t="n"/>
      <c r="AI388" s="19" t="n"/>
      <c r="AJ388" s="19" t="n"/>
      <c r="AK388" s="19" t="n"/>
      <c r="AL388" s="19" t="n"/>
      <c r="AM388" s="19" t="n"/>
      <c r="AN388" s="19" t="n"/>
      <c r="AO388" s="19" t="n"/>
      <c r="AP388" s="127">
        <f>IF(A388="","",A388-WEEKDAY(A388,2)+1)</f>
        <v/>
      </c>
      <c r="AQ388" s="127">
        <f>IF(AO388="","",AO388+6)</f>
        <v/>
      </c>
      <c r="AR388" s="19">
        <f>IF(AO388="","","Semana "&amp;TEXT(AO388,"dd-mm-yyyy")&amp;" al "&amp;TEXT(AP388,"dd-mm-yyyy"))</f>
        <v/>
      </c>
      <c r="AS388" s="19">
        <f>IF(A388="","",TEXT(A388,"mmmm yyyy"))</f>
        <v/>
      </c>
      <c r="AT388" s="19">
        <f>IF(A388="","",TEXT(A388,"dddd"))</f>
        <v/>
      </c>
      <c r="AU388" s="19">
        <f>IF(A388="","","CRR-"&amp;TEXT(A388,"yyyymmdd")&amp;"-"&amp;M388&amp;"-"&amp;TEXT(ROW()-3,"0000"))</f>
        <v/>
      </c>
      <c r="AV388" s="19">
        <f>IF(A388="","",IF(OR(B388="",C388="",E388="",F388="",M388="",N388=""),"Revisar campos obligatorios",IF(AND(P388="Atraso primera hora",Q388=""),"Falta justificación atraso primera hora",IF(AND(Z388="No cumple",AA388=""),"Falta justificación recambio &gt;15 min",IF(AND(ISNUMBER(SEARCH("suspend",N388)),OR(AG388="",AH388="")),"Falta causa/motivo suspensión","OK")))))</f>
        <v/>
      </c>
      <c r="AW388" s="19">
        <f>IF(N388="","",IF(ISNUMBER(SEARCH("suspend",N388)),IF(AND(AG388="",AH388=""),"Sin causa/motivo registrado",IF(AG388="",AH388,IF(AH388="",AG388,AG388&amp;": "&amp;AH388))),""))</f>
        <v/>
      </c>
    </row>
    <row r="389" ht="16" customHeight="1" s="151">
      <c r="A389" s="62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20">
        <f>IF(H389&lt;&gt;"",IFERROR(VLOOKUP(IFERROR(LEFT(H389,FIND("-",H389)-1),H389),'Catalogo MINSAL'!A:E,5,FALSE),""),IF(I389&lt;&gt;"",IFERROR(VLOOKUP(IFERROR(LEFT(I389,FIND("-",I389)-1),I389),'Catalogo MINSAL'!A:E,5,FALSE),""),""))</f>
        <v/>
      </c>
      <c r="K389" s="19" t="n"/>
      <c r="L389" s="19" t="n"/>
      <c r="M389" s="19" t="n"/>
      <c r="N389" s="19" t="n"/>
      <c r="O389" s="25" t="n"/>
      <c r="P389" s="27">
        <f>IFERROR(IF(OR(O389="",A389="",M389=""),"",IF(SUMPRODUCT(($A$4:$A$500=A389)*($M$4:$M$500=M389)*($O$4:$O$500&lt;&gt;"")*(MOD($O$4:$O$500,1)&lt;MOD(O389,1)))=0,IF(MOD(O389,1)&lt;=TIME(8,15,0),"Ingreso adecuado primera hora","Atraso primera hora"),"No aplica")),"")</f>
        <v/>
      </c>
      <c r="Q389" s="27" t="n"/>
      <c r="R389" s="25" t="n"/>
      <c r="S389" s="25" t="n"/>
      <c r="T389" s="25" t="n"/>
      <c r="U389" s="25">
        <f>IFERROR(VLOOKUP(M389,'Horario Pabellones'!$A$4:$D$17,2,FALSE),"")</f>
        <v/>
      </c>
      <c r="V389" s="25">
        <f>IFERROR(VLOOKUP(M389,'Horario Pabellones'!$A$4:$D$17,3,FALSE),"")</f>
        <v/>
      </c>
      <c r="W389" s="99">
        <f>IFERROR(VLOOKUP(M389,'Horario Pabellones'!$A$4:$D$17,4,FALSE),"")</f>
        <v/>
      </c>
      <c r="X389" s="89">
        <f>IFERROR(IF(OR(A389="",M389="",W389=""),"",(((_xludf.AGGREGATE(14,6,MOD($S$4:$S$500,1)/(($A$4:$A$500=A389)*($M$4:$M$500=M389)*($R$4:$R$500&lt;&gt;"")*($S$4:$S$500&lt;&gt;"")),1)-_xludf.AGGREGATE(15,6,MOD($R$4:$R$500,1)/(($A$4:$A$500=A389)*($M$4:$M$500=M389)*($R$4:$R$500&lt;&gt;"")*($S$4:$S$500&lt;&gt;"")),1))*1440)/60)/(W389/60)),"")</f>
        <v/>
      </c>
      <c r="Y389" s="26">
        <f>IFERROR(IF(OR(O389="",A389="",M389=""),"",(IF(ISNUMBER(O389),MOD(O389,1),TIMEVALUE(O389))-LOOKUP(2,1/(($A$4:$A$500=A389)*($M$4:$M$500=M389)*($T$4:$T$500&lt;&gt;"")*($T$4:$T$500&lt;IF(ISNUMBER(O389),MOD(O389,1),TIMEVALUE(O389)))),$T$4:$T$500))*1440),"")</f>
        <v/>
      </c>
      <c r="Z389" s="27">
        <f>IFERROR(IF(Y389="","",IF(ROUND(Y389,0)&lt;=15,"Cumple","No cumple")),"")</f>
        <v/>
      </c>
      <c r="AA389" s="27" t="n"/>
      <c r="AB389" s="26">
        <f>IFERROR(IF(OR(O389="",R389=""),"",IF(IF(ISNUMBER(R389),MOD(R389,1),TIMEVALUE(R389))&gt;=IF(ISNUMBER(O389),MOD(O389,1),TIMEVALUE(O389)),(IF(ISNUMBER(R389),MOD(R389,1),TIMEVALUE(R389))-IF(ISNUMBER(O389),MOD(O389,1),TIMEVALUE(O389)))*1440,(IF(ISNUMBER(R389),MOD(R389,1),TIMEVALUE(R389))+1-IF(ISNUMBER(O389),MOD(O389,1),TIMEVALUE(O389)))*1440)),"")</f>
        <v/>
      </c>
      <c r="AC389" s="26">
        <f>IFERROR(IF(OR(R389="",S389=""),"",IF(IF(ISNUMBER(S389),MOD(S389,1),TIMEVALUE(S389))&gt;=IF(ISNUMBER(R389),MOD(R389,1),TIMEVALUE(R389)),(IF(ISNUMBER(S389),MOD(S389,1),TIMEVALUE(S389))-IF(ISNUMBER(R389),MOD(R389,1),TIMEVALUE(R389)))*1440,(IF(ISNUMBER(S389),MOD(S389,1),TIMEVALUE(S389))+1-IF(ISNUMBER(R389),MOD(R389,1),TIMEVALUE(R389)))*1440)),"")</f>
        <v/>
      </c>
      <c r="AD389" s="29" t="n"/>
      <c r="AE389" s="26">
        <f>IFERROR(IF(OR(AC389="",AD389=""),"",AC389-AD389),"")</f>
        <v/>
      </c>
      <c r="AF389" s="27">
        <f>IFERROR(IF(AE389="","",IF(ROUND(AE389,0)&gt;15,"Subestimacion",IF(ROUND(AE389,0)&lt;-15,"Sobrestimacion","Asertivo"))),"")</f>
        <v/>
      </c>
      <c r="AG389" s="19" t="n"/>
      <c r="AH389" s="19" t="n"/>
      <c r="AI389" s="19" t="n"/>
      <c r="AJ389" s="19" t="n"/>
      <c r="AK389" s="19" t="n"/>
      <c r="AL389" s="19" t="n"/>
      <c r="AM389" s="19" t="n"/>
      <c r="AN389" s="19" t="n"/>
      <c r="AO389" s="19" t="n"/>
      <c r="AP389" s="127">
        <f>IF(A389="","",A389-WEEKDAY(A389,2)+1)</f>
        <v/>
      </c>
      <c r="AQ389" s="127">
        <f>IF(AO389="","",AO389+6)</f>
        <v/>
      </c>
      <c r="AR389" s="19">
        <f>IF(AO389="","","Semana "&amp;TEXT(AO389,"dd-mm-yyyy")&amp;" al "&amp;TEXT(AP389,"dd-mm-yyyy"))</f>
        <v/>
      </c>
      <c r="AS389" s="19">
        <f>IF(A389="","",TEXT(A389,"mmmm yyyy"))</f>
        <v/>
      </c>
      <c r="AT389" s="19">
        <f>IF(A389="","",TEXT(A389,"dddd"))</f>
        <v/>
      </c>
      <c r="AU389" s="19">
        <f>IF(A389="","","CRR-"&amp;TEXT(A389,"yyyymmdd")&amp;"-"&amp;M389&amp;"-"&amp;TEXT(ROW()-3,"0000"))</f>
        <v/>
      </c>
      <c r="AV389" s="19">
        <f>IF(A389="","",IF(OR(B389="",C389="",E389="",F389="",M389="",N389=""),"Revisar campos obligatorios",IF(AND(P389="Atraso primera hora",Q389=""),"Falta justificación atraso primera hora",IF(AND(Z389="No cumple",AA389=""),"Falta justificación recambio &gt;15 min",IF(AND(ISNUMBER(SEARCH("suspend",N389)),OR(AG389="",AH389="")),"Falta causa/motivo suspensión","OK")))))</f>
        <v/>
      </c>
      <c r="AW389" s="19">
        <f>IF(N389="","",IF(ISNUMBER(SEARCH("suspend",N389)),IF(AND(AG389="",AH389=""),"Sin causa/motivo registrado",IF(AG389="",AH389,IF(AH389="",AG389,AG389&amp;": "&amp;AH389))),""))</f>
        <v/>
      </c>
    </row>
    <row r="390" ht="16" customHeight="1" s="151">
      <c r="A390" s="62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20">
        <f>IF(H390&lt;&gt;"",IFERROR(VLOOKUP(IFERROR(LEFT(H390,FIND("-",H390)-1),H390),'Catalogo MINSAL'!A:E,5,FALSE),""),IF(I390&lt;&gt;"",IFERROR(VLOOKUP(IFERROR(LEFT(I390,FIND("-",I390)-1),I390),'Catalogo MINSAL'!A:E,5,FALSE),""),""))</f>
        <v/>
      </c>
      <c r="K390" s="19" t="n"/>
      <c r="L390" s="19" t="n"/>
      <c r="M390" s="19" t="n"/>
      <c r="N390" s="19" t="n"/>
      <c r="O390" s="25" t="n"/>
      <c r="P390" s="27">
        <f>IFERROR(IF(OR(O390="",A390="",M390=""),"",IF(SUMPRODUCT(($A$4:$A$500=A390)*($M$4:$M$500=M390)*($O$4:$O$500&lt;&gt;"")*(MOD($O$4:$O$500,1)&lt;MOD(O390,1)))=0,IF(MOD(O390,1)&lt;=TIME(8,15,0),"Ingreso adecuado primera hora","Atraso primera hora"),"No aplica")),"")</f>
        <v/>
      </c>
      <c r="Q390" s="27" t="n"/>
      <c r="R390" s="25" t="n"/>
      <c r="S390" s="25" t="n"/>
      <c r="T390" s="25" t="n"/>
      <c r="U390" s="25">
        <f>IFERROR(VLOOKUP(M390,'Horario Pabellones'!$A$4:$D$17,2,FALSE),"")</f>
        <v/>
      </c>
      <c r="V390" s="25">
        <f>IFERROR(VLOOKUP(M390,'Horario Pabellones'!$A$4:$D$17,3,FALSE),"")</f>
        <v/>
      </c>
      <c r="W390" s="99">
        <f>IFERROR(VLOOKUP(M390,'Horario Pabellones'!$A$4:$D$17,4,FALSE),"")</f>
        <v/>
      </c>
      <c r="X390" s="89">
        <f>IFERROR(IF(OR(A390="",M390="",W390=""),"",(((_xludf.AGGREGATE(14,6,MOD($S$4:$S$500,1)/(($A$4:$A$500=A390)*($M$4:$M$500=M390)*($R$4:$R$500&lt;&gt;"")*($S$4:$S$500&lt;&gt;"")),1)-_xludf.AGGREGATE(15,6,MOD($R$4:$R$500,1)/(($A$4:$A$500=A390)*($M$4:$M$500=M390)*($R$4:$R$500&lt;&gt;"")*($S$4:$S$500&lt;&gt;"")),1))*1440)/60)/(W390/60)),"")</f>
        <v/>
      </c>
      <c r="Y390" s="26">
        <f>IFERROR(IF(OR(O390="",A390="",M390=""),"",(IF(ISNUMBER(O390),MOD(O390,1),TIMEVALUE(O390))-LOOKUP(2,1/(($A$4:$A$500=A390)*($M$4:$M$500=M390)*($T$4:$T$500&lt;&gt;"")*($T$4:$T$500&lt;IF(ISNUMBER(O390),MOD(O390,1),TIMEVALUE(O390)))),$T$4:$T$500))*1440),"")</f>
        <v/>
      </c>
      <c r="Z390" s="27">
        <f>IFERROR(IF(Y390="","",IF(ROUND(Y390,0)&lt;=15,"Cumple","No cumple")),"")</f>
        <v/>
      </c>
      <c r="AA390" s="27" t="n"/>
      <c r="AB390" s="26">
        <f>IFERROR(IF(OR(O390="",R390=""),"",IF(IF(ISNUMBER(R390),MOD(R390,1),TIMEVALUE(R390))&gt;=IF(ISNUMBER(O390),MOD(O390,1),TIMEVALUE(O390)),(IF(ISNUMBER(R390),MOD(R390,1),TIMEVALUE(R390))-IF(ISNUMBER(O390),MOD(O390,1),TIMEVALUE(O390)))*1440,(IF(ISNUMBER(R390),MOD(R390,1),TIMEVALUE(R390))+1-IF(ISNUMBER(O390),MOD(O390,1),TIMEVALUE(O390)))*1440)),"")</f>
        <v/>
      </c>
      <c r="AC390" s="26">
        <f>IFERROR(IF(OR(R390="",S390=""),"",IF(IF(ISNUMBER(S390),MOD(S390,1),TIMEVALUE(S390))&gt;=IF(ISNUMBER(R390),MOD(R390,1),TIMEVALUE(R390)),(IF(ISNUMBER(S390),MOD(S390,1),TIMEVALUE(S390))-IF(ISNUMBER(R390),MOD(R390,1),TIMEVALUE(R390)))*1440,(IF(ISNUMBER(S390),MOD(S390,1),TIMEVALUE(S390))+1-IF(ISNUMBER(R390),MOD(R390,1),TIMEVALUE(R390)))*1440)),"")</f>
        <v/>
      </c>
      <c r="AD390" s="29" t="n"/>
      <c r="AE390" s="26">
        <f>IFERROR(IF(OR(AC390="",AD390=""),"",AC390-AD390),"")</f>
        <v/>
      </c>
      <c r="AF390" s="27">
        <f>IFERROR(IF(AE390="","",IF(ROUND(AE390,0)&gt;15,"Subestimacion",IF(ROUND(AE390,0)&lt;-15,"Sobrestimacion","Asertivo"))),"")</f>
        <v/>
      </c>
      <c r="AG390" s="19" t="n"/>
      <c r="AH390" s="19" t="n"/>
      <c r="AI390" s="19" t="n"/>
      <c r="AJ390" s="19" t="n"/>
      <c r="AK390" s="19" t="n"/>
      <c r="AL390" s="19" t="n"/>
      <c r="AM390" s="19" t="n"/>
      <c r="AN390" s="19" t="n"/>
      <c r="AO390" s="19" t="n"/>
      <c r="AP390" s="127">
        <f>IF(A390="","",A390-WEEKDAY(A390,2)+1)</f>
        <v/>
      </c>
      <c r="AQ390" s="127">
        <f>IF(AO390="","",AO390+6)</f>
        <v/>
      </c>
      <c r="AR390" s="19">
        <f>IF(AO390="","","Semana "&amp;TEXT(AO390,"dd-mm-yyyy")&amp;" al "&amp;TEXT(AP390,"dd-mm-yyyy"))</f>
        <v/>
      </c>
      <c r="AS390" s="19">
        <f>IF(A390="","",TEXT(A390,"mmmm yyyy"))</f>
        <v/>
      </c>
      <c r="AT390" s="19">
        <f>IF(A390="","",TEXT(A390,"dddd"))</f>
        <v/>
      </c>
      <c r="AU390" s="19">
        <f>IF(A390="","","CRR-"&amp;TEXT(A390,"yyyymmdd")&amp;"-"&amp;M390&amp;"-"&amp;TEXT(ROW()-3,"0000"))</f>
        <v/>
      </c>
      <c r="AV390" s="19">
        <f>IF(A390="","",IF(OR(B390="",C390="",E390="",F390="",M390="",N390=""),"Revisar campos obligatorios",IF(AND(P390="Atraso primera hora",Q390=""),"Falta justificación atraso primera hora",IF(AND(Z390="No cumple",AA390=""),"Falta justificación recambio &gt;15 min",IF(AND(ISNUMBER(SEARCH("suspend",N390)),OR(AG390="",AH390="")),"Falta causa/motivo suspensión","OK")))))</f>
        <v/>
      </c>
      <c r="AW390" s="19">
        <f>IF(N390="","",IF(ISNUMBER(SEARCH("suspend",N390)),IF(AND(AG390="",AH390=""),"Sin causa/motivo registrado",IF(AG390="",AH390,IF(AH390="",AG390,AG390&amp;": "&amp;AH390))),""))</f>
        <v/>
      </c>
    </row>
    <row r="391" ht="16" customHeight="1" s="151">
      <c r="A391" s="62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20">
        <f>IF(H391&lt;&gt;"",IFERROR(VLOOKUP(IFERROR(LEFT(H391,FIND("-",H391)-1),H391),'Catalogo MINSAL'!A:E,5,FALSE),""),IF(I391&lt;&gt;"",IFERROR(VLOOKUP(IFERROR(LEFT(I391,FIND("-",I391)-1),I391),'Catalogo MINSAL'!A:E,5,FALSE),""),""))</f>
        <v/>
      </c>
      <c r="K391" s="19" t="n"/>
      <c r="L391" s="19" t="n"/>
      <c r="M391" s="19" t="n"/>
      <c r="N391" s="19" t="n"/>
      <c r="O391" s="25" t="n"/>
      <c r="P391" s="27">
        <f>IFERROR(IF(OR(O391="",A391="",M391=""),"",IF(SUMPRODUCT(($A$4:$A$500=A391)*($M$4:$M$500=M391)*($O$4:$O$500&lt;&gt;"")*(MOD($O$4:$O$500,1)&lt;MOD(O391,1)))=0,IF(MOD(O391,1)&lt;=TIME(8,15,0),"Ingreso adecuado primera hora","Atraso primera hora"),"No aplica")),"")</f>
        <v/>
      </c>
      <c r="Q391" s="27" t="n"/>
      <c r="R391" s="25" t="n"/>
      <c r="S391" s="25" t="n"/>
      <c r="T391" s="25" t="n"/>
      <c r="U391" s="25">
        <f>IFERROR(VLOOKUP(M391,'Horario Pabellones'!$A$4:$D$17,2,FALSE),"")</f>
        <v/>
      </c>
      <c r="V391" s="25">
        <f>IFERROR(VLOOKUP(M391,'Horario Pabellones'!$A$4:$D$17,3,FALSE),"")</f>
        <v/>
      </c>
      <c r="W391" s="99">
        <f>IFERROR(VLOOKUP(M391,'Horario Pabellones'!$A$4:$D$17,4,FALSE),"")</f>
        <v/>
      </c>
      <c r="X391" s="89">
        <f>IFERROR(IF(OR(A391="",M391="",W391=""),"",(((_xludf.AGGREGATE(14,6,MOD($S$4:$S$500,1)/(($A$4:$A$500=A391)*($M$4:$M$500=M391)*($R$4:$R$500&lt;&gt;"")*($S$4:$S$500&lt;&gt;"")),1)-_xludf.AGGREGATE(15,6,MOD($R$4:$R$500,1)/(($A$4:$A$500=A391)*($M$4:$M$500=M391)*($R$4:$R$500&lt;&gt;"")*($S$4:$S$500&lt;&gt;"")),1))*1440)/60)/(W391/60)),"")</f>
        <v/>
      </c>
      <c r="Y391" s="26">
        <f>IFERROR(IF(OR(O391="",A391="",M391=""),"",(IF(ISNUMBER(O391),MOD(O391,1),TIMEVALUE(O391))-LOOKUP(2,1/(($A$4:$A$500=A391)*($M$4:$M$500=M391)*($T$4:$T$500&lt;&gt;"")*($T$4:$T$500&lt;IF(ISNUMBER(O391),MOD(O391,1),TIMEVALUE(O391)))),$T$4:$T$500))*1440),"")</f>
        <v/>
      </c>
      <c r="Z391" s="27">
        <f>IFERROR(IF(Y391="","",IF(ROUND(Y391,0)&lt;=15,"Cumple","No cumple")),"")</f>
        <v/>
      </c>
      <c r="AA391" s="27" t="n"/>
      <c r="AB391" s="26">
        <f>IFERROR(IF(OR(O391="",R391=""),"",IF(IF(ISNUMBER(R391),MOD(R391,1),TIMEVALUE(R391))&gt;=IF(ISNUMBER(O391),MOD(O391,1),TIMEVALUE(O391)),(IF(ISNUMBER(R391),MOD(R391,1),TIMEVALUE(R391))-IF(ISNUMBER(O391),MOD(O391,1),TIMEVALUE(O391)))*1440,(IF(ISNUMBER(R391),MOD(R391,1),TIMEVALUE(R391))+1-IF(ISNUMBER(O391),MOD(O391,1),TIMEVALUE(O391)))*1440)),"")</f>
        <v/>
      </c>
      <c r="AC391" s="26">
        <f>IFERROR(IF(OR(R391="",S391=""),"",IF(IF(ISNUMBER(S391),MOD(S391,1),TIMEVALUE(S391))&gt;=IF(ISNUMBER(R391),MOD(R391,1),TIMEVALUE(R391)),(IF(ISNUMBER(S391),MOD(S391,1),TIMEVALUE(S391))-IF(ISNUMBER(R391),MOD(R391,1),TIMEVALUE(R391)))*1440,(IF(ISNUMBER(S391),MOD(S391,1),TIMEVALUE(S391))+1-IF(ISNUMBER(R391),MOD(R391,1),TIMEVALUE(R391)))*1440)),"")</f>
        <v/>
      </c>
      <c r="AD391" s="29" t="n"/>
      <c r="AE391" s="26">
        <f>IFERROR(IF(OR(AC391="",AD391=""),"",AC391-AD391),"")</f>
        <v/>
      </c>
      <c r="AF391" s="27">
        <f>IFERROR(IF(AE391="","",IF(ROUND(AE391,0)&gt;15,"Subestimacion",IF(ROUND(AE391,0)&lt;-15,"Sobrestimacion","Asertivo"))),"")</f>
        <v/>
      </c>
      <c r="AG391" s="19" t="n"/>
      <c r="AH391" s="19" t="n"/>
      <c r="AI391" s="19" t="n"/>
      <c r="AJ391" s="19" t="n"/>
      <c r="AK391" s="19" t="n"/>
      <c r="AL391" s="19" t="n"/>
      <c r="AM391" s="19" t="n"/>
      <c r="AN391" s="19" t="n"/>
      <c r="AO391" s="19" t="n"/>
      <c r="AP391" s="127">
        <f>IF(A391="","",A391-WEEKDAY(A391,2)+1)</f>
        <v/>
      </c>
      <c r="AQ391" s="127">
        <f>IF(AO391="","",AO391+6)</f>
        <v/>
      </c>
      <c r="AR391" s="19">
        <f>IF(AO391="","","Semana "&amp;TEXT(AO391,"dd-mm-yyyy")&amp;" al "&amp;TEXT(AP391,"dd-mm-yyyy"))</f>
        <v/>
      </c>
      <c r="AS391" s="19">
        <f>IF(A391="","",TEXT(A391,"mmmm yyyy"))</f>
        <v/>
      </c>
      <c r="AT391" s="19">
        <f>IF(A391="","",TEXT(A391,"dddd"))</f>
        <v/>
      </c>
      <c r="AU391" s="19">
        <f>IF(A391="","","CRR-"&amp;TEXT(A391,"yyyymmdd")&amp;"-"&amp;M391&amp;"-"&amp;TEXT(ROW()-3,"0000"))</f>
        <v/>
      </c>
      <c r="AV391" s="19">
        <f>IF(A391="","",IF(OR(B391="",C391="",E391="",F391="",M391="",N391=""),"Revisar campos obligatorios",IF(AND(P391="Atraso primera hora",Q391=""),"Falta justificación atraso primera hora",IF(AND(Z391="No cumple",AA391=""),"Falta justificación recambio &gt;15 min",IF(AND(ISNUMBER(SEARCH("suspend",N391)),OR(AG391="",AH391="")),"Falta causa/motivo suspensión","OK")))))</f>
        <v/>
      </c>
      <c r="AW391" s="19">
        <f>IF(N391="","",IF(ISNUMBER(SEARCH("suspend",N391)),IF(AND(AG391="",AH391=""),"Sin causa/motivo registrado",IF(AG391="",AH391,IF(AH391="",AG391,AG391&amp;": "&amp;AH391))),""))</f>
        <v/>
      </c>
    </row>
    <row r="392" ht="16" customHeight="1" s="151">
      <c r="A392" s="62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20">
        <f>IF(H392&lt;&gt;"",IFERROR(VLOOKUP(IFERROR(LEFT(H392,FIND("-",H392)-1),H392),'Catalogo MINSAL'!A:E,5,FALSE),""),IF(I392&lt;&gt;"",IFERROR(VLOOKUP(IFERROR(LEFT(I392,FIND("-",I392)-1),I392),'Catalogo MINSAL'!A:E,5,FALSE),""),""))</f>
        <v/>
      </c>
      <c r="K392" s="19" t="n"/>
      <c r="L392" s="19" t="n"/>
      <c r="M392" s="19" t="n"/>
      <c r="N392" s="19" t="n"/>
      <c r="O392" s="25" t="n"/>
      <c r="P392" s="27">
        <f>IFERROR(IF(OR(O392="",A392="",M392=""),"",IF(SUMPRODUCT(($A$4:$A$500=A392)*($M$4:$M$500=M392)*($O$4:$O$500&lt;&gt;"")*(MOD($O$4:$O$500,1)&lt;MOD(O392,1)))=0,IF(MOD(O392,1)&lt;=TIME(8,15,0),"Ingreso adecuado primera hora","Atraso primera hora"),"No aplica")),"")</f>
        <v/>
      </c>
      <c r="Q392" s="27" t="n"/>
      <c r="R392" s="25" t="n"/>
      <c r="S392" s="25" t="n"/>
      <c r="T392" s="25" t="n"/>
      <c r="U392" s="25">
        <f>IFERROR(VLOOKUP(M392,'Horario Pabellones'!$A$4:$D$17,2,FALSE),"")</f>
        <v/>
      </c>
      <c r="V392" s="25">
        <f>IFERROR(VLOOKUP(M392,'Horario Pabellones'!$A$4:$D$17,3,FALSE),"")</f>
        <v/>
      </c>
      <c r="W392" s="99">
        <f>IFERROR(VLOOKUP(M392,'Horario Pabellones'!$A$4:$D$17,4,FALSE),"")</f>
        <v/>
      </c>
      <c r="X392" s="89">
        <f>IFERROR(IF(OR(A392="",M392="",W392=""),"",(((_xludf.AGGREGATE(14,6,MOD($S$4:$S$500,1)/(($A$4:$A$500=A392)*($M$4:$M$500=M392)*($R$4:$R$500&lt;&gt;"")*($S$4:$S$500&lt;&gt;"")),1)-_xludf.AGGREGATE(15,6,MOD($R$4:$R$500,1)/(($A$4:$A$500=A392)*($M$4:$M$500=M392)*($R$4:$R$500&lt;&gt;"")*($S$4:$S$500&lt;&gt;"")),1))*1440)/60)/(W392/60)),"")</f>
        <v/>
      </c>
      <c r="Y392" s="26">
        <f>IFERROR(IF(OR(O392="",A392="",M392=""),"",(IF(ISNUMBER(O392),MOD(O392,1),TIMEVALUE(O392))-LOOKUP(2,1/(($A$4:$A$500=A392)*($M$4:$M$500=M392)*($T$4:$T$500&lt;&gt;"")*($T$4:$T$500&lt;IF(ISNUMBER(O392),MOD(O392,1),TIMEVALUE(O392)))),$T$4:$T$500))*1440),"")</f>
        <v/>
      </c>
      <c r="Z392" s="27">
        <f>IFERROR(IF(Y392="","",IF(ROUND(Y392,0)&lt;=15,"Cumple","No cumple")),"")</f>
        <v/>
      </c>
      <c r="AA392" s="27" t="n"/>
      <c r="AB392" s="26">
        <f>IFERROR(IF(OR(O392="",R392=""),"",IF(IF(ISNUMBER(R392),MOD(R392,1),TIMEVALUE(R392))&gt;=IF(ISNUMBER(O392),MOD(O392,1),TIMEVALUE(O392)),(IF(ISNUMBER(R392),MOD(R392,1),TIMEVALUE(R392))-IF(ISNUMBER(O392),MOD(O392,1),TIMEVALUE(O392)))*1440,(IF(ISNUMBER(R392),MOD(R392,1),TIMEVALUE(R392))+1-IF(ISNUMBER(O392),MOD(O392,1),TIMEVALUE(O392)))*1440)),"")</f>
        <v/>
      </c>
      <c r="AC392" s="26">
        <f>IFERROR(IF(OR(R392="",S392=""),"",IF(IF(ISNUMBER(S392),MOD(S392,1),TIMEVALUE(S392))&gt;=IF(ISNUMBER(R392),MOD(R392,1),TIMEVALUE(R392)),(IF(ISNUMBER(S392),MOD(S392,1),TIMEVALUE(S392))-IF(ISNUMBER(R392),MOD(R392,1),TIMEVALUE(R392)))*1440,(IF(ISNUMBER(S392),MOD(S392,1),TIMEVALUE(S392))+1-IF(ISNUMBER(R392),MOD(R392,1),TIMEVALUE(R392)))*1440)),"")</f>
        <v/>
      </c>
      <c r="AD392" s="29" t="n"/>
      <c r="AE392" s="26">
        <f>IFERROR(IF(OR(AC392="",AD392=""),"",AC392-AD392),"")</f>
        <v/>
      </c>
      <c r="AF392" s="27">
        <f>IFERROR(IF(AE392="","",IF(ROUND(AE392,0)&gt;15,"Subestimacion",IF(ROUND(AE392,0)&lt;-15,"Sobrestimacion","Asertivo"))),"")</f>
        <v/>
      </c>
      <c r="AG392" s="19" t="n"/>
      <c r="AH392" s="19" t="n"/>
      <c r="AI392" s="19" t="n"/>
      <c r="AJ392" s="19" t="n"/>
      <c r="AK392" s="19" t="n"/>
      <c r="AL392" s="19" t="n"/>
      <c r="AM392" s="19" t="n"/>
      <c r="AN392" s="19" t="n"/>
      <c r="AO392" s="19" t="n"/>
      <c r="AP392" s="127">
        <f>IF(A392="","",A392-WEEKDAY(A392,2)+1)</f>
        <v/>
      </c>
      <c r="AQ392" s="127">
        <f>IF(AO392="","",AO392+6)</f>
        <v/>
      </c>
      <c r="AR392" s="19">
        <f>IF(AO392="","","Semana "&amp;TEXT(AO392,"dd-mm-yyyy")&amp;" al "&amp;TEXT(AP392,"dd-mm-yyyy"))</f>
        <v/>
      </c>
      <c r="AS392" s="19">
        <f>IF(A392="","",TEXT(A392,"mmmm yyyy"))</f>
        <v/>
      </c>
      <c r="AT392" s="19">
        <f>IF(A392="","",TEXT(A392,"dddd"))</f>
        <v/>
      </c>
      <c r="AU392" s="19">
        <f>IF(A392="","","CRR-"&amp;TEXT(A392,"yyyymmdd")&amp;"-"&amp;M392&amp;"-"&amp;TEXT(ROW()-3,"0000"))</f>
        <v/>
      </c>
      <c r="AV392" s="19">
        <f>IF(A392="","",IF(OR(B392="",C392="",E392="",F392="",M392="",N392=""),"Revisar campos obligatorios",IF(AND(P392="Atraso primera hora",Q392=""),"Falta justificación atraso primera hora",IF(AND(Z392="No cumple",AA392=""),"Falta justificación recambio &gt;15 min",IF(AND(ISNUMBER(SEARCH("suspend",N392)),OR(AG392="",AH392="")),"Falta causa/motivo suspensión","OK")))))</f>
        <v/>
      </c>
      <c r="AW392" s="19">
        <f>IF(N392="","",IF(ISNUMBER(SEARCH("suspend",N392)),IF(AND(AG392="",AH392=""),"Sin causa/motivo registrado",IF(AG392="",AH392,IF(AH392="",AG392,AG392&amp;": "&amp;AH392))),""))</f>
        <v/>
      </c>
    </row>
    <row r="393" ht="16" customHeight="1" s="151">
      <c r="A393" s="62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20">
        <f>IF(H393&lt;&gt;"",IFERROR(VLOOKUP(IFERROR(LEFT(H393,FIND("-",H393)-1),H393),'Catalogo MINSAL'!A:E,5,FALSE),""),IF(I393&lt;&gt;"",IFERROR(VLOOKUP(IFERROR(LEFT(I393,FIND("-",I393)-1),I393),'Catalogo MINSAL'!A:E,5,FALSE),""),""))</f>
        <v/>
      </c>
      <c r="K393" s="19" t="n"/>
      <c r="L393" s="19" t="n"/>
      <c r="M393" s="19" t="n"/>
      <c r="N393" s="19" t="n"/>
      <c r="O393" s="25" t="n"/>
      <c r="P393" s="27">
        <f>IFERROR(IF(OR(O393="",A393="",M393=""),"",IF(SUMPRODUCT(($A$4:$A$500=A393)*($M$4:$M$500=M393)*($O$4:$O$500&lt;&gt;"")*(MOD($O$4:$O$500,1)&lt;MOD(O393,1)))=0,IF(MOD(O393,1)&lt;=TIME(8,15,0),"Ingreso adecuado primera hora","Atraso primera hora"),"No aplica")),"")</f>
        <v/>
      </c>
      <c r="Q393" s="27" t="n"/>
      <c r="R393" s="25" t="n"/>
      <c r="S393" s="25" t="n"/>
      <c r="T393" s="25" t="n"/>
      <c r="U393" s="25">
        <f>IFERROR(VLOOKUP(M393,'Horario Pabellones'!$A$4:$D$17,2,FALSE),"")</f>
        <v/>
      </c>
      <c r="V393" s="25">
        <f>IFERROR(VLOOKUP(M393,'Horario Pabellones'!$A$4:$D$17,3,FALSE),"")</f>
        <v/>
      </c>
      <c r="W393" s="99">
        <f>IFERROR(VLOOKUP(M393,'Horario Pabellones'!$A$4:$D$17,4,FALSE),"")</f>
        <v/>
      </c>
      <c r="X393" s="89">
        <f>IFERROR(IF(OR(A393="",M393="",W393=""),"",(((_xludf.AGGREGATE(14,6,MOD($S$4:$S$500,1)/(($A$4:$A$500=A393)*($M$4:$M$500=M393)*($R$4:$R$500&lt;&gt;"")*($S$4:$S$500&lt;&gt;"")),1)-_xludf.AGGREGATE(15,6,MOD($R$4:$R$500,1)/(($A$4:$A$500=A393)*($M$4:$M$500=M393)*($R$4:$R$500&lt;&gt;"")*($S$4:$S$500&lt;&gt;"")),1))*1440)/60)/(W393/60)),"")</f>
        <v/>
      </c>
      <c r="Y393" s="26">
        <f>IFERROR(IF(OR(O393="",A393="",M393=""),"",(IF(ISNUMBER(O393),MOD(O393,1),TIMEVALUE(O393))-LOOKUP(2,1/(($A$4:$A$500=A393)*($M$4:$M$500=M393)*($T$4:$T$500&lt;&gt;"")*($T$4:$T$500&lt;IF(ISNUMBER(O393),MOD(O393,1),TIMEVALUE(O393)))),$T$4:$T$500))*1440),"")</f>
        <v/>
      </c>
      <c r="Z393" s="27">
        <f>IFERROR(IF(Y393="","",IF(ROUND(Y393,0)&lt;=15,"Cumple","No cumple")),"")</f>
        <v/>
      </c>
      <c r="AA393" s="27" t="n"/>
      <c r="AB393" s="26">
        <f>IFERROR(IF(OR(O393="",R393=""),"",IF(IF(ISNUMBER(R393),MOD(R393,1),TIMEVALUE(R393))&gt;=IF(ISNUMBER(O393),MOD(O393,1),TIMEVALUE(O393)),(IF(ISNUMBER(R393),MOD(R393,1),TIMEVALUE(R393))-IF(ISNUMBER(O393),MOD(O393,1),TIMEVALUE(O393)))*1440,(IF(ISNUMBER(R393),MOD(R393,1),TIMEVALUE(R393))+1-IF(ISNUMBER(O393),MOD(O393,1),TIMEVALUE(O393)))*1440)),"")</f>
        <v/>
      </c>
      <c r="AC393" s="26">
        <f>IFERROR(IF(OR(R393="",S393=""),"",IF(IF(ISNUMBER(S393),MOD(S393,1),TIMEVALUE(S393))&gt;=IF(ISNUMBER(R393),MOD(R393,1),TIMEVALUE(R393)),(IF(ISNUMBER(S393),MOD(S393,1),TIMEVALUE(S393))-IF(ISNUMBER(R393),MOD(R393,1),TIMEVALUE(R393)))*1440,(IF(ISNUMBER(S393),MOD(S393,1),TIMEVALUE(S393))+1-IF(ISNUMBER(R393),MOD(R393,1),TIMEVALUE(R393)))*1440)),"")</f>
        <v/>
      </c>
      <c r="AD393" s="29" t="n"/>
      <c r="AE393" s="26">
        <f>IFERROR(IF(OR(AC393="",AD393=""),"",AC393-AD393),"")</f>
        <v/>
      </c>
      <c r="AF393" s="27">
        <f>IFERROR(IF(AE393="","",IF(ROUND(AE393,0)&gt;15,"Subestimacion",IF(ROUND(AE393,0)&lt;-15,"Sobrestimacion","Asertivo"))),"")</f>
        <v/>
      </c>
      <c r="AG393" s="19" t="n"/>
      <c r="AH393" s="19" t="n"/>
      <c r="AI393" s="19" t="n"/>
      <c r="AJ393" s="19" t="n"/>
      <c r="AK393" s="19" t="n"/>
      <c r="AL393" s="19" t="n"/>
      <c r="AM393" s="19" t="n"/>
      <c r="AN393" s="19" t="n"/>
      <c r="AO393" s="19" t="n"/>
      <c r="AP393" s="127">
        <f>IF(A393="","",A393-WEEKDAY(A393,2)+1)</f>
        <v/>
      </c>
      <c r="AQ393" s="127">
        <f>IF(AO393="","",AO393+6)</f>
        <v/>
      </c>
      <c r="AR393" s="19">
        <f>IF(AO393="","","Semana "&amp;TEXT(AO393,"dd-mm-yyyy")&amp;" al "&amp;TEXT(AP393,"dd-mm-yyyy"))</f>
        <v/>
      </c>
      <c r="AS393" s="19">
        <f>IF(A393="","",TEXT(A393,"mmmm yyyy"))</f>
        <v/>
      </c>
      <c r="AT393" s="19">
        <f>IF(A393="","",TEXT(A393,"dddd"))</f>
        <v/>
      </c>
      <c r="AU393" s="19">
        <f>IF(A393="","","CRR-"&amp;TEXT(A393,"yyyymmdd")&amp;"-"&amp;M393&amp;"-"&amp;TEXT(ROW()-3,"0000"))</f>
        <v/>
      </c>
      <c r="AV393" s="19">
        <f>IF(A393="","",IF(OR(B393="",C393="",E393="",F393="",M393="",N393=""),"Revisar campos obligatorios",IF(AND(P393="Atraso primera hora",Q393=""),"Falta justificación atraso primera hora",IF(AND(Z393="No cumple",AA393=""),"Falta justificación recambio &gt;15 min",IF(AND(ISNUMBER(SEARCH("suspend",N393)),OR(AG393="",AH393="")),"Falta causa/motivo suspensión","OK")))))</f>
        <v/>
      </c>
      <c r="AW393" s="19">
        <f>IF(N393="","",IF(ISNUMBER(SEARCH("suspend",N393)),IF(AND(AG393="",AH393=""),"Sin causa/motivo registrado",IF(AG393="",AH393,IF(AH393="",AG393,AG393&amp;": "&amp;AH393))),""))</f>
        <v/>
      </c>
    </row>
    <row r="394" ht="16" customHeight="1" s="151">
      <c r="A394" s="62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20">
        <f>IF(H394&lt;&gt;"",IFERROR(VLOOKUP(IFERROR(LEFT(H394,FIND("-",H394)-1),H394),'Catalogo MINSAL'!A:E,5,FALSE),""),IF(I394&lt;&gt;"",IFERROR(VLOOKUP(IFERROR(LEFT(I394,FIND("-",I394)-1),I394),'Catalogo MINSAL'!A:E,5,FALSE),""),""))</f>
        <v/>
      </c>
      <c r="K394" s="19" t="n"/>
      <c r="L394" s="19" t="n"/>
      <c r="M394" s="19" t="n"/>
      <c r="N394" s="19" t="n"/>
      <c r="O394" s="25" t="n"/>
      <c r="P394" s="27">
        <f>IFERROR(IF(OR(O394="",A394="",M394=""),"",IF(SUMPRODUCT(($A$4:$A$500=A394)*($M$4:$M$500=M394)*($O$4:$O$500&lt;&gt;"")*(MOD($O$4:$O$500,1)&lt;MOD(O394,1)))=0,IF(MOD(O394,1)&lt;=TIME(8,15,0),"Ingreso adecuado primera hora","Atraso primera hora"),"No aplica")),"")</f>
        <v/>
      </c>
      <c r="Q394" s="27" t="n"/>
      <c r="R394" s="25" t="n"/>
      <c r="S394" s="25" t="n"/>
      <c r="T394" s="25" t="n"/>
      <c r="U394" s="25">
        <f>IFERROR(VLOOKUP(M394,'Horario Pabellones'!$A$4:$D$17,2,FALSE),"")</f>
        <v/>
      </c>
      <c r="V394" s="25">
        <f>IFERROR(VLOOKUP(M394,'Horario Pabellones'!$A$4:$D$17,3,FALSE),"")</f>
        <v/>
      </c>
      <c r="W394" s="99">
        <f>IFERROR(VLOOKUP(M394,'Horario Pabellones'!$A$4:$D$17,4,FALSE),"")</f>
        <v/>
      </c>
      <c r="X394" s="89">
        <f>IFERROR(IF(OR(A394="",M394="",W394=""),"",(((_xludf.AGGREGATE(14,6,MOD($S$4:$S$500,1)/(($A$4:$A$500=A394)*($M$4:$M$500=M394)*($R$4:$R$500&lt;&gt;"")*($S$4:$S$500&lt;&gt;"")),1)-_xludf.AGGREGATE(15,6,MOD($R$4:$R$500,1)/(($A$4:$A$500=A394)*($M$4:$M$500=M394)*($R$4:$R$500&lt;&gt;"")*($S$4:$S$500&lt;&gt;"")),1))*1440)/60)/(W394/60)),"")</f>
        <v/>
      </c>
      <c r="Y394" s="26">
        <f>IFERROR(IF(OR(O394="",A394="",M394=""),"",(IF(ISNUMBER(O394),MOD(O394,1),TIMEVALUE(O394))-LOOKUP(2,1/(($A$4:$A$500=A394)*($M$4:$M$500=M394)*($T$4:$T$500&lt;&gt;"")*($T$4:$T$500&lt;IF(ISNUMBER(O394),MOD(O394,1),TIMEVALUE(O394)))),$T$4:$T$500))*1440),"")</f>
        <v/>
      </c>
      <c r="Z394" s="27">
        <f>IFERROR(IF(Y394="","",IF(ROUND(Y394,0)&lt;=15,"Cumple","No cumple")),"")</f>
        <v/>
      </c>
      <c r="AA394" s="27" t="n"/>
      <c r="AB394" s="26">
        <f>IFERROR(IF(OR(O394="",R394=""),"",IF(IF(ISNUMBER(R394),MOD(R394,1),TIMEVALUE(R394))&gt;=IF(ISNUMBER(O394),MOD(O394,1),TIMEVALUE(O394)),(IF(ISNUMBER(R394),MOD(R394,1),TIMEVALUE(R394))-IF(ISNUMBER(O394),MOD(O394,1),TIMEVALUE(O394)))*1440,(IF(ISNUMBER(R394),MOD(R394,1),TIMEVALUE(R394))+1-IF(ISNUMBER(O394),MOD(O394,1),TIMEVALUE(O394)))*1440)),"")</f>
        <v/>
      </c>
      <c r="AC394" s="26">
        <f>IFERROR(IF(OR(R394="",S394=""),"",IF(IF(ISNUMBER(S394),MOD(S394,1),TIMEVALUE(S394))&gt;=IF(ISNUMBER(R394),MOD(R394,1),TIMEVALUE(R394)),(IF(ISNUMBER(S394),MOD(S394,1),TIMEVALUE(S394))-IF(ISNUMBER(R394),MOD(R394,1),TIMEVALUE(R394)))*1440,(IF(ISNUMBER(S394),MOD(S394,1),TIMEVALUE(S394))+1-IF(ISNUMBER(R394),MOD(R394,1),TIMEVALUE(R394)))*1440)),"")</f>
        <v/>
      </c>
      <c r="AD394" s="29" t="n"/>
      <c r="AE394" s="26">
        <f>IFERROR(IF(OR(AC394="",AD394=""),"",AC394-AD394),"")</f>
        <v/>
      </c>
      <c r="AF394" s="27">
        <f>IFERROR(IF(AE394="","",IF(ROUND(AE394,0)&gt;15,"Subestimacion",IF(ROUND(AE394,0)&lt;-15,"Sobrestimacion","Asertivo"))),"")</f>
        <v/>
      </c>
      <c r="AG394" s="19" t="n"/>
      <c r="AH394" s="19" t="n"/>
      <c r="AI394" s="19" t="n"/>
      <c r="AJ394" s="19" t="n"/>
      <c r="AK394" s="19" t="n"/>
      <c r="AL394" s="19" t="n"/>
      <c r="AM394" s="19" t="n"/>
      <c r="AN394" s="19" t="n"/>
      <c r="AO394" s="19" t="n"/>
      <c r="AP394" s="127">
        <f>IF(A394="","",A394-WEEKDAY(A394,2)+1)</f>
        <v/>
      </c>
      <c r="AQ394" s="127">
        <f>IF(AO394="","",AO394+6)</f>
        <v/>
      </c>
      <c r="AR394" s="19">
        <f>IF(AO394="","","Semana "&amp;TEXT(AO394,"dd-mm-yyyy")&amp;" al "&amp;TEXT(AP394,"dd-mm-yyyy"))</f>
        <v/>
      </c>
      <c r="AS394" s="19">
        <f>IF(A394="","",TEXT(A394,"mmmm yyyy"))</f>
        <v/>
      </c>
      <c r="AT394" s="19">
        <f>IF(A394="","",TEXT(A394,"dddd"))</f>
        <v/>
      </c>
      <c r="AU394" s="19">
        <f>IF(A394="","","CRR-"&amp;TEXT(A394,"yyyymmdd")&amp;"-"&amp;M394&amp;"-"&amp;TEXT(ROW()-3,"0000"))</f>
        <v/>
      </c>
      <c r="AV394" s="19">
        <f>IF(A394="","",IF(OR(B394="",C394="",E394="",F394="",M394="",N394=""),"Revisar campos obligatorios",IF(AND(P394="Atraso primera hora",Q394=""),"Falta justificación atraso primera hora",IF(AND(Z394="No cumple",AA394=""),"Falta justificación recambio &gt;15 min",IF(AND(ISNUMBER(SEARCH("suspend",N394)),OR(AG394="",AH394="")),"Falta causa/motivo suspensión","OK")))))</f>
        <v/>
      </c>
      <c r="AW394" s="19">
        <f>IF(N394="","",IF(ISNUMBER(SEARCH("suspend",N394)),IF(AND(AG394="",AH394=""),"Sin causa/motivo registrado",IF(AG394="",AH394,IF(AH394="",AG394,AG394&amp;": "&amp;AH394))),""))</f>
        <v/>
      </c>
    </row>
    <row r="395" ht="16" customHeight="1" s="151">
      <c r="A395" s="62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20">
        <f>IF(H395&lt;&gt;"",IFERROR(VLOOKUP(IFERROR(LEFT(H395,FIND("-",H395)-1),H395),'Catalogo MINSAL'!A:E,5,FALSE),""),IF(I395&lt;&gt;"",IFERROR(VLOOKUP(IFERROR(LEFT(I395,FIND("-",I395)-1),I395),'Catalogo MINSAL'!A:E,5,FALSE),""),""))</f>
        <v/>
      </c>
      <c r="K395" s="19" t="n"/>
      <c r="L395" s="19" t="n"/>
      <c r="M395" s="19" t="n"/>
      <c r="N395" s="19" t="n"/>
      <c r="O395" s="25" t="n"/>
      <c r="P395" s="27">
        <f>IFERROR(IF(OR(O395="",A395="",M395=""),"",IF(SUMPRODUCT(($A$4:$A$500=A395)*($M$4:$M$500=M395)*($O$4:$O$500&lt;&gt;"")*(MOD($O$4:$O$500,1)&lt;MOD(O395,1)))=0,IF(MOD(O395,1)&lt;=TIME(8,15,0),"Ingreso adecuado primera hora","Atraso primera hora"),"No aplica")),"")</f>
        <v/>
      </c>
      <c r="Q395" s="27" t="n"/>
      <c r="R395" s="25" t="n"/>
      <c r="S395" s="25" t="n"/>
      <c r="T395" s="25" t="n"/>
      <c r="U395" s="25">
        <f>IFERROR(VLOOKUP(M395,'Horario Pabellones'!$A$4:$D$17,2,FALSE),"")</f>
        <v/>
      </c>
      <c r="V395" s="25">
        <f>IFERROR(VLOOKUP(M395,'Horario Pabellones'!$A$4:$D$17,3,FALSE),"")</f>
        <v/>
      </c>
      <c r="W395" s="99">
        <f>IFERROR(VLOOKUP(M395,'Horario Pabellones'!$A$4:$D$17,4,FALSE),"")</f>
        <v/>
      </c>
      <c r="X395" s="89">
        <f>IFERROR(IF(OR(A395="",M395="",W395=""),"",(((_xludf.AGGREGATE(14,6,MOD($S$4:$S$500,1)/(($A$4:$A$500=A395)*($M$4:$M$500=M395)*($R$4:$R$500&lt;&gt;"")*($S$4:$S$500&lt;&gt;"")),1)-_xludf.AGGREGATE(15,6,MOD($R$4:$R$500,1)/(($A$4:$A$500=A395)*($M$4:$M$500=M395)*($R$4:$R$500&lt;&gt;"")*($S$4:$S$500&lt;&gt;"")),1))*1440)/60)/(W395/60)),"")</f>
        <v/>
      </c>
      <c r="Y395" s="26">
        <f>IFERROR(IF(OR(O395="",A395="",M395=""),"",(IF(ISNUMBER(O395),MOD(O395,1),TIMEVALUE(O395))-LOOKUP(2,1/(($A$4:$A$500=A395)*($M$4:$M$500=M395)*($T$4:$T$500&lt;&gt;"")*($T$4:$T$500&lt;IF(ISNUMBER(O395),MOD(O395,1),TIMEVALUE(O395)))),$T$4:$T$500))*1440),"")</f>
        <v/>
      </c>
      <c r="Z395" s="27">
        <f>IFERROR(IF(Y395="","",IF(ROUND(Y395,0)&lt;=15,"Cumple","No cumple")),"")</f>
        <v/>
      </c>
      <c r="AA395" s="27" t="n"/>
      <c r="AB395" s="26">
        <f>IFERROR(IF(OR(O395="",R395=""),"",IF(IF(ISNUMBER(R395),MOD(R395,1),TIMEVALUE(R395))&gt;=IF(ISNUMBER(O395),MOD(O395,1),TIMEVALUE(O395)),(IF(ISNUMBER(R395),MOD(R395,1),TIMEVALUE(R395))-IF(ISNUMBER(O395),MOD(O395,1),TIMEVALUE(O395)))*1440,(IF(ISNUMBER(R395),MOD(R395,1),TIMEVALUE(R395))+1-IF(ISNUMBER(O395),MOD(O395,1),TIMEVALUE(O395)))*1440)),"")</f>
        <v/>
      </c>
      <c r="AC395" s="26">
        <f>IFERROR(IF(OR(R395="",S395=""),"",IF(IF(ISNUMBER(S395),MOD(S395,1),TIMEVALUE(S395))&gt;=IF(ISNUMBER(R395),MOD(R395,1),TIMEVALUE(R395)),(IF(ISNUMBER(S395),MOD(S395,1),TIMEVALUE(S395))-IF(ISNUMBER(R395),MOD(R395,1),TIMEVALUE(R395)))*1440,(IF(ISNUMBER(S395),MOD(S395,1),TIMEVALUE(S395))+1-IF(ISNUMBER(R395),MOD(R395,1),TIMEVALUE(R395)))*1440)),"")</f>
        <v/>
      </c>
      <c r="AD395" s="29" t="n"/>
      <c r="AE395" s="26">
        <f>IFERROR(IF(OR(AC395="",AD395=""),"",AC395-AD395),"")</f>
        <v/>
      </c>
      <c r="AF395" s="27">
        <f>IFERROR(IF(AE395="","",IF(ROUND(AE395,0)&gt;15,"Subestimacion",IF(ROUND(AE395,0)&lt;-15,"Sobrestimacion","Asertivo"))),"")</f>
        <v/>
      </c>
      <c r="AG395" s="19" t="n"/>
      <c r="AH395" s="19" t="n"/>
      <c r="AI395" s="19" t="n"/>
      <c r="AJ395" s="19" t="n"/>
      <c r="AK395" s="19" t="n"/>
      <c r="AL395" s="19" t="n"/>
      <c r="AM395" s="19" t="n"/>
      <c r="AN395" s="19" t="n"/>
      <c r="AO395" s="19" t="n"/>
      <c r="AP395" s="127">
        <f>IF(A395="","",A395-WEEKDAY(A395,2)+1)</f>
        <v/>
      </c>
      <c r="AQ395" s="127">
        <f>IF(AO395="","",AO395+6)</f>
        <v/>
      </c>
      <c r="AR395" s="19">
        <f>IF(AO395="","","Semana "&amp;TEXT(AO395,"dd-mm-yyyy")&amp;" al "&amp;TEXT(AP395,"dd-mm-yyyy"))</f>
        <v/>
      </c>
      <c r="AS395" s="19">
        <f>IF(A395="","",TEXT(A395,"mmmm yyyy"))</f>
        <v/>
      </c>
      <c r="AT395" s="19">
        <f>IF(A395="","",TEXT(A395,"dddd"))</f>
        <v/>
      </c>
      <c r="AU395" s="19">
        <f>IF(A395="","","CRR-"&amp;TEXT(A395,"yyyymmdd")&amp;"-"&amp;M395&amp;"-"&amp;TEXT(ROW()-3,"0000"))</f>
        <v/>
      </c>
      <c r="AV395" s="19">
        <f>IF(A395="","",IF(OR(B395="",C395="",E395="",F395="",M395="",N395=""),"Revisar campos obligatorios",IF(AND(P395="Atraso primera hora",Q395=""),"Falta justificación atraso primera hora",IF(AND(Z395="No cumple",AA395=""),"Falta justificación recambio &gt;15 min",IF(AND(ISNUMBER(SEARCH("suspend",N395)),OR(AG395="",AH395="")),"Falta causa/motivo suspensión","OK")))))</f>
        <v/>
      </c>
      <c r="AW395" s="19">
        <f>IF(N395="","",IF(ISNUMBER(SEARCH("suspend",N395)),IF(AND(AG395="",AH395=""),"Sin causa/motivo registrado",IF(AG395="",AH395,IF(AH395="",AG395,AG395&amp;": "&amp;AH395))),""))</f>
        <v/>
      </c>
    </row>
    <row r="396" ht="16" customHeight="1" s="151">
      <c r="A396" s="62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20">
        <f>IF(H396&lt;&gt;"",IFERROR(VLOOKUP(IFERROR(LEFT(H396,FIND("-",H396)-1),H396),'Catalogo MINSAL'!A:E,5,FALSE),""),IF(I396&lt;&gt;"",IFERROR(VLOOKUP(IFERROR(LEFT(I396,FIND("-",I396)-1),I396),'Catalogo MINSAL'!A:E,5,FALSE),""),""))</f>
        <v/>
      </c>
      <c r="K396" s="19" t="n"/>
      <c r="L396" s="19" t="n"/>
      <c r="M396" s="19" t="n"/>
      <c r="N396" s="19" t="n"/>
      <c r="O396" s="25" t="n"/>
      <c r="P396" s="27">
        <f>IFERROR(IF(OR(O396="",A396="",M396=""),"",IF(SUMPRODUCT(($A$4:$A$500=A396)*($M$4:$M$500=M396)*($O$4:$O$500&lt;&gt;"")*(MOD($O$4:$O$500,1)&lt;MOD(O396,1)))=0,IF(MOD(O396,1)&lt;=TIME(8,15,0),"Ingreso adecuado primera hora","Atraso primera hora"),"No aplica")),"")</f>
        <v/>
      </c>
      <c r="Q396" s="27" t="n"/>
      <c r="R396" s="25" t="n"/>
      <c r="S396" s="25" t="n"/>
      <c r="T396" s="25" t="n"/>
      <c r="U396" s="25">
        <f>IFERROR(VLOOKUP(M396,'Horario Pabellones'!$A$4:$D$17,2,FALSE),"")</f>
        <v/>
      </c>
      <c r="V396" s="25">
        <f>IFERROR(VLOOKUP(M396,'Horario Pabellones'!$A$4:$D$17,3,FALSE),"")</f>
        <v/>
      </c>
      <c r="W396" s="99">
        <f>IFERROR(VLOOKUP(M396,'Horario Pabellones'!$A$4:$D$17,4,FALSE),"")</f>
        <v/>
      </c>
      <c r="X396" s="89">
        <f>IFERROR(IF(OR(A396="",M396="",W396=""),"",(((_xludf.AGGREGATE(14,6,MOD($S$4:$S$500,1)/(($A$4:$A$500=A396)*($M$4:$M$500=M396)*($R$4:$R$500&lt;&gt;"")*($S$4:$S$500&lt;&gt;"")),1)-_xludf.AGGREGATE(15,6,MOD($R$4:$R$500,1)/(($A$4:$A$500=A396)*($M$4:$M$500=M396)*($R$4:$R$500&lt;&gt;"")*($S$4:$S$500&lt;&gt;"")),1))*1440)/60)/(W396/60)),"")</f>
        <v/>
      </c>
      <c r="Y396" s="26">
        <f>IFERROR(IF(OR(O396="",A396="",M396=""),"",(IF(ISNUMBER(O396),MOD(O396,1),TIMEVALUE(O396))-LOOKUP(2,1/(($A$4:$A$500=A396)*($M$4:$M$500=M396)*($T$4:$T$500&lt;&gt;"")*($T$4:$T$500&lt;IF(ISNUMBER(O396),MOD(O396,1),TIMEVALUE(O396)))),$T$4:$T$500))*1440),"")</f>
        <v/>
      </c>
      <c r="Z396" s="27">
        <f>IFERROR(IF(Y396="","",IF(ROUND(Y396,0)&lt;=15,"Cumple","No cumple")),"")</f>
        <v/>
      </c>
      <c r="AA396" s="27" t="n"/>
      <c r="AB396" s="26">
        <f>IFERROR(IF(OR(O396="",R396=""),"",IF(IF(ISNUMBER(R396),MOD(R396,1),TIMEVALUE(R396))&gt;=IF(ISNUMBER(O396),MOD(O396,1),TIMEVALUE(O396)),(IF(ISNUMBER(R396),MOD(R396,1),TIMEVALUE(R396))-IF(ISNUMBER(O396),MOD(O396,1),TIMEVALUE(O396)))*1440,(IF(ISNUMBER(R396),MOD(R396,1),TIMEVALUE(R396))+1-IF(ISNUMBER(O396),MOD(O396,1),TIMEVALUE(O396)))*1440)),"")</f>
        <v/>
      </c>
      <c r="AC396" s="26">
        <f>IFERROR(IF(OR(R396="",S396=""),"",IF(IF(ISNUMBER(S396),MOD(S396,1),TIMEVALUE(S396))&gt;=IF(ISNUMBER(R396),MOD(R396,1),TIMEVALUE(R396)),(IF(ISNUMBER(S396),MOD(S396,1),TIMEVALUE(S396))-IF(ISNUMBER(R396),MOD(R396,1),TIMEVALUE(R396)))*1440,(IF(ISNUMBER(S396),MOD(S396,1),TIMEVALUE(S396))+1-IF(ISNUMBER(R396),MOD(R396,1),TIMEVALUE(R396)))*1440)),"")</f>
        <v/>
      </c>
      <c r="AD396" s="29" t="n"/>
      <c r="AE396" s="26">
        <f>IFERROR(IF(OR(AC396="",AD396=""),"",AC396-AD396),"")</f>
        <v/>
      </c>
      <c r="AF396" s="27">
        <f>IFERROR(IF(AE396="","",IF(ROUND(AE396,0)&gt;15,"Subestimacion",IF(ROUND(AE396,0)&lt;-15,"Sobrestimacion","Asertivo"))),"")</f>
        <v/>
      </c>
      <c r="AG396" s="19" t="n"/>
      <c r="AH396" s="19" t="n"/>
      <c r="AI396" s="19" t="n"/>
      <c r="AJ396" s="19" t="n"/>
      <c r="AK396" s="19" t="n"/>
      <c r="AL396" s="19" t="n"/>
      <c r="AM396" s="19" t="n"/>
      <c r="AN396" s="19" t="n"/>
      <c r="AO396" s="19" t="n"/>
      <c r="AP396" s="127">
        <f>IF(A396="","",A396-WEEKDAY(A396,2)+1)</f>
        <v/>
      </c>
      <c r="AQ396" s="127">
        <f>IF(AO396="","",AO396+6)</f>
        <v/>
      </c>
      <c r="AR396" s="19">
        <f>IF(AO396="","","Semana "&amp;TEXT(AO396,"dd-mm-yyyy")&amp;" al "&amp;TEXT(AP396,"dd-mm-yyyy"))</f>
        <v/>
      </c>
      <c r="AS396" s="19">
        <f>IF(A396="","",TEXT(A396,"mmmm yyyy"))</f>
        <v/>
      </c>
      <c r="AT396" s="19">
        <f>IF(A396="","",TEXT(A396,"dddd"))</f>
        <v/>
      </c>
      <c r="AU396" s="19">
        <f>IF(A396="","","CRR-"&amp;TEXT(A396,"yyyymmdd")&amp;"-"&amp;M396&amp;"-"&amp;TEXT(ROW()-3,"0000"))</f>
        <v/>
      </c>
      <c r="AV396" s="19">
        <f>IF(A396="","",IF(OR(B396="",C396="",E396="",F396="",M396="",N396=""),"Revisar campos obligatorios",IF(AND(P396="Atraso primera hora",Q396=""),"Falta justificación atraso primera hora",IF(AND(Z396="No cumple",AA396=""),"Falta justificación recambio &gt;15 min",IF(AND(ISNUMBER(SEARCH("suspend",N396)),OR(AG396="",AH396="")),"Falta causa/motivo suspensión","OK")))))</f>
        <v/>
      </c>
      <c r="AW396" s="19">
        <f>IF(N396="","",IF(ISNUMBER(SEARCH("suspend",N396)),IF(AND(AG396="",AH396=""),"Sin causa/motivo registrado",IF(AG396="",AH396,IF(AH396="",AG396,AG396&amp;": "&amp;AH396))),""))</f>
        <v/>
      </c>
    </row>
    <row r="397" ht="16" customHeight="1" s="151">
      <c r="A397" s="62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20">
        <f>IF(H397&lt;&gt;"",IFERROR(VLOOKUP(IFERROR(LEFT(H397,FIND("-",H397)-1),H397),'Catalogo MINSAL'!A:E,5,FALSE),""),IF(I397&lt;&gt;"",IFERROR(VLOOKUP(IFERROR(LEFT(I397,FIND("-",I397)-1),I397),'Catalogo MINSAL'!A:E,5,FALSE),""),""))</f>
        <v/>
      </c>
      <c r="K397" s="19" t="n"/>
      <c r="L397" s="19" t="n"/>
      <c r="M397" s="19" t="n"/>
      <c r="N397" s="19" t="n"/>
      <c r="O397" s="25" t="n"/>
      <c r="P397" s="27">
        <f>IFERROR(IF(OR(O397="",A397="",M397=""),"",IF(SUMPRODUCT(($A$4:$A$500=A397)*($M$4:$M$500=M397)*($O$4:$O$500&lt;&gt;"")*(MOD($O$4:$O$500,1)&lt;MOD(O397,1)))=0,IF(MOD(O397,1)&lt;=TIME(8,15,0),"Ingreso adecuado primera hora","Atraso primera hora"),"No aplica")),"")</f>
        <v/>
      </c>
      <c r="Q397" s="27" t="n"/>
      <c r="R397" s="25" t="n"/>
      <c r="S397" s="25" t="n"/>
      <c r="T397" s="25" t="n"/>
      <c r="U397" s="25">
        <f>IFERROR(VLOOKUP(M397,'Horario Pabellones'!$A$4:$D$17,2,FALSE),"")</f>
        <v/>
      </c>
      <c r="V397" s="25">
        <f>IFERROR(VLOOKUP(M397,'Horario Pabellones'!$A$4:$D$17,3,FALSE),"")</f>
        <v/>
      </c>
      <c r="W397" s="99">
        <f>IFERROR(VLOOKUP(M397,'Horario Pabellones'!$A$4:$D$17,4,FALSE),"")</f>
        <v/>
      </c>
      <c r="X397" s="89">
        <f>IFERROR(IF(OR(A397="",M397="",W397=""),"",(((_xludf.AGGREGATE(14,6,MOD($S$4:$S$500,1)/(($A$4:$A$500=A397)*($M$4:$M$500=M397)*($R$4:$R$500&lt;&gt;"")*($S$4:$S$500&lt;&gt;"")),1)-_xludf.AGGREGATE(15,6,MOD($R$4:$R$500,1)/(($A$4:$A$500=A397)*($M$4:$M$500=M397)*($R$4:$R$500&lt;&gt;"")*($S$4:$S$500&lt;&gt;"")),1))*1440)/60)/(W397/60)),"")</f>
        <v/>
      </c>
      <c r="Y397" s="26">
        <f>IFERROR(IF(OR(O397="",A397="",M397=""),"",(IF(ISNUMBER(O397),MOD(O397,1),TIMEVALUE(O397))-LOOKUP(2,1/(($A$4:$A$500=A397)*($M$4:$M$500=M397)*($T$4:$T$500&lt;&gt;"")*($T$4:$T$500&lt;IF(ISNUMBER(O397),MOD(O397,1),TIMEVALUE(O397)))),$T$4:$T$500))*1440),"")</f>
        <v/>
      </c>
      <c r="Z397" s="27">
        <f>IFERROR(IF(Y397="","",IF(ROUND(Y397,0)&lt;=15,"Cumple","No cumple")),"")</f>
        <v/>
      </c>
      <c r="AA397" s="27" t="n"/>
      <c r="AB397" s="26">
        <f>IFERROR(IF(OR(O397="",R397=""),"",IF(IF(ISNUMBER(R397),MOD(R397,1),TIMEVALUE(R397))&gt;=IF(ISNUMBER(O397),MOD(O397,1),TIMEVALUE(O397)),(IF(ISNUMBER(R397),MOD(R397,1),TIMEVALUE(R397))-IF(ISNUMBER(O397),MOD(O397,1),TIMEVALUE(O397)))*1440,(IF(ISNUMBER(R397),MOD(R397,1),TIMEVALUE(R397))+1-IF(ISNUMBER(O397),MOD(O397,1),TIMEVALUE(O397)))*1440)),"")</f>
        <v/>
      </c>
      <c r="AC397" s="26">
        <f>IFERROR(IF(OR(R397="",S397=""),"",IF(IF(ISNUMBER(S397),MOD(S397,1),TIMEVALUE(S397))&gt;=IF(ISNUMBER(R397),MOD(R397,1),TIMEVALUE(R397)),(IF(ISNUMBER(S397),MOD(S397,1),TIMEVALUE(S397))-IF(ISNUMBER(R397),MOD(R397,1),TIMEVALUE(R397)))*1440,(IF(ISNUMBER(S397),MOD(S397,1),TIMEVALUE(S397))+1-IF(ISNUMBER(R397),MOD(R397,1),TIMEVALUE(R397)))*1440)),"")</f>
        <v/>
      </c>
      <c r="AD397" s="29" t="n"/>
      <c r="AE397" s="26">
        <f>IFERROR(IF(OR(AC397="",AD397=""),"",AC397-AD397),"")</f>
        <v/>
      </c>
      <c r="AF397" s="27">
        <f>IFERROR(IF(AE397="","",IF(ROUND(AE397,0)&gt;15,"Subestimacion",IF(ROUND(AE397,0)&lt;-15,"Sobrestimacion","Asertivo"))),"")</f>
        <v/>
      </c>
      <c r="AG397" s="19" t="n"/>
      <c r="AH397" s="19" t="n"/>
      <c r="AI397" s="19" t="n"/>
      <c r="AJ397" s="19" t="n"/>
      <c r="AK397" s="19" t="n"/>
      <c r="AL397" s="19" t="n"/>
      <c r="AM397" s="19" t="n"/>
      <c r="AN397" s="19" t="n"/>
      <c r="AO397" s="19" t="n"/>
      <c r="AP397" s="127">
        <f>IF(A397="","",A397-WEEKDAY(A397,2)+1)</f>
        <v/>
      </c>
      <c r="AQ397" s="127">
        <f>IF(AO397="","",AO397+6)</f>
        <v/>
      </c>
      <c r="AR397" s="19">
        <f>IF(AO397="","","Semana "&amp;TEXT(AO397,"dd-mm-yyyy")&amp;" al "&amp;TEXT(AP397,"dd-mm-yyyy"))</f>
        <v/>
      </c>
      <c r="AS397" s="19">
        <f>IF(A397="","",TEXT(A397,"mmmm yyyy"))</f>
        <v/>
      </c>
      <c r="AT397" s="19">
        <f>IF(A397="","",TEXT(A397,"dddd"))</f>
        <v/>
      </c>
      <c r="AU397" s="19">
        <f>IF(A397="","","CRR-"&amp;TEXT(A397,"yyyymmdd")&amp;"-"&amp;M397&amp;"-"&amp;TEXT(ROW()-3,"0000"))</f>
        <v/>
      </c>
      <c r="AV397" s="19">
        <f>IF(A397="","",IF(OR(B397="",C397="",E397="",F397="",M397="",N397=""),"Revisar campos obligatorios",IF(AND(P397="Atraso primera hora",Q397=""),"Falta justificación atraso primera hora",IF(AND(Z397="No cumple",AA397=""),"Falta justificación recambio &gt;15 min",IF(AND(ISNUMBER(SEARCH("suspend",N397)),OR(AG397="",AH397="")),"Falta causa/motivo suspensión","OK")))))</f>
        <v/>
      </c>
      <c r="AW397" s="19">
        <f>IF(N397="","",IF(ISNUMBER(SEARCH("suspend",N397)),IF(AND(AG397="",AH397=""),"Sin causa/motivo registrado",IF(AG397="",AH397,IF(AH397="",AG397,AG397&amp;": "&amp;AH397))),""))</f>
        <v/>
      </c>
    </row>
    <row r="398" ht="16" customHeight="1" s="151">
      <c r="A398" s="62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20">
        <f>IF(H398&lt;&gt;"",IFERROR(VLOOKUP(IFERROR(LEFT(H398,FIND("-",H398)-1),H398),'Catalogo MINSAL'!A:E,5,FALSE),""),IF(I398&lt;&gt;"",IFERROR(VLOOKUP(IFERROR(LEFT(I398,FIND("-",I398)-1),I398),'Catalogo MINSAL'!A:E,5,FALSE),""),""))</f>
        <v/>
      </c>
      <c r="K398" s="19" t="n"/>
      <c r="L398" s="19" t="n"/>
      <c r="M398" s="19" t="n"/>
      <c r="N398" s="19" t="n"/>
      <c r="O398" s="25" t="n"/>
      <c r="P398" s="27">
        <f>IFERROR(IF(OR(O398="",A398="",M398=""),"",IF(SUMPRODUCT(($A$4:$A$500=A398)*($M$4:$M$500=M398)*($O$4:$O$500&lt;&gt;"")*(MOD($O$4:$O$500,1)&lt;MOD(O398,1)))=0,IF(MOD(O398,1)&lt;=TIME(8,15,0),"Ingreso adecuado primera hora","Atraso primera hora"),"No aplica")),"")</f>
        <v/>
      </c>
      <c r="Q398" s="27" t="n"/>
      <c r="R398" s="25" t="n"/>
      <c r="S398" s="25" t="n"/>
      <c r="T398" s="25" t="n"/>
      <c r="U398" s="25">
        <f>IFERROR(VLOOKUP(M398,'Horario Pabellones'!$A$4:$D$17,2,FALSE),"")</f>
        <v/>
      </c>
      <c r="V398" s="25">
        <f>IFERROR(VLOOKUP(M398,'Horario Pabellones'!$A$4:$D$17,3,FALSE),"")</f>
        <v/>
      </c>
      <c r="W398" s="99">
        <f>IFERROR(VLOOKUP(M398,'Horario Pabellones'!$A$4:$D$17,4,FALSE),"")</f>
        <v/>
      </c>
      <c r="X398" s="89">
        <f>IFERROR(IF(OR(A398="",M398="",W398=""),"",(((_xludf.AGGREGATE(14,6,MOD($S$4:$S$500,1)/(($A$4:$A$500=A398)*($M$4:$M$500=M398)*($R$4:$R$500&lt;&gt;"")*($S$4:$S$500&lt;&gt;"")),1)-_xludf.AGGREGATE(15,6,MOD($R$4:$R$500,1)/(($A$4:$A$500=A398)*($M$4:$M$500=M398)*($R$4:$R$500&lt;&gt;"")*($S$4:$S$500&lt;&gt;"")),1))*1440)/60)/(W398/60)),"")</f>
        <v/>
      </c>
      <c r="Y398" s="26">
        <f>IFERROR(IF(OR(O398="",A398="",M398=""),"",(IF(ISNUMBER(O398),MOD(O398,1),TIMEVALUE(O398))-LOOKUP(2,1/(($A$4:$A$500=A398)*($M$4:$M$500=M398)*($T$4:$T$500&lt;&gt;"")*($T$4:$T$500&lt;IF(ISNUMBER(O398),MOD(O398,1),TIMEVALUE(O398)))),$T$4:$T$500))*1440),"")</f>
        <v/>
      </c>
      <c r="Z398" s="27">
        <f>IFERROR(IF(Y398="","",IF(ROUND(Y398,0)&lt;=15,"Cumple","No cumple")),"")</f>
        <v/>
      </c>
      <c r="AA398" s="27" t="n"/>
      <c r="AB398" s="26">
        <f>IFERROR(IF(OR(O398="",R398=""),"",IF(IF(ISNUMBER(R398),MOD(R398,1),TIMEVALUE(R398))&gt;=IF(ISNUMBER(O398),MOD(O398,1),TIMEVALUE(O398)),(IF(ISNUMBER(R398),MOD(R398,1),TIMEVALUE(R398))-IF(ISNUMBER(O398),MOD(O398,1),TIMEVALUE(O398)))*1440,(IF(ISNUMBER(R398),MOD(R398,1),TIMEVALUE(R398))+1-IF(ISNUMBER(O398),MOD(O398,1),TIMEVALUE(O398)))*1440)),"")</f>
        <v/>
      </c>
      <c r="AC398" s="26">
        <f>IFERROR(IF(OR(R398="",S398=""),"",IF(IF(ISNUMBER(S398),MOD(S398,1),TIMEVALUE(S398))&gt;=IF(ISNUMBER(R398),MOD(R398,1),TIMEVALUE(R398)),(IF(ISNUMBER(S398),MOD(S398,1),TIMEVALUE(S398))-IF(ISNUMBER(R398),MOD(R398,1),TIMEVALUE(R398)))*1440,(IF(ISNUMBER(S398),MOD(S398,1),TIMEVALUE(S398))+1-IF(ISNUMBER(R398),MOD(R398,1),TIMEVALUE(R398)))*1440)),"")</f>
        <v/>
      </c>
      <c r="AD398" s="29" t="n"/>
      <c r="AE398" s="26">
        <f>IFERROR(IF(OR(AC398="",AD398=""),"",AC398-AD398),"")</f>
        <v/>
      </c>
      <c r="AF398" s="27">
        <f>IFERROR(IF(AE398="","",IF(ROUND(AE398,0)&gt;15,"Subestimacion",IF(ROUND(AE398,0)&lt;-15,"Sobrestimacion","Asertivo"))),"")</f>
        <v/>
      </c>
      <c r="AG398" s="19" t="n"/>
      <c r="AH398" s="19" t="n"/>
      <c r="AI398" s="19" t="n"/>
      <c r="AJ398" s="19" t="n"/>
      <c r="AK398" s="19" t="n"/>
      <c r="AL398" s="19" t="n"/>
      <c r="AM398" s="19" t="n"/>
      <c r="AN398" s="19" t="n"/>
      <c r="AO398" s="19" t="n"/>
      <c r="AP398" s="127">
        <f>IF(A398="","",A398-WEEKDAY(A398,2)+1)</f>
        <v/>
      </c>
      <c r="AQ398" s="127">
        <f>IF(AO398="","",AO398+6)</f>
        <v/>
      </c>
      <c r="AR398" s="19">
        <f>IF(AO398="","","Semana "&amp;TEXT(AO398,"dd-mm-yyyy")&amp;" al "&amp;TEXT(AP398,"dd-mm-yyyy"))</f>
        <v/>
      </c>
      <c r="AS398" s="19">
        <f>IF(A398="","",TEXT(A398,"mmmm yyyy"))</f>
        <v/>
      </c>
      <c r="AT398" s="19">
        <f>IF(A398="","",TEXT(A398,"dddd"))</f>
        <v/>
      </c>
      <c r="AU398" s="19">
        <f>IF(A398="","","CRR-"&amp;TEXT(A398,"yyyymmdd")&amp;"-"&amp;M398&amp;"-"&amp;TEXT(ROW()-3,"0000"))</f>
        <v/>
      </c>
      <c r="AV398" s="19">
        <f>IF(A398="","",IF(OR(B398="",C398="",E398="",F398="",M398="",N398=""),"Revisar campos obligatorios",IF(AND(P398="Atraso primera hora",Q398=""),"Falta justificación atraso primera hora",IF(AND(Z398="No cumple",AA398=""),"Falta justificación recambio &gt;15 min",IF(AND(ISNUMBER(SEARCH("suspend",N398)),OR(AG398="",AH398="")),"Falta causa/motivo suspensión","OK")))))</f>
        <v/>
      </c>
      <c r="AW398" s="19">
        <f>IF(N398="","",IF(ISNUMBER(SEARCH("suspend",N398)),IF(AND(AG398="",AH398=""),"Sin causa/motivo registrado",IF(AG398="",AH398,IF(AH398="",AG398,AG398&amp;": "&amp;AH398))),""))</f>
        <v/>
      </c>
    </row>
    <row r="399" ht="16" customHeight="1" s="151">
      <c r="A399" s="62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20">
        <f>IF(H399&lt;&gt;"",IFERROR(VLOOKUP(IFERROR(LEFT(H399,FIND("-",H399)-1),H399),'Catalogo MINSAL'!A:E,5,FALSE),""),IF(I399&lt;&gt;"",IFERROR(VLOOKUP(IFERROR(LEFT(I399,FIND("-",I399)-1),I399),'Catalogo MINSAL'!A:E,5,FALSE),""),""))</f>
        <v/>
      </c>
      <c r="K399" s="19" t="n"/>
      <c r="L399" s="19" t="n"/>
      <c r="M399" s="19" t="n"/>
      <c r="N399" s="19" t="n"/>
      <c r="O399" s="25" t="n"/>
      <c r="P399" s="27">
        <f>IFERROR(IF(OR(O399="",A399="",M399=""),"",IF(SUMPRODUCT(($A$4:$A$500=A399)*($M$4:$M$500=M399)*($O$4:$O$500&lt;&gt;"")*(MOD($O$4:$O$500,1)&lt;MOD(O399,1)))=0,IF(MOD(O399,1)&lt;=TIME(8,15,0),"Ingreso adecuado primera hora","Atraso primera hora"),"No aplica")),"")</f>
        <v/>
      </c>
      <c r="Q399" s="27" t="n"/>
      <c r="R399" s="25" t="n"/>
      <c r="S399" s="25" t="n"/>
      <c r="T399" s="25" t="n"/>
      <c r="U399" s="25">
        <f>IFERROR(VLOOKUP(M399,'Horario Pabellones'!$A$4:$D$17,2,FALSE),"")</f>
        <v/>
      </c>
      <c r="V399" s="25">
        <f>IFERROR(VLOOKUP(M399,'Horario Pabellones'!$A$4:$D$17,3,FALSE),"")</f>
        <v/>
      </c>
      <c r="W399" s="99">
        <f>IFERROR(VLOOKUP(M399,'Horario Pabellones'!$A$4:$D$17,4,FALSE),"")</f>
        <v/>
      </c>
      <c r="X399" s="89">
        <f>IFERROR(IF(OR(A399="",M399="",W399=""),"",(((_xludf.AGGREGATE(14,6,MOD($S$4:$S$500,1)/(($A$4:$A$500=A399)*($M$4:$M$500=M399)*($R$4:$R$500&lt;&gt;"")*($S$4:$S$500&lt;&gt;"")),1)-_xludf.AGGREGATE(15,6,MOD($R$4:$R$500,1)/(($A$4:$A$500=A399)*($M$4:$M$500=M399)*($R$4:$R$500&lt;&gt;"")*($S$4:$S$500&lt;&gt;"")),1))*1440)/60)/(W399/60)),"")</f>
        <v/>
      </c>
      <c r="Y399" s="26">
        <f>IFERROR(IF(OR(O399="",A399="",M399=""),"",(IF(ISNUMBER(O399),MOD(O399,1),TIMEVALUE(O399))-LOOKUP(2,1/(($A$4:$A$500=A399)*($M$4:$M$500=M399)*($T$4:$T$500&lt;&gt;"")*($T$4:$T$500&lt;IF(ISNUMBER(O399),MOD(O399,1),TIMEVALUE(O399)))),$T$4:$T$500))*1440),"")</f>
        <v/>
      </c>
      <c r="Z399" s="27">
        <f>IFERROR(IF(Y399="","",IF(ROUND(Y399,0)&lt;=15,"Cumple","No cumple")),"")</f>
        <v/>
      </c>
      <c r="AA399" s="27" t="n"/>
      <c r="AB399" s="26">
        <f>IFERROR(IF(OR(O399="",R399=""),"",IF(IF(ISNUMBER(R399),MOD(R399,1),TIMEVALUE(R399))&gt;=IF(ISNUMBER(O399),MOD(O399,1),TIMEVALUE(O399)),(IF(ISNUMBER(R399),MOD(R399,1),TIMEVALUE(R399))-IF(ISNUMBER(O399),MOD(O399,1),TIMEVALUE(O399)))*1440,(IF(ISNUMBER(R399),MOD(R399,1),TIMEVALUE(R399))+1-IF(ISNUMBER(O399),MOD(O399,1),TIMEVALUE(O399)))*1440)),"")</f>
        <v/>
      </c>
      <c r="AC399" s="26">
        <f>IFERROR(IF(OR(R399="",S399=""),"",IF(IF(ISNUMBER(S399),MOD(S399,1),TIMEVALUE(S399))&gt;=IF(ISNUMBER(R399),MOD(R399,1),TIMEVALUE(R399)),(IF(ISNUMBER(S399),MOD(S399,1),TIMEVALUE(S399))-IF(ISNUMBER(R399),MOD(R399,1),TIMEVALUE(R399)))*1440,(IF(ISNUMBER(S399),MOD(S399,1),TIMEVALUE(S399))+1-IF(ISNUMBER(R399),MOD(R399,1),TIMEVALUE(R399)))*1440)),"")</f>
        <v/>
      </c>
      <c r="AD399" s="29" t="n"/>
      <c r="AE399" s="26">
        <f>IFERROR(IF(OR(AC399="",AD399=""),"",AC399-AD399),"")</f>
        <v/>
      </c>
      <c r="AF399" s="27">
        <f>IFERROR(IF(AE399="","",IF(ROUND(AE399,0)&gt;15,"Subestimacion",IF(ROUND(AE399,0)&lt;-15,"Sobrestimacion","Asertivo"))),"")</f>
        <v/>
      </c>
      <c r="AG399" s="19" t="n"/>
      <c r="AH399" s="19" t="n"/>
      <c r="AI399" s="19" t="n"/>
      <c r="AJ399" s="19" t="n"/>
      <c r="AK399" s="19" t="n"/>
      <c r="AL399" s="19" t="n"/>
      <c r="AM399" s="19" t="n"/>
      <c r="AN399" s="19" t="n"/>
      <c r="AO399" s="19" t="n"/>
      <c r="AP399" s="127">
        <f>IF(A399="","",A399-WEEKDAY(A399,2)+1)</f>
        <v/>
      </c>
      <c r="AQ399" s="127">
        <f>IF(AO399="","",AO399+6)</f>
        <v/>
      </c>
      <c r="AR399" s="19">
        <f>IF(AO399="","","Semana "&amp;TEXT(AO399,"dd-mm-yyyy")&amp;" al "&amp;TEXT(AP399,"dd-mm-yyyy"))</f>
        <v/>
      </c>
      <c r="AS399" s="19">
        <f>IF(A399="","",TEXT(A399,"mmmm yyyy"))</f>
        <v/>
      </c>
      <c r="AT399" s="19">
        <f>IF(A399="","",TEXT(A399,"dddd"))</f>
        <v/>
      </c>
      <c r="AU399" s="19">
        <f>IF(A399="","","CRR-"&amp;TEXT(A399,"yyyymmdd")&amp;"-"&amp;M399&amp;"-"&amp;TEXT(ROW()-3,"0000"))</f>
        <v/>
      </c>
      <c r="AV399" s="19">
        <f>IF(A399="","",IF(OR(B399="",C399="",E399="",F399="",M399="",N399=""),"Revisar campos obligatorios",IF(AND(P399="Atraso primera hora",Q399=""),"Falta justificación atraso primera hora",IF(AND(Z399="No cumple",AA399=""),"Falta justificación recambio &gt;15 min",IF(AND(ISNUMBER(SEARCH("suspend",N399)),OR(AG399="",AH399="")),"Falta causa/motivo suspensión","OK")))))</f>
        <v/>
      </c>
      <c r="AW399" s="19">
        <f>IF(N399="","",IF(ISNUMBER(SEARCH("suspend",N399)),IF(AND(AG399="",AH399=""),"Sin causa/motivo registrado",IF(AG399="",AH399,IF(AH399="",AG399,AG399&amp;": "&amp;AH399))),""))</f>
        <v/>
      </c>
    </row>
    <row r="400" ht="16" customHeight="1" s="151">
      <c r="A400" s="62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20">
        <f>IF(H400&lt;&gt;"",IFERROR(VLOOKUP(IFERROR(LEFT(H400,FIND("-",H400)-1),H400),'Catalogo MINSAL'!A:E,5,FALSE),""),IF(I400&lt;&gt;"",IFERROR(VLOOKUP(IFERROR(LEFT(I400,FIND("-",I400)-1),I400),'Catalogo MINSAL'!A:E,5,FALSE),""),""))</f>
        <v/>
      </c>
      <c r="K400" s="19" t="n"/>
      <c r="L400" s="19" t="n"/>
      <c r="M400" s="19" t="n"/>
      <c r="N400" s="19" t="n"/>
      <c r="O400" s="25" t="n"/>
      <c r="P400" s="27">
        <f>IFERROR(IF(OR(O400="",A400="",M400=""),"",IF(SUMPRODUCT(($A$4:$A$500=A400)*($M$4:$M$500=M400)*($O$4:$O$500&lt;&gt;"")*(MOD($O$4:$O$500,1)&lt;MOD(O400,1)))=0,IF(MOD(O400,1)&lt;=TIME(8,15,0),"Ingreso adecuado primera hora","Atraso primera hora"),"No aplica")),"")</f>
        <v/>
      </c>
      <c r="Q400" s="27" t="n"/>
      <c r="R400" s="25" t="n"/>
      <c r="S400" s="25" t="n"/>
      <c r="T400" s="25" t="n"/>
      <c r="U400" s="25">
        <f>IFERROR(VLOOKUP(M400,'Horario Pabellones'!$A$4:$D$17,2,FALSE),"")</f>
        <v/>
      </c>
      <c r="V400" s="25">
        <f>IFERROR(VLOOKUP(M400,'Horario Pabellones'!$A$4:$D$17,3,FALSE),"")</f>
        <v/>
      </c>
      <c r="W400" s="99">
        <f>IFERROR(VLOOKUP(M400,'Horario Pabellones'!$A$4:$D$17,4,FALSE),"")</f>
        <v/>
      </c>
      <c r="X400" s="89">
        <f>IFERROR(IF(OR(A400="",M400="",W400=""),"",(((_xludf.AGGREGATE(14,6,MOD($S$4:$S$500,1)/(($A$4:$A$500=A400)*($M$4:$M$500=M400)*($R$4:$R$500&lt;&gt;"")*($S$4:$S$500&lt;&gt;"")),1)-_xludf.AGGREGATE(15,6,MOD($R$4:$R$500,1)/(($A$4:$A$500=A400)*($M$4:$M$500=M400)*($R$4:$R$500&lt;&gt;"")*($S$4:$S$500&lt;&gt;"")),1))*1440)/60)/(W400/60)),"")</f>
        <v/>
      </c>
      <c r="Y400" s="26">
        <f>IFERROR(IF(OR(O400="",A400="",M400=""),"",(IF(ISNUMBER(O400),MOD(O400,1),TIMEVALUE(O400))-LOOKUP(2,1/(($A$4:$A$500=A400)*($M$4:$M$500=M400)*($T$4:$T$500&lt;&gt;"")*($T$4:$T$500&lt;IF(ISNUMBER(O400),MOD(O400,1),TIMEVALUE(O400)))),$T$4:$T$500))*1440),"")</f>
        <v/>
      </c>
      <c r="Z400" s="27">
        <f>IFERROR(IF(Y400="","",IF(ROUND(Y400,0)&lt;=15,"Cumple","No cumple")),"")</f>
        <v/>
      </c>
      <c r="AA400" s="27" t="n"/>
      <c r="AB400" s="26">
        <f>IFERROR(IF(OR(O400="",R400=""),"",IF(IF(ISNUMBER(R400),MOD(R400,1),TIMEVALUE(R400))&gt;=IF(ISNUMBER(O400),MOD(O400,1),TIMEVALUE(O400)),(IF(ISNUMBER(R400),MOD(R400,1),TIMEVALUE(R400))-IF(ISNUMBER(O400),MOD(O400,1),TIMEVALUE(O400)))*1440,(IF(ISNUMBER(R400),MOD(R400,1),TIMEVALUE(R400))+1-IF(ISNUMBER(O400),MOD(O400,1),TIMEVALUE(O400)))*1440)),"")</f>
        <v/>
      </c>
      <c r="AC400" s="26">
        <f>IFERROR(IF(OR(R400="",S400=""),"",IF(IF(ISNUMBER(S400),MOD(S400,1),TIMEVALUE(S400))&gt;=IF(ISNUMBER(R400),MOD(R400,1),TIMEVALUE(R400)),(IF(ISNUMBER(S400),MOD(S400,1),TIMEVALUE(S400))-IF(ISNUMBER(R400),MOD(R400,1),TIMEVALUE(R400)))*1440,(IF(ISNUMBER(S400),MOD(S400,1),TIMEVALUE(S400))+1-IF(ISNUMBER(R400),MOD(R400,1),TIMEVALUE(R400)))*1440)),"")</f>
        <v/>
      </c>
      <c r="AD400" s="29" t="n"/>
      <c r="AE400" s="26">
        <f>IFERROR(IF(OR(AC400="",AD400=""),"",AC400-AD400),"")</f>
        <v/>
      </c>
      <c r="AF400" s="27">
        <f>IFERROR(IF(AE400="","",IF(ROUND(AE400,0)&gt;15,"Subestimacion",IF(ROUND(AE400,0)&lt;-15,"Sobrestimacion","Asertivo"))),"")</f>
        <v/>
      </c>
      <c r="AG400" s="19" t="n"/>
      <c r="AH400" s="19" t="n"/>
      <c r="AI400" s="19" t="n"/>
      <c r="AJ400" s="19" t="n"/>
      <c r="AK400" s="19" t="n"/>
      <c r="AL400" s="19" t="n"/>
      <c r="AM400" s="19" t="n"/>
      <c r="AN400" s="19" t="n"/>
      <c r="AO400" s="19" t="n"/>
      <c r="AP400" s="127">
        <f>IF(A400="","",A400-WEEKDAY(A400,2)+1)</f>
        <v/>
      </c>
      <c r="AQ400" s="127">
        <f>IF(AO400="","",AO400+6)</f>
        <v/>
      </c>
      <c r="AR400" s="19">
        <f>IF(AO400="","","Semana "&amp;TEXT(AO400,"dd-mm-yyyy")&amp;" al "&amp;TEXT(AP400,"dd-mm-yyyy"))</f>
        <v/>
      </c>
      <c r="AS400" s="19">
        <f>IF(A400="","",TEXT(A400,"mmmm yyyy"))</f>
        <v/>
      </c>
      <c r="AT400" s="19">
        <f>IF(A400="","",TEXT(A400,"dddd"))</f>
        <v/>
      </c>
      <c r="AU400" s="19">
        <f>IF(A400="","","CRR-"&amp;TEXT(A400,"yyyymmdd")&amp;"-"&amp;M400&amp;"-"&amp;TEXT(ROW()-3,"0000"))</f>
        <v/>
      </c>
      <c r="AV400" s="19">
        <f>IF(A400="","",IF(OR(B400="",C400="",E400="",F400="",M400="",N400=""),"Revisar campos obligatorios",IF(AND(P400="Atraso primera hora",Q400=""),"Falta justificación atraso primera hora",IF(AND(Z400="No cumple",AA400=""),"Falta justificación recambio &gt;15 min",IF(AND(ISNUMBER(SEARCH("suspend",N400)),OR(AG400="",AH400="")),"Falta causa/motivo suspensión","OK")))))</f>
        <v/>
      </c>
      <c r="AW400" s="19">
        <f>IF(N400="","",IF(ISNUMBER(SEARCH("suspend",N400)),IF(AND(AG400="",AH400=""),"Sin causa/motivo registrado",IF(AG400="",AH400,IF(AH400="",AG400,AG400&amp;": "&amp;AH400))),""))</f>
        <v/>
      </c>
    </row>
    <row r="401" ht="16" customHeight="1" s="151">
      <c r="A401" s="62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20">
        <f>IF(H401&lt;&gt;"",IFERROR(VLOOKUP(IFERROR(LEFT(H401,FIND("-",H401)-1),H401),'Catalogo MINSAL'!A:E,5,FALSE),""),IF(I401&lt;&gt;"",IFERROR(VLOOKUP(IFERROR(LEFT(I401,FIND("-",I401)-1),I401),'Catalogo MINSAL'!A:E,5,FALSE),""),""))</f>
        <v/>
      </c>
      <c r="K401" s="19" t="n"/>
      <c r="L401" s="19" t="n"/>
      <c r="M401" s="19" t="n"/>
      <c r="N401" s="19" t="n"/>
      <c r="O401" s="25" t="n"/>
      <c r="P401" s="27">
        <f>IFERROR(IF(OR(O401="",A401="",M401=""),"",IF(SUMPRODUCT(($A$4:$A$500=A401)*($M$4:$M$500=M401)*($O$4:$O$500&lt;&gt;"")*(MOD($O$4:$O$500,1)&lt;MOD(O401,1)))=0,IF(MOD(O401,1)&lt;=TIME(8,15,0),"Ingreso adecuado primera hora","Atraso primera hora"),"No aplica")),"")</f>
        <v/>
      </c>
      <c r="Q401" s="27" t="n"/>
      <c r="R401" s="25" t="n"/>
      <c r="S401" s="25" t="n"/>
      <c r="T401" s="25" t="n"/>
      <c r="U401" s="25">
        <f>IFERROR(VLOOKUP(M401,'Horario Pabellones'!$A$4:$D$17,2,FALSE),"")</f>
        <v/>
      </c>
      <c r="V401" s="25">
        <f>IFERROR(VLOOKUP(M401,'Horario Pabellones'!$A$4:$D$17,3,FALSE),"")</f>
        <v/>
      </c>
      <c r="W401" s="99">
        <f>IFERROR(VLOOKUP(M401,'Horario Pabellones'!$A$4:$D$17,4,FALSE),"")</f>
        <v/>
      </c>
      <c r="X401" s="89">
        <f>IFERROR(IF(OR(A401="",M401="",W401=""),"",(((_xludf.AGGREGATE(14,6,MOD($S$4:$S$500,1)/(($A$4:$A$500=A401)*($M$4:$M$500=M401)*($R$4:$R$500&lt;&gt;"")*($S$4:$S$500&lt;&gt;"")),1)-_xludf.AGGREGATE(15,6,MOD($R$4:$R$500,1)/(($A$4:$A$500=A401)*($M$4:$M$500=M401)*($R$4:$R$500&lt;&gt;"")*($S$4:$S$500&lt;&gt;"")),1))*1440)/60)/(W401/60)),"")</f>
        <v/>
      </c>
      <c r="Y401" s="26">
        <f>IFERROR(IF(OR(O401="",A401="",M401=""),"",(IF(ISNUMBER(O401),MOD(O401,1),TIMEVALUE(O401))-LOOKUP(2,1/(($A$4:$A$500=A401)*($M$4:$M$500=M401)*($T$4:$T$500&lt;&gt;"")*($T$4:$T$500&lt;IF(ISNUMBER(O401),MOD(O401,1),TIMEVALUE(O401)))),$T$4:$T$500))*1440),"")</f>
        <v/>
      </c>
      <c r="Z401" s="27">
        <f>IFERROR(IF(Y401="","",IF(ROUND(Y401,0)&lt;=15,"Cumple","No cumple")),"")</f>
        <v/>
      </c>
      <c r="AA401" s="27" t="n"/>
      <c r="AB401" s="26">
        <f>IFERROR(IF(OR(O401="",R401=""),"",IF(IF(ISNUMBER(R401),MOD(R401,1),TIMEVALUE(R401))&gt;=IF(ISNUMBER(O401),MOD(O401,1),TIMEVALUE(O401)),(IF(ISNUMBER(R401),MOD(R401,1),TIMEVALUE(R401))-IF(ISNUMBER(O401),MOD(O401,1),TIMEVALUE(O401)))*1440,(IF(ISNUMBER(R401),MOD(R401,1),TIMEVALUE(R401))+1-IF(ISNUMBER(O401),MOD(O401,1),TIMEVALUE(O401)))*1440)),"")</f>
        <v/>
      </c>
      <c r="AC401" s="26">
        <f>IFERROR(IF(OR(R401="",S401=""),"",IF(IF(ISNUMBER(S401),MOD(S401,1),TIMEVALUE(S401))&gt;=IF(ISNUMBER(R401),MOD(R401,1),TIMEVALUE(R401)),(IF(ISNUMBER(S401),MOD(S401,1),TIMEVALUE(S401))-IF(ISNUMBER(R401),MOD(R401,1),TIMEVALUE(R401)))*1440,(IF(ISNUMBER(S401),MOD(S401,1),TIMEVALUE(S401))+1-IF(ISNUMBER(R401),MOD(R401,1),TIMEVALUE(R401)))*1440)),"")</f>
        <v/>
      </c>
      <c r="AD401" s="29" t="n"/>
      <c r="AE401" s="26">
        <f>IFERROR(IF(OR(AC401="",AD401=""),"",AC401-AD401),"")</f>
        <v/>
      </c>
      <c r="AF401" s="27">
        <f>IFERROR(IF(AE401="","",IF(ROUND(AE401,0)&gt;15,"Subestimacion",IF(ROUND(AE401,0)&lt;-15,"Sobrestimacion","Asertivo"))),"")</f>
        <v/>
      </c>
      <c r="AG401" s="19" t="n"/>
      <c r="AH401" s="19" t="n"/>
      <c r="AI401" s="19" t="n"/>
      <c r="AJ401" s="19" t="n"/>
      <c r="AK401" s="19" t="n"/>
      <c r="AL401" s="19" t="n"/>
      <c r="AM401" s="19" t="n"/>
      <c r="AN401" s="19" t="n"/>
      <c r="AO401" s="19" t="n"/>
      <c r="AP401" s="127">
        <f>IF(A401="","",A401-WEEKDAY(A401,2)+1)</f>
        <v/>
      </c>
      <c r="AQ401" s="127">
        <f>IF(AO401="","",AO401+6)</f>
        <v/>
      </c>
      <c r="AR401" s="19">
        <f>IF(AO401="","","Semana "&amp;TEXT(AO401,"dd-mm-yyyy")&amp;" al "&amp;TEXT(AP401,"dd-mm-yyyy"))</f>
        <v/>
      </c>
      <c r="AS401" s="19">
        <f>IF(A401="","",TEXT(A401,"mmmm yyyy"))</f>
        <v/>
      </c>
      <c r="AT401" s="19">
        <f>IF(A401="","",TEXT(A401,"dddd"))</f>
        <v/>
      </c>
      <c r="AU401" s="19">
        <f>IF(A401="","","CRR-"&amp;TEXT(A401,"yyyymmdd")&amp;"-"&amp;M401&amp;"-"&amp;TEXT(ROW()-3,"0000"))</f>
        <v/>
      </c>
      <c r="AV401" s="19">
        <f>IF(A401="","",IF(OR(B401="",C401="",E401="",F401="",M401="",N401=""),"Revisar campos obligatorios",IF(AND(P401="Atraso primera hora",Q401=""),"Falta justificación atraso primera hora",IF(AND(Z401="No cumple",AA401=""),"Falta justificación recambio &gt;15 min",IF(AND(ISNUMBER(SEARCH("suspend",N401)),OR(AG401="",AH401="")),"Falta causa/motivo suspensión","OK")))))</f>
        <v/>
      </c>
      <c r="AW401" s="19">
        <f>IF(N401="","",IF(ISNUMBER(SEARCH("suspend",N401)),IF(AND(AG401="",AH401=""),"Sin causa/motivo registrado",IF(AG401="",AH401,IF(AH401="",AG401,AG401&amp;": "&amp;AH401))),""))</f>
        <v/>
      </c>
    </row>
    <row r="402" ht="16" customHeight="1" s="151">
      <c r="A402" s="62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20">
        <f>IF(H402&lt;&gt;"",IFERROR(VLOOKUP(IFERROR(LEFT(H402,FIND("-",H402)-1),H402),'Catalogo MINSAL'!A:E,5,FALSE),""),IF(I402&lt;&gt;"",IFERROR(VLOOKUP(IFERROR(LEFT(I402,FIND("-",I402)-1),I402),'Catalogo MINSAL'!A:E,5,FALSE),""),""))</f>
        <v/>
      </c>
      <c r="K402" s="19" t="n"/>
      <c r="L402" s="19" t="n"/>
      <c r="M402" s="19" t="n"/>
      <c r="N402" s="19" t="n"/>
      <c r="O402" s="25" t="n"/>
      <c r="P402" s="27">
        <f>IFERROR(IF(OR(O402="",A402="",M402=""),"",IF(SUMPRODUCT(($A$4:$A$500=A402)*($M$4:$M$500=M402)*($O$4:$O$500&lt;&gt;"")*(MOD($O$4:$O$500,1)&lt;MOD(O402,1)))=0,IF(MOD(O402,1)&lt;=TIME(8,15,0),"Ingreso adecuado primera hora","Atraso primera hora"),"No aplica")),"")</f>
        <v/>
      </c>
      <c r="Q402" s="27" t="n"/>
      <c r="R402" s="25" t="n"/>
      <c r="S402" s="25" t="n"/>
      <c r="T402" s="25" t="n"/>
      <c r="U402" s="25">
        <f>IFERROR(VLOOKUP(M402,'Horario Pabellones'!$A$4:$D$17,2,FALSE),"")</f>
        <v/>
      </c>
      <c r="V402" s="25">
        <f>IFERROR(VLOOKUP(M402,'Horario Pabellones'!$A$4:$D$17,3,FALSE),"")</f>
        <v/>
      </c>
      <c r="W402" s="99">
        <f>IFERROR(VLOOKUP(M402,'Horario Pabellones'!$A$4:$D$17,4,FALSE),"")</f>
        <v/>
      </c>
      <c r="X402" s="89">
        <f>IFERROR(IF(OR(A402="",M402="",W402=""),"",(((_xludf.AGGREGATE(14,6,MOD($S$4:$S$500,1)/(($A$4:$A$500=A402)*($M$4:$M$500=M402)*($R$4:$R$500&lt;&gt;"")*($S$4:$S$500&lt;&gt;"")),1)-_xludf.AGGREGATE(15,6,MOD($R$4:$R$500,1)/(($A$4:$A$500=A402)*($M$4:$M$500=M402)*($R$4:$R$500&lt;&gt;"")*($S$4:$S$500&lt;&gt;"")),1))*1440)/60)/(W402/60)),"")</f>
        <v/>
      </c>
      <c r="Y402" s="26">
        <f>IFERROR(IF(OR(O402="",A402="",M402=""),"",(IF(ISNUMBER(O402),MOD(O402,1),TIMEVALUE(O402))-LOOKUP(2,1/(($A$4:$A$500=A402)*($M$4:$M$500=M402)*($T$4:$T$500&lt;&gt;"")*($T$4:$T$500&lt;IF(ISNUMBER(O402),MOD(O402,1),TIMEVALUE(O402)))),$T$4:$T$500))*1440),"")</f>
        <v/>
      </c>
      <c r="Z402" s="27">
        <f>IFERROR(IF(Y402="","",IF(ROUND(Y402,0)&lt;=15,"Cumple","No cumple")),"")</f>
        <v/>
      </c>
      <c r="AA402" s="27" t="n"/>
      <c r="AB402" s="26">
        <f>IFERROR(IF(OR(O402="",R402=""),"",IF(IF(ISNUMBER(R402),MOD(R402,1),TIMEVALUE(R402))&gt;=IF(ISNUMBER(O402),MOD(O402,1),TIMEVALUE(O402)),(IF(ISNUMBER(R402),MOD(R402,1),TIMEVALUE(R402))-IF(ISNUMBER(O402),MOD(O402,1),TIMEVALUE(O402)))*1440,(IF(ISNUMBER(R402),MOD(R402,1),TIMEVALUE(R402))+1-IF(ISNUMBER(O402),MOD(O402,1),TIMEVALUE(O402)))*1440)),"")</f>
        <v/>
      </c>
      <c r="AC402" s="26">
        <f>IFERROR(IF(OR(R402="",S402=""),"",IF(IF(ISNUMBER(S402),MOD(S402,1),TIMEVALUE(S402))&gt;=IF(ISNUMBER(R402),MOD(R402,1),TIMEVALUE(R402)),(IF(ISNUMBER(S402),MOD(S402,1),TIMEVALUE(S402))-IF(ISNUMBER(R402),MOD(R402,1),TIMEVALUE(R402)))*1440,(IF(ISNUMBER(S402),MOD(S402,1),TIMEVALUE(S402))+1-IF(ISNUMBER(R402),MOD(R402,1),TIMEVALUE(R402)))*1440)),"")</f>
        <v/>
      </c>
      <c r="AD402" s="29" t="n"/>
      <c r="AE402" s="26">
        <f>IFERROR(IF(OR(AC402="",AD402=""),"",AC402-AD402),"")</f>
        <v/>
      </c>
      <c r="AF402" s="27">
        <f>IFERROR(IF(AE402="","",IF(ROUND(AE402,0)&gt;15,"Subestimacion",IF(ROUND(AE402,0)&lt;-15,"Sobrestimacion","Asertivo"))),"")</f>
        <v/>
      </c>
      <c r="AG402" s="19" t="n"/>
      <c r="AH402" s="19" t="n"/>
      <c r="AI402" s="19" t="n"/>
      <c r="AJ402" s="19" t="n"/>
      <c r="AK402" s="19" t="n"/>
      <c r="AL402" s="19" t="n"/>
      <c r="AM402" s="19" t="n"/>
      <c r="AN402" s="19" t="n"/>
      <c r="AO402" s="19" t="n"/>
      <c r="AP402" s="127">
        <f>IF(A402="","",A402-WEEKDAY(A402,2)+1)</f>
        <v/>
      </c>
      <c r="AQ402" s="127">
        <f>IF(AO402="","",AO402+6)</f>
        <v/>
      </c>
      <c r="AR402" s="19">
        <f>IF(AO402="","","Semana "&amp;TEXT(AO402,"dd-mm-yyyy")&amp;" al "&amp;TEXT(AP402,"dd-mm-yyyy"))</f>
        <v/>
      </c>
      <c r="AS402" s="19">
        <f>IF(A402="","",TEXT(A402,"mmmm yyyy"))</f>
        <v/>
      </c>
      <c r="AT402" s="19">
        <f>IF(A402="","",TEXT(A402,"dddd"))</f>
        <v/>
      </c>
      <c r="AU402" s="19">
        <f>IF(A402="","","CRR-"&amp;TEXT(A402,"yyyymmdd")&amp;"-"&amp;M402&amp;"-"&amp;TEXT(ROW()-3,"0000"))</f>
        <v/>
      </c>
      <c r="AV402" s="19">
        <f>IF(A402="","",IF(OR(B402="",C402="",E402="",F402="",M402="",N402=""),"Revisar campos obligatorios",IF(AND(P402="Atraso primera hora",Q402=""),"Falta justificación atraso primera hora",IF(AND(Z402="No cumple",AA402=""),"Falta justificación recambio &gt;15 min",IF(AND(ISNUMBER(SEARCH("suspend",N402)),OR(AG402="",AH402="")),"Falta causa/motivo suspensión","OK")))))</f>
        <v/>
      </c>
      <c r="AW402" s="19">
        <f>IF(N402="","",IF(ISNUMBER(SEARCH("suspend",N402)),IF(AND(AG402="",AH402=""),"Sin causa/motivo registrado",IF(AG402="",AH402,IF(AH402="",AG402,AG402&amp;": "&amp;AH402))),""))</f>
        <v/>
      </c>
    </row>
    <row r="403" ht="16" customHeight="1" s="151">
      <c r="A403" s="62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20">
        <f>IF(H403&lt;&gt;"",IFERROR(VLOOKUP(IFERROR(LEFT(H403,FIND("-",H403)-1),H403),'Catalogo MINSAL'!A:E,5,FALSE),""),IF(I403&lt;&gt;"",IFERROR(VLOOKUP(IFERROR(LEFT(I403,FIND("-",I403)-1),I403),'Catalogo MINSAL'!A:E,5,FALSE),""),""))</f>
        <v/>
      </c>
      <c r="K403" s="19" t="n"/>
      <c r="L403" s="19" t="n"/>
      <c r="M403" s="19" t="n"/>
      <c r="N403" s="19" t="n"/>
      <c r="O403" s="25" t="n"/>
      <c r="P403" s="27">
        <f>IFERROR(IF(OR(O403="",A403="",M403=""),"",IF(SUMPRODUCT(($A$4:$A$500=A403)*($M$4:$M$500=M403)*($O$4:$O$500&lt;&gt;"")*(MOD($O$4:$O$500,1)&lt;MOD(O403,1)))=0,IF(MOD(O403,1)&lt;=TIME(8,15,0),"Ingreso adecuado primera hora","Atraso primera hora"),"No aplica")),"")</f>
        <v/>
      </c>
      <c r="Q403" s="27" t="n"/>
      <c r="R403" s="25" t="n"/>
      <c r="S403" s="25" t="n"/>
      <c r="T403" s="25" t="n"/>
      <c r="U403" s="25">
        <f>IFERROR(VLOOKUP(M403,'Horario Pabellones'!$A$4:$D$17,2,FALSE),"")</f>
        <v/>
      </c>
      <c r="V403" s="25">
        <f>IFERROR(VLOOKUP(M403,'Horario Pabellones'!$A$4:$D$17,3,FALSE),"")</f>
        <v/>
      </c>
      <c r="W403" s="99">
        <f>IFERROR(VLOOKUP(M403,'Horario Pabellones'!$A$4:$D$17,4,FALSE),"")</f>
        <v/>
      </c>
      <c r="X403" s="89">
        <f>IFERROR(IF(OR(A403="",M403="",W403=""),"",(((_xludf.AGGREGATE(14,6,MOD($S$4:$S$500,1)/(($A$4:$A$500=A403)*($M$4:$M$500=M403)*($R$4:$R$500&lt;&gt;"")*($S$4:$S$500&lt;&gt;"")),1)-_xludf.AGGREGATE(15,6,MOD($R$4:$R$500,1)/(($A$4:$A$500=A403)*($M$4:$M$500=M403)*($R$4:$R$500&lt;&gt;"")*($S$4:$S$500&lt;&gt;"")),1))*1440)/60)/(W403/60)),"")</f>
        <v/>
      </c>
      <c r="Y403" s="26">
        <f>IFERROR(IF(OR(O403="",A403="",M403=""),"",(IF(ISNUMBER(O403),MOD(O403,1),TIMEVALUE(O403))-LOOKUP(2,1/(($A$4:$A$500=A403)*($M$4:$M$500=M403)*($T$4:$T$500&lt;&gt;"")*($T$4:$T$500&lt;IF(ISNUMBER(O403),MOD(O403,1),TIMEVALUE(O403)))),$T$4:$T$500))*1440),"")</f>
        <v/>
      </c>
      <c r="Z403" s="27">
        <f>IFERROR(IF(Y403="","",IF(ROUND(Y403,0)&lt;=15,"Cumple","No cumple")),"")</f>
        <v/>
      </c>
      <c r="AA403" s="27" t="n"/>
      <c r="AB403" s="26">
        <f>IFERROR(IF(OR(O403="",R403=""),"",IF(IF(ISNUMBER(R403),MOD(R403,1),TIMEVALUE(R403))&gt;=IF(ISNUMBER(O403),MOD(O403,1),TIMEVALUE(O403)),(IF(ISNUMBER(R403),MOD(R403,1),TIMEVALUE(R403))-IF(ISNUMBER(O403),MOD(O403,1),TIMEVALUE(O403)))*1440,(IF(ISNUMBER(R403),MOD(R403,1),TIMEVALUE(R403))+1-IF(ISNUMBER(O403),MOD(O403,1),TIMEVALUE(O403)))*1440)),"")</f>
        <v/>
      </c>
      <c r="AC403" s="26">
        <f>IFERROR(IF(OR(R403="",S403=""),"",IF(IF(ISNUMBER(S403),MOD(S403,1),TIMEVALUE(S403))&gt;=IF(ISNUMBER(R403),MOD(R403,1),TIMEVALUE(R403)),(IF(ISNUMBER(S403),MOD(S403,1),TIMEVALUE(S403))-IF(ISNUMBER(R403),MOD(R403,1),TIMEVALUE(R403)))*1440,(IF(ISNUMBER(S403),MOD(S403,1),TIMEVALUE(S403))+1-IF(ISNUMBER(R403),MOD(R403,1),TIMEVALUE(R403)))*1440)),"")</f>
        <v/>
      </c>
      <c r="AD403" s="29" t="n"/>
      <c r="AE403" s="26">
        <f>IFERROR(IF(OR(AC403="",AD403=""),"",AC403-AD403),"")</f>
        <v/>
      </c>
      <c r="AF403" s="27">
        <f>IFERROR(IF(AE403="","",IF(ROUND(AE403,0)&gt;15,"Subestimacion",IF(ROUND(AE403,0)&lt;-15,"Sobrestimacion","Asertivo"))),"")</f>
        <v/>
      </c>
      <c r="AG403" s="19" t="n"/>
      <c r="AH403" s="19" t="n"/>
      <c r="AI403" s="19" t="n"/>
      <c r="AJ403" s="19" t="n"/>
      <c r="AK403" s="19" t="n"/>
      <c r="AL403" s="19" t="n"/>
      <c r="AM403" s="19" t="n"/>
      <c r="AN403" s="19" t="n"/>
      <c r="AO403" s="19" t="n"/>
      <c r="AP403" s="127">
        <f>IF(A403="","",A403-WEEKDAY(A403,2)+1)</f>
        <v/>
      </c>
      <c r="AQ403" s="127">
        <f>IF(AO403="","",AO403+6)</f>
        <v/>
      </c>
      <c r="AR403" s="19">
        <f>IF(AO403="","","Semana "&amp;TEXT(AO403,"dd-mm-yyyy")&amp;" al "&amp;TEXT(AP403,"dd-mm-yyyy"))</f>
        <v/>
      </c>
      <c r="AS403" s="19">
        <f>IF(A403="","",TEXT(A403,"mmmm yyyy"))</f>
        <v/>
      </c>
      <c r="AT403" s="19">
        <f>IF(A403="","",TEXT(A403,"dddd"))</f>
        <v/>
      </c>
      <c r="AU403" s="19">
        <f>IF(A403="","","CRR-"&amp;TEXT(A403,"yyyymmdd")&amp;"-"&amp;M403&amp;"-"&amp;TEXT(ROW()-3,"0000"))</f>
        <v/>
      </c>
      <c r="AV403" s="19">
        <f>IF(A403="","",IF(OR(B403="",C403="",E403="",F403="",M403="",N403=""),"Revisar campos obligatorios",IF(AND(P403="Atraso primera hora",Q403=""),"Falta justificación atraso primera hora",IF(AND(Z403="No cumple",AA403=""),"Falta justificación recambio &gt;15 min",IF(AND(ISNUMBER(SEARCH("suspend",N403)),OR(AG403="",AH403="")),"Falta causa/motivo suspensión","OK")))))</f>
        <v/>
      </c>
      <c r="AW403" s="19">
        <f>IF(N403="","",IF(ISNUMBER(SEARCH("suspend",N403)),IF(AND(AG403="",AH403=""),"Sin causa/motivo registrado",IF(AG403="",AH403,IF(AH403="",AG403,AG403&amp;": "&amp;AH403))),""))</f>
        <v/>
      </c>
    </row>
    <row r="404" ht="16" customHeight="1" s="151">
      <c r="A404" s="62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20">
        <f>IF(H404&lt;&gt;"",IFERROR(VLOOKUP(IFERROR(LEFT(H404,FIND("-",H404)-1),H404),'Catalogo MINSAL'!A:E,5,FALSE),""),IF(I404&lt;&gt;"",IFERROR(VLOOKUP(IFERROR(LEFT(I404,FIND("-",I404)-1),I404),'Catalogo MINSAL'!A:E,5,FALSE),""),""))</f>
        <v/>
      </c>
      <c r="K404" s="19" t="n"/>
      <c r="L404" s="19" t="n"/>
      <c r="M404" s="19" t="n"/>
      <c r="N404" s="19" t="n"/>
      <c r="O404" s="25" t="n"/>
      <c r="P404" s="27">
        <f>IFERROR(IF(OR(O404="",A404="",M404=""),"",IF(SUMPRODUCT(($A$4:$A$500=A404)*($M$4:$M$500=M404)*($O$4:$O$500&lt;&gt;"")*(MOD($O$4:$O$500,1)&lt;MOD(O404,1)))=0,IF(MOD(O404,1)&lt;=TIME(8,15,0),"Ingreso adecuado primera hora","Atraso primera hora"),"No aplica")),"")</f>
        <v/>
      </c>
      <c r="Q404" s="27" t="n"/>
      <c r="R404" s="25" t="n"/>
      <c r="S404" s="25" t="n"/>
      <c r="T404" s="25" t="n"/>
      <c r="U404" s="25">
        <f>IFERROR(VLOOKUP(M404,'Horario Pabellones'!$A$4:$D$17,2,FALSE),"")</f>
        <v/>
      </c>
      <c r="V404" s="25">
        <f>IFERROR(VLOOKUP(M404,'Horario Pabellones'!$A$4:$D$17,3,FALSE),"")</f>
        <v/>
      </c>
      <c r="W404" s="99">
        <f>IFERROR(VLOOKUP(M404,'Horario Pabellones'!$A$4:$D$17,4,FALSE),"")</f>
        <v/>
      </c>
      <c r="X404" s="89">
        <f>IFERROR(IF(OR(A404="",M404="",W404=""),"",(((_xludf.AGGREGATE(14,6,MOD($S$4:$S$500,1)/(($A$4:$A$500=A404)*($M$4:$M$500=M404)*($R$4:$R$500&lt;&gt;"")*($S$4:$S$500&lt;&gt;"")),1)-_xludf.AGGREGATE(15,6,MOD($R$4:$R$500,1)/(($A$4:$A$500=A404)*($M$4:$M$500=M404)*($R$4:$R$500&lt;&gt;"")*($S$4:$S$500&lt;&gt;"")),1))*1440)/60)/(W404/60)),"")</f>
        <v/>
      </c>
      <c r="Y404" s="26">
        <f>IFERROR(IF(OR(O404="",A404="",M404=""),"",(IF(ISNUMBER(O404),MOD(O404,1),TIMEVALUE(O404))-LOOKUP(2,1/(($A$4:$A$500=A404)*($M$4:$M$500=M404)*($T$4:$T$500&lt;&gt;"")*($T$4:$T$500&lt;IF(ISNUMBER(O404),MOD(O404,1),TIMEVALUE(O404)))),$T$4:$T$500))*1440),"")</f>
        <v/>
      </c>
      <c r="Z404" s="27">
        <f>IFERROR(IF(Y404="","",IF(ROUND(Y404,0)&lt;=15,"Cumple","No cumple")),"")</f>
        <v/>
      </c>
      <c r="AA404" s="27" t="n"/>
      <c r="AB404" s="26">
        <f>IFERROR(IF(OR(O404="",R404=""),"",IF(IF(ISNUMBER(R404),MOD(R404,1),TIMEVALUE(R404))&gt;=IF(ISNUMBER(O404),MOD(O404,1),TIMEVALUE(O404)),(IF(ISNUMBER(R404),MOD(R404,1),TIMEVALUE(R404))-IF(ISNUMBER(O404),MOD(O404,1),TIMEVALUE(O404)))*1440,(IF(ISNUMBER(R404),MOD(R404,1),TIMEVALUE(R404))+1-IF(ISNUMBER(O404),MOD(O404,1),TIMEVALUE(O404)))*1440)),"")</f>
        <v/>
      </c>
      <c r="AC404" s="26">
        <f>IFERROR(IF(OR(R404="",S404=""),"",IF(IF(ISNUMBER(S404),MOD(S404,1),TIMEVALUE(S404))&gt;=IF(ISNUMBER(R404),MOD(R404,1),TIMEVALUE(R404)),(IF(ISNUMBER(S404),MOD(S404,1),TIMEVALUE(S404))-IF(ISNUMBER(R404),MOD(R404,1),TIMEVALUE(R404)))*1440,(IF(ISNUMBER(S404),MOD(S404,1),TIMEVALUE(S404))+1-IF(ISNUMBER(R404),MOD(R404,1),TIMEVALUE(R404)))*1440)),"")</f>
        <v/>
      </c>
      <c r="AD404" s="29" t="n"/>
      <c r="AE404" s="26">
        <f>IFERROR(IF(OR(AC404="",AD404=""),"",AC404-AD404),"")</f>
        <v/>
      </c>
      <c r="AF404" s="27">
        <f>IFERROR(IF(AE404="","",IF(ROUND(AE404,0)&gt;15,"Subestimacion",IF(ROUND(AE404,0)&lt;-15,"Sobrestimacion","Asertivo"))),"")</f>
        <v/>
      </c>
      <c r="AG404" s="19" t="n"/>
      <c r="AH404" s="19" t="n"/>
      <c r="AI404" s="19" t="n"/>
      <c r="AJ404" s="19" t="n"/>
      <c r="AK404" s="19" t="n"/>
      <c r="AL404" s="19" t="n"/>
      <c r="AM404" s="19" t="n"/>
      <c r="AN404" s="19" t="n"/>
      <c r="AO404" s="19" t="n"/>
      <c r="AP404" s="127">
        <f>IF(A404="","",A404-WEEKDAY(A404,2)+1)</f>
        <v/>
      </c>
      <c r="AQ404" s="127">
        <f>IF(AO404="","",AO404+6)</f>
        <v/>
      </c>
      <c r="AR404" s="19">
        <f>IF(AO404="","","Semana "&amp;TEXT(AO404,"dd-mm-yyyy")&amp;" al "&amp;TEXT(AP404,"dd-mm-yyyy"))</f>
        <v/>
      </c>
      <c r="AS404" s="19">
        <f>IF(A404="","",TEXT(A404,"mmmm yyyy"))</f>
        <v/>
      </c>
      <c r="AT404" s="19">
        <f>IF(A404="","",TEXT(A404,"dddd"))</f>
        <v/>
      </c>
      <c r="AU404" s="19">
        <f>IF(A404="","","CRR-"&amp;TEXT(A404,"yyyymmdd")&amp;"-"&amp;M404&amp;"-"&amp;TEXT(ROW()-3,"0000"))</f>
        <v/>
      </c>
      <c r="AV404" s="19">
        <f>IF(A404="","",IF(OR(B404="",C404="",E404="",F404="",M404="",N404=""),"Revisar campos obligatorios",IF(AND(P404="Atraso primera hora",Q404=""),"Falta justificación atraso primera hora",IF(AND(Z404="No cumple",AA404=""),"Falta justificación recambio &gt;15 min",IF(AND(ISNUMBER(SEARCH("suspend",N404)),OR(AG404="",AH404="")),"Falta causa/motivo suspensión","OK")))))</f>
        <v/>
      </c>
      <c r="AW404" s="19">
        <f>IF(N404="","",IF(ISNUMBER(SEARCH("suspend",N404)),IF(AND(AG404="",AH404=""),"Sin causa/motivo registrado",IF(AG404="",AH404,IF(AH404="",AG404,AG404&amp;": "&amp;AH404))),""))</f>
        <v/>
      </c>
    </row>
    <row r="405" ht="16" customHeight="1" s="151">
      <c r="A405" s="62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20">
        <f>IF(H405&lt;&gt;"",IFERROR(VLOOKUP(IFERROR(LEFT(H405,FIND("-",H405)-1),H405),'Catalogo MINSAL'!A:E,5,FALSE),""),IF(I405&lt;&gt;"",IFERROR(VLOOKUP(IFERROR(LEFT(I405,FIND("-",I405)-1),I405),'Catalogo MINSAL'!A:E,5,FALSE),""),""))</f>
        <v/>
      </c>
      <c r="K405" s="19" t="n"/>
      <c r="L405" s="19" t="n"/>
      <c r="M405" s="19" t="n"/>
      <c r="N405" s="19" t="n"/>
      <c r="O405" s="25" t="n"/>
      <c r="P405" s="27">
        <f>IFERROR(IF(OR(O405="",A405="",M405=""),"",IF(SUMPRODUCT(($A$4:$A$500=A405)*($M$4:$M$500=M405)*($O$4:$O$500&lt;&gt;"")*(MOD($O$4:$O$500,1)&lt;MOD(O405,1)))=0,IF(MOD(O405,1)&lt;=TIME(8,15,0),"Ingreso adecuado primera hora","Atraso primera hora"),"No aplica")),"")</f>
        <v/>
      </c>
      <c r="Q405" s="27" t="n"/>
      <c r="R405" s="25" t="n"/>
      <c r="S405" s="25" t="n"/>
      <c r="T405" s="25" t="n"/>
      <c r="U405" s="25">
        <f>IFERROR(VLOOKUP(M405,'Horario Pabellones'!$A$4:$D$17,2,FALSE),"")</f>
        <v/>
      </c>
      <c r="V405" s="25">
        <f>IFERROR(VLOOKUP(M405,'Horario Pabellones'!$A$4:$D$17,3,FALSE),"")</f>
        <v/>
      </c>
      <c r="W405" s="99">
        <f>IFERROR(VLOOKUP(M405,'Horario Pabellones'!$A$4:$D$17,4,FALSE),"")</f>
        <v/>
      </c>
      <c r="X405" s="89">
        <f>IFERROR(IF(OR(A405="",M405="",W405=""),"",(((_xludf.AGGREGATE(14,6,MOD($S$4:$S$500,1)/(($A$4:$A$500=A405)*($M$4:$M$500=M405)*($R$4:$R$500&lt;&gt;"")*($S$4:$S$500&lt;&gt;"")),1)-_xludf.AGGREGATE(15,6,MOD($R$4:$R$500,1)/(($A$4:$A$500=A405)*($M$4:$M$500=M405)*($R$4:$R$500&lt;&gt;"")*($S$4:$S$500&lt;&gt;"")),1))*1440)/60)/(W405/60)),"")</f>
        <v/>
      </c>
      <c r="Y405" s="26">
        <f>IFERROR(IF(OR(O405="",A405="",M405=""),"",(IF(ISNUMBER(O405),MOD(O405,1),TIMEVALUE(O405))-LOOKUP(2,1/(($A$4:$A$500=A405)*($M$4:$M$500=M405)*($T$4:$T$500&lt;&gt;"")*($T$4:$T$500&lt;IF(ISNUMBER(O405),MOD(O405,1),TIMEVALUE(O405)))),$T$4:$T$500))*1440),"")</f>
        <v/>
      </c>
      <c r="Z405" s="27">
        <f>IFERROR(IF(Y405="","",IF(ROUND(Y405,0)&lt;=15,"Cumple","No cumple")),"")</f>
        <v/>
      </c>
      <c r="AA405" s="27" t="n"/>
      <c r="AB405" s="26">
        <f>IFERROR(IF(OR(O405="",R405=""),"",IF(IF(ISNUMBER(R405),MOD(R405,1),TIMEVALUE(R405))&gt;=IF(ISNUMBER(O405),MOD(O405,1),TIMEVALUE(O405)),(IF(ISNUMBER(R405),MOD(R405,1),TIMEVALUE(R405))-IF(ISNUMBER(O405),MOD(O405,1),TIMEVALUE(O405)))*1440,(IF(ISNUMBER(R405),MOD(R405,1),TIMEVALUE(R405))+1-IF(ISNUMBER(O405),MOD(O405,1),TIMEVALUE(O405)))*1440)),"")</f>
        <v/>
      </c>
      <c r="AC405" s="26">
        <f>IFERROR(IF(OR(R405="",S405=""),"",IF(IF(ISNUMBER(S405),MOD(S405,1),TIMEVALUE(S405))&gt;=IF(ISNUMBER(R405),MOD(R405,1),TIMEVALUE(R405)),(IF(ISNUMBER(S405),MOD(S405,1),TIMEVALUE(S405))-IF(ISNUMBER(R405),MOD(R405,1),TIMEVALUE(R405)))*1440,(IF(ISNUMBER(S405),MOD(S405,1),TIMEVALUE(S405))+1-IF(ISNUMBER(R405),MOD(R405,1),TIMEVALUE(R405)))*1440)),"")</f>
        <v/>
      </c>
      <c r="AD405" s="29" t="n"/>
      <c r="AE405" s="26">
        <f>IFERROR(IF(OR(AC405="",AD405=""),"",AC405-AD405),"")</f>
        <v/>
      </c>
      <c r="AF405" s="27">
        <f>IFERROR(IF(AE405="","",IF(ROUND(AE405,0)&gt;15,"Subestimacion",IF(ROUND(AE405,0)&lt;-15,"Sobrestimacion","Asertivo"))),"")</f>
        <v/>
      </c>
      <c r="AG405" s="19" t="n"/>
      <c r="AH405" s="19" t="n"/>
      <c r="AI405" s="19" t="n"/>
      <c r="AJ405" s="19" t="n"/>
      <c r="AK405" s="19" t="n"/>
      <c r="AL405" s="19" t="n"/>
      <c r="AM405" s="19" t="n"/>
      <c r="AN405" s="19" t="n"/>
      <c r="AO405" s="19" t="n"/>
      <c r="AP405" s="127">
        <f>IF(A405="","",A405-WEEKDAY(A405,2)+1)</f>
        <v/>
      </c>
      <c r="AQ405" s="127">
        <f>IF(AO405="","",AO405+6)</f>
        <v/>
      </c>
      <c r="AR405" s="19">
        <f>IF(AO405="","","Semana "&amp;TEXT(AO405,"dd-mm-yyyy")&amp;" al "&amp;TEXT(AP405,"dd-mm-yyyy"))</f>
        <v/>
      </c>
      <c r="AS405" s="19">
        <f>IF(A405="","",TEXT(A405,"mmmm yyyy"))</f>
        <v/>
      </c>
      <c r="AT405" s="19">
        <f>IF(A405="","",TEXT(A405,"dddd"))</f>
        <v/>
      </c>
      <c r="AU405" s="19">
        <f>IF(A405="","","CRR-"&amp;TEXT(A405,"yyyymmdd")&amp;"-"&amp;M405&amp;"-"&amp;TEXT(ROW()-3,"0000"))</f>
        <v/>
      </c>
      <c r="AV405" s="19">
        <f>IF(A405="","",IF(OR(B405="",C405="",E405="",F405="",M405="",N405=""),"Revisar campos obligatorios",IF(AND(P405="Atraso primera hora",Q405=""),"Falta justificación atraso primera hora",IF(AND(Z405="No cumple",AA405=""),"Falta justificación recambio &gt;15 min",IF(AND(ISNUMBER(SEARCH("suspend",N405)),OR(AG405="",AH405="")),"Falta causa/motivo suspensión","OK")))))</f>
        <v/>
      </c>
      <c r="AW405" s="19">
        <f>IF(N405="","",IF(ISNUMBER(SEARCH("suspend",N405)),IF(AND(AG405="",AH405=""),"Sin causa/motivo registrado",IF(AG405="",AH405,IF(AH405="",AG405,AG405&amp;": "&amp;AH405))),""))</f>
        <v/>
      </c>
    </row>
    <row r="406" ht="16" customHeight="1" s="151">
      <c r="A406" s="62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20">
        <f>IF(H406&lt;&gt;"",IFERROR(VLOOKUP(IFERROR(LEFT(H406,FIND("-",H406)-1),H406),'Catalogo MINSAL'!A:E,5,FALSE),""),IF(I406&lt;&gt;"",IFERROR(VLOOKUP(IFERROR(LEFT(I406,FIND("-",I406)-1),I406),'Catalogo MINSAL'!A:E,5,FALSE),""),""))</f>
        <v/>
      </c>
      <c r="K406" s="19" t="n"/>
      <c r="L406" s="19" t="n"/>
      <c r="M406" s="19" t="n"/>
      <c r="N406" s="19" t="n"/>
      <c r="O406" s="25" t="n"/>
      <c r="P406" s="27">
        <f>IFERROR(IF(OR(O406="",A406="",M406=""),"",IF(SUMPRODUCT(($A$4:$A$500=A406)*($M$4:$M$500=M406)*($O$4:$O$500&lt;&gt;"")*(MOD($O$4:$O$500,1)&lt;MOD(O406,1)))=0,IF(MOD(O406,1)&lt;=TIME(8,15,0),"Ingreso adecuado primera hora","Atraso primera hora"),"No aplica")),"")</f>
        <v/>
      </c>
      <c r="Q406" s="27" t="n"/>
      <c r="R406" s="25" t="n"/>
      <c r="S406" s="25" t="n"/>
      <c r="T406" s="25" t="n"/>
      <c r="U406" s="25">
        <f>IFERROR(VLOOKUP(M406,'Horario Pabellones'!$A$4:$D$17,2,FALSE),"")</f>
        <v/>
      </c>
      <c r="V406" s="25">
        <f>IFERROR(VLOOKUP(M406,'Horario Pabellones'!$A$4:$D$17,3,FALSE),"")</f>
        <v/>
      </c>
      <c r="W406" s="99">
        <f>IFERROR(VLOOKUP(M406,'Horario Pabellones'!$A$4:$D$17,4,FALSE),"")</f>
        <v/>
      </c>
      <c r="X406" s="89">
        <f>IFERROR(IF(OR(A406="",M406="",W406=""),"",(((_xludf.AGGREGATE(14,6,MOD($S$4:$S$500,1)/(($A$4:$A$500=A406)*($M$4:$M$500=M406)*($R$4:$R$500&lt;&gt;"")*($S$4:$S$500&lt;&gt;"")),1)-_xludf.AGGREGATE(15,6,MOD($R$4:$R$500,1)/(($A$4:$A$500=A406)*($M$4:$M$500=M406)*($R$4:$R$500&lt;&gt;"")*($S$4:$S$500&lt;&gt;"")),1))*1440)/60)/(W406/60)),"")</f>
        <v/>
      </c>
      <c r="Y406" s="26">
        <f>IFERROR(IF(OR(O406="",A406="",M406=""),"",(IF(ISNUMBER(O406),MOD(O406,1),TIMEVALUE(O406))-LOOKUP(2,1/(($A$4:$A$500=A406)*($M$4:$M$500=M406)*($T$4:$T$500&lt;&gt;"")*($T$4:$T$500&lt;IF(ISNUMBER(O406),MOD(O406,1),TIMEVALUE(O406)))),$T$4:$T$500))*1440),"")</f>
        <v/>
      </c>
      <c r="Z406" s="27">
        <f>IFERROR(IF(Y406="","",IF(ROUND(Y406,0)&lt;=15,"Cumple","No cumple")),"")</f>
        <v/>
      </c>
      <c r="AA406" s="27" t="n"/>
      <c r="AB406" s="26">
        <f>IFERROR(IF(OR(O406="",R406=""),"",IF(IF(ISNUMBER(R406),MOD(R406,1),TIMEVALUE(R406))&gt;=IF(ISNUMBER(O406),MOD(O406,1),TIMEVALUE(O406)),(IF(ISNUMBER(R406),MOD(R406,1),TIMEVALUE(R406))-IF(ISNUMBER(O406),MOD(O406,1),TIMEVALUE(O406)))*1440,(IF(ISNUMBER(R406),MOD(R406,1),TIMEVALUE(R406))+1-IF(ISNUMBER(O406),MOD(O406,1),TIMEVALUE(O406)))*1440)),"")</f>
        <v/>
      </c>
      <c r="AC406" s="26">
        <f>IFERROR(IF(OR(R406="",S406=""),"",IF(IF(ISNUMBER(S406),MOD(S406,1),TIMEVALUE(S406))&gt;=IF(ISNUMBER(R406),MOD(R406,1),TIMEVALUE(R406)),(IF(ISNUMBER(S406),MOD(S406,1),TIMEVALUE(S406))-IF(ISNUMBER(R406),MOD(R406,1),TIMEVALUE(R406)))*1440,(IF(ISNUMBER(S406),MOD(S406,1),TIMEVALUE(S406))+1-IF(ISNUMBER(R406),MOD(R406,1),TIMEVALUE(R406)))*1440)),"")</f>
        <v/>
      </c>
      <c r="AD406" s="29" t="n"/>
      <c r="AE406" s="26">
        <f>IFERROR(IF(OR(AC406="",AD406=""),"",AC406-AD406),"")</f>
        <v/>
      </c>
      <c r="AF406" s="27">
        <f>IFERROR(IF(AE406="","",IF(ROUND(AE406,0)&gt;15,"Subestimacion",IF(ROUND(AE406,0)&lt;-15,"Sobrestimacion","Asertivo"))),"")</f>
        <v/>
      </c>
      <c r="AG406" s="19" t="n"/>
      <c r="AH406" s="19" t="n"/>
      <c r="AI406" s="19" t="n"/>
      <c r="AJ406" s="19" t="n"/>
      <c r="AK406" s="19" t="n"/>
      <c r="AL406" s="19" t="n"/>
      <c r="AM406" s="19" t="n"/>
      <c r="AN406" s="19" t="n"/>
      <c r="AO406" s="19" t="n"/>
      <c r="AP406" s="127">
        <f>IF(A406="","",A406-WEEKDAY(A406,2)+1)</f>
        <v/>
      </c>
      <c r="AQ406" s="127">
        <f>IF(AO406="","",AO406+6)</f>
        <v/>
      </c>
      <c r="AR406" s="19">
        <f>IF(AO406="","","Semana "&amp;TEXT(AO406,"dd-mm-yyyy")&amp;" al "&amp;TEXT(AP406,"dd-mm-yyyy"))</f>
        <v/>
      </c>
      <c r="AS406" s="19">
        <f>IF(A406="","",TEXT(A406,"mmmm yyyy"))</f>
        <v/>
      </c>
      <c r="AT406" s="19">
        <f>IF(A406="","",TEXT(A406,"dddd"))</f>
        <v/>
      </c>
      <c r="AU406" s="19">
        <f>IF(A406="","","CRR-"&amp;TEXT(A406,"yyyymmdd")&amp;"-"&amp;M406&amp;"-"&amp;TEXT(ROW()-3,"0000"))</f>
        <v/>
      </c>
      <c r="AV406" s="19">
        <f>IF(A406="","",IF(OR(B406="",C406="",E406="",F406="",M406="",N406=""),"Revisar campos obligatorios",IF(AND(P406="Atraso primera hora",Q406=""),"Falta justificación atraso primera hora",IF(AND(Z406="No cumple",AA406=""),"Falta justificación recambio &gt;15 min",IF(AND(ISNUMBER(SEARCH("suspend",N406)),OR(AG406="",AH406="")),"Falta causa/motivo suspensión","OK")))))</f>
        <v/>
      </c>
      <c r="AW406" s="19">
        <f>IF(N406="","",IF(ISNUMBER(SEARCH("suspend",N406)),IF(AND(AG406="",AH406=""),"Sin causa/motivo registrado",IF(AG406="",AH406,IF(AH406="",AG406,AG406&amp;": "&amp;AH406))),""))</f>
        <v/>
      </c>
    </row>
    <row r="407" ht="16" customHeight="1" s="151">
      <c r="A407" s="62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20">
        <f>IF(H407&lt;&gt;"",IFERROR(VLOOKUP(IFERROR(LEFT(H407,FIND("-",H407)-1),H407),'Catalogo MINSAL'!A:E,5,FALSE),""),IF(I407&lt;&gt;"",IFERROR(VLOOKUP(IFERROR(LEFT(I407,FIND("-",I407)-1),I407),'Catalogo MINSAL'!A:E,5,FALSE),""),""))</f>
        <v/>
      </c>
      <c r="K407" s="19" t="n"/>
      <c r="L407" s="19" t="n"/>
      <c r="M407" s="19" t="n"/>
      <c r="N407" s="19" t="n"/>
      <c r="O407" s="25" t="n"/>
      <c r="P407" s="27">
        <f>IFERROR(IF(OR(O407="",A407="",M407=""),"",IF(SUMPRODUCT(($A$4:$A$500=A407)*($M$4:$M$500=M407)*($O$4:$O$500&lt;&gt;"")*(MOD($O$4:$O$500,1)&lt;MOD(O407,1)))=0,IF(MOD(O407,1)&lt;=TIME(8,15,0),"Ingreso adecuado primera hora","Atraso primera hora"),"No aplica")),"")</f>
        <v/>
      </c>
      <c r="Q407" s="27" t="n"/>
      <c r="R407" s="25" t="n"/>
      <c r="S407" s="25" t="n"/>
      <c r="T407" s="25" t="n"/>
      <c r="U407" s="25">
        <f>IFERROR(VLOOKUP(M407,'Horario Pabellones'!$A$4:$D$17,2,FALSE),"")</f>
        <v/>
      </c>
      <c r="V407" s="25">
        <f>IFERROR(VLOOKUP(M407,'Horario Pabellones'!$A$4:$D$17,3,FALSE),"")</f>
        <v/>
      </c>
      <c r="W407" s="99">
        <f>IFERROR(VLOOKUP(M407,'Horario Pabellones'!$A$4:$D$17,4,FALSE),"")</f>
        <v/>
      </c>
      <c r="X407" s="89">
        <f>IFERROR(IF(OR(A407="",M407="",W407=""),"",(((_xludf.AGGREGATE(14,6,MOD($S$4:$S$500,1)/(($A$4:$A$500=A407)*($M$4:$M$500=M407)*($R$4:$R$500&lt;&gt;"")*($S$4:$S$500&lt;&gt;"")),1)-_xludf.AGGREGATE(15,6,MOD($R$4:$R$500,1)/(($A$4:$A$500=A407)*($M$4:$M$500=M407)*($R$4:$R$500&lt;&gt;"")*($S$4:$S$500&lt;&gt;"")),1))*1440)/60)/(W407/60)),"")</f>
        <v/>
      </c>
      <c r="Y407" s="26">
        <f>IFERROR(IF(OR(O407="",A407="",M407=""),"",(IF(ISNUMBER(O407),MOD(O407,1),TIMEVALUE(O407))-LOOKUP(2,1/(($A$4:$A$500=A407)*($M$4:$M$500=M407)*($T$4:$T$500&lt;&gt;"")*($T$4:$T$500&lt;IF(ISNUMBER(O407),MOD(O407,1),TIMEVALUE(O407)))),$T$4:$T$500))*1440),"")</f>
        <v/>
      </c>
      <c r="Z407" s="27">
        <f>IFERROR(IF(Y407="","",IF(ROUND(Y407,0)&lt;=15,"Cumple","No cumple")),"")</f>
        <v/>
      </c>
      <c r="AA407" s="27" t="n"/>
      <c r="AB407" s="26">
        <f>IFERROR(IF(OR(O407="",R407=""),"",IF(IF(ISNUMBER(R407),MOD(R407,1),TIMEVALUE(R407))&gt;=IF(ISNUMBER(O407),MOD(O407,1),TIMEVALUE(O407)),(IF(ISNUMBER(R407),MOD(R407,1),TIMEVALUE(R407))-IF(ISNUMBER(O407),MOD(O407,1),TIMEVALUE(O407)))*1440,(IF(ISNUMBER(R407),MOD(R407,1),TIMEVALUE(R407))+1-IF(ISNUMBER(O407),MOD(O407,1),TIMEVALUE(O407)))*1440)),"")</f>
        <v/>
      </c>
      <c r="AC407" s="26">
        <f>IFERROR(IF(OR(R407="",S407=""),"",IF(IF(ISNUMBER(S407),MOD(S407,1),TIMEVALUE(S407))&gt;=IF(ISNUMBER(R407),MOD(R407,1),TIMEVALUE(R407)),(IF(ISNUMBER(S407),MOD(S407,1),TIMEVALUE(S407))-IF(ISNUMBER(R407),MOD(R407,1),TIMEVALUE(R407)))*1440,(IF(ISNUMBER(S407),MOD(S407,1),TIMEVALUE(S407))+1-IF(ISNUMBER(R407),MOD(R407,1),TIMEVALUE(R407)))*1440)),"")</f>
        <v/>
      </c>
      <c r="AD407" s="29" t="n"/>
      <c r="AE407" s="26">
        <f>IFERROR(IF(OR(AC407="",AD407=""),"",AC407-AD407),"")</f>
        <v/>
      </c>
      <c r="AF407" s="27">
        <f>IFERROR(IF(AE407="","",IF(ROUND(AE407,0)&gt;15,"Subestimacion",IF(ROUND(AE407,0)&lt;-15,"Sobrestimacion","Asertivo"))),"")</f>
        <v/>
      </c>
      <c r="AG407" s="19" t="n"/>
      <c r="AH407" s="19" t="n"/>
      <c r="AI407" s="19" t="n"/>
      <c r="AJ407" s="19" t="n"/>
      <c r="AK407" s="19" t="n"/>
      <c r="AL407" s="19" t="n"/>
      <c r="AM407" s="19" t="n"/>
      <c r="AN407" s="19" t="n"/>
      <c r="AO407" s="19" t="n"/>
      <c r="AP407" s="127">
        <f>IF(A407="","",A407-WEEKDAY(A407,2)+1)</f>
        <v/>
      </c>
      <c r="AQ407" s="127">
        <f>IF(AO407="","",AO407+6)</f>
        <v/>
      </c>
      <c r="AR407" s="19">
        <f>IF(AO407="","","Semana "&amp;TEXT(AO407,"dd-mm-yyyy")&amp;" al "&amp;TEXT(AP407,"dd-mm-yyyy"))</f>
        <v/>
      </c>
      <c r="AS407" s="19">
        <f>IF(A407="","",TEXT(A407,"mmmm yyyy"))</f>
        <v/>
      </c>
      <c r="AT407" s="19">
        <f>IF(A407="","",TEXT(A407,"dddd"))</f>
        <v/>
      </c>
      <c r="AU407" s="19">
        <f>IF(A407="","","CRR-"&amp;TEXT(A407,"yyyymmdd")&amp;"-"&amp;M407&amp;"-"&amp;TEXT(ROW()-3,"0000"))</f>
        <v/>
      </c>
      <c r="AV407" s="19">
        <f>IF(A407="","",IF(OR(B407="",C407="",E407="",F407="",M407="",N407=""),"Revisar campos obligatorios",IF(AND(P407="Atraso primera hora",Q407=""),"Falta justificación atraso primera hora",IF(AND(Z407="No cumple",AA407=""),"Falta justificación recambio &gt;15 min",IF(AND(ISNUMBER(SEARCH("suspend",N407)),OR(AG407="",AH407="")),"Falta causa/motivo suspensión","OK")))))</f>
        <v/>
      </c>
      <c r="AW407" s="19">
        <f>IF(N407="","",IF(ISNUMBER(SEARCH("suspend",N407)),IF(AND(AG407="",AH407=""),"Sin causa/motivo registrado",IF(AG407="",AH407,IF(AH407="",AG407,AG407&amp;": "&amp;AH407))),""))</f>
        <v/>
      </c>
    </row>
    <row r="408" ht="16" customHeight="1" s="151">
      <c r="A408" s="62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20">
        <f>IF(H408&lt;&gt;"",IFERROR(VLOOKUP(IFERROR(LEFT(H408,FIND("-",H408)-1),H408),'Catalogo MINSAL'!A:E,5,FALSE),""),IF(I408&lt;&gt;"",IFERROR(VLOOKUP(IFERROR(LEFT(I408,FIND("-",I408)-1),I408),'Catalogo MINSAL'!A:E,5,FALSE),""),""))</f>
        <v/>
      </c>
      <c r="K408" s="19" t="n"/>
      <c r="L408" s="19" t="n"/>
      <c r="M408" s="19" t="n"/>
      <c r="N408" s="19" t="n"/>
      <c r="O408" s="25" t="n"/>
      <c r="P408" s="27">
        <f>IFERROR(IF(OR(O408="",A408="",M408=""),"",IF(SUMPRODUCT(($A$4:$A$500=A408)*($M$4:$M$500=M408)*($O$4:$O$500&lt;&gt;"")*(MOD($O$4:$O$500,1)&lt;MOD(O408,1)))=0,IF(MOD(O408,1)&lt;=TIME(8,15,0),"Ingreso adecuado primera hora","Atraso primera hora"),"No aplica")),"")</f>
        <v/>
      </c>
      <c r="Q408" s="27" t="n"/>
      <c r="R408" s="25" t="n"/>
      <c r="S408" s="25" t="n"/>
      <c r="T408" s="25" t="n"/>
      <c r="U408" s="25">
        <f>IFERROR(VLOOKUP(M408,'Horario Pabellones'!$A$4:$D$17,2,FALSE),"")</f>
        <v/>
      </c>
      <c r="V408" s="25">
        <f>IFERROR(VLOOKUP(M408,'Horario Pabellones'!$A$4:$D$17,3,FALSE),"")</f>
        <v/>
      </c>
      <c r="W408" s="99">
        <f>IFERROR(VLOOKUP(M408,'Horario Pabellones'!$A$4:$D$17,4,FALSE),"")</f>
        <v/>
      </c>
      <c r="X408" s="89">
        <f>IFERROR(IF(OR(A408="",M408="",W408=""),"",(((_xludf.AGGREGATE(14,6,MOD($S$4:$S$500,1)/(($A$4:$A$500=A408)*($M$4:$M$500=M408)*($R$4:$R$500&lt;&gt;"")*($S$4:$S$500&lt;&gt;"")),1)-_xludf.AGGREGATE(15,6,MOD($R$4:$R$500,1)/(($A$4:$A$500=A408)*($M$4:$M$500=M408)*($R$4:$R$500&lt;&gt;"")*($S$4:$S$500&lt;&gt;"")),1))*1440)/60)/(W408/60)),"")</f>
        <v/>
      </c>
      <c r="Y408" s="26">
        <f>IFERROR(IF(OR(O408="",A408="",M408=""),"",(IF(ISNUMBER(O408),MOD(O408,1),TIMEVALUE(O408))-LOOKUP(2,1/(($A$4:$A$500=A408)*($M$4:$M$500=M408)*($T$4:$T$500&lt;&gt;"")*($T$4:$T$500&lt;IF(ISNUMBER(O408),MOD(O408,1),TIMEVALUE(O408)))),$T$4:$T$500))*1440),"")</f>
        <v/>
      </c>
      <c r="Z408" s="27">
        <f>IFERROR(IF(Y408="","",IF(ROUND(Y408,0)&lt;=15,"Cumple","No cumple")),"")</f>
        <v/>
      </c>
      <c r="AA408" s="27" t="n"/>
      <c r="AB408" s="26">
        <f>IFERROR(IF(OR(O408="",R408=""),"",IF(IF(ISNUMBER(R408),MOD(R408,1),TIMEVALUE(R408))&gt;=IF(ISNUMBER(O408),MOD(O408,1),TIMEVALUE(O408)),(IF(ISNUMBER(R408),MOD(R408,1),TIMEVALUE(R408))-IF(ISNUMBER(O408),MOD(O408,1),TIMEVALUE(O408)))*1440,(IF(ISNUMBER(R408),MOD(R408,1),TIMEVALUE(R408))+1-IF(ISNUMBER(O408),MOD(O408,1),TIMEVALUE(O408)))*1440)),"")</f>
        <v/>
      </c>
      <c r="AC408" s="26">
        <f>IFERROR(IF(OR(R408="",S408=""),"",IF(IF(ISNUMBER(S408),MOD(S408,1),TIMEVALUE(S408))&gt;=IF(ISNUMBER(R408),MOD(R408,1),TIMEVALUE(R408)),(IF(ISNUMBER(S408),MOD(S408,1),TIMEVALUE(S408))-IF(ISNUMBER(R408),MOD(R408,1),TIMEVALUE(R408)))*1440,(IF(ISNUMBER(S408),MOD(S408,1),TIMEVALUE(S408))+1-IF(ISNUMBER(R408),MOD(R408,1),TIMEVALUE(R408)))*1440)),"")</f>
        <v/>
      </c>
      <c r="AD408" s="29" t="n"/>
      <c r="AE408" s="26">
        <f>IFERROR(IF(OR(AC408="",AD408=""),"",AC408-AD408),"")</f>
        <v/>
      </c>
      <c r="AF408" s="27">
        <f>IFERROR(IF(AE408="","",IF(ROUND(AE408,0)&gt;15,"Subestimacion",IF(ROUND(AE408,0)&lt;-15,"Sobrestimacion","Asertivo"))),"")</f>
        <v/>
      </c>
      <c r="AG408" s="19" t="n"/>
      <c r="AH408" s="19" t="n"/>
      <c r="AI408" s="19" t="n"/>
      <c r="AJ408" s="19" t="n"/>
      <c r="AK408" s="19" t="n"/>
      <c r="AL408" s="19" t="n"/>
      <c r="AM408" s="19" t="n"/>
      <c r="AN408" s="19" t="n"/>
      <c r="AO408" s="19" t="n"/>
      <c r="AP408" s="127">
        <f>IF(A408="","",A408-WEEKDAY(A408,2)+1)</f>
        <v/>
      </c>
      <c r="AQ408" s="127">
        <f>IF(AO408="","",AO408+6)</f>
        <v/>
      </c>
      <c r="AR408" s="19">
        <f>IF(AO408="","","Semana "&amp;TEXT(AO408,"dd-mm-yyyy")&amp;" al "&amp;TEXT(AP408,"dd-mm-yyyy"))</f>
        <v/>
      </c>
      <c r="AS408" s="19">
        <f>IF(A408="","",TEXT(A408,"mmmm yyyy"))</f>
        <v/>
      </c>
      <c r="AT408" s="19">
        <f>IF(A408="","",TEXT(A408,"dddd"))</f>
        <v/>
      </c>
      <c r="AU408" s="19">
        <f>IF(A408="","","CRR-"&amp;TEXT(A408,"yyyymmdd")&amp;"-"&amp;M408&amp;"-"&amp;TEXT(ROW()-3,"0000"))</f>
        <v/>
      </c>
      <c r="AV408" s="19">
        <f>IF(A408="","",IF(OR(B408="",C408="",E408="",F408="",M408="",N408=""),"Revisar campos obligatorios",IF(AND(P408="Atraso primera hora",Q408=""),"Falta justificación atraso primera hora",IF(AND(Z408="No cumple",AA408=""),"Falta justificación recambio &gt;15 min",IF(AND(ISNUMBER(SEARCH("suspend",N408)),OR(AG408="",AH408="")),"Falta causa/motivo suspensión","OK")))))</f>
        <v/>
      </c>
      <c r="AW408" s="19">
        <f>IF(N408="","",IF(ISNUMBER(SEARCH("suspend",N408)),IF(AND(AG408="",AH408=""),"Sin causa/motivo registrado",IF(AG408="",AH408,IF(AH408="",AG408,AG408&amp;": "&amp;AH408))),""))</f>
        <v/>
      </c>
    </row>
    <row r="409" ht="16" customHeight="1" s="151">
      <c r="A409" s="62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20">
        <f>IF(H409&lt;&gt;"",IFERROR(VLOOKUP(IFERROR(LEFT(H409,FIND("-",H409)-1),H409),'Catalogo MINSAL'!A:E,5,FALSE),""),IF(I409&lt;&gt;"",IFERROR(VLOOKUP(IFERROR(LEFT(I409,FIND("-",I409)-1),I409),'Catalogo MINSAL'!A:E,5,FALSE),""),""))</f>
        <v/>
      </c>
      <c r="K409" s="19" t="n"/>
      <c r="L409" s="19" t="n"/>
      <c r="M409" s="19" t="n"/>
      <c r="N409" s="19" t="n"/>
      <c r="O409" s="25" t="n"/>
      <c r="P409" s="27">
        <f>IFERROR(IF(OR(O409="",A409="",M409=""),"",IF(SUMPRODUCT(($A$4:$A$500=A409)*($M$4:$M$500=M409)*($O$4:$O$500&lt;&gt;"")*(MOD($O$4:$O$500,1)&lt;MOD(O409,1)))=0,IF(MOD(O409,1)&lt;=TIME(8,15,0),"Ingreso adecuado primera hora","Atraso primera hora"),"No aplica")),"")</f>
        <v/>
      </c>
      <c r="Q409" s="27" t="n"/>
      <c r="R409" s="25" t="n"/>
      <c r="S409" s="25" t="n"/>
      <c r="T409" s="25" t="n"/>
      <c r="U409" s="25">
        <f>IFERROR(VLOOKUP(M409,'Horario Pabellones'!$A$4:$D$17,2,FALSE),"")</f>
        <v/>
      </c>
      <c r="V409" s="25">
        <f>IFERROR(VLOOKUP(M409,'Horario Pabellones'!$A$4:$D$17,3,FALSE),"")</f>
        <v/>
      </c>
      <c r="W409" s="99">
        <f>IFERROR(VLOOKUP(M409,'Horario Pabellones'!$A$4:$D$17,4,FALSE),"")</f>
        <v/>
      </c>
      <c r="X409" s="89">
        <f>IFERROR(IF(OR(A409="",M409="",W409=""),"",(((_xludf.AGGREGATE(14,6,MOD($S$4:$S$500,1)/(($A$4:$A$500=A409)*($M$4:$M$500=M409)*($R$4:$R$500&lt;&gt;"")*($S$4:$S$500&lt;&gt;"")),1)-_xludf.AGGREGATE(15,6,MOD($R$4:$R$500,1)/(($A$4:$A$500=A409)*($M$4:$M$500=M409)*($R$4:$R$500&lt;&gt;"")*($S$4:$S$500&lt;&gt;"")),1))*1440)/60)/(W409/60)),"")</f>
        <v/>
      </c>
      <c r="Y409" s="26">
        <f>IFERROR(IF(OR(O409="",A409="",M409=""),"",(IF(ISNUMBER(O409),MOD(O409,1),TIMEVALUE(O409))-LOOKUP(2,1/(($A$4:$A$500=A409)*($M$4:$M$500=M409)*($T$4:$T$500&lt;&gt;"")*($T$4:$T$500&lt;IF(ISNUMBER(O409),MOD(O409,1),TIMEVALUE(O409)))),$T$4:$T$500))*1440),"")</f>
        <v/>
      </c>
      <c r="Z409" s="27">
        <f>IFERROR(IF(Y409="","",IF(ROUND(Y409,0)&lt;=15,"Cumple","No cumple")),"")</f>
        <v/>
      </c>
      <c r="AA409" s="27" t="n"/>
      <c r="AB409" s="26">
        <f>IFERROR(IF(OR(O409="",R409=""),"",IF(IF(ISNUMBER(R409),MOD(R409,1),TIMEVALUE(R409))&gt;=IF(ISNUMBER(O409),MOD(O409,1),TIMEVALUE(O409)),(IF(ISNUMBER(R409),MOD(R409,1),TIMEVALUE(R409))-IF(ISNUMBER(O409),MOD(O409,1),TIMEVALUE(O409)))*1440,(IF(ISNUMBER(R409),MOD(R409,1),TIMEVALUE(R409))+1-IF(ISNUMBER(O409),MOD(O409,1),TIMEVALUE(O409)))*1440)),"")</f>
        <v/>
      </c>
      <c r="AC409" s="26">
        <f>IFERROR(IF(OR(R409="",S409=""),"",IF(IF(ISNUMBER(S409),MOD(S409,1),TIMEVALUE(S409))&gt;=IF(ISNUMBER(R409),MOD(R409,1),TIMEVALUE(R409)),(IF(ISNUMBER(S409),MOD(S409,1),TIMEVALUE(S409))-IF(ISNUMBER(R409),MOD(R409,1),TIMEVALUE(R409)))*1440,(IF(ISNUMBER(S409),MOD(S409,1),TIMEVALUE(S409))+1-IF(ISNUMBER(R409),MOD(R409,1),TIMEVALUE(R409)))*1440)),"")</f>
        <v/>
      </c>
      <c r="AD409" s="29" t="n"/>
      <c r="AE409" s="26">
        <f>IFERROR(IF(OR(AC409="",AD409=""),"",AC409-AD409),"")</f>
        <v/>
      </c>
      <c r="AF409" s="27">
        <f>IFERROR(IF(AE409="","",IF(ROUND(AE409,0)&gt;15,"Subestimacion",IF(ROUND(AE409,0)&lt;-15,"Sobrestimacion","Asertivo"))),"")</f>
        <v/>
      </c>
      <c r="AG409" s="19" t="n"/>
      <c r="AH409" s="19" t="n"/>
      <c r="AI409" s="19" t="n"/>
      <c r="AJ409" s="19" t="n"/>
      <c r="AK409" s="19" t="n"/>
      <c r="AL409" s="19" t="n"/>
      <c r="AM409" s="19" t="n"/>
      <c r="AN409" s="19" t="n"/>
      <c r="AO409" s="19" t="n"/>
      <c r="AP409" s="127">
        <f>IF(A409="","",A409-WEEKDAY(A409,2)+1)</f>
        <v/>
      </c>
      <c r="AQ409" s="127">
        <f>IF(AO409="","",AO409+6)</f>
        <v/>
      </c>
      <c r="AR409" s="19">
        <f>IF(AO409="","","Semana "&amp;TEXT(AO409,"dd-mm-yyyy")&amp;" al "&amp;TEXT(AP409,"dd-mm-yyyy"))</f>
        <v/>
      </c>
      <c r="AS409" s="19">
        <f>IF(A409="","",TEXT(A409,"mmmm yyyy"))</f>
        <v/>
      </c>
      <c r="AT409" s="19">
        <f>IF(A409="","",TEXT(A409,"dddd"))</f>
        <v/>
      </c>
      <c r="AU409" s="19">
        <f>IF(A409="","","CRR-"&amp;TEXT(A409,"yyyymmdd")&amp;"-"&amp;M409&amp;"-"&amp;TEXT(ROW()-3,"0000"))</f>
        <v/>
      </c>
      <c r="AV409" s="19">
        <f>IF(A409="","",IF(OR(B409="",C409="",E409="",F409="",M409="",N409=""),"Revisar campos obligatorios",IF(AND(P409="Atraso primera hora",Q409=""),"Falta justificación atraso primera hora",IF(AND(Z409="No cumple",AA409=""),"Falta justificación recambio &gt;15 min",IF(AND(ISNUMBER(SEARCH("suspend",N409)),OR(AG409="",AH409="")),"Falta causa/motivo suspensión","OK")))))</f>
        <v/>
      </c>
      <c r="AW409" s="19">
        <f>IF(N409="","",IF(ISNUMBER(SEARCH("suspend",N409)),IF(AND(AG409="",AH409=""),"Sin causa/motivo registrado",IF(AG409="",AH409,IF(AH409="",AG409,AG409&amp;": "&amp;AH409))),""))</f>
        <v/>
      </c>
    </row>
    <row r="410" ht="16" customHeight="1" s="151">
      <c r="A410" s="62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20">
        <f>IF(H410&lt;&gt;"",IFERROR(VLOOKUP(IFERROR(LEFT(H410,FIND("-",H410)-1),H410),'Catalogo MINSAL'!A:E,5,FALSE),""),IF(I410&lt;&gt;"",IFERROR(VLOOKUP(IFERROR(LEFT(I410,FIND("-",I410)-1),I410),'Catalogo MINSAL'!A:E,5,FALSE),""),""))</f>
        <v/>
      </c>
      <c r="K410" s="19" t="n"/>
      <c r="L410" s="19" t="n"/>
      <c r="M410" s="19" t="n"/>
      <c r="N410" s="19" t="n"/>
      <c r="O410" s="25" t="n"/>
      <c r="P410" s="27">
        <f>IFERROR(IF(OR(O410="",A410="",M410=""),"",IF(SUMPRODUCT(($A$4:$A$500=A410)*($M$4:$M$500=M410)*($O$4:$O$500&lt;&gt;"")*(MOD($O$4:$O$500,1)&lt;MOD(O410,1)))=0,IF(MOD(O410,1)&lt;=TIME(8,15,0),"Ingreso adecuado primera hora","Atraso primera hora"),"No aplica")),"")</f>
        <v/>
      </c>
      <c r="Q410" s="27" t="n"/>
      <c r="R410" s="25" t="n"/>
      <c r="S410" s="25" t="n"/>
      <c r="T410" s="25" t="n"/>
      <c r="U410" s="25">
        <f>IFERROR(VLOOKUP(M410,'Horario Pabellones'!$A$4:$D$17,2,FALSE),"")</f>
        <v/>
      </c>
      <c r="V410" s="25">
        <f>IFERROR(VLOOKUP(M410,'Horario Pabellones'!$A$4:$D$17,3,FALSE),"")</f>
        <v/>
      </c>
      <c r="W410" s="99">
        <f>IFERROR(VLOOKUP(M410,'Horario Pabellones'!$A$4:$D$17,4,FALSE),"")</f>
        <v/>
      </c>
      <c r="X410" s="89">
        <f>IFERROR(IF(OR(A410="",M410="",W410=""),"",(((_xludf.AGGREGATE(14,6,MOD($S$4:$S$500,1)/(($A$4:$A$500=A410)*($M$4:$M$500=M410)*($R$4:$R$500&lt;&gt;"")*($S$4:$S$500&lt;&gt;"")),1)-_xludf.AGGREGATE(15,6,MOD($R$4:$R$500,1)/(($A$4:$A$500=A410)*($M$4:$M$500=M410)*($R$4:$R$500&lt;&gt;"")*($S$4:$S$500&lt;&gt;"")),1))*1440)/60)/(W410/60)),"")</f>
        <v/>
      </c>
      <c r="Y410" s="26">
        <f>IFERROR(IF(OR(O410="",A410="",M410=""),"",(IF(ISNUMBER(O410),MOD(O410,1),TIMEVALUE(O410))-LOOKUP(2,1/(($A$4:$A$500=A410)*($M$4:$M$500=M410)*($T$4:$T$500&lt;&gt;"")*($T$4:$T$500&lt;IF(ISNUMBER(O410),MOD(O410,1),TIMEVALUE(O410)))),$T$4:$T$500))*1440),"")</f>
        <v/>
      </c>
      <c r="Z410" s="27">
        <f>IFERROR(IF(Y410="","",IF(ROUND(Y410,0)&lt;=15,"Cumple","No cumple")),"")</f>
        <v/>
      </c>
      <c r="AA410" s="27" t="n"/>
      <c r="AB410" s="26">
        <f>IFERROR(IF(OR(O410="",R410=""),"",IF(IF(ISNUMBER(R410),MOD(R410,1),TIMEVALUE(R410))&gt;=IF(ISNUMBER(O410),MOD(O410,1),TIMEVALUE(O410)),(IF(ISNUMBER(R410),MOD(R410,1),TIMEVALUE(R410))-IF(ISNUMBER(O410),MOD(O410,1),TIMEVALUE(O410)))*1440,(IF(ISNUMBER(R410),MOD(R410,1),TIMEVALUE(R410))+1-IF(ISNUMBER(O410),MOD(O410,1),TIMEVALUE(O410)))*1440)),"")</f>
        <v/>
      </c>
      <c r="AC410" s="26">
        <f>IFERROR(IF(OR(R410="",S410=""),"",IF(IF(ISNUMBER(S410),MOD(S410,1),TIMEVALUE(S410))&gt;=IF(ISNUMBER(R410),MOD(R410,1),TIMEVALUE(R410)),(IF(ISNUMBER(S410),MOD(S410,1),TIMEVALUE(S410))-IF(ISNUMBER(R410),MOD(R410,1),TIMEVALUE(R410)))*1440,(IF(ISNUMBER(S410),MOD(S410,1),TIMEVALUE(S410))+1-IF(ISNUMBER(R410),MOD(R410,1),TIMEVALUE(R410)))*1440)),"")</f>
        <v/>
      </c>
      <c r="AD410" s="29" t="n"/>
      <c r="AE410" s="26">
        <f>IFERROR(IF(OR(AC410="",AD410=""),"",AC410-AD410),"")</f>
        <v/>
      </c>
      <c r="AF410" s="27">
        <f>IFERROR(IF(AE410="","",IF(ROUND(AE410,0)&gt;15,"Subestimacion",IF(ROUND(AE410,0)&lt;-15,"Sobrestimacion","Asertivo"))),"")</f>
        <v/>
      </c>
      <c r="AG410" s="19" t="n"/>
      <c r="AH410" s="19" t="n"/>
      <c r="AI410" s="19" t="n"/>
      <c r="AJ410" s="19" t="n"/>
      <c r="AK410" s="19" t="n"/>
      <c r="AL410" s="19" t="n"/>
      <c r="AM410" s="19" t="n"/>
      <c r="AN410" s="19" t="n"/>
      <c r="AO410" s="19" t="n"/>
      <c r="AP410" s="127">
        <f>IF(A410="","",A410-WEEKDAY(A410,2)+1)</f>
        <v/>
      </c>
      <c r="AQ410" s="127">
        <f>IF(AO410="","",AO410+6)</f>
        <v/>
      </c>
      <c r="AR410" s="19">
        <f>IF(AO410="","","Semana "&amp;TEXT(AO410,"dd-mm-yyyy")&amp;" al "&amp;TEXT(AP410,"dd-mm-yyyy"))</f>
        <v/>
      </c>
      <c r="AS410" s="19">
        <f>IF(A410="","",TEXT(A410,"mmmm yyyy"))</f>
        <v/>
      </c>
      <c r="AT410" s="19">
        <f>IF(A410="","",TEXT(A410,"dddd"))</f>
        <v/>
      </c>
      <c r="AU410" s="19">
        <f>IF(A410="","","CRR-"&amp;TEXT(A410,"yyyymmdd")&amp;"-"&amp;M410&amp;"-"&amp;TEXT(ROW()-3,"0000"))</f>
        <v/>
      </c>
      <c r="AV410" s="19">
        <f>IF(A410="","",IF(OR(B410="",C410="",E410="",F410="",M410="",N410=""),"Revisar campos obligatorios",IF(AND(P410="Atraso primera hora",Q410=""),"Falta justificación atraso primera hora",IF(AND(Z410="No cumple",AA410=""),"Falta justificación recambio &gt;15 min",IF(AND(ISNUMBER(SEARCH("suspend",N410)),OR(AG410="",AH410="")),"Falta causa/motivo suspensión","OK")))))</f>
        <v/>
      </c>
      <c r="AW410" s="19">
        <f>IF(N410="","",IF(ISNUMBER(SEARCH("suspend",N410)),IF(AND(AG410="",AH410=""),"Sin causa/motivo registrado",IF(AG410="",AH410,IF(AH410="",AG410,AG410&amp;": "&amp;AH410))),""))</f>
        <v/>
      </c>
    </row>
    <row r="411" ht="16" customHeight="1" s="151">
      <c r="A411" s="62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20">
        <f>IF(H411&lt;&gt;"",IFERROR(VLOOKUP(IFERROR(LEFT(H411,FIND("-",H411)-1),H411),'Catalogo MINSAL'!A:E,5,FALSE),""),IF(I411&lt;&gt;"",IFERROR(VLOOKUP(IFERROR(LEFT(I411,FIND("-",I411)-1),I411),'Catalogo MINSAL'!A:E,5,FALSE),""),""))</f>
        <v/>
      </c>
      <c r="K411" s="19" t="n"/>
      <c r="L411" s="19" t="n"/>
      <c r="M411" s="19" t="n"/>
      <c r="N411" s="19" t="n"/>
      <c r="O411" s="25" t="n"/>
      <c r="P411" s="27">
        <f>IFERROR(IF(OR(O411="",A411="",M411=""),"",IF(SUMPRODUCT(($A$4:$A$500=A411)*($M$4:$M$500=M411)*($O$4:$O$500&lt;&gt;"")*(MOD($O$4:$O$500,1)&lt;MOD(O411,1)))=0,IF(MOD(O411,1)&lt;=TIME(8,15,0),"Ingreso adecuado primera hora","Atraso primera hora"),"No aplica")),"")</f>
        <v/>
      </c>
      <c r="Q411" s="27" t="n"/>
      <c r="R411" s="25" t="n"/>
      <c r="S411" s="25" t="n"/>
      <c r="T411" s="25" t="n"/>
      <c r="U411" s="25">
        <f>IFERROR(VLOOKUP(M411,'Horario Pabellones'!$A$4:$D$17,2,FALSE),"")</f>
        <v/>
      </c>
      <c r="V411" s="25">
        <f>IFERROR(VLOOKUP(M411,'Horario Pabellones'!$A$4:$D$17,3,FALSE),"")</f>
        <v/>
      </c>
      <c r="W411" s="99">
        <f>IFERROR(VLOOKUP(M411,'Horario Pabellones'!$A$4:$D$17,4,FALSE),"")</f>
        <v/>
      </c>
      <c r="X411" s="89">
        <f>IFERROR(IF(OR(A411="",M411="",W411=""),"",(((_xludf.AGGREGATE(14,6,MOD($S$4:$S$500,1)/(($A$4:$A$500=A411)*($M$4:$M$500=M411)*($R$4:$R$500&lt;&gt;"")*($S$4:$S$500&lt;&gt;"")),1)-_xludf.AGGREGATE(15,6,MOD($R$4:$R$500,1)/(($A$4:$A$500=A411)*($M$4:$M$500=M411)*($R$4:$R$500&lt;&gt;"")*($S$4:$S$500&lt;&gt;"")),1))*1440)/60)/(W411/60)),"")</f>
        <v/>
      </c>
      <c r="Y411" s="26">
        <f>IFERROR(IF(OR(O411="",A411="",M411=""),"",(IF(ISNUMBER(O411),MOD(O411,1),TIMEVALUE(O411))-LOOKUP(2,1/(($A$4:$A$500=A411)*($M$4:$M$500=M411)*($T$4:$T$500&lt;&gt;"")*($T$4:$T$500&lt;IF(ISNUMBER(O411),MOD(O411,1),TIMEVALUE(O411)))),$T$4:$T$500))*1440),"")</f>
        <v/>
      </c>
      <c r="Z411" s="27">
        <f>IFERROR(IF(Y411="","",IF(ROUND(Y411,0)&lt;=15,"Cumple","No cumple")),"")</f>
        <v/>
      </c>
      <c r="AA411" s="27" t="n"/>
      <c r="AB411" s="26">
        <f>IFERROR(IF(OR(O411="",R411=""),"",IF(IF(ISNUMBER(R411),MOD(R411,1),TIMEVALUE(R411))&gt;=IF(ISNUMBER(O411),MOD(O411,1),TIMEVALUE(O411)),(IF(ISNUMBER(R411),MOD(R411,1),TIMEVALUE(R411))-IF(ISNUMBER(O411),MOD(O411,1),TIMEVALUE(O411)))*1440,(IF(ISNUMBER(R411),MOD(R411,1),TIMEVALUE(R411))+1-IF(ISNUMBER(O411),MOD(O411,1),TIMEVALUE(O411)))*1440)),"")</f>
        <v/>
      </c>
      <c r="AC411" s="26">
        <f>IFERROR(IF(OR(R411="",S411=""),"",IF(IF(ISNUMBER(S411),MOD(S411,1),TIMEVALUE(S411))&gt;=IF(ISNUMBER(R411),MOD(R411,1),TIMEVALUE(R411)),(IF(ISNUMBER(S411),MOD(S411,1),TIMEVALUE(S411))-IF(ISNUMBER(R411),MOD(R411,1),TIMEVALUE(R411)))*1440,(IF(ISNUMBER(S411),MOD(S411,1),TIMEVALUE(S411))+1-IF(ISNUMBER(R411),MOD(R411,1),TIMEVALUE(R411)))*1440)),"")</f>
        <v/>
      </c>
      <c r="AD411" s="29" t="n"/>
      <c r="AE411" s="26">
        <f>IFERROR(IF(OR(AC411="",AD411=""),"",AC411-AD411),"")</f>
        <v/>
      </c>
      <c r="AF411" s="27">
        <f>IFERROR(IF(AE411="","",IF(ROUND(AE411,0)&gt;15,"Subestimacion",IF(ROUND(AE411,0)&lt;-15,"Sobrestimacion","Asertivo"))),"")</f>
        <v/>
      </c>
      <c r="AG411" s="19" t="n"/>
      <c r="AH411" s="19" t="n"/>
      <c r="AI411" s="19" t="n"/>
      <c r="AJ411" s="19" t="n"/>
      <c r="AK411" s="19" t="n"/>
      <c r="AL411" s="19" t="n"/>
      <c r="AM411" s="19" t="n"/>
      <c r="AN411" s="19" t="n"/>
      <c r="AO411" s="19" t="n"/>
      <c r="AP411" s="127">
        <f>IF(A411="","",A411-WEEKDAY(A411,2)+1)</f>
        <v/>
      </c>
      <c r="AQ411" s="127">
        <f>IF(AO411="","",AO411+6)</f>
        <v/>
      </c>
      <c r="AR411" s="19">
        <f>IF(AO411="","","Semana "&amp;TEXT(AO411,"dd-mm-yyyy")&amp;" al "&amp;TEXT(AP411,"dd-mm-yyyy"))</f>
        <v/>
      </c>
      <c r="AS411" s="19">
        <f>IF(A411="","",TEXT(A411,"mmmm yyyy"))</f>
        <v/>
      </c>
      <c r="AT411" s="19">
        <f>IF(A411="","",TEXT(A411,"dddd"))</f>
        <v/>
      </c>
      <c r="AU411" s="19">
        <f>IF(A411="","","CRR-"&amp;TEXT(A411,"yyyymmdd")&amp;"-"&amp;M411&amp;"-"&amp;TEXT(ROW()-3,"0000"))</f>
        <v/>
      </c>
      <c r="AV411" s="19">
        <f>IF(A411="","",IF(OR(B411="",C411="",E411="",F411="",M411="",N411=""),"Revisar campos obligatorios",IF(AND(P411="Atraso primera hora",Q411=""),"Falta justificación atraso primera hora",IF(AND(Z411="No cumple",AA411=""),"Falta justificación recambio &gt;15 min",IF(AND(ISNUMBER(SEARCH("suspend",N411)),OR(AG411="",AH411="")),"Falta causa/motivo suspensión","OK")))))</f>
        <v/>
      </c>
      <c r="AW411" s="19">
        <f>IF(N411="","",IF(ISNUMBER(SEARCH("suspend",N411)),IF(AND(AG411="",AH411=""),"Sin causa/motivo registrado",IF(AG411="",AH411,IF(AH411="",AG411,AG411&amp;": "&amp;AH411))),""))</f>
        <v/>
      </c>
    </row>
    <row r="412" ht="16" customHeight="1" s="151">
      <c r="A412" s="62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20">
        <f>IF(H412&lt;&gt;"",IFERROR(VLOOKUP(IFERROR(LEFT(H412,FIND("-",H412)-1),H412),'Catalogo MINSAL'!A:E,5,FALSE),""),IF(I412&lt;&gt;"",IFERROR(VLOOKUP(IFERROR(LEFT(I412,FIND("-",I412)-1),I412),'Catalogo MINSAL'!A:E,5,FALSE),""),""))</f>
        <v/>
      </c>
      <c r="K412" s="19" t="n"/>
      <c r="L412" s="19" t="n"/>
      <c r="M412" s="19" t="n"/>
      <c r="N412" s="19" t="n"/>
      <c r="O412" s="25" t="n"/>
      <c r="P412" s="27">
        <f>IFERROR(IF(OR(O412="",A412="",M412=""),"",IF(SUMPRODUCT(($A$4:$A$500=A412)*($M$4:$M$500=M412)*($O$4:$O$500&lt;&gt;"")*(MOD($O$4:$O$500,1)&lt;MOD(O412,1)))=0,IF(MOD(O412,1)&lt;=TIME(8,15,0),"Ingreso adecuado primera hora","Atraso primera hora"),"No aplica")),"")</f>
        <v/>
      </c>
      <c r="Q412" s="27" t="n"/>
      <c r="R412" s="25" t="n"/>
      <c r="S412" s="25" t="n"/>
      <c r="T412" s="25" t="n"/>
      <c r="U412" s="25">
        <f>IFERROR(VLOOKUP(M412,'Horario Pabellones'!$A$4:$D$17,2,FALSE),"")</f>
        <v/>
      </c>
      <c r="V412" s="25">
        <f>IFERROR(VLOOKUP(M412,'Horario Pabellones'!$A$4:$D$17,3,FALSE),"")</f>
        <v/>
      </c>
      <c r="W412" s="99">
        <f>IFERROR(VLOOKUP(M412,'Horario Pabellones'!$A$4:$D$17,4,FALSE),"")</f>
        <v/>
      </c>
      <c r="X412" s="89">
        <f>IFERROR(IF(OR(A412="",M412="",W412=""),"",(((_xludf.AGGREGATE(14,6,MOD($S$4:$S$500,1)/(($A$4:$A$500=A412)*($M$4:$M$500=M412)*($R$4:$R$500&lt;&gt;"")*($S$4:$S$500&lt;&gt;"")),1)-_xludf.AGGREGATE(15,6,MOD($R$4:$R$500,1)/(($A$4:$A$500=A412)*($M$4:$M$500=M412)*($R$4:$R$500&lt;&gt;"")*($S$4:$S$500&lt;&gt;"")),1))*1440)/60)/(W412/60)),"")</f>
        <v/>
      </c>
      <c r="Y412" s="26">
        <f>IFERROR(IF(OR(O412="",A412="",M412=""),"",(IF(ISNUMBER(O412),MOD(O412,1),TIMEVALUE(O412))-LOOKUP(2,1/(($A$4:$A$500=A412)*($M$4:$M$500=M412)*($T$4:$T$500&lt;&gt;"")*($T$4:$T$500&lt;IF(ISNUMBER(O412),MOD(O412,1),TIMEVALUE(O412)))),$T$4:$T$500))*1440),"")</f>
        <v/>
      </c>
      <c r="Z412" s="27">
        <f>IFERROR(IF(Y412="","",IF(ROUND(Y412,0)&lt;=15,"Cumple","No cumple")),"")</f>
        <v/>
      </c>
      <c r="AA412" s="27" t="n"/>
      <c r="AB412" s="26">
        <f>IFERROR(IF(OR(O412="",R412=""),"",IF(IF(ISNUMBER(R412),MOD(R412,1),TIMEVALUE(R412))&gt;=IF(ISNUMBER(O412),MOD(O412,1),TIMEVALUE(O412)),(IF(ISNUMBER(R412),MOD(R412,1),TIMEVALUE(R412))-IF(ISNUMBER(O412),MOD(O412,1),TIMEVALUE(O412)))*1440,(IF(ISNUMBER(R412),MOD(R412,1),TIMEVALUE(R412))+1-IF(ISNUMBER(O412),MOD(O412,1),TIMEVALUE(O412)))*1440)),"")</f>
        <v/>
      </c>
      <c r="AC412" s="26">
        <f>IFERROR(IF(OR(R412="",S412=""),"",IF(IF(ISNUMBER(S412),MOD(S412,1),TIMEVALUE(S412))&gt;=IF(ISNUMBER(R412),MOD(R412,1),TIMEVALUE(R412)),(IF(ISNUMBER(S412),MOD(S412,1),TIMEVALUE(S412))-IF(ISNUMBER(R412),MOD(R412,1),TIMEVALUE(R412)))*1440,(IF(ISNUMBER(S412),MOD(S412,1),TIMEVALUE(S412))+1-IF(ISNUMBER(R412),MOD(R412,1),TIMEVALUE(R412)))*1440)),"")</f>
        <v/>
      </c>
      <c r="AD412" s="29" t="n"/>
      <c r="AE412" s="26">
        <f>IFERROR(IF(OR(AC412="",AD412=""),"",AC412-AD412),"")</f>
        <v/>
      </c>
      <c r="AF412" s="27">
        <f>IFERROR(IF(AE412="","",IF(ROUND(AE412,0)&gt;15,"Subestimacion",IF(ROUND(AE412,0)&lt;-15,"Sobrestimacion","Asertivo"))),"")</f>
        <v/>
      </c>
      <c r="AG412" s="19" t="n"/>
      <c r="AH412" s="19" t="n"/>
      <c r="AI412" s="19" t="n"/>
      <c r="AJ412" s="19" t="n"/>
      <c r="AK412" s="19" t="n"/>
      <c r="AL412" s="19" t="n"/>
      <c r="AM412" s="19" t="n"/>
      <c r="AN412" s="19" t="n"/>
      <c r="AO412" s="19" t="n"/>
      <c r="AP412" s="127">
        <f>IF(A412="","",A412-WEEKDAY(A412,2)+1)</f>
        <v/>
      </c>
      <c r="AQ412" s="127">
        <f>IF(AO412="","",AO412+6)</f>
        <v/>
      </c>
      <c r="AR412" s="19">
        <f>IF(AO412="","","Semana "&amp;TEXT(AO412,"dd-mm-yyyy")&amp;" al "&amp;TEXT(AP412,"dd-mm-yyyy"))</f>
        <v/>
      </c>
      <c r="AS412" s="19">
        <f>IF(A412="","",TEXT(A412,"mmmm yyyy"))</f>
        <v/>
      </c>
      <c r="AT412" s="19">
        <f>IF(A412="","",TEXT(A412,"dddd"))</f>
        <v/>
      </c>
      <c r="AU412" s="19">
        <f>IF(A412="","","CRR-"&amp;TEXT(A412,"yyyymmdd")&amp;"-"&amp;M412&amp;"-"&amp;TEXT(ROW()-3,"0000"))</f>
        <v/>
      </c>
      <c r="AV412" s="19">
        <f>IF(A412="","",IF(OR(B412="",C412="",E412="",F412="",M412="",N412=""),"Revisar campos obligatorios",IF(AND(P412="Atraso primera hora",Q412=""),"Falta justificación atraso primera hora",IF(AND(Z412="No cumple",AA412=""),"Falta justificación recambio &gt;15 min",IF(AND(ISNUMBER(SEARCH("suspend",N412)),OR(AG412="",AH412="")),"Falta causa/motivo suspensión","OK")))))</f>
        <v/>
      </c>
      <c r="AW412" s="19">
        <f>IF(N412="","",IF(ISNUMBER(SEARCH("suspend",N412)),IF(AND(AG412="",AH412=""),"Sin causa/motivo registrado",IF(AG412="",AH412,IF(AH412="",AG412,AG412&amp;": "&amp;AH412))),""))</f>
        <v/>
      </c>
    </row>
    <row r="413" ht="16" customHeight="1" s="151">
      <c r="A413" s="62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20">
        <f>IF(H413&lt;&gt;"",IFERROR(VLOOKUP(IFERROR(LEFT(H413,FIND("-",H413)-1),H413),'Catalogo MINSAL'!A:E,5,FALSE),""),IF(I413&lt;&gt;"",IFERROR(VLOOKUP(IFERROR(LEFT(I413,FIND("-",I413)-1),I413),'Catalogo MINSAL'!A:E,5,FALSE),""),""))</f>
        <v/>
      </c>
      <c r="K413" s="19" t="n"/>
      <c r="L413" s="19" t="n"/>
      <c r="M413" s="19" t="n"/>
      <c r="N413" s="19" t="n"/>
      <c r="O413" s="25" t="n"/>
      <c r="P413" s="27">
        <f>IFERROR(IF(OR(O413="",A413="",M413=""),"",IF(SUMPRODUCT(($A$4:$A$500=A413)*($M$4:$M$500=M413)*($O$4:$O$500&lt;&gt;"")*(MOD($O$4:$O$500,1)&lt;MOD(O413,1)))=0,IF(MOD(O413,1)&lt;=TIME(8,15,0),"Ingreso adecuado primera hora","Atraso primera hora"),"No aplica")),"")</f>
        <v/>
      </c>
      <c r="Q413" s="27" t="n"/>
      <c r="R413" s="25" t="n"/>
      <c r="S413" s="25" t="n"/>
      <c r="T413" s="25" t="n"/>
      <c r="U413" s="25">
        <f>IFERROR(VLOOKUP(M413,'Horario Pabellones'!$A$4:$D$17,2,FALSE),"")</f>
        <v/>
      </c>
      <c r="V413" s="25">
        <f>IFERROR(VLOOKUP(M413,'Horario Pabellones'!$A$4:$D$17,3,FALSE),"")</f>
        <v/>
      </c>
      <c r="W413" s="99">
        <f>IFERROR(VLOOKUP(M413,'Horario Pabellones'!$A$4:$D$17,4,FALSE),"")</f>
        <v/>
      </c>
      <c r="X413" s="89">
        <f>IFERROR(IF(OR(A413="",M413="",W413=""),"",(((_xludf.AGGREGATE(14,6,MOD($S$4:$S$500,1)/(($A$4:$A$500=A413)*($M$4:$M$500=M413)*($R$4:$R$500&lt;&gt;"")*($S$4:$S$500&lt;&gt;"")),1)-_xludf.AGGREGATE(15,6,MOD($R$4:$R$500,1)/(($A$4:$A$500=A413)*($M$4:$M$500=M413)*($R$4:$R$500&lt;&gt;"")*($S$4:$S$500&lt;&gt;"")),1))*1440)/60)/(W413/60)),"")</f>
        <v/>
      </c>
      <c r="Y413" s="26">
        <f>IFERROR(IF(OR(O413="",A413="",M413=""),"",(IF(ISNUMBER(O413),MOD(O413,1),TIMEVALUE(O413))-LOOKUP(2,1/(($A$4:$A$500=A413)*($M$4:$M$500=M413)*($T$4:$T$500&lt;&gt;"")*($T$4:$T$500&lt;IF(ISNUMBER(O413),MOD(O413,1),TIMEVALUE(O413)))),$T$4:$T$500))*1440),"")</f>
        <v/>
      </c>
      <c r="Z413" s="27">
        <f>IFERROR(IF(Y413="","",IF(ROUND(Y413,0)&lt;=15,"Cumple","No cumple")),"")</f>
        <v/>
      </c>
      <c r="AA413" s="27" t="n"/>
      <c r="AB413" s="26">
        <f>IFERROR(IF(OR(O413="",R413=""),"",IF(IF(ISNUMBER(R413),MOD(R413,1),TIMEVALUE(R413))&gt;=IF(ISNUMBER(O413),MOD(O413,1),TIMEVALUE(O413)),(IF(ISNUMBER(R413),MOD(R413,1),TIMEVALUE(R413))-IF(ISNUMBER(O413),MOD(O413,1),TIMEVALUE(O413)))*1440,(IF(ISNUMBER(R413),MOD(R413,1),TIMEVALUE(R413))+1-IF(ISNUMBER(O413),MOD(O413,1),TIMEVALUE(O413)))*1440)),"")</f>
        <v/>
      </c>
      <c r="AC413" s="26">
        <f>IFERROR(IF(OR(R413="",S413=""),"",IF(IF(ISNUMBER(S413),MOD(S413,1),TIMEVALUE(S413))&gt;=IF(ISNUMBER(R413),MOD(R413,1),TIMEVALUE(R413)),(IF(ISNUMBER(S413),MOD(S413,1),TIMEVALUE(S413))-IF(ISNUMBER(R413),MOD(R413,1),TIMEVALUE(R413)))*1440,(IF(ISNUMBER(S413),MOD(S413,1),TIMEVALUE(S413))+1-IF(ISNUMBER(R413),MOD(R413,1),TIMEVALUE(R413)))*1440)),"")</f>
        <v/>
      </c>
      <c r="AD413" s="29" t="n"/>
      <c r="AE413" s="26">
        <f>IFERROR(IF(OR(AC413="",AD413=""),"",AC413-AD413),"")</f>
        <v/>
      </c>
      <c r="AF413" s="27">
        <f>IFERROR(IF(AE413="","",IF(ROUND(AE413,0)&gt;15,"Subestimacion",IF(ROUND(AE413,0)&lt;-15,"Sobrestimacion","Asertivo"))),"")</f>
        <v/>
      </c>
      <c r="AG413" s="19" t="n"/>
      <c r="AH413" s="19" t="n"/>
      <c r="AI413" s="19" t="n"/>
      <c r="AJ413" s="19" t="n"/>
      <c r="AK413" s="19" t="n"/>
      <c r="AL413" s="19" t="n"/>
      <c r="AM413" s="19" t="n"/>
      <c r="AN413" s="19" t="n"/>
      <c r="AO413" s="19" t="n"/>
      <c r="AP413" s="127">
        <f>IF(A413="","",A413-WEEKDAY(A413,2)+1)</f>
        <v/>
      </c>
      <c r="AQ413" s="127">
        <f>IF(AO413="","",AO413+6)</f>
        <v/>
      </c>
      <c r="AR413" s="19">
        <f>IF(AO413="","","Semana "&amp;TEXT(AO413,"dd-mm-yyyy")&amp;" al "&amp;TEXT(AP413,"dd-mm-yyyy"))</f>
        <v/>
      </c>
      <c r="AS413" s="19">
        <f>IF(A413="","",TEXT(A413,"mmmm yyyy"))</f>
        <v/>
      </c>
      <c r="AT413" s="19">
        <f>IF(A413="","",TEXT(A413,"dddd"))</f>
        <v/>
      </c>
      <c r="AU413" s="19">
        <f>IF(A413="","","CRR-"&amp;TEXT(A413,"yyyymmdd")&amp;"-"&amp;M413&amp;"-"&amp;TEXT(ROW()-3,"0000"))</f>
        <v/>
      </c>
      <c r="AV413" s="19">
        <f>IF(A413="","",IF(OR(B413="",C413="",E413="",F413="",M413="",N413=""),"Revisar campos obligatorios",IF(AND(P413="Atraso primera hora",Q413=""),"Falta justificación atraso primera hora",IF(AND(Z413="No cumple",AA413=""),"Falta justificación recambio &gt;15 min",IF(AND(ISNUMBER(SEARCH("suspend",N413)),OR(AG413="",AH413="")),"Falta causa/motivo suspensión","OK")))))</f>
        <v/>
      </c>
      <c r="AW413" s="19">
        <f>IF(N413="","",IF(ISNUMBER(SEARCH("suspend",N413)),IF(AND(AG413="",AH413=""),"Sin causa/motivo registrado",IF(AG413="",AH413,IF(AH413="",AG413,AG413&amp;": "&amp;AH413))),""))</f>
        <v/>
      </c>
    </row>
    <row r="414" ht="16" customHeight="1" s="151">
      <c r="A414" s="62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20">
        <f>IF(H414&lt;&gt;"",IFERROR(VLOOKUP(IFERROR(LEFT(H414,FIND("-",H414)-1),H414),'Catalogo MINSAL'!A:E,5,FALSE),""),IF(I414&lt;&gt;"",IFERROR(VLOOKUP(IFERROR(LEFT(I414,FIND("-",I414)-1),I414),'Catalogo MINSAL'!A:E,5,FALSE),""),""))</f>
        <v/>
      </c>
      <c r="K414" s="19" t="n"/>
      <c r="L414" s="19" t="n"/>
      <c r="M414" s="19" t="n"/>
      <c r="N414" s="19" t="n"/>
      <c r="O414" s="25" t="n"/>
      <c r="P414" s="27">
        <f>IFERROR(IF(OR(O414="",A414="",M414=""),"",IF(SUMPRODUCT(($A$4:$A$500=A414)*($M$4:$M$500=M414)*($O$4:$O$500&lt;&gt;"")*(MOD($O$4:$O$500,1)&lt;MOD(O414,1)))=0,IF(MOD(O414,1)&lt;=TIME(8,15,0),"Ingreso adecuado primera hora","Atraso primera hora"),"No aplica")),"")</f>
        <v/>
      </c>
      <c r="Q414" s="27" t="n"/>
      <c r="R414" s="25" t="n"/>
      <c r="S414" s="25" t="n"/>
      <c r="T414" s="25" t="n"/>
      <c r="U414" s="25">
        <f>IFERROR(VLOOKUP(M414,'Horario Pabellones'!$A$4:$D$17,2,FALSE),"")</f>
        <v/>
      </c>
      <c r="V414" s="25">
        <f>IFERROR(VLOOKUP(M414,'Horario Pabellones'!$A$4:$D$17,3,FALSE),"")</f>
        <v/>
      </c>
      <c r="W414" s="99">
        <f>IFERROR(VLOOKUP(M414,'Horario Pabellones'!$A$4:$D$17,4,FALSE),"")</f>
        <v/>
      </c>
      <c r="X414" s="89">
        <f>IFERROR(IF(OR(A414="",M414="",W414=""),"",(((_xludf.AGGREGATE(14,6,MOD($S$4:$S$500,1)/(($A$4:$A$500=A414)*($M$4:$M$500=M414)*($R$4:$R$500&lt;&gt;"")*($S$4:$S$500&lt;&gt;"")),1)-_xludf.AGGREGATE(15,6,MOD($R$4:$R$500,1)/(($A$4:$A$500=A414)*($M$4:$M$500=M414)*($R$4:$R$500&lt;&gt;"")*($S$4:$S$500&lt;&gt;"")),1))*1440)/60)/(W414/60)),"")</f>
        <v/>
      </c>
      <c r="Y414" s="26">
        <f>IFERROR(IF(OR(O414="",A414="",M414=""),"",(IF(ISNUMBER(O414),MOD(O414,1),TIMEVALUE(O414))-LOOKUP(2,1/(($A$4:$A$500=A414)*($M$4:$M$500=M414)*($T$4:$T$500&lt;&gt;"")*($T$4:$T$500&lt;IF(ISNUMBER(O414),MOD(O414,1),TIMEVALUE(O414)))),$T$4:$T$500))*1440),"")</f>
        <v/>
      </c>
      <c r="Z414" s="27">
        <f>IFERROR(IF(Y414="","",IF(ROUND(Y414,0)&lt;=15,"Cumple","No cumple")),"")</f>
        <v/>
      </c>
      <c r="AA414" s="27" t="n"/>
      <c r="AB414" s="26">
        <f>IFERROR(IF(OR(O414="",R414=""),"",IF(IF(ISNUMBER(R414),MOD(R414,1),TIMEVALUE(R414))&gt;=IF(ISNUMBER(O414),MOD(O414,1),TIMEVALUE(O414)),(IF(ISNUMBER(R414),MOD(R414,1),TIMEVALUE(R414))-IF(ISNUMBER(O414),MOD(O414,1),TIMEVALUE(O414)))*1440,(IF(ISNUMBER(R414),MOD(R414,1),TIMEVALUE(R414))+1-IF(ISNUMBER(O414),MOD(O414,1),TIMEVALUE(O414)))*1440)),"")</f>
        <v/>
      </c>
      <c r="AC414" s="26">
        <f>IFERROR(IF(OR(R414="",S414=""),"",IF(IF(ISNUMBER(S414),MOD(S414,1),TIMEVALUE(S414))&gt;=IF(ISNUMBER(R414),MOD(R414,1),TIMEVALUE(R414)),(IF(ISNUMBER(S414),MOD(S414,1),TIMEVALUE(S414))-IF(ISNUMBER(R414),MOD(R414,1),TIMEVALUE(R414)))*1440,(IF(ISNUMBER(S414),MOD(S414,1),TIMEVALUE(S414))+1-IF(ISNUMBER(R414),MOD(R414,1),TIMEVALUE(R414)))*1440)),"")</f>
        <v/>
      </c>
      <c r="AD414" s="29" t="n"/>
      <c r="AE414" s="26">
        <f>IFERROR(IF(OR(AC414="",AD414=""),"",AC414-AD414),"")</f>
        <v/>
      </c>
      <c r="AF414" s="27">
        <f>IFERROR(IF(AE414="","",IF(ROUND(AE414,0)&gt;15,"Subestimacion",IF(ROUND(AE414,0)&lt;-15,"Sobrestimacion","Asertivo"))),"")</f>
        <v/>
      </c>
      <c r="AG414" s="19" t="n"/>
      <c r="AH414" s="19" t="n"/>
      <c r="AI414" s="19" t="n"/>
      <c r="AJ414" s="19" t="n"/>
      <c r="AK414" s="19" t="n"/>
      <c r="AL414" s="19" t="n"/>
      <c r="AM414" s="19" t="n"/>
      <c r="AN414" s="19" t="n"/>
      <c r="AO414" s="19" t="n"/>
      <c r="AP414" s="127">
        <f>IF(A414="","",A414-WEEKDAY(A414,2)+1)</f>
        <v/>
      </c>
      <c r="AQ414" s="127">
        <f>IF(AO414="","",AO414+6)</f>
        <v/>
      </c>
      <c r="AR414" s="19">
        <f>IF(AO414="","","Semana "&amp;TEXT(AO414,"dd-mm-yyyy")&amp;" al "&amp;TEXT(AP414,"dd-mm-yyyy"))</f>
        <v/>
      </c>
      <c r="AS414" s="19">
        <f>IF(A414="","",TEXT(A414,"mmmm yyyy"))</f>
        <v/>
      </c>
      <c r="AT414" s="19">
        <f>IF(A414="","",TEXT(A414,"dddd"))</f>
        <v/>
      </c>
      <c r="AU414" s="19">
        <f>IF(A414="","","CRR-"&amp;TEXT(A414,"yyyymmdd")&amp;"-"&amp;M414&amp;"-"&amp;TEXT(ROW()-3,"0000"))</f>
        <v/>
      </c>
      <c r="AV414" s="19">
        <f>IF(A414="","",IF(OR(B414="",C414="",E414="",F414="",M414="",N414=""),"Revisar campos obligatorios",IF(AND(P414="Atraso primera hora",Q414=""),"Falta justificación atraso primera hora",IF(AND(Z414="No cumple",AA414=""),"Falta justificación recambio &gt;15 min",IF(AND(ISNUMBER(SEARCH("suspend",N414)),OR(AG414="",AH414="")),"Falta causa/motivo suspensión","OK")))))</f>
        <v/>
      </c>
      <c r="AW414" s="19">
        <f>IF(N414="","",IF(ISNUMBER(SEARCH("suspend",N414)),IF(AND(AG414="",AH414=""),"Sin causa/motivo registrado",IF(AG414="",AH414,IF(AH414="",AG414,AG414&amp;": "&amp;AH414))),""))</f>
        <v/>
      </c>
    </row>
    <row r="415" ht="16" customHeight="1" s="151">
      <c r="A415" s="62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20">
        <f>IF(H415&lt;&gt;"",IFERROR(VLOOKUP(IFERROR(LEFT(H415,FIND("-",H415)-1),H415),'Catalogo MINSAL'!A:E,5,FALSE),""),IF(I415&lt;&gt;"",IFERROR(VLOOKUP(IFERROR(LEFT(I415,FIND("-",I415)-1),I415),'Catalogo MINSAL'!A:E,5,FALSE),""),""))</f>
        <v/>
      </c>
      <c r="K415" s="19" t="n"/>
      <c r="L415" s="19" t="n"/>
      <c r="M415" s="19" t="n"/>
      <c r="N415" s="19" t="n"/>
      <c r="O415" s="25" t="n"/>
      <c r="P415" s="27">
        <f>IFERROR(IF(OR(O415="",A415="",M415=""),"",IF(SUMPRODUCT(($A$4:$A$500=A415)*($M$4:$M$500=M415)*($O$4:$O$500&lt;&gt;"")*(MOD($O$4:$O$500,1)&lt;MOD(O415,1)))=0,IF(MOD(O415,1)&lt;=TIME(8,15,0),"Ingreso adecuado primera hora","Atraso primera hora"),"No aplica")),"")</f>
        <v/>
      </c>
      <c r="Q415" s="27" t="n"/>
      <c r="R415" s="25" t="n"/>
      <c r="S415" s="25" t="n"/>
      <c r="T415" s="25" t="n"/>
      <c r="U415" s="25">
        <f>IFERROR(VLOOKUP(M415,'Horario Pabellones'!$A$4:$D$17,2,FALSE),"")</f>
        <v/>
      </c>
      <c r="V415" s="25">
        <f>IFERROR(VLOOKUP(M415,'Horario Pabellones'!$A$4:$D$17,3,FALSE),"")</f>
        <v/>
      </c>
      <c r="W415" s="99">
        <f>IFERROR(VLOOKUP(M415,'Horario Pabellones'!$A$4:$D$17,4,FALSE),"")</f>
        <v/>
      </c>
      <c r="X415" s="89">
        <f>IFERROR(IF(OR(A415="",M415="",W415=""),"",(((_xludf.AGGREGATE(14,6,MOD($S$4:$S$500,1)/(($A$4:$A$500=A415)*($M$4:$M$500=M415)*($R$4:$R$500&lt;&gt;"")*($S$4:$S$500&lt;&gt;"")),1)-_xludf.AGGREGATE(15,6,MOD($R$4:$R$500,1)/(($A$4:$A$500=A415)*($M$4:$M$500=M415)*($R$4:$R$500&lt;&gt;"")*($S$4:$S$500&lt;&gt;"")),1))*1440)/60)/(W415/60)),"")</f>
        <v/>
      </c>
      <c r="Y415" s="26">
        <f>IFERROR(IF(OR(O415="",A415="",M415=""),"",(IF(ISNUMBER(O415),MOD(O415,1),TIMEVALUE(O415))-LOOKUP(2,1/(($A$4:$A$500=A415)*($M$4:$M$500=M415)*($T$4:$T$500&lt;&gt;"")*($T$4:$T$500&lt;IF(ISNUMBER(O415),MOD(O415,1),TIMEVALUE(O415)))),$T$4:$T$500))*1440),"")</f>
        <v/>
      </c>
      <c r="Z415" s="27">
        <f>IFERROR(IF(Y415="","",IF(ROUND(Y415,0)&lt;=15,"Cumple","No cumple")),"")</f>
        <v/>
      </c>
      <c r="AA415" s="27" t="n"/>
      <c r="AB415" s="26">
        <f>IFERROR(IF(OR(O415="",R415=""),"",IF(IF(ISNUMBER(R415),MOD(R415,1),TIMEVALUE(R415))&gt;=IF(ISNUMBER(O415),MOD(O415,1),TIMEVALUE(O415)),(IF(ISNUMBER(R415),MOD(R415,1),TIMEVALUE(R415))-IF(ISNUMBER(O415),MOD(O415,1),TIMEVALUE(O415)))*1440,(IF(ISNUMBER(R415),MOD(R415,1),TIMEVALUE(R415))+1-IF(ISNUMBER(O415),MOD(O415,1),TIMEVALUE(O415)))*1440)),"")</f>
        <v/>
      </c>
      <c r="AC415" s="26">
        <f>IFERROR(IF(OR(R415="",S415=""),"",IF(IF(ISNUMBER(S415),MOD(S415,1),TIMEVALUE(S415))&gt;=IF(ISNUMBER(R415),MOD(R415,1),TIMEVALUE(R415)),(IF(ISNUMBER(S415),MOD(S415,1),TIMEVALUE(S415))-IF(ISNUMBER(R415),MOD(R415,1),TIMEVALUE(R415)))*1440,(IF(ISNUMBER(S415),MOD(S415,1),TIMEVALUE(S415))+1-IF(ISNUMBER(R415),MOD(R415,1),TIMEVALUE(R415)))*1440)),"")</f>
        <v/>
      </c>
      <c r="AD415" s="29" t="n"/>
      <c r="AE415" s="26">
        <f>IFERROR(IF(OR(AC415="",AD415=""),"",AC415-AD415),"")</f>
        <v/>
      </c>
      <c r="AF415" s="27">
        <f>IFERROR(IF(AE415="","",IF(ROUND(AE415,0)&gt;15,"Subestimacion",IF(ROUND(AE415,0)&lt;-15,"Sobrestimacion","Asertivo"))),"")</f>
        <v/>
      </c>
      <c r="AG415" s="19" t="n"/>
      <c r="AH415" s="19" t="n"/>
      <c r="AI415" s="19" t="n"/>
      <c r="AJ415" s="19" t="n"/>
      <c r="AK415" s="19" t="n"/>
      <c r="AL415" s="19" t="n"/>
      <c r="AM415" s="19" t="n"/>
      <c r="AN415" s="19" t="n"/>
      <c r="AO415" s="19" t="n"/>
      <c r="AP415" s="127">
        <f>IF(A415="","",A415-WEEKDAY(A415,2)+1)</f>
        <v/>
      </c>
      <c r="AQ415" s="127">
        <f>IF(AO415="","",AO415+6)</f>
        <v/>
      </c>
      <c r="AR415" s="19">
        <f>IF(AO415="","","Semana "&amp;TEXT(AO415,"dd-mm-yyyy")&amp;" al "&amp;TEXT(AP415,"dd-mm-yyyy"))</f>
        <v/>
      </c>
      <c r="AS415" s="19">
        <f>IF(A415="","",TEXT(A415,"mmmm yyyy"))</f>
        <v/>
      </c>
      <c r="AT415" s="19">
        <f>IF(A415="","",TEXT(A415,"dddd"))</f>
        <v/>
      </c>
      <c r="AU415" s="19">
        <f>IF(A415="","","CRR-"&amp;TEXT(A415,"yyyymmdd")&amp;"-"&amp;M415&amp;"-"&amp;TEXT(ROW()-3,"0000"))</f>
        <v/>
      </c>
      <c r="AV415" s="19">
        <f>IF(A415="","",IF(OR(B415="",C415="",E415="",F415="",M415="",N415=""),"Revisar campos obligatorios",IF(AND(P415="Atraso primera hora",Q415=""),"Falta justificación atraso primera hora",IF(AND(Z415="No cumple",AA415=""),"Falta justificación recambio &gt;15 min",IF(AND(ISNUMBER(SEARCH("suspend",N415)),OR(AG415="",AH415="")),"Falta causa/motivo suspensión","OK")))))</f>
        <v/>
      </c>
      <c r="AW415" s="19">
        <f>IF(N415="","",IF(ISNUMBER(SEARCH("suspend",N415)),IF(AND(AG415="",AH415=""),"Sin causa/motivo registrado",IF(AG415="",AH415,IF(AH415="",AG415,AG415&amp;": "&amp;AH415))),""))</f>
        <v/>
      </c>
    </row>
    <row r="416" ht="16" customHeight="1" s="151">
      <c r="A416" s="62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20">
        <f>IF(H416&lt;&gt;"",IFERROR(VLOOKUP(IFERROR(LEFT(H416,FIND("-",H416)-1),H416),'Catalogo MINSAL'!A:E,5,FALSE),""),IF(I416&lt;&gt;"",IFERROR(VLOOKUP(IFERROR(LEFT(I416,FIND("-",I416)-1),I416),'Catalogo MINSAL'!A:E,5,FALSE),""),""))</f>
        <v/>
      </c>
      <c r="K416" s="19" t="n"/>
      <c r="L416" s="19" t="n"/>
      <c r="M416" s="19" t="n"/>
      <c r="N416" s="19" t="n"/>
      <c r="O416" s="25" t="n"/>
      <c r="P416" s="27">
        <f>IFERROR(IF(OR(O416="",A416="",M416=""),"",IF(SUMPRODUCT(($A$4:$A$500=A416)*($M$4:$M$500=M416)*($O$4:$O$500&lt;&gt;"")*(MOD($O$4:$O$500,1)&lt;MOD(O416,1)))=0,IF(MOD(O416,1)&lt;=TIME(8,15,0),"Ingreso adecuado primera hora","Atraso primera hora"),"No aplica")),"")</f>
        <v/>
      </c>
      <c r="Q416" s="27" t="n"/>
      <c r="R416" s="25" t="n"/>
      <c r="S416" s="25" t="n"/>
      <c r="T416" s="25" t="n"/>
      <c r="U416" s="25">
        <f>IFERROR(VLOOKUP(M416,'Horario Pabellones'!$A$4:$D$17,2,FALSE),"")</f>
        <v/>
      </c>
      <c r="V416" s="25">
        <f>IFERROR(VLOOKUP(M416,'Horario Pabellones'!$A$4:$D$17,3,FALSE),"")</f>
        <v/>
      </c>
      <c r="W416" s="99">
        <f>IFERROR(VLOOKUP(M416,'Horario Pabellones'!$A$4:$D$17,4,FALSE),"")</f>
        <v/>
      </c>
      <c r="X416" s="89">
        <f>IFERROR(IF(OR(A416="",M416="",W416=""),"",(((_xludf.AGGREGATE(14,6,MOD($S$4:$S$500,1)/(($A$4:$A$500=A416)*($M$4:$M$500=M416)*($R$4:$R$500&lt;&gt;"")*($S$4:$S$500&lt;&gt;"")),1)-_xludf.AGGREGATE(15,6,MOD($R$4:$R$500,1)/(($A$4:$A$500=A416)*($M$4:$M$500=M416)*($R$4:$R$500&lt;&gt;"")*($S$4:$S$500&lt;&gt;"")),1))*1440)/60)/(W416/60)),"")</f>
        <v/>
      </c>
      <c r="Y416" s="26">
        <f>IFERROR(IF(OR(O416="",A416="",M416=""),"",(IF(ISNUMBER(O416),MOD(O416,1),TIMEVALUE(O416))-LOOKUP(2,1/(($A$4:$A$500=A416)*($M$4:$M$500=M416)*($T$4:$T$500&lt;&gt;"")*($T$4:$T$500&lt;IF(ISNUMBER(O416),MOD(O416,1),TIMEVALUE(O416)))),$T$4:$T$500))*1440),"")</f>
        <v/>
      </c>
      <c r="Z416" s="27">
        <f>IFERROR(IF(Y416="","",IF(ROUND(Y416,0)&lt;=15,"Cumple","No cumple")),"")</f>
        <v/>
      </c>
      <c r="AA416" s="27" t="n"/>
      <c r="AB416" s="26">
        <f>IFERROR(IF(OR(O416="",R416=""),"",IF(IF(ISNUMBER(R416),MOD(R416,1),TIMEVALUE(R416))&gt;=IF(ISNUMBER(O416),MOD(O416,1),TIMEVALUE(O416)),(IF(ISNUMBER(R416),MOD(R416,1),TIMEVALUE(R416))-IF(ISNUMBER(O416),MOD(O416,1),TIMEVALUE(O416)))*1440,(IF(ISNUMBER(R416),MOD(R416,1),TIMEVALUE(R416))+1-IF(ISNUMBER(O416),MOD(O416,1),TIMEVALUE(O416)))*1440)),"")</f>
        <v/>
      </c>
      <c r="AC416" s="26">
        <f>IFERROR(IF(OR(R416="",S416=""),"",IF(IF(ISNUMBER(S416),MOD(S416,1),TIMEVALUE(S416))&gt;=IF(ISNUMBER(R416),MOD(R416,1),TIMEVALUE(R416)),(IF(ISNUMBER(S416),MOD(S416,1),TIMEVALUE(S416))-IF(ISNUMBER(R416),MOD(R416,1),TIMEVALUE(R416)))*1440,(IF(ISNUMBER(S416),MOD(S416,1),TIMEVALUE(S416))+1-IF(ISNUMBER(R416),MOD(R416,1),TIMEVALUE(R416)))*1440)),"")</f>
        <v/>
      </c>
      <c r="AD416" s="29" t="n"/>
      <c r="AE416" s="26">
        <f>IFERROR(IF(OR(AC416="",AD416=""),"",AC416-AD416),"")</f>
        <v/>
      </c>
      <c r="AF416" s="27">
        <f>IFERROR(IF(AE416="","",IF(ROUND(AE416,0)&gt;15,"Subestimacion",IF(ROUND(AE416,0)&lt;-15,"Sobrestimacion","Asertivo"))),"")</f>
        <v/>
      </c>
      <c r="AG416" s="19" t="n"/>
      <c r="AH416" s="19" t="n"/>
      <c r="AI416" s="19" t="n"/>
      <c r="AJ416" s="19" t="n"/>
      <c r="AK416" s="19" t="n"/>
      <c r="AL416" s="19" t="n"/>
      <c r="AM416" s="19" t="n"/>
      <c r="AN416" s="19" t="n"/>
      <c r="AO416" s="19" t="n"/>
      <c r="AP416" s="127">
        <f>IF(A416="","",A416-WEEKDAY(A416,2)+1)</f>
        <v/>
      </c>
      <c r="AQ416" s="127">
        <f>IF(AO416="","",AO416+6)</f>
        <v/>
      </c>
      <c r="AR416" s="19">
        <f>IF(AO416="","","Semana "&amp;TEXT(AO416,"dd-mm-yyyy")&amp;" al "&amp;TEXT(AP416,"dd-mm-yyyy"))</f>
        <v/>
      </c>
      <c r="AS416" s="19">
        <f>IF(A416="","",TEXT(A416,"mmmm yyyy"))</f>
        <v/>
      </c>
      <c r="AT416" s="19">
        <f>IF(A416="","",TEXT(A416,"dddd"))</f>
        <v/>
      </c>
      <c r="AU416" s="19">
        <f>IF(A416="","","CRR-"&amp;TEXT(A416,"yyyymmdd")&amp;"-"&amp;M416&amp;"-"&amp;TEXT(ROW()-3,"0000"))</f>
        <v/>
      </c>
      <c r="AV416" s="19">
        <f>IF(A416="","",IF(OR(B416="",C416="",E416="",F416="",M416="",N416=""),"Revisar campos obligatorios",IF(AND(P416="Atraso primera hora",Q416=""),"Falta justificación atraso primera hora",IF(AND(Z416="No cumple",AA416=""),"Falta justificación recambio &gt;15 min",IF(AND(ISNUMBER(SEARCH("suspend",N416)),OR(AG416="",AH416="")),"Falta causa/motivo suspensión","OK")))))</f>
        <v/>
      </c>
      <c r="AW416" s="19">
        <f>IF(N416="","",IF(ISNUMBER(SEARCH("suspend",N416)),IF(AND(AG416="",AH416=""),"Sin causa/motivo registrado",IF(AG416="",AH416,IF(AH416="",AG416,AG416&amp;": "&amp;AH416))),""))</f>
        <v/>
      </c>
    </row>
    <row r="417" ht="16" customHeight="1" s="151">
      <c r="A417" s="62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20">
        <f>IF(H417&lt;&gt;"",IFERROR(VLOOKUP(IFERROR(LEFT(H417,FIND("-",H417)-1),H417),'Catalogo MINSAL'!A:E,5,FALSE),""),IF(I417&lt;&gt;"",IFERROR(VLOOKUP(IFERROR(LEFT(I417,FIND("-",I417)-1),I417),'Catalogo MINSAL'!A:E,5,FALSE),""),""))</f>
        <v/>
      </c>
      <c r="K417" s="19" t="n"/>
      <c r="L417" s="19" t="n"/>
      <c r="M417" s="19" t="n"/>
      <c r="N417" s="19" t="n"/>
      <c r="O417" s="25" t="n"/>
      <c r="P417" s="27">
        <f>IFERROR(IF(OR(O417="",A417="",M417=""),"",IF(SUMPRODUCT(($A$4:$A$500=A417)*($M$4:$M$500=M417)*($O$4:$O$500&lt;&gt;"")*(MOD($O$4:$O$500,1)&lt;MOD(O417,1)))=0,IF(MOD(O417,1)&lt;=TIME(8,15,0),"Ingreso adecuado primera hora","Atraso primera hora"),"No aplica")),"")</f>
        <v/>
      </c>
      <c r="Q417" s="27" t="n"/>
      <c r="R417" s="25" t="n"/>
      <c r="S417" s="25" t="n"/>
      <c r="T417" s="25" t="n"/>
      <c r="U417" s="25">
        <f>IFERROR(VLOOKUP(M417,'Horario Pabellones'!$A$4:$D$17,2,FALSE),"")</f>
        <v/>
      </c>
      <c r="V417" s="25">
        <f>IFERROR(VLOOKUP(M417,'Horario Pabellones'!$A$4:$D$17,3,FALSE),"")</f>
        <v/>
      </c>
      <c r="W417" s="99">
        <f>IFERROR(VLOOKUP(M417,'Horario Pabellones'!$A$4:$D$17,4,FALSE),"")</f>
        <v/>
      </c>
      <c r="X417" s="89">
        <f>IFERROR(IF(OR(A417="",M417="",W417=""),"",(((_xludf.AGGREGATE(14,6,MOD($S$4:$S$500,1)/(($A$4:$A$500=A417)*($M$4:$M$500=M417)*($R$4:$R$500&lt;&gt;"")*($S$4:$S$500&lt;&gt;"")),1)-_xludf.AGGREGATE(15,6,MOD($R$4:$R$500,1)/(($A$4:$A$500=A417)*($M$4:$M$500=M417)*($R$4:$R$500&lt;&gt;"")*($S$4:$S$500&lt;&gt;"")),1))*1440)/60)/(W417/60)),"")</f>
        <v/>
      </c>
      <c r="Y417" s="26">
        <f>IFERROR(IF(OR(O417="",A417="",M417=""),"",(IF(ISNUMBER(O417),MOD(O417,1),TIMEVALUE(O417))-LOOKUP(2,1/(($A$4:$A$500=A417)*($M$4:$M$500=M417)*($T$4:$T$500&lt;&gt;"")*($T$4:$T$500&lt;IF(ISNUMBER(O417),MOD(O417,1),TIMEVALUE(O417)))),$T$4:$T$500))*1440),"")</f>
        <v/>
      </c>
      <c r="Z417" s="27">
        <f>IFERROR(IF(Y417="","",IF(ROUND(Y417,0)&lt;=15,"Cumple","No cumple")),"")</f>
        <v/>
      </c>
      <c r="AA417" s="27" t="n"/>
      <c r="AB417" s="26">
        <f>IFERROR(IF(OR(O417="",R417=""),"",IF(IF(ISNUMBER(R417),MOD(R417,1),TIMEVALUE(R417))&gt;=IF(ISNUMBER(O417),MOD(O417,1),TIMEVALUE(O417)),(IF(ISNUMBER(R417),MOD(R417,1),TIMEVALUE(R417))-IF(ISNUMBER(O417),MOD(O417,1),TIMEVALUE(O417)))*1440,(IF(ISNUMBER(R417),MOD(R417,1),TIMEVALUE(R417))+1-IF(ISNUMBER(O417),MOD(O417,1),TIMEVALUE(O417)))*1440)),"")</f>
        <v/>
      </c>
      <c r="AC417" s="26">
        <f>IFERROR(IF(OR(R417="",S417=""),"",IF(IF(ISNUMBER(S417),MOD(S417,1),TIMEVALUE(S417))&gt;=IF(ISNUMBER(R417),MOD(R417,1),TIMEVALUE(R417)),(IF(ISNUMBER(S417),MOD(S417,1),TIMEVALUE(S417))-IF(ISNUMBER(R417),MOD(R417,1),TIMEVALUE(R417)))*1440,(IF(ISNUMBER(S417),MOD(S417,1),TIMEVALUE(S417))+1-IF(ISNUMBER(R417),MOD(R417,1),TIMEVALUE(R417)))*1440)),"")</f>
        <v/>
      </c>
      <c r="AD417" s="29" t="n"/>
      <c r="AE417" s="26">
        <f>IFERROR(IF(OR(AC417="",AD417=""),"",AC417-AD417),"")</f>
        <v/>
      </c>
      <c r="AF417" s="27">
        <f>IFERROR(IF(AE417="","",IF(ROUND(AE417,0)&gt;15,"Subestimacion",IF(ROUND(AE417,0)&lt;-15,"Sobrestimacion","Asertivo"))),"")</f>
        <v/>
      </c>
      <c r="AG417" s="19" t="n"/>
      <c r="AH417" s="19" t="n"/>
      <c r="AI417" s="19" t="n"/>
      <c r="AJ417" s="19" t="n"/>
      <c r="AK417" s="19" t="n"/>
      <c r="AL417" s="19" t="n"/>
      <c r="AM417" s="19" t="n"/>
      <c r="AN417" s="19" t="n"/>
      <c r="AO417" s="19" t="n"/>
      <c r="AP417" s="127">
        <f>IF(A417="","",A417-WEEKDAY(A417,2)+1)</f>
        <v/>
      </c>
      <c r="AQ417" s="127">
        <f>IF(AO417="","",AO417+6)</f>
        <v/>
      </c>
      <c r="AR417" s="19">
        <f>IF(AO417="","","Semana "&amp;TEXT(AO417,"dd-mm-yyyy")&amp;" al "&amp;TEXT(AP417,"dd-mm-yyyy"))</f>
        <v/>
      </c>
      <c r="AS417" s="19">
        <f>IF(A417="","",TEXT(A417,"mmmm yyyy"))</f>
        <v/>
      </c>
      <c r="AT417" s="19">
        <f>IF(A417="","",TEXT(A417,"dddd"))</f>
        <v/>
      </c>
      <c r="AU417" s="19">
        <f>IF(A417="","","CRR-"&amp;TEXT(A417,"yyyymmdd")&amp;"-"&amp;M417&amp;"-"&amp;TEXT(ROW()-3,"0000"))</f>
        <v/>
      </c>
      <c r="AV417" s="19">
        <f>IF(A417="","",IF(OR(B417="",C417="",E417="",F417="",M417="",N417=""),"Revisar campos obligatorios",IF(AND(P417="Atraso primera hora",Q417=""),"Falta justificación atraso primera hora",IF(AND(Z417="No cumple",AA417=""),"Falta justificación recambio &gt;15 min",IF(AND(ISNUMBER(SEARCH("suspend",N417)),OR(AG417="",AH417="")),"Falta causa/motivo suspensión","OK")))))</f>
        <v/>
      </c>
      <c r="AW417" s="19">
        <f>IF(N417="","",IF(ISNUMBER(SEARCH("suspend",N417)),IF(AND(AG417="",AH417=""),"Sin causa/motivo registrado",IF(AG417="",AH417,IF(AH417="",AG417,AG417&amp;": "&amp;AH417))),""))</f>
        <v/>
      </c>
    </row>
    <row r="418" ht="16" customHeight="1" s="151">
      <c r="A418" s="62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20">
        <f>IF(H418&lt;&gt;"",IFERROR(VLOOKUP(IFERROR(LEFT(H418,FIND("-",H418)-1),H418),'Catalogo MINSAL'!A:E,5,FALSE),""),IF(I418&lt;&gt;"",IFERROR(VLOOKUP(IFERROR(LEFT(I418,FIND("-",I418)-1),I418),'Catalogo MINSAL'!A:E,5,FALSE),""),""))</f>
        <v/>
      </c>
      <c r="K418" s="19" t="n"/>
      <c r="L418" s="19" t="n"/>
      <c r="M418" s="19" t="n"/>
      <c r="N418" s="19" t="n"/>
      <c r="O418" s="25" t="n"/>
      <c r="P418" s="27">
        <f>IFERROR(IF(OR(O418="",A418="",M418=""),"",IF(SUMPRODUCT(($A$4:$A$500=A418)*($M$4:$M$500=M418)*($O$4:$O$500&lt;&gt;"")*(MOD($O$4:$O$500,1)&lt;MOD(O418,1)))=0,IF(MOD(O418,1)&lt;=TIME(8,15,0),"Ingreso adecuado primera hora","Atraso primera hora"),"No aplica")),"")</f>
        <v/>
      </c>
      <c r="Q418" s="27" t="n"/>
      <c r="R418" s="25" t="n"/>
      <c r="S418" s="25" t="n"/>
      <c r="T418" s="25" t="n"/>
      <c r="U418" s="25">
        <f>IFERROR(VLOOKUP(M418,'Horario Pabellones'!$A$4:$D$17,2,FALSE),"")</f>
        <v/>
      </c>
      <c r="V418" s="25">
        <f>IFERROR(VLOOKUP(M418,'Horario Pabellones'!$A$4:$D$17,3,FALSE),"")</f>
        <v/>
      </c>
      <c r="W418" s="99">
        <f>IFERROR(VLOOKUP(M418,'Horario Pabellones'!$A$4:$D$17,4,FALSE),"")</f>
        <v/>
      </c>
      <c r="X418" s="89">
        <f>IFERROR(IF(OR(A418="",M418="",W418=""),"",(((_xludf.AGGREGATE(14,6,MOD($S$4:$S$500,1)/(($A$4:$A$500=A418)*($M$4:$M$500=M418)*($R$4:$R$500&lt;&gt;"")*($S$4:$S$500&lt;&gt;"")),1)-_xludf.AGGREGATE(15,6,MOD($R$4:$R$500,1)/(($A$4:$A$500=A418)*($M$4:$M$500=M418)*($R$4:$R$500&lt;&gt;"")*($S$4:$S$500&lt;&gt;"")),1))*1440)/60)/(W418/60)),"")</f>
        <v/>
      </c>
      <c r="Y418" s="26">
        <f>IFERROR(IF(OR(O418="",A418="",M418=""),"",(IF(ISNUMBER(O418),MOD(O418,1),TIMEVALUE(O418))-LOOKUP(2,1/(($A$4:$A$500=A418)*($M$4:$M$500=M418)*($T$4:$T$500&lt;&gt;"")*($T$4:$T$500&lt;IF(ISNUMBER(O418),MOD(O418,1),TIMEVALUE(O418)))),$T$4:$T$500))*1440),"")</f>
        <v/>
      </c>
      <c r="Z418" s="27">
        <f>IFERROR(IF(Y418="","",IF(ROUND(Y418,0)&lt;=15,"Cumple","No cumple")),"")</f>
        <v/>
      </c>
      <c r="AA418" s="27" t="n"/>
      <c r="AB418" s="26">
        <f>IFERROR(IF(OR(O418="",R418=""),"",IF(IF(ISNUMBER(R418),MOD(R418,1),TIMEVALUE(R418))&gt;=IF(ISNUMBER(O418),MOD(O418,1),TIMEVALUE(O418)),(IF(ISNUMBER(R418),MOD(R418,1),TIMEVALUE(R418))-IF(ISNUMBER(O418),MOD(O418,1),TIMEVALUE(O418)))*1440,(IF(ISNUMBER(R418),MOD(R418,1),TIMEVALUE(R418))+1-IF(ISNUMBER(O418),MOD(O418,1),TIMEVALUE(O418)))*1440)),"")</f>
        <v/>
      </c>
      <c r="AC418" s="26">
        <f>IFERROR(IF(OR(R418="",S418=""),"",IF(IF(ISNUMBER(S418),MOD(S418,1),TIMEVALUE(S418))&gt;=IF(ISNUMBER(R418),MOD(R418,1),TIMEVALUE(R418)),(IF(ISNUMBER(S418),MOD(S418,1),TIMEVALUE(S418))-IF(ISNUMBER(R418),MOD(R418,1),TIMEVALUE(R418)))*1440,(IF(ISNUMBER(S418),MOD(S418,1),TIMEVALUE(S418))+1-IF(ISNUMBER(R418),MOD(R418,1),TIMEVALUE(R418)))*1440)),"")</f>
        <v/>
      </c>
      <c r="AD418" s="29" t="n"/>
      <c r="AE418" s="26">
        <f>IFERROR(IF(OR(AC418="",AD418=""),"",AC418-AD418),"")</f>
        <v/>
      </c>
      <c r="AF418" s="27">
        <f>IFERROR(IF(AE418="","",IF(ROUND(AE418,0)&gt;15,"Subestimacion",IF(ROUND(AE418,0)&lt;-15,"Sobrestimacion","Asertivo"))),"")</f>
        <v/>
      </c>
      <c r="AG418" s="19" t="n"/>
      <c r="AH418" s="19" t="n"/>
      <c r="AI418" s="19" t="n"/>
      <c r="AJ418" s="19" t="n"/>
      <c r="AK418" s="19" t="n"/>
      <c r="AL418" s="19" t="n"/>
      <c r="AM418" s="19" t="n"/>
      <c r="AN418" s="19" t="n"/>
      <c r="AO418" s="19" t="n"/>
      <c r="AP418" s="127">
        <f>IF(A418="","",A418-WEEKDAY(A418,2)+1)</f>
        <v/>
      </c>
      <c r="AQ418" s="127">
        <f>IF(AO418="","",AO418+6)</f>
        <v/>
      </c>
      <c r="AR418" s="19">
        <f>IF(AO418="","","Semana "&amp;TEXT(AO418,"dd-mm-yyyy")&amp;" al "&amp;TEXT(AP418,"dd-mm-yyyy"))</f>
        <v/>
      </c>
      <c r="AS418" s="19">
        <f>IF(A418="","",TEXT(A418,"mmmm yyyy"))</f>
        <v/>
      </c>
      <c r="AT418" s="19">
        <f>IF(A418="","",TEXT(A418,"dddd"))</f>
        <v/>
      </c>
      <c r="AU418" s="19">
        <f>IF(A418="","","CRR-"&amp;TEXT(A418,"yyyymmdd")&amp;"-"&amp;M418&amp;"-"&amp;TEXT(ROW()-3,"0000"))</f>
        <v/>
      </c>
      <c r="AV418" s="19">
        <f>IF(A418="","",IF(OR(B418="",C418="",E418="",F418="",M418="",N418=""),"Revisar campos obligatorios",IF(AND(P418="Atraso primera hora",Q418=""),"Falta justificación atraso primera hora",IF(AND(Z418="No cumple",AA418=""),"Falta justificación recambio &gt;15 min",IF(AND(ISNUMBER(SEARCH("suspend",N418)),OR(AG418="",AH418="")),"Falta causa/motivo suspensión","OK")))))</f>
        <v/>
      </c>
      <c r="AW418" s="19">
        <f>IF(N418="","",IF(ISNUMBER(SEARCH("suspend",N418)),IF(AND(AG418="",AH418=""),"Sin causa/motivo registrado",IF(AG418="",AH418,IF(AH418="",AG418,AG418&amp;": "&amp;AH418))),""))</f>
        <v/>
      </c>
    </row>
    <row r="419" ht="16" customHeight="1" s="151">
      <c r="A419" s="62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20">
        <f>IF(H419&lt;&gt;"",IFERROR(VLOOKUP(IFERROR(LEFT(H419,FIND("-",H419)-1),H419),'Catalogo MINSAL'!A:E,5,FALSE),""),IF(I419&lt;&gt;"",IFERROR(VLOOKUP(IFERROR(LEFT(I419,FIND("-",I419)-1),I419),'Catalogo MINSAL'!A:E,5,FALSE),""),""))</f>
        <v/>
      </c>
      <c r="K419" s="19" t="n"/>
      <c r="L419" s="19" t="n"/>
      <c r="M419" s="19" t="n"/>
      <c r="N419" s="19" t="n"/>
      <c r="O419" s="25" t="n"/>
      <c r="P419" s="27">
        <f>IFERROR(IF(OR(O419="",A419="",M419=""),"",IF(SUMPRODUCT(($A$4:$A$500=A419)*($M$4:$M$500=M419)*($O$4:$O$500&lt;&gt;"")*(MOD($O$4:$O$500,1)&lt;MOD(O419,1)))=0,IF(MOD(O419,1)&lt;=TIME(8,15,0),"Ingreso adecuado primera hora","Atraso primera hora"),"No aplica")),"")</f>
        <v/>
      </c>
      <c r="Q419" s="27" t="n"/>
      <c r="R419" s="25" t="n"/>
      <c r="S419" s="25" t="n"/>
      <c r="T419" s="25" t="n"/>
      <c r="U419" s="25">
        <f>IFERROR(VLOOKUP(M419,'Horario Pabellones'!$A$4:$D$17,2,FALSE),"")</f>
        <v/>
      </c>
      <c r="V419" s="25">
        <f>IFERROR(VLOOKUP(M419,'Horario Pabellones'!$A$4:$D$17,3,FALSE),"")</f>
        <v/>
      </c>
      <c r="W419" s="99">
        <f>IFERROR(VLOOKUP(M419,'Horario Pabellones'!$A$4:$D$17,4,FALSE),"")</f>
        <v/>
      </c>
      <c r="X419" s="89">
        <f>IFERROR(IF(OR(A419="",M419="",W419=""),"",(((_xludf.AGGREGATE(14,6,MOD($S$4:$S$500,1)/(($A$4:$A$500=A419)*($M$4:$M$500=M419)*($R$4:$R$500&lt;&gt;"")*($S$4:$S$500&lt;&gt;"")),1)-_xludf.AGGREGATE(15,6,MOD($R$4:$R$500,1)/(($A$4:$A$500=A419)*($M$4:$M$500=M419)*($R$4:$R$500&lt;&gt;"")*($S$4:$S$500&lt;&gt;"")),1))*1440)/60)/(W419/60)),"")</f>
        <v/>
      </c>
      <c r="Y419" s="26">
        <f>IFERROR(IF(OR(O419="",A419="",M419=""),"",(IF(ISNUMBER(O419),MOD(O419,1),TIMEVALUE(O419))-LOOKUP(2,1/(($A$4:$A$500=A419)*($M$4:$M$500=M419)*($T$4:$T$500&lt;&gt;"")*($T$4:$T$500&lt;IF(ISNUMBER(O419),MOD(O419,1),TIMEVALUE(O419)))),$T$4:$T$500))*1440),"")</f>
        <v/>
      </c>
      <c r="Z419" s="27">
        <f>IFERROR(IF(Y419="","",IF(ROUND(Y419,0)&lt;=15,"Cumple","No cumple")),"")</f>
        <v/>
      </c>
      <c r="AA419" s="27" t="n"/>
      <c r="AB419" s="26">
        <f>IFERROR(IF(OR(O419="",R419=""),"",IF(IF(ISNUMBER(R419),MOD(R419,1),TIMEVALUE(R419))&gt;=IF(ISNUMBER(O419),MOD(O419,1),TIMEVALUE(O419)),(IF(ISNUMBER(R419),MOD(R419,1),TIMEVALUE(R419))-IF(ISNUMBER(O419),MOD(O419,1),TIMEVALUE(O419)))*1440,(IF(ISNUMBER(R419),MOD(R419,1),TIMEVALUE(R419))+1-IF(ISNUMBER(O419),MOD(O419,1),TIMEVALUE(O419)))*1440)),"")</f>
        <v/>
      </c>
      <c r="AC419" s="26">
        <f>IFERROR(IF(OR(R419="",S419=""),"",IF(IF(ISNUMBER(S419),MOD(S419,1),TIMEVALUE(S419))&gt;=IF(ISNUMBER(R419),MOD(R419,1),TIMEVALUE(R419)),(IF(ISNUMBER(S419),MOD(S419,1),TIMEVALUE(S419))-IF(ISNUMBER(R419),MOD(R419,1),TIMEVALUE(R419)))*1440,(IF(ISNUMBER(S419),MOD(S419,1),TIMEVALUE(S419))+1-IF(ISNUMBER(R419),MOD(R419,1),TIMEVALUE(R419)))*1440)),"")</f>
        <v/>
      </c>
      <c r="AD419" s="29" t="n"/>
      <c r="AE419" s="26">
        <f>IFERROR(IF(OR(AC419="",AD419=""),"",AC419-AD419),"")</f>
        <v/>
      </c>
      <c r="AF419" s="27">
        <f>IFERROR(IF(AE419="","",IF(ROUND(AE419,0)&gt;15,"Subestimacion",IF(ROUND(AE419,0)&lt;-15,"Sobrestimacion","Asertivo"))),"")</f>
        <v/>
      </c>
      <c r="AG419" s="19" t="n"/>
      <c r="AH419" s="19" t="n"/>
      <c r="AI419" s="19" t="n"/>
      <c r="AJ419" s="19" t="n"/>
      <c r="AK419" s="19" t="n"/>
      <c r="AL419" s="19" t="n"/>
      <c r="AM419" s="19" t="n"/>
      <c r="AN419" s="19" t="n"/>
      <c r="AO419" s="19" t="n"/>
      <c r="AP419" s="127">
        <f>IF(A419="","",A419-WEEKDAY(A419,2)+1)</f>
        <v/>
      </c>
      <c r="AQ419" s="127">
        <f>IF(AO419="","",AO419+6)</f>
        <v/>
      </c>
      <c r="AR419" s="19">
        <f>IF(AO419="","","Semana "&amp;TEXT(AO419,"dd-mm-yyyy")&amp;" al "&amp;TEXT(AP419,"dd-mm-yyyy"))</f>
        <v/>
      </c>
      <c r="AS419" s="19">
        <f>IF(A419="","",TEXT(A419,"mmmm yyyy"))</f>
        <v/>
      </c>
      <c r="AT419" s="19">
        <f>IF(A419="","",TEXT(A419,"dddd"))</f>
        <v/>
      </c>
      <c r="AU419" s="19">
        <f>IF(A419="","","CRR-"&amp;TEXT(A419,"yyyymmdd")&amp;"-"&amp;M419&amp;"-"&amp;TEXT(ROW()-3,"0000"))</f>
        <v/>
      </c>
      <c r="AV419" s="19">
        <f>IF(A419="","",IF(OR(B419="",C419="",E419="",F419="",M419="",N419=""),"Revisar campos obligatorios",IF(AND(P419="Atraso primera hora",Q419=""),"Falta justificación atraso primera hora",IF(AND(Z419="No cumple",AA419=""),"Falta justificación recambio &gt;15 min",IF(AND(ISNUMBER(SEARCH("suspend",N419)),OR(AG419="",AH419="")),"Falta causa/motivo suspensión","OK")))))</f>
        <v/>
      </c>
      <c r="AW419" s="19">
        <f>IF(N419="","",IF(ISNUMBER(SEARCH("suspend",N419)),IF(AND(AG419="",AH419=""),"Sin causa/motivo registrado",IF(AG419="",AH419,IF(AH419="",AG419,AG419&amp;": "&amp;AH419))),""))</f>
        <v/>
      </c>
    </row>
    <row r="420" ht="16" customHeight="1" s="151">
      <c r="A420" s="62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20">
        <f>IF(H420&lt;&gt;"",IFERROR(VLOOKUP(IFERROR(LEFT(H420,FIND("-",H420)-1),H420),'Catalogo MINSAL'!A:E,5,FALSE),""),IF(I420&lt;&gt;"",IFERROR(VLOOKUP(IFERROR(LEFT(I420,FIND("-",I420)-1),I420),'Catalogo MINSAL'!A:E,5,FALSE),""),""))</f>
        <v/>
      </c>
      <c r="K420" s="19" t="n"/>
      <c r="L420" s="19" t="n"/>
      <c r="M420" s="19" t="n"/>
      <c r="N420" s="19" t="n"/>
      <c r="O420" s="25" t="n"/>
      <c r="P420" s="27">
        <f>IFERROR(IF(OR(O420="",A420="",M420=""),"",IF(SUMPRODUCT(($A$4:$A$500=A420)*($M$4:$M$500=M420)*($O$4:$O$500&lt;&gt;"")*(MOD($O$4:$O$500,1)&lt;MOD(O420,1)))=0,IF(MOD(O420,1)&lt;=TIME(8,15,0),"Ingreso adecuado primera hora","Atraso primera hora"),"No aplica")),"")</f>
        <v/>
      </c>
      <c r="Q420" s="27" t="n"/>
      <c r="R420" s="25" t="n"/>
      <c r="S420" s="25" t="n"/>
      <c r="T420" s="25" t="n"/>
      <c r="U420" s="25">
        <f>IFERROR(VLOOKUP(M420,'Horario Pabellones'!$A$4:$D$17,2,FALSE),"")</f>
        <v/>
      </c>
      <c r="V420" s="25">
        <f>IFERROR(VLOOKUP(M420,'Horario Pabellones'!$A$4:$D$17,3,FALSE),"")</f>
        <v/>
      </c>
      <c r="W420" s="99">
        <f>IFERROR(VLOOKUP(M420,'Horario Pabellones'!$A$4:$D$17,4,FALSE),"")</f>
        <v/>
      </c>
      <c r="X420" s="89">
        <f>IFERROR(IF(OR(A420="",M420="",W420=""),"",(((_xludf.AGGREGATE(14,6,MOD($S$4:$S$500,1)/(($A$4:$A$500=A420)*($M$4:$M$500=M420)*($R$4:$R$500&lt;&gt;"")*($S$4:$S$500&lt;&gt;"")),1)-_xludf.AGGREGATE(15,6,MOD($R$4:$R$500,1)/(($A$4:$A$500=A420)*($M$4:$M$500=M420)*($R$4:$R$500&lt;&gt;"")*($S$4:$S$500&lt;&gt;"")),1))*1440)/60)/(W420/60)),"")</f>
        <v/>
      </c>
      <c r="Y420" s="26">
        <f>IFERROR(IF(OR(O420="",A420="",M420=""),"",(IF(ISNUMBER(O420),MOD(O420,1),TIMEVALUE(O420))-LOOKUP(2,1/(($A$4:$A$500=A420)*($M$4:$M$500=M420)*($T$4:$T$500&lt;&gt;"")*($T$4:$T$500&lt;IF(ISNUMBER(O420),MOD(O420,1),TIMEVALUE(O420)))),$T$4:$T$500))*1440),"")</f>
        <v/>
      </c>
      <c r="Z420" s="27">
        <f>IFERROR(IF(Y420="","",IF(ROUND(Y420,0)&lt;=15,"Cumple","No cumple")),"")</f>
        <v/>
      </c>
      <c r="AA420" s="27" t="n"/>
      <c r="AB420" s="26">
        <f>IFERROR(IF(OR(O420="",R420=""),"",IF(IF(ISNUMBER(R420),MOD(R420,1),TIMEVALUE(R420))&gt;=IF(ISNUMBER(O420),MOD(O420,1),TIMEVALUE(O420)),(IF(ISNUMBER(R420),MOD(R420,1),TIMEVALUE(R420))-IF(ISNUMBER(O420),MOD(O420,1),TIMEVALUE(O420)))*1440,(IF(ISNUMBER(R420),MOD(R420,1),TIMEVALUE(R420))+1-IF(ISNUMBER(O420),MOD(O420,1),TIMEVALUE(O420)))*1440)),"")</f>
        <v/>
      </c>
      <c r="AC420" s="26">
        <f>IFERROR(IF(OR(R420="",S420=""),"",IF(IF(ISNUMBER(S420),MOD(S420,1),TIMEVALUE(S420))&gt;=IF(ISNUMBER(R420),MOD(R420,1),TIMEVALUE(R420)),(IF(ISNUMBER(S420),MOD(S420,1),TIMEVALUE(S420))-IF(ISNUMBER(R420),MOD(R420,1),TIMEVALUE(R420)))*1440,(IF(ISNUMBER(S420),MOD(S420,1),TIMEVALUE(S420))+1-IF(ISNUMBER(R420),MOD(R420,1),TIMEVALUE(R420)))*1440)),"")</f>
        <v/>
      </c>
      <c r="AD420" s="29" t="n"/>
      <c r="AE420" s="26">
        <f>IFERROR(IF(OR(AC420="",AD420=""),"",AC420-AD420),"")</f>
        <v/>
      </c>
      <c r="AF420" s="27">
        <f>IFERROR(IF(AE420="","",IF(ROUND(AE420,0)&gt;15,"Subestimacion",IF(ROUND(AE420,0)&lt;-15,"Sobrestimacion","Asertivo"))),"")</f>
        <v/>
      </c>
      <c r="AG420" s="19" t="n"/>
      <c r="AH420" s="19" t="n"/>
      <c r="AI420" s="19" t="n"/>
      <c r="AJ420" s="19" t="n"/>
      <c r="AK420" s="19" t="n"/>
      <c r="AL420" s="19" t="n"/>
      <c r="AM420" s="19" t="n"/>
      <c r="AN420" s="19" t="n"/>
      <c r="AO420" s="19" t="n"/>
      <c r="AP420" s="127">
        <f>IF(A420="","",A420-WEEKDAY(A420,2)+1)</f>
        <v/>
      </c>
      <c r="AQ420" s="127">
        <f>IF(AO420="","",AO420+6)</f>
        <v/>
      </c>
      <c r="AR420" s="19">
        <f>IF(AO420="","","Semana "&amp;TEXT(AO420,"dd-mm-yyyy")&amp;" al "&amp;TEXT(AP420,"dd-mm-yyyy"))</f>
        <v/>
      </c>
      <c r="AS420" s="19">
        <f>IF(A420="","",TEXT(A420,"mmmm yyyy"))</f>
        <v/>
      </c>
      <c r="AT420" s="19">
        <f>IF(A420="","",TEXT(A420,"dddd"))</f>
        <v/>
      </c>
      <c r="AU420" s="19">
        <f>IF(A420="","","CRR-"&amp;TEXT(A420,"yyyymmdd")&amp;"-"&amp;M420&amp;"-"&amp;TEXT(ROW()-3,"0000"))</f>
        <v/>
      </c>
      <c r="AV420" s="19">
        <f>IF(A420="","",IF(OR(B420="",C420="",E420="",F420="",M420="",N420=""),"Revisar campos obligatorios",IF(AND(P420="Atraso primera hora",Q420=""),"Falta justificación atraso primera hora",IF(AND(Z420="No cumple",AA420=""),"Falta justificación recambio &gt;15 min",IF(AND(ISNUMBER(SEARCH("suspend",N420)),OR(AG420="",AH420="")),"Falta causa/motivo suspensión","OK")))))</f>
        <v/>
      </c>
      <c r="AW420" s="19">
        <f>IF(N420="","",IF(ISNUMBER(SEARCH("suspend",N420)),IF(AND(AG420="",AH420=""),"Sin causa/motivo registrado",IF(AG420="",AH420,IF(AH420="",AG420,AG420&amp;": "&amp;AH420))),""))</f>
        <v/>
      </c>
    </row>
    <row r="421" ht="16" customHeight="1" s="151">
      <c r="A421" s="62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20">
        <f>IF(H421&lt;&gt;"",IFERROR(VLOOKUP(IFERROR(LEFT(H421,FIND("-",H421)-1),H421),'Catalogo MINSAL'!A:E,5,FALSE),""),IF(I421&lt;&gt;"",IFERROR(VLOOKUP(IFERROR(LEFT(I421,FIND("-",I421)-1),I421),'Catalogo MINSAL'!A:E,5,FALSE),""),""))</f>
        <v/>
      </c>
      <c r="K421" s="19" t="n"/>
      <c r="L421" s="19" t="n"/>
      <c r="M421" s="19" t="n"/>
      <c r="N421" s="19" t="n"/>
      <c r="O421" s="25" t="n"/>
      <c r="P421" s="27">
        <f>IFERROR(IF(OR(O421="",A421="",M421=""),"",IF(SUMPRODUCT(($A$4:$A$500=A421)*($M$4:$M$500=M421)*($O$4:$O$500&lt;&gt;"")*(MOD($O$4:$O$500,1)&lt;MOD(O421,1)))=0,IF(MOD(O421,1)&lt;=TIME(8,15,0),"Ingreso adecuado primera hora","Atraso primera hora"),"No aplica")),"")</f>
        <v/>
      </c>
      <c r="Q421" s="27" t="n"/>
      <c r="R421" s="25" t="n"/>
      <c r="S421" s="25" t="n"/>
      <c r="T421" s="25" t="n"/>
      <c r="U421" s="25">
        <f>IFERROR(VLOOKUP(M421,'Horario Pabellones'!$A$4:$D$17,2,FALSE),"")</f>
        <v/>
      </c>
      <c r="V421" s="25">
        <f>IFERROR(VLOOKUP(M421,'Horario Pabellones'!$A$4:$D$17,3,FALSE),"")</f>
        <v/>
      </c>
      <c r="W421" s="99">
        <f>IFERROR(VLOOKUP(M421,'Horario Pabellones'!$A$4:$D$17,4,FALSE),"")</f>
        <v/>
      </c>
      <c r="X421" s="89">
        <f>IFERROR(IF(OR(A421="",M421="",W421=""),"",(((_xludf.AGGREGATE(14,6,MOD($S$4:$S$500,1)/(($A$4:$A$500=A421)*($M$4:$M$500=M421)*($R$4:$R$500&lt;&gt;"")*($S$4:$S$500&lt;&gt;"")),1)-_xludf.AGGREGATE(15,6,MOD($R$4:$R$500,1)/(($A$4:$A$500=A421)*($M$4:$M$500=M421)*($R$4:$R$500&lt;&gt;"")*($S$4:$S$500&lt;&gt;"")),1))*1440)/60)/(W421/60)),"")</f>
        <v/>
      </c>
      <c r="Y421" s="26">
        <f>IFERROR(IF(OR(O421="",A421="",M421=""),"",(IF(ISNUMBER(O421),MOD(O421,1),TIMEVALUE(O421))-LOOKUP(2,1/(($A$4:$A$500=A421)*($M$4:$M$500=M421)*($T$4:$T$500&lt;&gt;"")*($T$4:$T$500&lt;IF(ISNUMBER(O421),MOD(O421,1),TIMEVALUE(O421)))),$T$4:$T$500))*1440),"")</f>
        <v/>
      </c>
      <c r="Z421" s="27">
        <f>IFERROR(IF(Y421="","",IF(ROUND(Y421,0)&lt;=15,"Cumple","No cumple")),"")</f>
        <v/>
      </c>
      <c r="AA421" s="27" t="n"/>
      <c r="AB421" s="26">
        <f>IFERROR(IF(OR(O421="",R421=""),"",IF(IF(ISNUMBER(R421),MOD(R421,1),TIMEVALUE(R421))&gt;=IF(ISNUMBER(O421),MOD(O421,1),TIMEVALUE(O421)),(IF(ISNUMBER(R421),MOD(R421,1),TIMEVALUE(R421))-IF(ISNUMBER(O421),MOD(O421,1),TIMEVALUE(O421)))*1440,(IF(ISNUMBER(R421),MOD(R421,1),TIMEVALUE(R421))+1-IF(ISNUMBER(O421),MOD(O421,1),TIMEVALUE(O421)))*1440)),"")</f>
        <v/>
      </c>
      <c r="AC421" s="26">
        <f>IFERROR(IF(OR(R421="",S421=""),"",IF(IF(ISNUMBER(S421),MOD(S421,1),TIMEVALUE(S421))&gt;=IF(ISNUMBER(R421),MOD(R421,1),TIMEVALUE(R421)),(IF(ISNUMBER(S421),MOD(S421,1),TIMEVALUE(S421))-IF(ISNUMBER(R421),MOD(R421,1),TIMEVALUE(R421)))*1440,(IF(ISNUMBER(S421),MOD(S421,1),TIMEVALUE(S421))+1-IF(ISNUMBER(R421),MOD(R421,1),TIMEVALUE(R421)))*1440)),"")</f>
        <v/>
      </c>
      <c r="AD421" s="29" t="n"/>
      <c r="AE421" s="26">
        <f>IFERROR(IF(OR(AC421="",AD421=""),"",AC421-AD421),"")</f>
        <v/>
      </c>
      <c r="AF421" s="27">
        <f>IFERROR(IF(AE421="","",IF(ROUND(AE421,0)&gt;15,"Subestimacion",IF(ROUND(AE421,0)&lt;-15,"Sobrestimacion","Asertivo"))),"")</f>
        <v/>
      </c>
      <c r="AG421" s="19" t="n"/>
      <c r="AH421" s="19" t="n"/>
      <c r="AI421" s="19" t="n"/>
      <c r="AJ421" s="19" t="n"/>
      <c r="AK421" s="19" t="n"/>
      <c r="AL421" s="19" t="n"/>
      <c r="AM421" s="19" t="n"/>
      <c r="AN421" s="19" t="n"/>
      <c r="AO421" s="19" t="n"/>
      <c r="AP421" s="127">
        <f>IF(A421="","",A421-WEEKDAY(A421,2)+1)</f>
        <v/>
      </c>
      <c r="AQ421" s="127">
        <f>IF(AO421="","",AO421+6)</f>
        <v/>
      </c>
      <c r="AR421" s="19">
        <f>IF(AO421="","","Semana "&amp;TEXT(AO421,"dd-mm-yyyy")&amp;" al "&amp;TEXT(AP421,"dd-mm-yyyy"))</f>
        <v/>
      </c>
      <c r="AS421" s="19">
        <f>IF(A421="","",TEXT(A421,"mmmm yyyy"))</f>
        <v/>
      </c>
      <c r="AT421" s="19">
        <f>IF(A421="","",TEXT(A421,"dddd"))</f>
        <v/>
      </c>
      <c r="AU421" s="19">
        <f>IF(A421="","","CRR-"&amp;TEXT(A421,"yyyymmdd")&amp;"-"&amp;M421&amp;"-"&amp;TEXT(ROW()-3,"0000"))</f>
        <v/>
      </c>
      <c r="AV421" s="19">
        <f>IF(A421="","",IF(OR(B421="",C421="",E421="",F421="",M421="",N421=""),"Revisar campos obligatorios",IF(AND(P421="Atraso primera hora",Q421=""),"Falta justificación atraso primera hora",IF(AND(Z421="No cumple",AA421=""),"Falta justificación recambio &gt;15 min",IF(AND(ISNUMBER(SEARCH("suspend",N421)),OR(AG421="",AH421="")),"Falta causa/motivo suspensión","OK")))))</f>
        <v/>
      </c>
      <c r="AW421" s="19">
        <f>IF(N421="","",IF(ISNUMBER(SEARCH("suspend",N421)),IF(AND(AG421="",AH421=""),"Sin causa/motivo registrado",IF(AG421="",AH421,IF(AH421="",AG421,AG421&amp;": "&amp;AH421))),""))</f>
        <v/>
      </c>
    </row>
    <row r="422" ht="16" customHeight="1" s="151">
      <c r="A422" s="62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20">
        <f>IF(H422&lt;&gt;"",IFERROR(VLOOKUP(IFERROR(LEFT(H422,FIND("-",H422)-1),H422),'Catalogo MINSAL'!A:E,5,FALSE),""),IF(I422&lt;&gt;"",IFERROR(VLOOKUP(IFERROR(LEFT(I422,FIND("-",I422)-1),I422),'Catalogo MINSAL'!A:E,5,FALSE),""),""))</f>
        <v/>
      </c>
      <c r="K422" s="19" t="n"/>
      <c r="L422" s="19" t="n"/>
      <c r="M422" s="19" t="n"/>
      <c r="N422" s="19" t="n"/>
      <c r="O422" s="25" t="n"/>
      <c r="P422" s="27">
        <f>IFERROR(IF(OR(O422="",A422="",M422=""),"",IF(SUMPRODUCT(($A$4:$A$500=A422)*($M$4:$M$500=M422)*($O$4:$O$500&lt;&gt;"")*(MOD($O$4:$O$500,1)&lt;MOD(O422,1)))=0,IF(MOD(O422,1)&lt;=TIME(8,15,0),"Ingreso adecuado primera hora","Atraso primera hora"),"No aplica")),"")</f>
        <v/>
      </c>
      <c r="Q422" s="27" t="n"/>
      <c r="R422" s="25" t="n"/>
      <c r="S422" s="25" t="n"/>
      <c r="T422" s="25" t="n"/>
      <c r="U422" s="25">
        <f>IFERROR(VLOOKUP(M422,'Horario Pabellones'!$A$4:$D$17,2,FALSE),"")</f>
        <v/>
      </c>
      <c r="V422" s="25">
        <f>IFERROR(VLOOKUP(M422,'Horario Pabellones'!$A$4:$D$17,3,FALSE),"")</f>
        <v/>
      </c>
      <c r="W422" s="99">
        <f>IFERROR(VLOOKUP(M422,'Horario Pabellones'!$A$4:$D$17,4,FALSE),"")</f>
        <v/>
      </c>
      <c r="X422" s="89">
        <f>IFERROR(IF(OR(A422="",M422="",W422=""),"",(((_xludf.AGGREGATE(14,6,MOD($S$4:$S$500,1)/(($A$4:$A$500=A422)*($M$4:$M$500=M422)*($R$4:$R$500&lt;&gt;"")*($S$4:$S$500&lt;&gt;"")),1)-_xludf.AGGREGATE(15,6,MOD($R$4:$R$500,1)/(($A$4:$A$500=A422)*($M$4:$M$500=M422)*($R$4:$R$500&lt;&gt;"")*($S$4:$S$500&lt;&gt;"")),1))*1440)/60)/(W422/60)),"")</f>
        <v/>
      </c>
      <c r="Y422" s="26">
        <f>IFERROR(IF(OR(O422="",A422="",M422=""),"",(IF(ISNUMBER(O422),MOD(O422,1),TIMEVALUE(O422))-LOOKUP(2,1/(($A$4:$A$500=A422)*($M$4:$M$500=M422)*($T$4:$T$500&lt;&gt;"")*($T$4:$T$500&lt;IF(ISNUMBER(O422),MOD(O422,1),TIMEVALUE(O422)))),$T$4:$T$500))*1440),"")</f>
        <v/>
      </c>
      <c r="Z422" s="27">
        <f>IFERROR(IF(Y422="","",IF(ROUND(Y422,0)&lt;=15,"Cumple","No cumple")),"")</f>
        <v/>
      </c>
      <c r="AA422" s="27" t="n"/>
      <c r="AB422" s="26">
        <f>IFERROR(IF(OR(O422="",R422=""),"",IF(IF(ISNUMBER(R422),MOD(R422,1),TIMEVALUE(R422))&gt;=IF(ISNUMBER(O422),MOD(O422,1),TIMEVALUE(O422)),(IF(ISNUMBER(R422),MOD(R422,1),TIMEVALUE(R422))-IF(ISNUMBER(O422),MOD(O422,1),TIMEVALUE(O422)))*1440,(IF(ISNUMBER(R422),MOD(R422,1),TIMEVALUE(R422))+1-IF(ISNUMBER(O422),MOD(O422,1),TIMEVALUE(O422)))*1440)),"")</f>
        <v/>
      </c>
      <c r="AC422" s="26">
        <f>IFERROR(IF(OR(R422="",S422=""),"",IF(IF(ISNUMBER(S422),MOD(S422,1),TIMEVALUE(S422))&gt;=IF(ISNUMBER(R422),MOD(R422,1),TIMEVALUE(R422)),(IF(ISNUMBER(S422),MOD(S422,1),TIMEVALUE(S422))-IF(ISNUMBER(R422),MOD(R422,1),TIMEVALUE(R422)))*1440,(IF(ISNUMBER(S422),MOD(S422,1),TIMEVALUE(S422))+1-IF(ISNUMBER(R422),MOD(R422,1),TIMEVALUE(R422)))*1440)),"")</f>
        <v/>
      </c>
      <c r="AD422" s="29" t="n"/>
      <c r="AE422" s="26">
        <f>IFERROR(IF(OR(AC422="",AD422=""),"",AC422-AD422),"")</f>
        <v/>
      </c>
      <c r="AF422" s="27">
        <f>IFERROR(IF(AE422="","",IF(ROUND(AE422,0)&gt;15,"Subestimacion",IF(ROUND(AE422,0)&lt;-15,"Sobrestimacion","Asertivo"))),"")</f>
        <v/>
      </c>
      <c r="AG422" s="19" t="n"/>
      <c r="AH422" s="19" t="n"/>
      <c r="AI422" s="19" t="n"/>
      <c r="AJ422" s="19" t="n"/>
      <c r="AK422" s="19" t="n"/>
      <c r="AL422" s="19" t="n"/>
      <c r="AM422" s="19" t="n"/>
      <c r="AN422" s="19" t="n"/>
      <c r="AO422" s="19" t="n"/>
      <c r="AP422" s="127">
        <f>IF(A422="","",A422-WEEKDAY(A422,2)+1)</f>
        <v/>
      </c>
      <c r="AQ422" s="127">
        <f>IF(AO422="","",AO422+6)</f>
        <v/>
      </c>
      <c r="AR422" s="19">
        <f>IF(AO422="","","Semana "&amp;TEXT(AO422,"dd-mm-yyyy")&amp;" al "&amp;TEXT(AP422,"dd-mm-yyyy"))</f>
        <v/>
      </c>
      <c r="AS422" s="19">
        <f>IF(A422="","",TEXT(A422,"mmmm yyyy"))</f>
        <v/>
      </c>
      <c r="AT422" s="19">
        <f>IF(A422="","",TEXT(A422,"dddd"))</f>
        <v/>
      </c>
      <c r="AU422" s="19">
        <f>IF(A422="","","CRR-"&amp;TEXT(A422,"yyyymmdd")&amp;"-"&amp;M422&amp;"-"&amp;TEXT(ROW()-3,"0000"))</f>
        <v/>
      </c>
      <c r="AV422" s="19">
        <f>IF(A422="","",IF(OR(B422="",C422="",E422="",F422="",M422="",N422=""),"Revisar campos obligatorios",IF(AND(P422="Atraso primera hora",Q422=""),"Falta justificación atraso primera hora",IF(AND(Z422="No cumple",AA422=""),"Falta justificación recambio &gt;15 min",IF(AND(ISNUMBER(SEARCH("suspend",N422)),OR(AG422="",AH422="")),"Falta causa/motivo suspensión","OK")))))</f>
        <v/>
      </c>
      <c r="AW422" s="19">
        <f>IF(N422="","",IF(ISNUMBER(SEARCH("suspend",N422)),IF(AND(AG422="",AH422=""),"Sin causa/motivo registrado",IF(AG422="",AH422,IF(AH422="",AG422,AG422&amp;": "&amp;AH422))),""))</f>
        <v/>
      </c>
    </row>
    <row r="423" ht="16" customHeight="1" s="151">
      <c r="A423" s="62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20">
        <f>IF(H423&lt;&gt;"",IFERROR(VLOOKUP(IFERROR(LEFT(H423,FIND("-",H423)-1),H423),'Catalogo MINSAL'!A:E,5,FALSE),""),IF(I423&lt;&gt;"",IFERROR(VLOOKUP(IFERROR(LEFT(I423,FIND("-",I423)-1),I423),'Catalogo MINSAL'!A:E,5,FALSE),""),""))</f>
        <v/>
      </c>
      <c r="K423" s="19" t="n"/>
      <c r="L423" s="19" t="n"/>
      <c r="M423" s="19" t="n"/>
      <c r="N423" s="19" t="n"/>
      <c r="O423" s="25" t="n"/>
      <c r="P423" s="27">
        <f>IFERROR(IF(OR(O423="",A423="",M423=""),"",IF(SUMPRODUCT(($A$4:$A$500=A423)*($M$4:$M$500=M423)*($O$4:$O$500&lt;&gt;"")*(MOD($O$4:$O$500,1)&lt;MOD(O423,1)))=0,IF(MOD(O423,1)&lt;=TIME(8,15,0),"Ingreso adecuado primera hora","Atraso primera hora"),"No aplica")),"")</f>
        <v/>
      </c>
      <c r="Q423" s="27" t="n"/>
      <c r="R423" s="25" t="n"/>
      <c r="S423" s="25" t="n"/>
      <c r="T423" s="25" t="n"/>
      <c r="U423" s="25">
        <f>IFERROR(VLOOKUP(M423,'Horario Pabellones'!$A$4:$D$17,2,FALSE),"")</f>
        <v/>
      </c>
      <c r="V423" s="25">
        <f>IFERROR(VLOOKUP(M423,'Horario Pabellones'!$A$4:$D$17,3,FALSE),"")</f>
        <v/>
      </c>
      <c r="W423" s="99">
        <f>IFERROR(VLOOKUP(M423,'Horario Pabellones'!$A$4:$D$17,4,FALSE),"")</f>
        <v/>
      </c>
      <c r="X423" s="89">
        <f>IFERROR(IF(OR(A423="",M423="",W423=""),"",(((_xludf.AGGREGATE(14,6,MOD($S$4:$S$500,1)/(($A$4:$A$500=A423)*($M$4:$M$500=M423)*($R$4:$R$500&lt;&gt;"")*($S$4:$S$500&lt;&gt;"")),1)-_xludf.AGGREGATE(15,6,MOD($R$4:$R$500,1)/(($A$4:$A$500=A423)*($M$4:$M$500=M423)*($R$4:$R$500&lt;&gt;"")*($S$4:$S$500&lt;&gt;"")),1))*1440)/60)/(W423/60)),"")</f>
        <v/>
      </c>
      <c r="Y423" s="26">
        <f>IFERROR(IF(OR(O423="",A423="",M423=""),"",(IF(ISNUMBER(O423),MOD(O423,1),TIMEVALUE(O423))-LOOKUP(2,1/(($A$4:$A$500=A423)*($M$4:$M$500=M423)*($T$4:$T$500&lt;&gt;"")*($T$4:$T$500&lt;IF(ISNUMBER(O423),MOD(O423,1),TIMEVALUE(O423)))),$T$4:$T$500))*1440),"")</f>
        <v/>
      </c>
      <c r="Z423" s="27">
        <f>IFERROR(IF(Y423="","",IF(ROUND(Y423,0)&lt;=15,"Cumple","No cumple")),"")</f>
        <v/>
      </c>
      <c r="AA423" s="27" t="n"/>
      <c r="AB423" s="26">
        <f>IFERROR(IF(OR(O423="",R423=""),"",IF(IF(ISNUMBER(R423),MOD(R423,1),TIMEVALUE(R423))&gt;=IF(ISNUMBER(O423),MOD(O423,1),TIMEVALUE(O423)),(IF(ISNUMBER(R423),MOD(R423,1),TIMEVALUE(R423))-IF(ISNUMBER(O423),MOD(O423,1),TIMEVALUE(O423)))*1440,(IF(ISNUMBER(R423),MOD(R423,1),TIMEVALUE(R423))+1-IF(ISNUMBER(O423),MOD(O423,1),TIMEVALUE(O423)))*1440)),"")</f>
        <v/>
      </c>
      <c r="AC423" s="26">
        <f>IFERROR(IF(OR(R423="",S423=""),"",IF(IF(ISNUMBER(S423),MOD(S423,1),TIMEVALUE(S423))&gt;=IF(ISNUMBER(R423),MOD(R423,1),TIMEVALUE(R423)),(IF(ISNUMBER(S423),MOD(S423,1),TIMEVALUE(S423))-IF(ISNUMBER(R423),MOD(R423,1),TIMEVALUE(R423)))*1440,(IF(ISNUMBER(S423),MOD(S423,1),TIMEVALUE(S423))+1-IF(ISNUMBER(R423),MOD(R423,1),TIMEVALUE(R423)))*1440)),"")</f>
        <v/>
      </c>
      <c r="AD423" s="29" t="n"/>
      <c r="AE423" s="26">
        <f>IFERROR(IF(OR(AC423="",AD423=""),"",AC423-AD423),"")</f>
        <v/>
      </c>
      <c r="AF423" s="27">
        <f>IFERROR(IF(AE423="","",IF(ROUND(AE423,0)&gt;15,"Subestimacion",IF(ROUND(AE423,0)&lt;-15,"Sobrestimacion","Asertivo"))),"")</f>
        <v/>
      </c>
      <c r="AG423" s="19" t="n"/>
      <c r="AH423" s="19" t="n"/>
      <c r="AI423" s="19" t="n"/>
      <c r="AJ423" s="19" t="n"/>
      <c r="AK423" s="19" t="n"/>
      <c r="AL423" s="19" t="n"/>
      <c r="AM423" s="19" t="n"/>
      <c r="AN423" s="19" t="n"/>
      <c r="AO423" s="19" t="n"/>
      <c r="AP423" s="127">
        <f>IF(A423="","",A423-WEEKDAY(A423,2)+1)</f>
        <v/>
      </c>
      <c r="AQ423" s="127">
        <f>IF(AO423="","",AO423+6)</f>
        <v/>
      </c>
      <c r="AR423" s="19">
        <f>IF(AO423="","","Semana "&amp;TEXT(AO423,"dd-mm-yyyy")&amp;" al "&amp;TEXT(AP423,"dd-mm-yyyy"))</f>
        <v/>
      </c>
      <c r="AS423" s="19">
        <f>IF(A423="","",TEXT(A423,"mmmm yyyy"))</f>
        <v/>
      </c>
      <c r="AT423" s="19">
        <f>IF(A423="","",TEXT(A423,"dddd"))</f>
        <v/>
      </c>
      <c r="AU423" s="19">
        <f>IF(A423="","","CRR-"&amp;TEXT(A423,"yyyymmdd")&amp;"-"&amp;M423&amp;"-"&amp;TEXT(ROW()-3,"0000"))</f>
        <v/>
      </c>
      <c r="AV423" s="19">
        <f>IF(A423="","",IF(OR(B423="",C423="",E423="",F423="",M423="",N423=""),"Revisar campos obligatorios",IF(AND(P423="Atraso primera hora",Q423=""),"Falta justificación atraso primera hora",IF(AND(Z423="No cumple",AA423=""),"Falta justificación recambio &gt;15 min",IF(AND(ISNUMBER(SEARCH("suspend",N423)),OR(AG423="",AH423="")),"Falta causa/motivo suspensión","OK")))))</f>
        <v/>
      </c>
      <c r="AW423" s="19">
        <f>IF(N423="","",IF(ISNUMBER(SEARCH("suspend",N423)),IF(AND(AG423="",AH423=""),"Sin causa/motivo registrado",IF(AG423="",AH423,IF(AH423="",AG423,AG423&amp;": "&amp;AH423))),""))</f>
        <v/>
      </c>
    </row>
    <row r="424" ht="16" customHeight="1" s="151">
      <c r="A424" s="62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20">
        <f>IF(H424&lt;&gt;"",IFERROR(VLOOKUP(IFERROR(LEFT(H424,FIND("-",H424)-1),H424),'Catalogo MINSAL'!A:E,5,FALSE),""),IF(I424&lt;&gt;"",IFERROR(VLOOKUP(IFERROR(LEFT(I424,FIND("-",I424)-1),I424),'Catalogo MINSAL'!A:E,5,FALSE),""),""))</f>
        <v/>
      </c>
      <c r="K424" s="19" t="n"/>
      <c r="L424" s="19" t="n"/>
      <c r="M424" s="19" t="n"/>
      <c r="N424" s="19" t="n"/>
      <c r="O424" s="25" t="n"/>
      <c r="P424" s="27">
        <f>IFERROR(IF(OR(O424="",A424="",M424=""),"",IF(SUMPRODUCT(($A$4:$A$500=A424)*($M$4:$M$500=M424)*($O$4:$O$500&lt;&gt;"")*(MOD($O$4:$O$500,1)&lt;MOD(O424,1)))=0,IF(MOD(O424,1)&lt;=TIME(8,15,0),"Ingreso adecuado primera hora","Atraso primera hora"),"No aplica")),"")</f>
        <v/>
      </c>
      <c r="Q424" s="27" t="n"/>
      <c r="R424" s="25" t="n"/>
      <c r="S424" s="25" t="n"/>
      <c r="T424" s="25" t="n"/>
      <c r="U424" s="25">
        <f>IFERROR(VLOOKUP(M424,'Horario Pabellones'!$A$4:$D$17,2,FALSE),"")</f>
        <v/>
      </c>
      <c r="V424" s="25">
        <f>IFERROR(VLOOKUP(M424,'Horario Pabellones'!$A$4:$D$17,3,FALSE),"")</f>
        <v/>
      </c>
      <c r="W424" s="99">
        <f>IFERROR(VLOOKUP(M424,'Horario Pabellones'!$A$4:$D$17,4,FALSE),"")</f>
        <v/>
      </c>
      <c r="X424" s="89">
        <f>IFERROR(IF(OR(A424="",M424="",W424=""),"",(((_xludf.AGGREGATE(14,6,MOD($S$4:$S$500,1)/(($A$4:$A$500=A424)*($M$4:$M$500=M424)*($R$4:$R$500&lt;&gt;"")*($S$4:$S$500&lt;&gt;"")),1)-_xludf.AGGREGATE(15,6,MOD($R$4:$R$500,1)/(($A$4:$A$500=A424)*($M$4:$M$500=M424)*($R$4:$R$500&lt;&gt;"")*($S$4:$S$500&lt;&gt;"")),1))*1440)/60)/(W424/60)),"")</f>
        <v/>
      </c>
      <c r="Y424" s="26">
        <f>IFERROR(IF(OR(O424="",A424="",M424=""),"",(IF(ISNUMBER(O424),MOD(O424,1),TIMEVALUE(O424))-LOOKUP(2,1/(($A$4:$A$500=A424)*($M$4:$M$500=M424)*($T$4:$T$500&lt;&gt;"")*($T$4:$T$500&lt;IF(ISNUMBER(O424),MOD(O424,1),TIMEVALUE(O424)))),$T$4:$T$500))*1440),"")</f>
        <v/>
      </c>
      <c r="Z424" s="27">
        <f>IFERROR(IF(Y424="","",IF(ROUND(Y424,0)&lt;=15,"Cumple","No cumple")),"")</f>
        <v/>
      </c>
      <c r="AA424" s="27" t="n"/>
      <c r="AB424" s="26">
        <f>IFERROR(IF(OR(O424="",R424=""),"",IF(IF(ISNUMBER(R424),MOD(R424,1),TIMEVALUE(R424))&gt;=IF(ISNUMBER(O424),MOD(O424,1),TIMEVALUE(O424)),(IF(ISNUMBER(R424),MOD(R424,1),TIMEVALUE(R424))-IF(ISNUMBER(O424),MOD(O424,1),TIMEVALUE(O424)))*1440,(IF(ISNUMBER(R424),MOD(R424,1),TIMEVALUE(R424))+1-IF(ISNUMBER(O424),MOD(O424,1),TIMEVALUE(O424)))*1440)),"")</f>
        <v/>
      </c>
      <c r="AC424" s="26">
        <f>IFERROR(IF(OR(R424="",S424=""),"",IF(IF(ISNUMBER(S424),MOD(S424,1),TIMEVALUE(S424))&gt;=IF(ISNUMBER(R424),MOD(R424,1),TIMEVALUE(R424)),(IF(ISNUMBER(S424),MOD(S424,1),TIMEVALUE(S424))-IF(ISNUMBER(R424),MOD(R424,1),TIMEVALUE(R424)))*1440,(IF(ISNUMBER(S424),MOD(S424,1),TIMEVALUE(S424))+1-IF(ISNUMBER(R424),MOD(R424,1),TIMEVALUE(R424)))*1440)),"")</f>
        <v/>
      </c>
      <c r="AD424" s="29" t="n"/>
      <c r="AE424" s="26">
        <f>IFERROR(IF(OR(AC424="",AD424=""),"",AC424-AD424),"")</f>
        <v/>
      </c>
      <c r="AF424" s="27">
        <f>IFERROR(IF(AE424="","",IF(ROUND(AE424,0)&gt;15,"Subestimacion",IF(ROUND(AE424,0)&lt;-15,"Sobrestimacion","Asertivo"))),"")</f>
        <v/>
      </c>
      <c r="AG424" s="19" t="n"/>
      <c r="AH424" s="19" t="n"/>
      <c r="AI424" s="19" t="n"/>
      <c r="AJ424" s="19" t="n"/>
      <c r="AK424" s="19" t="n"/>
      <c r="AL424" s="19" t="n"/>
      <c r="AM424" s="19" t="n"/>
      <c r="AN424" s="19" t="n"/>
      <c r="AO424" s="19" t="n"/>
      <c r="AP424" s="127">
        <f>IF(A424="","",A424-WEEKDAY(A424,2)+1)</f>
        <v/>
      </c>
      <c r="AQ424" s="127">
        <f>IF(AO424="","",AO424+6)</f>
        <v/>
      </c>
      <c r="AR424" s="19">
        <f>IF(AO424="","","Semana "&amp;TEXT(AO424,"dd-mm-yyyy")&amp;" al "&amp;TEXT(AP424,"dd-mm-yyyy"))</f>
        <v/>
      </c>
      <c r="AS424" s="19">
        <f>IF(A424="","",TEXT(A424,"mmmm yyyy"))</f>
        <v/>
      </c>
      <c r="AT424" s="19">
        <f>IF(A424="","",TEXT(A424,"dddd"))</f>
        <v/>
      </c>
      <c r="AU424" s="19">
        <f>IF(A424="","","CRR-"&amp;TEXT(A424,"yyyymmdd")&amp;"-"&amp;M424&amp;"-"&amp;TEXT(ROW()-3,"0000"))</f>
        <v/>
      </c>
      <c r="AV424" s="19">
        <f>IF(A424="","",IF(OR(B424="",C424="",E424="",F424="",M424="",N424=""),"Revisar campos obligatorios",IF(AND(P424="Atraso primera hora",Q424=""),"Falta justificación atraso primera hora",IF(AND(Z424="No cumple",AA424=""),"Falta justificación recambio &gt;15 min",IF(AND(ISNUMBER(SEARCH("suspend",N424)),OR(AG424="",AH424="")),"Falta causa/motivo suspensión","OK")))))</f>
        <v/>
      </c>
      <c r="AW424" s="19">
        <f>IF(N424="","",IF(ISNUMBER(SEARCH("suspend",N424)),IF(AND(AG424="",AH424=""),"Sin causa/motivo registrado",IF(AG424="",AH424,IF(AH424="",AG424,AG424&amp;": "&amp;AH424))),""))</f>
        <v/>
      </c>
    </row>
    <row r="425" ht="16" customHeight="1" s="151">
      <c r="A425" s="62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20">
        <f>IF(H425&lt;&gt;"",IFERROR(VLOOKUP(IFERROR(LEFT(H425,FIND("-",H425)-1),H425),'Catalogo MINSAL'!A:E,5,FALSE),""),IF(I425&lt;&gt;"",IFERROR(VLOOKUP(IFERROR(LEFT(I425,FIND("-",I425)-1),I425),'Catalogo MINSAL'!A:E,5,FALSE),""),""))</f>
        <v/>
      </c>
      <c r="K425" s="19" t="n"/>
      <c r="L425" s="19" t="n"/>
      <c r="M425" s="19" t="n"/>
      <c r="N425" s="19" t="n"/>
      <c r="O425" s="25" t="n"/>
      <c r="P425" s="27">
        <f>IFERROR(IF(OR(O425="",A425="",M425=""),"",IF(SUMPRODUCT(($A$4:$A$500=A425)*($M$4:$M$500=M425)*($O$4:$O$500&lt;&gt;"")*(MOD($O$4:$O$500,1)&lt;MOD(O425,1)))=0,IF(MOD(O425,1)&lt;=TIME(8,15,0),"Ingreso adecuado primera hora","Atraso primera hora"),"No aplica")),"")</f>
        <v/>
      </c>
      <c r="Q425" s="27" t="n"/>
      <c r="R425" s="25" t="n"/>
      <c r="S425" s="25" t="n"/>
      <c r="T425" s="25" t="n"/>
      <c r="U425" s="25">
        <f>IFERROR(VLOOKUP(M425,'Horario Pabellones'!$A$4:$D$17,2,FALSE),"")</f>
        <v/>
      </c>
      <c r="V425" s="25">
        <f>IFERROR(VLOOKUP(M425,'Horario Pabellones'!$A$4:$D$17,3,FALSE),"")</f>
        <v/>
      </c>
      <c r="W425" s="99">
        <f>IFERROR(VLOOKUP(M425,'Horario Pabellones'!$A$4:$D$17,4,FALSE),"")</f>
        <v/>
      </c>
      <c r="X425" s="89">
        <f>IFERROR(IF(OR(A425="",M425="",W425=""),"",(((_xludf.AGGREGATE(14,6,MOD($S$4:$S$500,1)/(($A$4:$A$500=A425)*($M$4:$M$500=M425)*($R$4:$R$500&lt;&gt;"")*($S$4:$S$500&lt;&gt;"")),1)-_xludf.AGGREGATE(15,6,MOD($R$4:$R$500,1)/(($A$4:$A$500=A425)*($M$4:$M$500=M425)*($R$4:$R$500&lt;&gt;"")*($S$4:$S$500&lt;&gt;"")),1))*1440)/60)/(W425/60)),"")</f>
        <v/>
      </c>
      <c r="Y425" s="26">
        <f>IFERROR(IF(OR(O425="",A425="",M425=""),"",(IF(ISNUMBER(O425),MOD(O425,1),TIMEVALUE(O425))-LOOKUP(2,1/(($A$4:$A$500=A425)*($M$4:$M$500=M425)*($T$4:$T$500&lt;&gt;"")*($T$4:$T$500&lt;IF(ISNUMBER(O425),MOD(O425,1),TIMEVALUE(O425)))),$T$4:$T$500))*1440),"")</f>
        <v/>
      </c>
      <c r="Z425" s="27">
        <f>IFERROR(IF(Y425="","",IF(ROUND(Y425,0)&lt;=15,"Cumple","No cumple")),"")</f>
        <v/>
      </c>
      <c r="AA425" s="27" t="n"/>
      <c r="AB425" s="26">
        <f>IFERROR(IF(OR(O425="",R425=""),"",IF(IF(ISNUMBER(R425),MOD(R425,1),TIMEVALUE(R425))&gt;=IF(ISNUMBER(O425),MOD(O425,1),TIMEVALUE(O425)),(IF(ISNUMBER(R425),MOD(R425,1),TIMEVALUE(R425))-IF(ISNUMBER(O425),MOD(O425,1),TIMEVALUE(O425)))*1440,(IF(ISNUMBER(R425),MOD(R425,1),TIMEVALUE(R425))+1-IF(ISNUMBER(O425),MOD(O425,1),TIMEVALUE(O425)))*1440)),"")</f>
        <v/>
      </c>
      <c r="AC425" s="26">
        <f>IFERROR(IF(OR(R425="",S425=""),"",IF(IF(ISNUMBER(S425),MOD(S425,1),TIMEVALUE(S425))&gt;=IF(ISNUMBER(R425),MOD(R425,1),TIMEVALUE(R425)),(IF(ISNUMBER(S425),MOD(S425,1),TIMEVALUE(S425))-IF(ISNUMBER(R425),MOD(R425,1),TIMEVALUE(R425)))*1440,(IF(ISNUMBER(S425),MOD(S425,1),TIMEVALUE(S425))+1-IF(ISNUMBER(R425),MOD(R425,1),TIMEVALUE(R425)))*1440)),"")</f>
        <v/>
      </c>
      <c r="AD425" s="29" t="n"/>
      <c r="AE425" s="26">
        <f>IFERROR(IF(OR(AC425="",AD425=""),"",AC425-AD425),"")</f>
        <v/>
      </c>
      <c r="AF425" s="27">
        <f>IFERROR(IF(AE425="","",IF(ROUND(AE425,0)&gt;15,"Subestimacion",IF(ROUND(AE425,0)&lt;-15,"Sobrestimacion","Asertivo"))),"")</f>
        <v/>
      </c>
      <c r="AG425" s="19" t="n"/>
      <c r="AH425" s="19" t="n"/>
      <c r="AI425" s="19" t="n"/>
      <c r="AJ425" s="19" t="n"/>
      <c r="AK425" s="19" t="n"/>
      <c r="AL425" s="19" t="n"/>
      <c r="AM425" s="19" t="n"/>
      <c r="AN425" s="19" t="n"/>
      <c r="AO425" s="19" t="n"/>
      <c r="AP425" s="127">
        <f>IF(A425="","",A425-WEEKDAY(A425,2)+1)</f>
        <v/>
      </c>
      <c r="AQ425" s="127">
        <f>IF(AO425="","",AO425+6)</f>
        <v/>
      </c>
      <c r="AR425" s="19">
        <f>IF(AO425="","","Semana "&amp;TEXT(AO425,"dd-mm-yyyy")&amp;" al "&amp;TEXT(AP425,"dd-mm-yyyy"))</f>
        <v/>
      </c>
      <c r="AS425" s="19">
        <f>IF(A425="","",TEXT(A425,"mmmm yyyy"))</f>
        <v/>
      </c>
      <c r="AT425" s="19">
        <f>IF(A425="","",TEXT(A425,"dddd"))</f>
        <v/>
      </c>
      <c r="AU425" s="19">
        <f>IF(A425="","","CRR-"&amp;TEXT(A425,"yyyymmdd")&amp;"-"&amp;M425&amp;"-"&amp;TEXT(ROW()-3,"0000"))</f>
        <v/>
      </c>
      <c r="AV425" s="19">
        <f>IF(A425="","",IF(OR(B425="",C425="",E425="",F425="",M425="",N425=""),"Revisar campos obligatorios",IF(AND(P425="Atraso primera hora",Q425=""),"Falta justificación atraso primera hora",IF(AND(Z425="No cumple",AA425=""),"Falta justificación recambio &gt;15 min",IF(AND(ISNUMBER(SEARCH("suspend",N425)),OR(AG425="",AH425="")),"Falta causa/motivo suspensión","OK")))))</f>
        <v/>
      </c>
      <c r="AW425" s="19">
        <f>IF(N425="","",IF(ISNUMBER(SEARCH("suspend",N425)),IF(AND(AG425="",AH425=""),"Sin causa/motivo registrado",IF(AG425="",AH425,IF(AH425="",AG425,AG425&amp;": "&amp;AH425))),""))</f>
        <v/>
      </c>
    </row>
    <row r="426" ht="16" customHeight="1" s="151">
      <c r="A426" s="62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20">
        <f>IF(H426&lt;&gt;"",IFERROR(VLOOKUP(IFERROR(LEFT(H426,FIND("-",H426)-1),H426),'Catalogo MINSAL'!A:E,5,FALSE),""),IF(I426&lt;&gt;"",IFERROR(VLOOKUP(IFERROR(LEFT(I426,FIND("-",I426)-1),I426),'Catalogo MINSAL'!A:E,5,FALSE),""),""))</f>
        <v/>
      </c>
      <c r="K426" s="19" t="n"/>
      <c r="L426" s="19" t="n"/>
      <c r="M426" s="19" t="n"/>
      <c r="N426" s="19" t="n"/>
      <c r="O426" s="25" t="n"/>
      <c r="P426" s="27">
        <f>IFERROR(IF(OR(O426="",A426="",M426=""),"",IF(SUMPRODUCT(($A$4:$A$500=A426)*($M$4:$M$500=M426)*($O$4:$O$500&lt;&gt;"")*(MOD($O$4:$O$500,1)&lt;MOD(O426,1)))=0,IF(MOD(O426,1)&lt;=TIME(8,15,0),"Ingreso adecuado primera hora","Atraso primera hora"),"No aplica")),"")</f>
        <v/>
      </c>
      <c r="Q426" s="27" t="n"/>
      <c r="R426" s="25" t="n"/>
      <c r="S426" s="25" t="n"/>
      <c r="T426" s="25" t="n"/>
      <c r="U426" s="25">
        <f>IFERROR(VLOOKUP(M426,'Horario Pabellones'!$A$4:$D$17,2,FALSE),"")</f>
        <v/>
      </c>
      <c r="V426" s="25">
        <f>IFERROR(VLOOKUP(M426,'Horario Pabellones'!$A$4:$D$17,3,FALSE),"")</f>
        <v/>
      </c>
      <c r="W426" s="99">
        <f>IFERROR(VLOOKUP(M426,'Horario Pabellones'!$A$4:$D$17,4,FALSE),"")</f>
        <v/>
      </c>
      <c r="X426" s="89">
        <f>IFERROR(IF(OR(A426="",M426="",W426=""),"",(((_xludf.AGGREGATE(14,6,MOD($S$4:$S$500,1)/(($A$4:$A$500=A426)*($M$4:$M$500=M426)*($R$4:$R$500&lt;&gt;"")*($S$4:$S$500&lt;&gt;"")),1)-_xludf.AGGREGATE(15,6,MOD($R$4:$R$500,1)/(($A$4:$A$500=A426)*($M$4:$M$500=M426)*($R$4:$R$500&lt;&gt;"")*($S$4:$S$500&lt;&gt;"")),1))*1440)/60)/(W426/60)),"")</f>
        <v/>
      </c>
      <c r="Y426" s="26">
        <f>IFERROR(IF(OR(O426="",A426="",M426=""),"",(IF(ISNUMBER(O426),MOD(O426,1),TIMEVALUE(O426))-LOOKUP(2,1/(($A$4:$A$500=A426)*($M$4:$M$500=M426)*($T$4:$T$500&lt;&gt;"")*($T$4:$T$500&lt;IF(ISNUMBER(O426),MOD(O426,1),TIMEVALUE(O426)))),$T$4:$T$500))*1440),"")</f>
        <v/>
      </c>
      <c r="Z426" s="27">
        <f>IFERROR(IF(Y426="","",IF(ROUND(Y426,0)&lt;=15,"Cumple","No cumple")),"")</f>
        <v/>
      </c>
      <c r="AA426" s="27" t="n"/>
      <c r="AB426" s="26">
        <f>IFERROR(IF(OR(O426="",R426=""),"",IF(IF(ISNUMBER(R426),MOD(R426,1),TIMEVALUE(R426))&gt;=IF(ISNUMBER(O426),MOD(O426,1),TIMEVALUE(O426)),(IF(ISNUMBER(R426),MOD(R426,1),TIMEVALUE(R426))-IF(ISNUMBER(O426),MOD(O426,1),TIMEVALUE(O426)))*1440,(IF(ISNUMBER(R426),MOD(R426,1),TIMEVALUE(R426))+1-IF(ISNUMBER(O426),MOD(O426,1),TIMEVALUE(O426)))*1440)),"")</f>
        <v/>
      </c>
      <c r="AC426" s="26">
        <f>IFERROR(IF(OR(R426="",S426=""),"",IF(IF(ISNUMBER(S426),MOD(S426,1),TIMEVALUE(S426))&gt;=IF(ISNUMBER(R426),MOD(R426,1),TIMEVALUE(R426)),(IF(ISNUMBER(S426),MOD(S426,1),TIMEVALUE(S426))-IF(ISNUMBER(R426),MOD(R426,1),TIMEVALUE(R426)))*1440,(IF(ISNUMBER(S426),MOD(S426,1),TIMEVALUE(S426))+1-IF(ISNUMBER(R426),MOD(R426,1),TIMEVALUE(R426)))*1440)),"")</f>
        <v/>
      </c>
      <c r="AD426" s="29" t="n"/>
      <c r="AE426" s="26">
        <f>IFERROR(IF(OR(AC426="",AD426=""),"",AC426-AD426),"")</f>
        <v/>
      </c>
      <c r="AF426" s="27">
        <f>IFERROR(IF(AE426="","",IF(ROUND(AE426,0)&gt;15,"Subestimacion",IF(ROUND(AE426,0)&lt;-15,"Sobrestimacion","Asertivo"))),"")</f>
        <v/>
      </c>
      <c r="AG426" s="19" t="n"/>
      <c r="AH426" s="19" t="n"/>
      <c r="AI426" s="19" t="n"/>
      <c r="AJ426" s="19" t="n"/>
      <c r="AK426" s="19" t="n"/>
      <c r="AL426" s="19" t="n"/>
      <c r="AM426" s="19" t="n"/>
      <c r="AN426" s="19" t="n"/>
      <c r="AO426" s="19" t="n"/>
      <c r="AP426" s="127">
        <f>IF(A426="","",A426-WEEKDAY(A426,2)+1)</f>
        <v/>
      </c>
      <c r="AQ426" s="127">
        <f>IF(AO426="","",AO426+6)</f>
        <v/>
      </c>
      <c r="AR426" s="19">
        <f>IF(AO426="","","Semana "&amp;TEXT(AO426,"dd-mm-yyyy")&amp;" al "&amp;TEXT(AP426,"dd-mm-yyyy"))</f>
        <v/>
      </c>
      <c r="AS426" s="19">
        <f>IF(A426="","",TEXT(A426,"mmmm yyyy"))</f>
        <v/>
      </c>
      <c r="AT426" s="19">
        <f>IF(A426="","",TEXT(A426,"dddd"))</f>
        <v/>
      </c>
      <c r="AU426" s="19">
        <f>IF(A426="","","CRR-"&amp;TEXT(A426,"yyyymmdd")&amp;"-"&amp;M426&amp;"-"&amp;TEXT(ROW()-3,"0000"))</f>
        <v/>
      </c>
      <c r="AV426" s="19">
        <f>IF(A426="","",IF(OR(B426="",C426="",E426="",F426="",M426="",N426=""),"Revisar campos obligatorios",IF(AND(P426="Atraso primera hora",Q426=""),"Falta justificación atraso primera hora",IF(AND(Z426="No cumple",AA426=""),"Falta justificación recambio &gt;15 min",IF(AND(ISNUMBER(SEARCH("suspend",N426)),OR(AG426="",AH426="")),"Falta causa/motivo suspensión","OK")))))</f>
        <v/>
      </c>
      <c r="AW426" s="19">
        <f>IF(N426="","",IF(ISNUMBER(SEARCH("suspend",N426)),IF(AND(AG426="",AH426=""),"Sin causa/motivo registrado",IF(AG426="",AH426,IF(AH426="",AG426,AG426&amp;": "&amp;AH426))),""))</f>
        <v/>
      </c>
    </row>
    <row r="427" ht="16" customHeight="1" s="151">
      <c r="A427" s="62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20">
        <f>IF(H427&lt;&gt;"",IFERROR(VLOOKUP(IFERROR(LEFT(H427,FIND("-",H427)-1),H427),'Catalogo MINSAL'!A:E,5,FALSE),""),IF(I427&lt;&gt;"",IFERROR(VLOOKUP(IFERROR(LEFT(I427,FIND("-",I427)-1),I427),'Catalogo MINSAL'!A:E,5,FALSE),""),""))</f>
        <v/>
      </c>
      <c r="K427" s="19" t="n"/>
      <c r="L427" s="19" t="n"/>
      <c r="M427" s="19" t="n"/>
      <c r="N427" s="19" t="n"/>
      <c r="O427" s="25" t="n"/>
      <c r="P427" s="27">
        <f>IFERROR(IF(OR(O427="",A427="",M427=""),"",IF(SUMPRODUCT(($A$4:$A$500=A427)*($M$4:$M$500=M427)*($O$4:$O$500&lt;&gt;"")*(MOD($O$4:$O$500,1)&lt;MOD(O427,1)))=0,IF(MOD(O427,1)&lt;=TIME(8,15,0),"Ingreso adecuado primera hora","Atraso primera hora"),"No aplica")),"")</f>
        <v/>
      </c>
      <c r="Q427" s="27" t="n"/>
      <c r="R427" s="25" t="n"/>
      <c r="S427" s="25" t="n"/>
      <c r="T427" s="25" t="n"/>
      <c r="U427" s="25">
        <f>IFERROR(VLOOKUP(M427,'Horario Pabellones'!$A$4:$D$17,2,FALSE),"")</f>
        <v/>
      </c>
      <c r="V427" s="25">
        <f>IFERROR(VLOOKUP(M427,'Horario Pabellones'!$A$4:$D$17,3,FALSE),"")</f>
        <v/>
      </c>
      <c r="W427" s="99">
        <f>IFERROR(VLOOKUP(M427,'Horario Pabellones'!$A$4:$D$17,4,FALSE),"")</f>
        <v/>
      </c>
      <c r="X427" s="89">
        <f>IFERROR(IF(OR(A427="",M427="",W427=""),"",(((_xludf.AGGREGATE(14,6,MOD($S$4:$S$500,1)/(($A$4:$A$500=A427)*($M$4:$M$500=M427)*($R$4:$R$500&lt;&gt;"")*($S$4:$S$500&lt;&gt;"")),1)-_xludf.AGGREGATE(15,6,MOD($R$4:$R$500,1)/(($A$4:$A$500=A427)*($M$4:$M$500=M427)*($R$4:$R$500&lt;&gt;"")*($S$4:$S$500&lt;&gt;"")),1))*1440)/60)/(W427/60)),"")</f>
        <v/>
      </c>
      <c r="Y427" s="26">
        <f>IFERROR(IF(OR(O427="",A427="",M427=""),"",(IF(ISNUMBER(O427),MOD(O427,1),TIMEVALUE(O427))-LOOKUP(2,1/(($A$4:$A$500=A427)*($M$4:$M$500=M427)*($T$4:$T$500&lt;&gt;"")*($T$4:$T$500&lt;IF(ISNUMBER(O427),MOD(O427,1),TIMEVALUE(O427)))),$T$4:$T$500))*1440),"")</f>
        <v/>
      </c>
      <c r="Z427" s="27">
        <f>IFERROR(IF(Y427="","",IF(ROUND(Y427,0)&lt;=15,"Cumple","No cumple")),"")</f>
        <v/>
      </c>
      <c r="AA427" s="27" t="n"/>
      <c r="AB427" s="26">
        <f>IFERROR(IF(OR(O427="",R427=""),"",IF(IF(ISNUMBER(R427),MOD(R427,1),TIMEVALUE(R427))&gt;=IF(ISNUMBER(O427),MOD(O427,1),TIMEVALUE(O427)),(IF(ISNUMBER(R427),MOD(R427,1),TIMEVALUE(R427))-IF(ISNUMBER(O427),MOD(O427,1),TIMEVALUE(O427)))*1440,(IF(ISNUMBER(R427),MOD(R427,1),TIMEVALUE(R427))+1-IF(ISNUMBER(O427),MOD(O427,1),TIMEVALUE(O427)))*1440)),"")</f>
        <v/>
      </c>
      <c r="AC427" s="26">
        <f>IFERROR(IF(OR(R427="",S427=""),"",IF(IF(ISNUMBER(S427),MOD(S427,1),TIMEVALUE(S427))&gt;=IF(ISNUMBER(R427),MOD(R427,1),TIMEVALUE(R427)),(IF(ISNUMBER(S427),MOD(S427,1),TIMEVALUE(S427))-IF(ISNUMBER(R427),MOD(R427,1),TIMEVALUE(R427)))*1440,(IF(ISNUMBER(S427),MOD(S427,1),TIMEVALUE(S427))+1-IF(ISNUMBER(R427),MOD(R427,1),TIMEVALUE(R427)))*1440)),"")</f>
        <v/>
      </c>
      <c r="AD427" s="29" t="n"/>
      <c r="AE427" s="26">
        <f>IFERROR(IF(OR(AC427="",AD427=""),"",AC427-AD427),"")</f>
        <v/>
      </c>
      <c r="AF427" s="27">
        <f>IFERROR(IF(AE427="","",IF(ROUND(AE427,0)&gt;15,"Subestimacion",IF(ROUND(AE427,0)&lt;-15,"Sobrestimacion","Asertivo"))),"")</f>
        <v/>
      </c>
      <c r="AG427" s="19" t="n"/>
      <c r="AH427" s="19" t="n"/>
      <c r="AI427" s="19" t="n"/>
      <c r="AJ427" s="19" t="n"/>
      <c r="AK427" s="19" t="n"/>
      <c r="AL427" s="19" t="n"/>
      <c r="AM427" s="19" t="n"/>
      <c r="AN427" s="19" t="n"/>
      <c r="AO427" s="19" t="n"/>
      <c r="AP427" s="127">
        <f>IF(A427="","",A427-WEEKDAY(A427,2)+1)</f>
        <v/>
      </c>
      <c r="AQ427" s="127">
        <f>IF(AO427="","",AO427+6)</f>
        <v/>
      </c>
      <c r="AR427" s="19">
        <f>IF(AO427="","","Semana "&amp;TEXT(AO427,"dd-mm-yyyy")&amp;" al "&amp;TEXT(AP427,"dd-mm-yyyy"))</f>
        <v/>
      </c>
      <c r="AS427" s="19">
        <f>IF(A427="","",TEXT(A427,"mmmm yyyy"))</f>
        <v/>
      </c>
      <c r="AT427" s="19">
        <f>IF(A427="","",TEXT(A427,"dddd"))</f>
        <v/>
      </c>
      <c r="AU427" s="19">
        <f>IF(A427="","","CRR-"&amp;TEXT(A427,"yyyymmdd")&amp;"-"&amp;M427&amp;"-"&amp;TEXT(ROW()-3,"0000"))</f>
        <v/>
      </c>
      <c r="AV427" s="19">
        <f>IF(A427="","",IF(OR(B427="",C427="",E427="",F427="",M427="",N427=""),"Revisar campos obligatorios",IF(AND(P427="Atraso primera hora",Q427=""),"Falta justificación atraso primera hora",IF(AND(Z427="No cumple",AA427=""),"Falta justificación recambio &gt;15 min",IF(AND(ISNUMBER(SEARCH("suspend",N427)),OR(AG427="",AH427="")),"Falta causa/motivo suspensión","OK")))))</f>
        <v/>
      </c>
      <c r="AW427" s="19">
        <f>IF(N427="","",IF(ISNUMBER(SEARCH("suspend",N427)),IF(AND(AG427="",AH427=""),"Sin causa/motivo registrado",IF(AG427="",AH427,IF(AH427="",AG427,AG427&amp;": "&amp;AH427))),""))</f>
        <v/>
      </c>
    </row>
    <row r="428" ht="16" customHeight="1" s="151">
      <c r="A428" s="62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20">
        <f>IF(H428&lt;&gt;"",IFERROR(VLOOKUP(IFERROR(LEFT(H428,FIND("-",H428)-1),H428),'Catalogo MINSAL'!A:E,5,FALSE),""),IF(I428&lt;&gt;"",IFERROR(VLOOKUP(IFERROR(LEFT(I428,FIND("-",I428)-1),I428),'Catalogo MINSAL'!A:E,5,FALSE),""),""))</f>
        <v/>
      </c>
      <c r="K428" s="19" t="n"/>
      <c r="L428" s="19" t="n"/>
      <c r="M428" s="19" t="n"/>
      <c r="N428" s="19" t="n"/>
      <c r="O428" s="25" t="n"/>
      <c r="P428" s="27">
        <f>IFERROR(IF(OR(O428="",A428="",M428=""),"",IF(SUMPRODUCT(($A$4:$A$500=A428)*($M$4:$M$500=M428)*($O$4:$O$500&lt;&gt;"")*(MOD($O$4:$O$500,1)&lt;MOD(O428,1)))=0,IF(MOD(O428,1)&lt;=TIME(8,15,0),"Ingreso adecuado primera hora","Atraso primera hora"),"No aplica")),"")</f>
        <v/>
      </c>
      <c r="Q428" s="27" t="n"/>
      <c r="R428" s="25" t="n"/>
      <c r="S428" s="25" t="n"/>
      <c r="T428" s="25" t="n"/>
      <c r="U428" s="25">
        <f>IFERROR(VLOOKUP(M428,'Horario Pabellones'!$A$4:$D$17,2,FALSE),"")</f>
        <v/>
      </c>
      <c r="V428" s="25">
        <f>IFERROR(VLOOKUP(M428,'Horario Pabellones'!$A$4:$D$17,3,FALSE),"")</f>
        <v/>
      </c>
      <c r="W428" s="99">
        <f>IFERROR(VLOOKUP(M428,'Horario Pabellones'!$A$4:$D$17,4,FALSE),"")</f>
        <v/>
      </c>
      <c r="X428" s="89">
        <f>IFERROR(IF(OR(A428="",M428="",W428=""),"",(((_xludf.AGGREGATE(14,6,MOD($S$4:$S$500,1)/(($A$4:$A$500=A428)*($M$4:$M$500=M428)*($R$4:$R$500&lt;&gt;"")*($S$4:$S$500&lt;&gt;"")),1)-_xludf.AGGREGATE(15,6,MOD($R$4:$R$500,1)/(($A$4:$A$500=A428)*($M$4:$M$500=M428)*($R$4:$R$500&lt;&gt;"")*($S$4:$S$500&lt;&gt;"")),1))*1440)/60)/(W428/60)),"")</f>
        <v/>
      </c>
      <c r="Y428" s="26">
        <f>IFERROR(IF(OR(O428="",A428="",M428=""),"",(IF(ISNUMBER(O428),MOD(O428,1),TIMEVALUE(O428))-LOOKUP(2,1/(($A$4:$A$500=A428)*($M$4:$M$500=M428)*($T$4:$T$500&lt;&gt;"")*($T$4:$T$500&lt;IF(ISNUMBER(O428),MOD(O428,1),TIMEVALUE(O428)))),$T$4:$T$500))*1440),"")</f>
        <v/>
      </c>
      <c r="Z428" s="27">
        <f>IFERROR(IF(Y428="","",IF(ROUND(Y428,0)&lt;=15,"Cumple","No cumple")),"")</f>
        <v/>
      </c>
      <c r="AA428" s="27" t="n"/>
      <c r="AB428" s="26">
        <f>IFERROR(IF(OR(O428="",R428=""),"",IF(IF(ISNUMBER(R428),MOD(R428,1),TIMEVALUE(R428))&gt;=IF(ISNUMBER(O428),MOD(O428,1),TIMEVALUE(O428)),(IF(ISNUMBER(R428),MOD(R428,1),TIMEVALUE(R428))-IF(ISNUMBER(O428),MOD(O428,1),TIMEVALUE(O428)))*1440,(IF(ISNUMBER(R428),MOD(R428,1),TIMEVALUE(R428))+1-IF(ISNUMBER(O428),MOD(O428,1),TIMEVALUE(O428)))*1440)),"")</f>
        <v/>
      </c>
      <c r="AC428" s="26">
        <f>IFERROR(IF(OR(R428="",S428=""),"",IF(IF(ISNUMBER(S428),MOD(S428,1),TIMEVALUE(S428))&gt;=IF(ISNUMBER(R428),MOD(R428,1),TIMEVALUE(R428)),(IF(ISNUMBER(S428),MOD(S428,1),TIMEVALUE(S428))-IF(ISNUMBER(R428),MOD(R428,1),TIMEVALUE(R428)))*1440,(IF(ISNUMBER(S428),MOD(S428,1),TIMEVALUE(S428))+1-IF(ISNUMBER(R428),MOD(R428,1),TIMEVALUE(R428)))*1440)),"")</f>
        <v/>
      </c>
      <c r="AD428" s="29" t="n"/>
      <c r="AE428" s="26">
        <f>IFERROR(IF(OR(AC428="",AD428=""),"",AC428-AD428),"")</f>
        <v/>
      </c>
      <c r="AF428" s="27">
        <f>IFERROR(IF(AE428="","",IF(ROUND(AE428,0)&gt;15,"Subestimacion",IF(ROUND(AE428,0)&lt;-15,"Sobrestimacion","Asertivo"))),"")</f>
        <v/>
      </c>
      <c r="AG428" s="19" t="n"/>
      <c r="AH428" s="19" t="n"/>
      <c r="AI428" s="19" t="n"/>
      <c r="AJ428" s="19" t="n"/>
      <c r="AK428" s="19" t="n"/>
      <c r="AL428" s="19" t="n"/>
      <c r="AM428" s="19" t="n"/>
      <c r="AN428" s="19" t="n"/>
      <c r="AO428" s="19" t="n"/>
      <c r="AP428" s="127">
        <f>IF(A428="","",A428-WEEKDAY(A428,2)+1)</f>
        <v/>
      </c>
      <c r="AQ428" s="127">
        <f>IF(AO428="","",AO428+6)</f>
        <v/>
      </c>
      <c r="AR428" s="19">
        <f>IF(AO428="","","Semana "&amp;TEXT(AO428,"dd-mm-yyyy")&amp;" al "&amp;TEXT(AP428,"dd-mm-yyyy"))</f>
        <v/>
      </c>
      <c r="AS428" s="19">
        <f>IF(A428="","",TEXT(A428,"mmmm yyyy"))</f>
        <v/>
      </c>
      <c r="AT428" s="19">
        <f>IF(A428="","",TEXT(A428,"dddd"))</f>
        <v/>
      </c>
      <c r="AU428" s="19">
        <f>IF(A428="","","CRR-"&amp;TEXT(A428,"yyyymmdd")&amp;"-"&amp;M428&amp;"-"&amp;TEXT(ROW()-3,"0000"))</f>
        <v/>
      </c>
      <c r="AV428" s="19">
        <f>IF(A428="","",IF(OR(B428="",C428="",E428="",F428="",M428="",N428=""),"Revisar campos obligatorios",IF(AND(P428="Atraso primera hora",Q428=""),"Falta justificación atraso primera hora",IF(AND(Z428="No cumple",AA428=""),"Falta justificación recambio &gt;15 min",IF(AND(ISNUMBER(SEARCH("suspend",N428)),OR(AG428="",AH428="")),"Falta causa/motivo suspensión","OK")))))</f>
        <v/>
      </c>
      <c r="AW428" s="19">
        <f>IF(N428="","",IF(ISNUMBER(SEARCH("suspend",N428)),IF(AND(AG428="",AH428=""),"Sin causa/motivo registrado",IF(AG428="",AH428,IF(AH428="",AG428,AG428&amp;": "&amp;AH428))),""))</f>
        <v/>
      </c>
    </row>
    <row r="429" ht="16" customHeight="1" s="151">
      <c r="A429" s="62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20">
        <f>IF(H429&lt;&gt;"",IFERROR(VLOOKUP(IFERROR(LEFT(H429,FIND("-",H429)-1),H429),'Catalogo MINSAL'!A:E,5,FALSE),""),IF(I429&lt;&gt;"",IFERROR(VLOOKUP(IFERROR(LEFT(I429,FIND("-",I429)-1),I429),'Catalogo MINSAL'!A:E,5,FALSE),""),""))</f>
        <v/>
      </c>
      <c r="K429" s="19" t="n"/>
      <c r="L429" s="19" t="n"/>
      <c r="M429" s="19" t="n"/>
      <c r="N429" s="19" t="n"/>
      <c r="O429" s="25" t="n"/>
      <c r="P429" s="27">
        <f>IFERROR(IF(OR(O429="",A429="",M429=""),"",IF(SUMPRODUCT(($A$4:$A$500=A429)*($M$4:$M$500=M429)*($O$4:$O$500&lt;&gt;"")*(MOD($O$4:$O$500,1)&lt;MOD(O429,1)))=0,IF(MOD(O429,1)&lt;=TIME(8,15,0),"Ingreso adecuado primera hora","Atraso primera hora"),"No aplica")),"")</f>
        <v/>
      </c>
      <c r="Q429" s="27" t="n"/>
      <c r="R429" s="25" t="n"/>
      <c r="S429" s="25" t="n"/>
      <c r="T429" s="25" t="n"/>
      <c r="U429" s="25">
        <f>IFERROR(VLOOKUP(M429,'Horario Pabellones'!$A$4:$D$17,2,FALSE),"")</f>
        <v/>
      </c>
      <c r="V429" s="25">
        <f>IFERROR(VLOOKUP(M429,'Horario Pabellones'!$A$4:$D$17,3,FALSE),"")</f>
        <v/>
      </c>
      <c r="W429" s="99">
        <f>IFERROR(VLOOKUP(M429,'Horario Pabellones'!$A$4:$D$17,4,FALSE),"")</f>
        <v/>
      </c>
      <c r="X429" s="89">
        <f>IFERROR(IF(OR(A429="",M429="",W429=""),"",(((_xludf.AGGREGATE(14,6,MOD($S$4:$S$500,1)/(($A$4:$A$500=A429)*($M$4:$M$500=M429)*($R$4:$R$500&lt;&gt;"")*($S$4:$S$500&lt;&gt;"")),1)-_xludf.AGGREGATE(15,6,MOD($R$4:$R$500,1)/(($A$4:$A$500=A429)*($M$4:$M$500=M429)*($R$4:$R$500&lt;&gt;"")*($S$4:$S$500&lt;&gt;"")),1))*1440)/60)/(W429/60)),"")</f>
        <v/>
      </c>
      <c r="Y429" s="26">
        <f>IFERROR(IF(OR(O429="",A429="",M429=""),"",(IF(ISNUMBER(O429),MOD(O429,1),TIMEVALUE(O429))-LOOKUP(2,1/(($A$4:$A$500=A429)*($M$4:$M$500=M429)*($T$4:$T$500&lt;&gt;"")*($T$4:$T$500&lt;IF(ISNUMBER(O429),MOD(O429,1),TIMEVALUE(O429)))),$T$4:$T$500))*1440),"")</f>
        <v/>
      </c>
      <c r="Z429" s="27">
        <f>IFERROR(IF(Y429="","",IF(ROUND(Y429,0)&lt;=15,"Cumple","No cumple")),"")</f>
        <v/>
      </c>
      <c r="AA429" s="27" t="n"/>
      <c r="AB429" s="26">
        <f>IFERROR(IF(OR(O429="",R429=""),"",IF(IF(ISNUMBER(R429),MOD(R429,1),TIMEVALUE(R429))&gt;=IF(ISNUMBER(O429),MOD(O429,1),TIMEVALUE(O429)),(IF(ISNUMBER(R429),MOD(R429,1),TIMEVALUE(R429))-IF(ISNUMBER(O429),MOD(O429,1),TIMEVALUE(O429)))*1440,(IF(ISNUMBER(R429),MOD(R429,1),TIMEVALUE(R429))+1-IF(ISNUMBER(O429),MOD(O429,1),TIMEVALUE(O429)))*1440)),"")</f>
        <v/>
      </c>
      <c r="AC429" s="26">
        <f>IFERROR(IF(OR(R429="",S429=""),"",IF(IF(ISNUMBER(S429),MOD(S429,1),TIMEVALUE(S429))&gt;=IF(ISNUMBER(R429),MOD(R429,1),TIMEVALUE(R429)),(IF(ISNUMBER(S429),MOD(S429,1),TIMEVALUE(S429))-IF(ISNUMBER(R429),MOD(R429,1),TIMEVALUE(R429)))*1440,(IF(ISNUMBER(S429),MOD(S429,1),TIMEVALUE(S429))+1-IF(ISNUMBER(R429),MOD(R429,1),TIMEVALUE(R429)))*1440)),"")</f>
        <v/>
      </c>
      <c r="AD429" s="29" t="n"/>
      <c r="AE429" s="26">
        <f>IFERROR(IF(OR(AC429="",AD429=""),"",AC429-AD429),"")</f>
        <v/>
      </c>
      <c r="AF429" s="27">
        <f>IFERROR(IF(AE429="","",IF(ROUND(AE429,0)&gt;15,"Subestimacion",IF(ROUND(AE429,0)&lt;-15,"Sobrestimacion","Asertivo"))),"")</f>
        <v/>
      </c>
      <c r="AG429" s="19" t="n"/>
      <c r="AH429" s="19" t="n"/>
      <c r="AI429" s="19" t="n"/>
      <c r="AJ429" s="19" t="n"/>
      <c r="AK429" s="19" t="n"/>
      <c r="AL429" s="19" t="n"/>
      <c r="AM429" s="19" t="n"/>
      <c r="AN429" s="19" t="n"/>
      <c r="AO429" s="19" t="n"/>
      <c r="AP429" s="127">
        <f>IF(A429="","",A429-WEEKDAY(A429,2)+1)</f>
        <v/>
      </c>
      <c r="AQ429" s="127">
        <f>IF(AO429="","",AO429+6)</f>
        <v/>
      </c>
      <c r="AR429" s="19">
        <f>IF(AO429="","","Semana "&amp;TEXT(AO429,"dd-mm-yyyy")&amp;" al "&amp;TEXT(AP429,"dd-mm-yyyy"))</f>
        <v/>
      </c>
      <c r="AS429" s="19">
        <f>IF(A429="","",TEXT(A429,"mmmm yyyy"))</f>
        <v/>
      </c>
      <c r="AT429" s="19">
        <f>IF(A429="","",TEXT(A429,"dddd"))</f>
        <v/>
      </c>
      <c r="AU429" s="19">
        <f>IF(A429="","","CRR-"&amp;TEXT(A429,"yyyymmdd")&amp;"-"&amp;M429&amp;"-"&amp;TEXT(ROW()-3,"0000"))</f>
        <v/>
      </c>
      <c r="AV429" s="19">
        <f>IF(A429="","",IF(OR(B429="",C429="",E429="",F429="",M429="",N429=""),"Revisar campos obligatorios",IF(AND(P429="Atraso primera hora",Q429=""),"Falta justificación atraso primera hora",IF(AND(Z429="No cumple",AA429=""),"Falta justificación recambio &gt;15 min",IF(AND(ISNUMBER(SEARCH("suspend",N429)),OR(AG429="",AH429="")),"Falta causa/motivo suspensión","OK")))))</f>
        <v/>
      </c>
      <c r="AW429" s="19">
        <f>IF(N429="","",IF(ISNUMBER(SEARCH("suspend",N429)),IF(AND(AG429="",AH429=""),"Sin causa/motivo registrado",IF(AG429="",AH429,IF(AH429="",AG429,AG429&amp;": "&amp;AH429))),""))</f>
        <v/>
      </c>
    </row>
    <row r="430" ht="16" customHeight="1" s="151">
      <c r="A430" s="62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20">
        <f>IF(H430&lt;&gt;"",IFERROR(VLOOKUP(IFERROR(LEFT(H430,FIND("-",H430)-1),H430),'Catalogo MINSAL'!A:E,5,FALSE),""),IF(I430&lt;&gt;"",IFERROR(VLOOKUP(IFERROR(LEFT(I430,FIND("-",I430)-1),I430),'Catalogo MINSAL'!A:E,5,FALSE),""),""))</f>
        <v/>
      </c>
      <c r="K430" s="19" t="n"/>
      <c r="L430" s="19" t="n"/>
      <c r="M430" s="19" t="n"/>
      <c r="N430" s="19" t="n"/>
      <c r="O430" s="25" t="n"/>
      <c r="P430" s="27">
        <f>IFERROR(IF(OR(O430="",A430="",M430=""),"",IF(SUMPRODUCT(($A$4:$A$500=A430)*($M$4:$M$500=M430)*($O$4:$O$500&lt;&gt;"")*(MOD($O$4:$O$500,1)&lt;MOD(O430,1)))=0,IF(MOD(O430,1)&lt;=TIME(8,15,0),"Ingreso adecuado primera hora","Atraso primera hora"),"No aplica")),"")</f>
        <v/>
      </c>
      <c r="Q430" s="27" t="n"/>
      <c r="R430" s="25" t="n"/>
      <c r="S430" s="25" t="n"/>
      <c r="T430" s="25" t="n"/>
      <c r="U430" s="25">
        <f>IFERROR(VLOOKUP(M430,'Horario Pabellones'!$A$4:$D$17,2,FALSE),"")</f>
        <v/>
      </c>
      <c r="V430" s="25">
        <f>IFERROR(VLOOKUP(M430,'Horario Pabellones'!$A$4:$D$17,3,FALSE),"")</f>
        <v/>
      </c>
      <c r="W430" s="99">
        <f>IFERROR(VLOOKUP(M430,'Horario Pabellones'!$A$4:$D$17,4,FALSE),"")</f>
        <v/>
      </c>
      <c r="X430" s="89">
        <f>IFERROR(IF(OR(A430="",M430="",W430=""),"",(((_xludf.AGGREGATE(14,6,MOD($S$4:$S$500,1)/(($A$4:$A$500=A430)*($M$4:$M$500=M430)*($R$4:$R$500&lt;&gt;"")*($S$4:$S$500&lt;&gt;"")),1)-_xludf.AGGREGATE(15,6,MOD($R$4:$R$500,1)/(($A$4:$A$500=A430)*($M$4:$M$500=M430)*($R$4:$R$500&lt;&gt;"")*($S$4:$S$500&lt;&gt;"")),1))*1440)/60)/(W430/60)),"")</f>
        <v/>
      </c>
      <c r="Y430" s="26">
        <f>IFERROR(IF(OR(O430="",A430="",M430=""),"",(IF(ISNUMBER(O430),MOD(O430,1),TIMEVALUE(O430))-LOOKUP(2,1/(($A$4:$A$500=A430)*($M$4:$M$500=M430)*($T$4:$T$500&lt;&gt;"")*($T$4:$T$500&lt;IF(ISNUMBER(O430),MOD(O430,1),TIMEVALUE(O430)))),$T$4:$T$500))*1440),"")</f>
        <v/>
      </c>
      <c r="Z430" s="27">
        <f>IFERROR(IF(Y430="","",IF(ROUND(Y430,0)&lt;=15,"Cumple","No cumple")),"")</f>
        <v/>
      </c>
      <c r="AA430" s="27" t="n"/>
      <c r="AB430" s="26">
        <f>IFERROR(IF(OR(O430="",R430=""),"",IF(IF(ISNUMBER(R430),MOD(R430,1),TIMEVALUE(R430))&gt;=IF(ISNUMBER(O430),MOD(O430,1),TIMEVALUE(O430)),(IF(ISNUMBER(R430),MOD(R430,1),TIMEVALUE(R430))-IF(ISNUMBER(O430),MOD(O430,1),TIMEVALUE(O430)))*1440,(IF(ISNUMBER(R430),MOD(R430,1),TIMEVALUE(R430))+1-IF(ISNUMBER(O430),MOD(O430,1),TIMEVALUE(O430)))*1440)),"")</f>
        <v/>
      </c>
      <c r="AC430" s="26">
        <f>IFERROR(IF(OR(R430="",S430=""),"",IF(IF(ISNUMBER(S430),MOD(S430,1),TIMEVALUE(S430))&gt;=IF(ISNUMBER(R430),MOD(R430,1),TIMEVALUE(R430)),(IF(ISNUMBER(S430),MOD(S430,1),TIMEVALUE(S430))-IF(ISNUMBER(R430),MOD(R430,1),TIMEVALUE(R430)))*1440,(IF(ISNUMBER(S430),MOD(S430,1),TIMEVALUE(S430))+1-IF(ISNUMBER(R430),MOD(R430,1),TIMEVALUE(R430)))*1440)),"")</f>
        <v/>
      </c>
      <c r="AD430" s="29" t="n"/>
      <c r="AE430" s="26">
        <f>IFERROR(IF(OR(AC430="",AD430=""),"",AC430-AD430),"")</f>
        <v/>
      </c>
      <c r="AF430" s="27">
        <f>IFERROR(IF(AE430="","",IF(ROUND(AE430,0)&gt;15,"Subestimacion",IF(ROUND(AE430,0)&lt;-15,"Sobrestimacion","Asertivo"))),"")</f>
        <v/>
      </c>
      <c r="AG430" s="19" t="n"/>
      <c r="AH430" s="19" t="n"/>
      <c r="AI430" s="19" t="n"/>
      <c r="AJ430" s="19" t="n"/>
      <c r="AK430" s="19" t="n"/>
      <c r="AL430" s="19" t="n"/>
      <c r="AM430" s="19" t="n"/>
      <c r="AN430" s="19" t="n"/>
      <c r="AO430" s="19" t="n"/>
      <c r="AP430" s="127">
        <f>IF(A430="","",A430-WEEKDAY(A430,2)+1)</f>
        <v/>
      </c>
      <c r="AQ430" s="127">
        <f>IF(AO430="","",AO430+6)</f>
        <v/>
      </c>
      <c r="AR430" s="19">
        <f>IF(AO430="","","Semana "&amp;TEXT(AO430,"dd-mm-yyyy")&amp;" al "&amp;TEXT(AP430,"dd-mm-yyyy"))</f>
        <v/>
      </c>
      <c r="AS430" s="19">
        <f>IF(A430="","",TEXT(A430,"mmmm yyyy"))</f>
        <v/>
      </c>
      <c r="AT430" s="19">
        <f>IF(A430="","",TEXT(A430,"dddd"))</f>
        <v/>
      </c>
      <c r="AU430" s="19">
        <f>IF(A430="","","CRR-"&amp;TEXT(A430,"yyyymmdd")&amp;"-"&amp;M430&amp;"-"&amp;TEXT(ROW()-3,"0000"))</f>
        <v/>
      </c>
      <c r="AV430" s="19">
        <f>IF(A430="","",IF(OR(B430="",C430="",E430="",F430="",M430="",N430=""),"Revisar campos obligatorios",IF(AND(P430="Atraso primera hora",Q430=""),"Falta justificación atraso primera hora",IF(AND(Z430="No cumple",AA430=""),"Falta justificación recambio &gt;15 min",IF(AND(ISNUMBER(SEARCH("suspend",N430)),OR(AG430="",AH430="")),"Falta causa/motivo suspensión","OK")))))</f>
        <v/>
      </c>
      <c r="AW430" s="19">
        <f>IF(N430="","",IF(ISNUMBER(SEARCH("suspend",N430)),IF(AND(AG430="",AH430=""),"Sin causa/motivo registrado",IF(AG430="",AH430,IF(AH430="",AG430,AG430&amp;": "&amp;AH430))),""))</f>
        <v/>
      </c>
    </row>
    <row r="431" ht="16" customHeight="1" s="151">
      <c r="A431" s="62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20">
        <f>IF(H431&lt;&gt;"",IFERROR(VLOOKUP(IFERROR(LEFT(H431,FIND("-",H431)-1),H431),'Catalogo MINSAL'!A:E,5,FALSE),""),IF(I431&lt;&gt;"",IFERROR(VLOOKUP(IFERROR(LEFT(I431,FIND("-",I431)-1),I431),'Catalogo MINSAL'!A:E,5,FALSE),""),""))</f>
        <v/>
      </c>
      <c r="K431" s="19" t="n"/>
      <c r="L431" s="19" t="n"/>
      <c r="M431" s="19" t="n"/>
      <c r="N431" s="19" t="n"/>
      <c r="O431" s="25" t="n"/>
      <c r="P431" s="27">
        <f>IFERROR(IF(OR(O431="",A431="",M431=""),"",IF(SUMPRODUCT(($A$4:$A$500=A431)*($M$4:$M$500=M431)*($O$4:$O$500&lt;&gt;"")*(MOD($O$4:$O$500,1)&lt;MOD(O431,1)))=0,IF(MOD(O431,1)&lt;=TIME(8,15,0),"Ingreso adecuado primera hora","Atraso primera hora"),"No aplica")),"")</f>
        <v/>
      </c>
      <c r="Q431" s="27" t="n"/>
      <c r="R431" s="25" t="n"/>
      <c r="S431" s="25" t="n"/>
      <c r="T431" s="25" t="n"/>
      <c r="U431" s="25">
        <f>IFERROR(VLOOKUP(M431,'Horario Pabellones'!$A$4:$D$17,2,FALSE),"")</f>
        <v/>
      </c>
      <c r="V431" s="25">
        <f>IFERROR(VLOOKUP(M431,'Horario Pabellones'!$A$4:$D$17,3,FALSE),"")</f>
        <v/>
      </c>
      <c r="W431" s="99">
        <f>IFERROR(VLOOKUP(M431,'Horario Pabellones'!$A$4:$D$17,4,FALSE),"")</f>
        <v/>
      </c>
      <c r="X431" s="89">
        <f>IFERROR(IF(OR(A431="",M431="",W431=""),"",(((_xludf.AGGREGATE(14,6,MOD($S$4:$S$500,1)/(($A$4:$A$500=A431)*($M$4:$M$500=M431)*($R$4:$R$500&lt;&gt;"")*($S$4:$S$500&lt;&gt;"")),1)-_xludf.AGGREGATE(15,6,MOD($R$4:$R$500,1)/(($A$4:$A$500=A431)*($M$4:$M$500=M431)*($R$4:$R$500&lt;&gt;"")*($S$4:$S$500&lt;&gt;"")),1))*1440)/60)/(W431/60)),"")</f>
        <v/>
      </c>
      <c r="Y431" s="26">
        <f>IFERROR(IF(OR(O431="",A431="",M431=""),"",(IF(ISNUMBER(O431),MOD(O431,1),TIMEVALUE(O431))-LOOKUP(2,1/(($A$4:$A$500=A431)*($M$4:$M$500=M431)*($T$4:$T$500&lt;&gt;"")*($T$4:$T$500&lt;IF(ISNUMBER(O431),MOD(O431,1),TIMEVALUE(O431)))),$T$4:$T$500))*1440),"")</f>
        <v/>
      </c>
      <c r="Z431" s="27">
        <f>IFERROR(IF(Y431="","",IF(ROUND(Y431,0)&lt;=15,"Cumple","No cumple")),"")</f>
        <v/>
      </c>
      <c r="AA431" s="27" t="n"/>
      <c r="AB431" s="26">
        <f>IFERROR(IF(OR(O431="",R431=""),"",IF(IF(ISNUMBER(R431),MOD(R431,1),TIMEVALUE(R431))&gt;=IF(ISNUMBER(O431),MOD(O431,1),TIMEVALUE(O431)),(IF(ISNUMBER(R431),MOD(R431,1),TIMEVALUE(R431))-IF(ISNUMBER(O431),MOD(O431,1),TIMEVALUE(O431)))*1440,(IF(ISNUMBER(R431),MOD(R431,1),TIMEVALUE(R431))+1-IF(ISNUMBER(O431),MOD(O431,1),TIMEVALUE(O431)))*1440)),"")</f>
        <v/>
      </c>
      <c r="AC431" s="26">
        <f>IFERROR(IF(OR(R431="",S431=""),"",IF(IF(ISNUMBER(S431),MOD(S431,1),TIMEVALUE(S431))&gt;=IF(ISNUMBER(R431),MOD(R431,1),TIMEVALUE(R431)),(IF(ISNUMBER(S431),MOD(S431,1),TIMEVALUE(S431))-IF(ISNUMBER(R431),MOD(R431,1),TIMEVALUE(R431)))*1440,(IF(ISNUMBER(S431),MOD(S431,1),TIMEVALUE(S431))+1-IF(ISNUMBER(R431),MOD(R431,1),TIMEVALUE(R431)))*1440)),"")</f>
        <v/>
      </c>
      <c r="AD431" s="29" t="n"/>
      <c r="AE431" s="26">
        <f>IFERROR(IF(OR(AC431="",AD431=""),"",AC431-AD431),"")</f>
        <v/>
      </c>
      <c r="AF431" s="27">
        <f>IFERROR(IF(AE431="","",IF(ROUND(AE431,0)&gt;15,"Subestimacion",IF(ROUND(AE431,0)&lt;-15,"Sobrestimacion","Asertivo"))),"")</f>
        <v/>
      </c>
      <c r="AG431" s="19" t="n"/>
      <c r="AH431" s="19" t="n"/>
      <c r="AI431" s="19" t="n"/>
      <c r="AJ431" s="19" t="n"/>
      <c r="AK431" s="19" t="n"/>
      <c r="AL431" s="19" t="n"/>
      <c r="AM431" s="19" t="n"/>
      <c r="AN431" s="19" t="n"/>
      <c r="AO431" s="19" t="n"/>
      <c r="AP431" s="127">
        <f>IF(A431="","",A431-WEEKDAY(A431,2)+1)</f>
        <v/>
      </c>
      <c r="AQ431" s="127">
        <f>IF(AO431="","",AO431+6)</f>
        <v/>
      </c>
      <c r="AR431" s="19">
        <f>IF(AO431="","","Semana "&amp;TEXT(AO431,"dd-mm-yyyy")&amp;" al "&amp;TEXT(AP431,"dd-mm-yyyy"))</f>
        <v/>
      </c>
      <c r="AS431" s="19">
        <f>IF(A431="","",TEXT(A431,"mmmm yyyy"))</f>
        <v/>
      </c>
      <c r="AT431" s="19">
        <f>IF(A431="","",TEXT(A431,"dddd"))</f>
        <v/>
      </c>
      <c r="AU431" s="19">
        <f>IF(A431="","","CRR-"&amp;TEXT(A431,"yyyymmdd")&amp;"-"&amp;M431&amp;"-"&amp;TEXT(ROW()-3,"0000"))</f>
        <v/>
      </c>
      <c r="AV431" s="19">
        <f>IF(A431="","",IF(OR(B431="",C431="",E431="",F431="",M431="",N431=""),"Revisar campos obligatorios",IF(AND(P431="Atraso primera hora",Q431=""),"Falta justificación atraso primera hora",IF(AND(Z431="No cumple",AA431=""),"Falta justificación recambio &gt;15 min",IF(AND(ISNUMBER(SEARCH("suspend",N431)),OR(AG431="",AH431="")),"Falta causa/motivo suspensión","OK")))))</f>
        <v/>
      </c>
      <c r="AW431" s="19">
        <f>IF(N431="","",IF(ISNUMBER(SEARCH("suspend",N431)),IF(AND(AG431="",AH431=""),"Sin causa/motivo registrado",IF(AG431="",AH431,IF(AH431="",AG431,AG431&amp;": "&amp;AH431))),""))</f>
        <v/>
      </c>
    </row>
    <row r="432" ht="16" customHeight="1" s="151">
      <c r="A432" s="62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20">
        <f>IF(H432&lt;&gt;"",IFERROR(VLOOKUP(IFERROR(LEFT(H432,FIND("-",H432)-1),H432),'Catalogo MINSAL'!A:E,5,FALSE),""),IF(I432&lt;&gt;"",IFERROR(VLOOKUP(IFERROR(LEFT(I432,FIND("-",I432)-1),I432),'Catalogo MINSAL'!A:E,5,FALSE),""),""))</f>
        <v/>
      </c>
      <c r="K432" s="19" t="n"/>
      <c r="L432" s="19" t="n"/>
      <c r="M432" s="19" t="n"/>
      <c r="N432" s="19" t="n"/>
      <c r="O432" s="25" t="n"/>
      <c r="P432" s="27">
        <f>IFERROR(IF(OR(O432="",A432="",M432=""),"",IF(SUMPRODUCT(($A$4:$A$500=A432)*($M$4:$M$500=M432)*($O$4:$O$500&lt;&gt;"")*(MOD($O$4:$O$500,1)&lt;MOD(O432,1)))=0,IF(MOD(O432,1)&lt;=TIME(8,15,0),"Ingreso adecuado primera hora","Atraso primera hora"),"No aplica")),"")</f>
        <v/>
      </c>
      <c r="Q432" s="27" t="n"/>
      <c r="R432" s="25" t="n"/>
      <c r="S432" s="25" t="n"/>
      <c r="T432" s="25" t="n"/>
      <c r="U432" s="25">
        <f>IFERROR(VLOOKUP(M432,'Horario Pabellones'!$A$4:$D$17,2,FALSE),"")</f>
        <v/>
      </c>
      <c r="V432" s="25">
        <f>IFERROR(VLOOKUP(M432,'Horario Pabellones'!$A$4:$D$17,3,FALSE),"")</f>
        <v/>
      </c>
      <c r="W432" s="99">
        <f>IFERROR(VLOOKUP(M432,'Horario Pabellones'!$A$4:$D$17,4,FALSE),"")</f>
        <v/>
      </c>
      <c r="X432" s="89">
        <f>IFERROR(IF(OR(A432="",M432="",W432=""),"",(((_xludf.AGGREGATE(14,6,MOD($S$4:$S$500,1)/(($A$4:$A$500=A432)*($M$4:$M$500=M432)*($R$4:$R$500&lt;&gt;"")*($S$4:$S$500&lt;&gt;"")),1)-_xludf.AGGREGATE(15,6,MOD($R$4:$R$500,1)/(($A$4:$A$500=A432)*($M$4:$M$500=M432)*($R$4:$R$500&lt;&gt;"")*($S$4:$S$500&lt;&gt;"")),1))*1440)/60)/(W432/60)),"")</f>
        <v/>
      </c>
      <c r="Y432" s="26">
        <f>IFERROR(IF(OR(O432="",A432="",M432=""),"",(IF(ISNUMBER(O432),MOD(O432,1),TIMEVALUE(O432))-LOOKUP(2,1/(($A$4:$A$500=A432)*($M$4:$M$500=M432)*($T$4:$T$500&lt;&gt;"")*($T$4:$T$500&lt;IF(ISNUMBER(O432),MOD(O432,1),TIMEVALUE(O432)))),$T$4:$T$500))*1440),"")</f>
        <v/>
      </c>
      <c r="Z432" s="27">
        <f>IFERROR(IF(Y432="","",IF(ROUND(Y432,0)&lt;=15,"Cumple","No cumple")),"")</f>
        <v/>
      </c>
      <c r="AA432" s="27" t="n"/>
      <c r="AB432" s="26">
        <f>IFERROR(IF(OR(O432="",R432=""),"",IF(IF(ISNUMBER(R432),MOD(R432,1),TIMEVALUE(R432))&gt;=IF(ISNUMBER(O432),MOD(O432,1),TIMEVALUE(O432)),(IF(ISNUMBER(R432),MOD(R432,1),TIMEVALUE(R432))-IF(ISNUMBER(O432),MOD(O432,1),TIMEVALUE(O432)))*1440,(IF(ISNUMBER(R432),MOD(R432,1),TIMEVALUE(R432))+1-IF(ISNUMBER(O432),MOD(O432,1),TIMEVALUE(O432)))*1440)),"")</f>
        <v/>
      </c>
      <c r="AC432" s="26">
        <f>IFERROR(IF(OR(R432="",S432=""),"",IF(IF(ISNUMBER(S432),MOD(S432,1),TIMEVALUE(S432))&gt;=IF(ISNUMBER(R432),MOD(R432,1),TIMEVALUE(R432)),(IF(ISNUMBER(S432),MOD(S432,1),TIMEVALUE(S432))-IF(ISNUMBER(R432),MOD(R432,1),TIMEVALUE(R432)))*1440,(IF(ISNUMBER(S432),MOD(S432,1),TIMEVALUE(S432))+1-IF(ISNUMBER(R432),MOD(R432,1),TIMEVALUE(R432)))*1440)),"")</f>
        <v/>
      </c>
      <c r="AD432" s="29" t="n"/>
      <c r="AE432" s="26">
        <f>IFERROR(IF(OR(AC432="",AD432=""),"",AC432-AD432),"")</f>
        <v/>
      </c>
      <c r="AF432" s="27">
        <f>IFERROR(IF(AE432="","",IF(ROUND(AE432,0)&gt;15,"Subestimacion",IF(ROUND(AE432,0)&lt;-15,"Sobrestimacion","Asertivo"))),"")</f>
        <v/>
      </c>
      <c r="AG432" s="19" t="n"/>
      <c r="AH432" s="19" t="n"/>
      <c r="AI432" s="19" t="n"/>
      <c r="AJ432" s="19" t="n"/>
      <c r="AK432" s="19" t="n"/>
      <c r="AL432" s="19" t="n"/>
      <c r="AM432" s="19" t="n"/>
      <c r="AN432" s="19" t="n"/>
      <c r="AO432" s="19" t="n"/>
      <c r="AP432" s="127">
        <f>IF(A432="","",A432-WEEKDAY(A432,2)+1)</f>
        <v/>
      </c>
      <c r="AQ432" s="127">
        <f>IF(AO432="","",AO432+6)</f>
        <v/>
      </c>
      <c r="AR432" s="19">
        <f>IF(AO432="","","Semana "&amp;TEXT(AO432,"dd-mm-yyyy")&amp;" al "&amp;TEXT(AP432,"dd-mm-yyyy"))</f>
        <v/>
      </c>
      <c r="AS432" s="19">
        <f>IF(A432="","",TEXT(A432,"mmmm yyyy"))</f>
        <v/>
      </c>
      <c r="AT432" s="19">
        <f>IF(A432="","",TEXT(A432,"dddd"))</f>
        <v/>
      </c>
      <c r="AU432" s="19">
        <f>IF(A432="","","CRR-"&amp;TEXT(A432,"yyyymmdd")&amp;"-"&amp;M432&amp;"-"&amp;TEXT(ROW()-3,"0000"))</f>
        <v/>
      </c>
      <c r="AV432" s="19">
        <f>IF(A432="","",IF(OR(B432="",C432="",E432="",F432="",M432="",N432=""),"Revisar campos obligatorios",IF(AND(P432="Atraso primera hora",Q432=""),"Falta justificación atraso primera hora",IF(AND(Z432="No cumple",AA432=""),"Falta justificación recambio &gt;15 min",IF(AND(ISNUMBER(SEARCH("suspend",N432)),OR(AG432="",AH432="")),"Falta causa/motivo suspensión","OK")))))</f>
        <v/>
      </c>
      <c r="AW432" s="19">
        <f>IF(N432="","",IF(ISNUMBER(SEARCH("suspend",N432)),IF(AND(AG432="",AH432=""),"Sin causa/motivo registrado",IF(AG432="",AH432,IF(AH432="",AG432,AG432&amp;": "&amp;AH432))),""))</f>
        <v/>
      </c>
    </row>
    <row r="433" ht="16" customHeight="1" s="151">
      <c r="A433" s="62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20">
        <f>IF(H433&lt;&gt;"",IFERROR(VLOOKUP(IFERROR(LEFT(H433,FIND("-",H433)-1),H433),'Catalogo MINSAL'!A:E,5,FALSE),""),IF(I433&lt;&gt;"",IFERROR(VLOOKUP(IFERROR(LEFT(I433,FIND("-",I433)-1),I433),'Catalogo MINSAL'!A:E,5,FALSE),""),""))</f>
        <v/>
      </c>
      <c r="K433" s="19" t="n"/>
      <c r="L433" s="19" t="n"/>
      <c r="M433" s="19" t="n"/>
      <c r="N433" s="19" t="n"/>
      <c r="O433" s="25" t="n"/>
      <c r="P433" s="27">
        <f>IFERROR(IF(OR(O433="",A433="",M433=""),"",IF(SUMPRODUCT(($A$4:$A$500=A433)*($M$4:$M$500=M433)*($O$4:$O$500&lt;&gt;"")*(MOD($O$4:$O$500,1)&lt;MOD(O433,1)))=0,IF(MOD(O433,1)&lt;=TIME(8,15,0),"Ingreso adecuado primera hora","Atraso primera hora"),"No aplica")),"")</f>
        <v/>
      </c>
      <c r="Q433" s="27" t="n"/>
      <c r="R433" s="25" t="n"/>
      <c r="S433" s="25" t="n"/>
      <c r="T433" s="25" t="n"/>
      <c r="U433" s="25">
        <f>IFERROR(VLOOKUP(M433,'Horario Pabellones'!$A$4:$D$17,2,FALSE),"")</f>
        <v/>
      </c>
      <c r="V433" s="25">
        <f>IFERROR(VLOOKUP(M433,'Horario Pabellones'!$A$4:$D$17,3,FALSE),"")</f>
        <v/>
      </c>
      <c r="W433" s="99">
        <f>IFERROR(VLOOKUP(M433,'Horario Pabellones'!$A$4:$D$17,4,FALSE),"")</f>
        <v/>
      </c>
      <c r="X433" s="89">
        <f>IFERROR(IF(OR(A433="",M433="",W433=""),"",(((_xludf.AGGREGATE(14,6,MOD($S$4:$S$500,1)/(($A$4:$A$500=A433)*($M$4:$M$500=M433)*($R$4:$R$500&lt;&gt;"")*($S$4:$S$500&lt;&gt;"")),1)-_xludf.AGGREGATE(15,6,MOD($R$4:$R$500,1)/(($A$4:$A$500=A433)*($M$4:$M$500=M433)*($R$4:$R$500&lt;&gt;"")*($S$4:$S$500&lt;&gt;"")),1))*1440)/60)/(W433/60)),"")</f>
        <v/>
      </c>
      <c r="Y433" s="26">
        <f>IFERROR(IF(OR(O433="",A433="",M433=""),"",(IF(ISNUMBER(O433),MOD(O433,1),TIMEVALUE(O433))-LOOKUP(2,1/(($A$4:$A$500=A433)*($M$4:$M$500=M433)*($T$4:$T$500&lt;&gt;"")*($T$4:$T$500&lt;IF(ISNUMBER(O433),MOD(O433,1),TIMEVALUE(O433)))),$T$4:$T$500))*1440),"")</f>
        <v/>
      </c>
      <c r="Z433" s="27">
        <f>IFERROR(IF(Y433="","",IF(ROUND(Y433,0)&lt;=15,"Cumple","No cumple")),"")</f>
        <v/>
      </c>
      <c r="AA433" s="27" t="n"/>
      <c r="AB433" s="26">
        <f>IFERROR(IF(OR(O433="",R433=""),"",IF(IF(ISNUMBER(R433),MOD(R433,1),TIMEVALUE(R433))&gt;=IF(ISNUMBER(O433),MOD(O433,1),TIMEVALUE(O433)),(IF(ISNUMBER(R433),MOD(R433,1),TIMEVALUE(R433))-IF(ISNUMBER(O433),MOD(O433,1),TIMEVALUE(O433)))*1440,(IF(ISNUMBER(R433),MOD(R433,1),TIMEVALUE(R433))+1-IF(ISNUMBER(O433),MOD(O433,1),TIMEVALUE(O433)))*1440)),"")</f>
        <v/>
      </c>
      <c r="AC433" s="26">
        <f>IFERROR(IF(OR(R433="",S433=""),"",IF(IF(ISNUMBER(S433),MOD(S433,1),TIMEVALUE(S433))&gt;=IF(ISNUMBER(R433),MOD(R433,1),TIMEVALUE(R433)),(IF(ISNUMBER(S433),MOD(S433,1),TIMEVALUE(S433))-IF(ISNUMBER(R433),MOD(R433,1),TIMEVALUE(R433)))*1440,(IF(ISNUMBER(S433),MOD(S433,1),TIMEVALUE(S433))+1-IF(ISNUMBER(R433),MOD(R433,1),TIMEVALUE(R433)))*1440)),"")</f>
        <v/>
      </c>
      <c r="AD433" s="29" t="n"/>
      <c r="AE433" s="26">
        <f>IFERROR(IF(OR(AC433="",AD433=""),"",AC433-AD433),"")</f>
        <v/>
      </c>
      <c r="AF433" s="27">
        <f>IFERROR(IF(AE433="","",IF(ROUND(AE433,0)&gt;15,"Subestimacion",IF(ROUND(AE433,0)&lt;-15,"Sobrestimacion","Asertivo"))),"")</f>
        <v/>
      </c>
      <c r="AG433" s="19" t="n"/>
      <c r="AH433" s="19" t="n"/>
      <c r="AI433" s="19" t="n"/>
      <c r="AJ433" s="19" t="n"/>
      <c r="AK433" s="19" t="n"/>
      <c r="AL433" s="19" t="n"/>
      <c r="AM433" s="19" t="n"/>
      <c r="AN433" s="19" t="n"/>
      <c r="AO433" s="19" t="n"/>
      <c r="AP433" s="127">
        <f>IF(A433="","",A433-WEEKDAY(A433,2)+1)</f>
        <v/>
      </c>
      <c r="AQ433" s="127">
        <f>IF(AO433="","",AO433+6)</f>
        <v/>
      </c>
      <c r="AR433" s="19">
        <f>IF(AO433="","","Semana "&amp;TEXT(AO433,"dd-mm-yyyy")&amp;" al "&amp;TEXT(AP433,"dd-mm-yyyy"))</f>
        <v/>
      </c>
      <c r="AS433" s="19">
        <f>IF(A433="","",TEXT(A433,"mmmm yyyy"))</f>
        <v/>
      </c>
      <c r="AT433" s="19">
        <f>IF(A433="","",TEXT(A433,"dddd"))</f>
        <v/>
      </c>
      <c r="AU433" s="19">
        <f>IF(A433="","","CRR-"&amp;TEXT(A433,"yyyymmdd")&amp;"-"&amp;M433&amp;"-"&amp;TEXT(ROW()-3,"0000"))</f>
        <v/>
      </c>
      <c r="AV433" s="19">
        <f>IF(A433="","",IF(OR(B433="",C433="",E433="",F433="",M433="",N433=""),"Revisar campos obligatorios",IF(AND(P433="Atraso primera hora",Q433=""),"Falta justificación atraso primera hora",IF(AND(Z433="No cumple",AA433=""),"Falta justificación recambio &gt;15 min",IF(AND(ISNUMBER(SEARCH("suspend",N433)),OR(AG433="",AH433="")),"Falta causa/motivo suspensión","OK")))))</f>
        <v/>
      </c>
      <c r="AW433" s="19">
        <f>IF(N433="","",IF(ISNUMBER(SEARCH("suspend",N433)),IF(AND(AG433="",AH433=""),"Sin causa/motivo registrado",IF(AG433="",AH433,IF(AH433="",AG433,AG433&amp;": "&amp;AH433))),""))</f>
        <v/>
      </c>
    </row>
    <row r="434" ht="16" customHeight="1" s="151">
      <c r="A434" s="62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20">
        <f>IF(H434&lt;&gt;"",IFERROR(VLOOKUP(IFERROR(LEFT(H434,FIND("-",H434)-1),H434),'Catalogo MINSAL'!A:E,5,FALSE),""),IF(I434&lt;&gt;"",IFERROR(VLOOKUP(IFERROR(LEFT(I434,FIND("-",I434)-1),I434),'Catalogo MINSAL'!A:E,5,FALSE),""),""))</f>
        <v/>
      </c>
      <c r="K434" s="19" t="n"/>
      <c r="L434" s="19" t="n"/>
      <c r="M434" s="19" t="n"/>
      <c r="N434" s="19" t="n"/>
      <c r="O434" s="25" t="n"/>
      <c r="P434" s="27">
        <f>IFERROR(IF(OR(O434="",A434="",M434=""),"",IF(SUMPRODUCT(($A$4:$A$500=A434)*($M$4:$M$500=M434)*($O$4:$O$500&lt;&gt;"")*(MOD($O$4:$O$500,1)&lt;MOD(O434,1)))=0,IF(MOD(O434,1)&lt;=TIME(8,15,0),"Ingreso adecuado primera hora","Atraso primera hora"),"No aplica")),"")</f>
        <v/>
      </c>
      <c r="Q434" s="27" t="n"/>
      <c r="R434" s="25" t="n"/>
      <c r="S434" s="25" t="n"/>
      <c r="T434" s="25" t="n"/>
      <c r="U434" s="25">
        <f>IFERROR(VLOOKUP(M434,'Horario Pabellones'!$A$4:$D$17,2,FALSE),"")</f>
        <v/>
      </c>
      <c r="V434" s="25">
        <f>IFERROR(VLOOKUP(M434,'Horario Pabellones'!$A$4:$D$17,3,FALSE),"")</f>
        <v/>
      </c>
      <c r="W434" s="99">
        <f>IFERROR(VLOOKUP(M434,'Horario Pabellones'!$A$4:$D$17,4,FALSE),"")</f>
        <v/>
      </c>
      <c r="X434" s="89">
        <f>IFERROR(IF(OR(A434="",M434="",W434=""),"",(((_xludf.AGGREGATE(14,6,MOD($S$4:$S$500,1)/(($A$4:$A$500=A434)*($M$4:$M$500=M434)*($R$4:$R$500&lt;&gt;"")*($S$4:$S$500&lt;&gt;"")),1)-_xludf.AGGREGATE(15,6,MOD($R$4:$R$500,1)/(($A$4:$A$500=A434)*($M$4:$M$500=M434)*($R$4:$R$500&lt;&gt;"")*($S$4:$S$500&lt;&gt;"")),1))*1440)/60)/(W434/60)),"")</f>
        <v/>
      </c>
      <c r="Y434" s="26">
        <f>IFERROR(IF(OR(O434="",A434="",M434=""),"",(IF(ISNUMBER(O434),MOD(O434,1),TIMEVALUE(O434))-LOOKUP(2,1/(($A$4:$A$500=A434)*($M$4:$M$500=M434)*($T$4:$T$500&lt;&gt;"")*($T$4:$T$500&lt;IF(ISNUMBER(O434),MOD(O434,1),TIMEVALUE(O434)))),$T$4:$T$500))*1440),"")</f>
        <v/>
      </c>
      <c r="Z434" s="27">
        <f>IFERROR(IF(Y434="","",IF(ROUND(Y434,0)&lt;=15,"Cumple","No cumple")),"")</f>
        <v/>
      </c>
      <c r="AA434" s="27" t="n"/>
      <c r="AB434" s="26">
        <f>IFERROR(IF(OR(O434="",R434=""),"",IF(IF(ISNUMBER(R434),MOD(R434,1),TIMEVALUE(R434))&gt;=IF(ISNUMBER(O434),MOD(O434,1),TIMEVALUE(O434)),(IF(ISNUMBER(R434),MOD(R434,1),TIMEVALUE(R434))-IF(ISNUMBER(O434),MOD(O434,1),TIMEVALUE(O434)))*1440,(IF(ISNUMBER(R434),MOD(R434,1),TIMEVALUE(R434))+1-IF(ISNUMBER(O434),MOD(O434,1),TIMEVALUE(O434)))*1440)),"")</f>
        <v/>
      </c>
      <c r="AC434" s="26">
        <f>IFERROR(IF(OR(R434="",S434=""),"",IF(IF(ISNUMBER(S434),MOD(S434,1),TIMEVALUE(S434))&gt;=IF(ISNUMBER(R434),MOD(R434,1),TIMEVALUE(R434)),(IF(ISNUMBER(S434),MOD(S434,1),TIMEVALUE(S434))-IF(ISNUMBER(R434),MOD(R434,1),TIMEVALUE(R434)))*1440,(IF(ISNUMBER(S434),MOD(S434,1),TIMEVALUE(S434))+1-IF(ISNUMBER(R434),MOD(R434,1),TIMEVALUE(R434)))*1440)),"")</f>
        <v/>
      </c>
      <c r="AD434" s="29" t="n"/>
      <c r="AE434" s="26">
        <f>IFERROR(IF(OR(AC434="",AD434=""),"",AC434-AD434),"")</f>
        <v/>
      </c>
      <c r="AF434" s="27">
        <f>IFERROR(IF(AE434="","",IF(ROUND(AE434,0)&gt;15,"Subestimacion",IF(ROUND(AE434,0)&lt;-15,"Sobrestimacion","Asertivo"))),"")</f>
        <v/>
      </c>
      <c r="AG434" s="19" t="n"/>
      <c r="AH434" s="19" t="n"/>
      <c r="AI434" s="19" t="n"/>
      <c r="AJ434" s="19" t="n"/>
      <c r="AK434" s="19" t="n"/>
      <c r="AL434" s="19" t="n"/>
      <c r="AM434" s="19" t="n"/>
      <c r="AN434" s="19" t="n"/>
      <c r="AO434" s="19" t="n"/>
      <c r="AP434" s="127">
        <f>IF(A434="","",A434-WEEKDAY(A434,2)+1)</f>
        <v/>
      </c>
      <c r="AQ434" s="127">
        <f>IF(AO434="","",AO434+6)</f>
        <v/>
      </c>
      <c r="AR434" s="19">
        <f>IF(AO434="","","Semana "&amp;TEXT(AO434,"dd-mm-yyyy")&amp;" al "&amp;TEXT(AP434,"dd-mm-yyyy"))</f>
        <v/>
      </c>
      <c r="AS434" s="19">
        <f>IF(A434="","",TEXT(A434,"mmmm yyyy"))</f>
        <v/>
      </c>
      <c r="AT434" s="19">
        <f>IF(A434="","",TEXT(A434,"dddd"))</f>
        <v/>
      </c>
      <c r="AU434" s="19">
        <f>IF(A434="","","CRR-"&amp;TEXT(A434,"yyyymmdd")&amp;"-"&amp;M434&amp;"-"&amp;TEXT(ROW()-3,"0000"))</f>
        <v/>
      </c>
      <c r="AV434" s="19">
        <f>IF(A434="","",IF(OR(B434="",C434="",E434="",F434="",M434="",N434=""),"Revisar campos obligatorios",IF(AND(P434="Atraso primera hora",Q434=""),"Falta justificación atraso primera hora",IF(AND(Z434="No cumple",AA434=""),"Falta justificación recambio &gt;15 min",IF(AND(ISNUMBER(SEARCH("suspend",N434)),OR(AG434="",AH434="")),"Falta causa/motivo suspensión","OK")))))</f>
        <v/>
      </c>
      <c r="AW434" s="19">
        <f>IF(N434="","",IF(ISNUMBER(SEARCH("suspend",N434)),IF(AND(AG434="",AH434=""),"Sin causa/motivo registrado",IF(AG434="",AH434,IF(AH434="",AG434,AG434&amp;": "&amp;AH434))),""))</f>
        <v/>
      </c>
    </row>
    <row r="435" ht="16" customHeight="1" s="151">
      <c r="A435" s="62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20">
        <f>IF(H435&lt;&gt;"",IFERROR(VLOOKUP(IFERROR(LEFT(H435,FIND("-",H435)-1),H435),'Catalogo MINSAL'!A:E,5,FALSE),""),IF(I435&lt;&gt;"",IFERROR(VLOOKUP(IFERROR(LEFT(I435,FIND("-",I435)-1),I435),'Catalogo MINSAL'!A:E,5,FALSE),""),""))</f>
        <v/>
      </c>
      <c r="K435" s="19" t="n"/>
      <c r="L435" s="19" t="n"/>
      <c r="M435" s="19" t="n"/>
      <c r="N435" s="19" t="n"/>
      <c r="O435" s="25" t="n"/>
      <c r="P435" s="27">
        <f>IFERROR(IF(OR(O435="",A435="",M435=""),"",IF(SUMPRODUCT(($A$4:$A$500=A435)*($M$4:$M$500=M435)*($O$4:$O$500&lt;&gt;"")*(MOD($O$4:$O$500,1)&lt;MOD(O435,1)))=0,IF(MOD(O435,1)&lt;=TIME(8,15,0),"Ingreso adecuado primera hora","Atraso primera hora"),"No aplica")),"")</f>
        <v/>
      </c>
      <c r="Q435" s="27" t="n"/>
      <c r="R435" s="25" t="n"/>
      <c r="S435" s="25" t="n"/>
      <c r="T435" s="25" t="n"/>
      <c r="U435" s="25">
        <f>IFERROR(VLOOKUP(M435,'Horario Pabellones'!$A$4:$D$17,2,FALSE),"")</f>
        <v/>
      </c>
      <c r="V435" s="25">
        <f>IFERROR(VLOOKUP(M435,'Horario Pabellones'!$A$4:$D$17,3,FALSE),"")</f>
        <v/>
      </c>
      <c r="W435" s="99">
        <f>IFERROR(VLOOKUP(M435,'Horario Pabellones'!$A$4:$D$17,4,FALSE),"")</f>
        <v/>
      </c>
      <c r="X435" s="89">
        <f>IFERROR(IF(OR(A435="",M435="",W435=""),"",(((_xludf.AGGREGATE(14,6,MOD($S$4:$S$500,1)/(($A$4:$A$500=A435)*($M$4:$M$500=M435)*($R$4:$R$500&lt;&gt;"")*($S$4:$S$500&lt;&gt;"")),1)-_xludf.AGGREGATE(15,6,MOD($R$4:$R$500,1)/(($A$4:$A$500=A435)*($M$4:$M$500=M435)*($R$4:$R$500&lt;&gt;"")*($S$4:$S$500&lt;&gt;"")),1))*1440)/60)/(W435/60)),"")</f>
        <v/>
      </c>
      <c r="Y435" s="26">
        <f>IFERROR(IF(OR(O435="",A435="",M435=""),"",(IF(ISNUMBER(O435),MOD(O435,1),TIMEVALUE(O435))-LOOKUP(2,1/(($A$4:$A$500=A435)*($M$4:$M$500=M435)*($T$4:$T$500&lt;&gt;"")*($T$4:$T$500&lt;IF(ISNUMBER(O435),MOD(O435,1),TIMEVALUE(O435)))),$T$4:$T$500))*1440),"")</f>
        <v/>
      </c>
      <c r="Z435" s="27">
        <f>IFERROR(IF(Y435="","",IF(ROUND(Y435,0)&lt;=15,"Cumple","No cumple")),"")</f>
        <v/>
      </c>
      <c r="AA435" s="27" t="n"/>
      <c r="AB435" s="26">
        <f>IFERROR(IF(OR(O435="",R435=""),"",IF(IF(ISNUMBER(R435),MOD(R435,1),TIMEVALUE(R435))&gt;=IF(ISNUMBER(O435),MOD(O435,1),TIMEVALUE(O435)),(IF(ISNUMBER(R435),MOD(R435,1),TIMEVALUE(R435))-IF(ISNUMBER(O435),MOD(O435,1),TIMEVALUE(O435)))*1440,(IF(ISNUMBER(R435),MOD(R435,1),TIMEVALUE(R435))+1-IF(ISNUMBER(O435),MOD(O435,1),TIMEVALUE(O435)))*1440)),"")</f>
        <v/>
      </c>
      <c r="AC435" s="26">
        <f>IFERROR(IF(OR(R435="",S435=""),"",IF(IF(ISNUMBER(S435),MOD(S435,1),TIMEVALUE(S435))&gt;=IF(ISNUMBER(R435),MOD(R435,1),TIMEVALUE(R435)),(IF(ISNUMBER(S435),MOD(S435,1),TIMEVALUE(S435))-IF(ISNUMBER(R435),MOD(R435,1),TIMEVALUE(R435)))*1440,(IF(ISNUMBER(S435),MOD(S435,1),TIMEVALUE(S435))+1-IF(ISNUMBER(R435),MOD(R435,1),TIMEVALUE(R435)))*1440)),"")</f>
        <v/>
      </c>
      <c r="AD435" s="29" t="n"/>
      <c r="AE435" s="26">
        <f>IFERROR(IF(OR(AC435="",AD435=""),"",AC435-AD435),"")</f>
        <v/>
      </c>
      <c r="AF435" s="27">
        <f>IFERROR(IF(AE435="","",IF(ROUND(AE435,0)&gt;15,"Subestimacion",IF(ROUND(AE435,0)&lt;-15,"Sobrestimacion","Asertivo"))),"")</f>
        <v/>
      </c>
      <c r="AG435" s="19" t="n"/>
      <c r="AH435" s="19" t="n"/>
      <c r="AI435" s="19" t="n"/>
      <c r="AJ435" s="19" t="n"/>
      <c r="AK435" s="19" t="n"/>
      <c r="AL435" s="19" t="n"/>
      <c r="AM435" s="19" t="n"/>
      <c r="AN435" s="19" t="n"/>
      <c r="AO435" s="19" t="n"/>
      <c r="AP435" s="127">
        <f>IF(A435="","",A435-WEEKDAY(A435,2)+1)</f>
        <v/>
      </c>
      <c r="AQ435" s="127">
        <f>IF(AO435="","",AO435+6)</f>
        <v/>
      </c>
      <c r="AR435" s="19">
        <f>IF(AO435="","","Semana "&amp;TEXT(AO435,"dd-mm-yyyy")&amp;" al "&amp;TEXT(AP435,"dd-mm-yyyy"))</f>
        <v/>
      </c>
      <c r="AS435" s="19">
        <f>IF(A435="","",TEXT(A435,"mmmm yyyy"))</f>
        <v/>
      </c>
      <c r="AT435" s="19">
        <f>IF(A435="","",TEXT(A435,"dddd"))</f>
        <v/>
      </c>
      <c r="AU435" s="19">
        <f>IF(A435="","","CRR-"&amp;TEXT(A435,"yyyymmdd")&amp;"-"&amp;M435&amp;"-"&amp;TEXT(ROW()-3,"0000"))</f>
        <v/>
      </c>
      <c r="AV435" s="19">
        <f>IF(A435="","",IF(OR(B435="",C435="",E435="",F435="",M435="",N435=""),"Revisar campos obligatorios",IF(AND(P435="Atraso primera hora",Q435=""),"Falta justificación atraso primera hora",IF(AND(Z435="No cumple",AA435=""),"Falta justificación recambio &gt;15 min",IF(AND(ISNUMBER(SEARCH("suspend",N435)),OR(AG435="",AH435="")),"Falta causa/motivo suspensión","OK")))))</f>
        <v/>
      </c>
      <c r="AW435" s="19">
        <f>IF(N435="","",IF(ISNUMBER(SEARCH("suspend",N435)),IF(AND(AG435="",AH435=""),"Sin causa/motivo registrado",IF(AG435="",AH435,IF(AH435="",AG435,AG435&amp;": "&amp;AH435))),""))</f>
        <v/>
      </c>
    </row>
    <row r="436" ht="16" customHeight="1" s="151">
      <c r="A436" s="62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20">
        <f>IF(H436&lt;&gt;"",IFERROR(VLOOKUP(IFERROR(LEFT(H436,FIND("-",H436)-1),H436),'Catalogo MINSAL'!A:E,5,FALSE),""),IF(I436&lt;&gt;"",IFERROR(VLOOKUP(IFERROR(LEFT(I436,FIND("-",I436)-1),I436),'Catalogo MINSAL'!A:E,5,FALSE),""),""))</f>
        <v/>
      </c>
      <c r="K436" s="19" t="n"/>
      <c r="L436" s="19" t="n"/>
      <c r="M436" s="19" t="n"/>
      <c r="N436" s="19" t="n"/>
      <c r="O436" s="25" t="n"/>
      <c r="P436" s="27">
        <f>IFERROR(IF(OR(O436="",A436="",M436=""),"",IF(SUMPRODUCT(($A$4:$A$500=A436)*($M$4:$M$500=M436)*($O$4:$O$500&lt;&gt;"")*(MOD($O$4:$O$500,1)&lt;MOD(O436,1)))=0,IF(MOD(O436,1)&lt;=TIME(8,15,0),"Ingreso adecuado primera hora","Atraso primera hora"),"No aplica")),"")</f>
        <v/>
      </c>
      <c r="Q436" s="27" t="n"/>
      <c r="R436" s="25" t="n"/>
      <c r="S436" s="25" t="n"/>
      <c r="T436" s="25" t="n"/>
      <c r="U436" s="25">
        <f>IFERROR(VLOOKUP(M436,'Horario Pabellones'!$A$4:$D$17,2,FALSE),"")</f>
        <v/>
      </c>
      <c r="V436" s="25">
        <f>IFERROR(VLOOKUP(M436,'Horario Pabellones'!$A$4:$D$17,3,FALSE),"")</f>
        <v/>
      </c>
      <c r="W436" s="99">
        <f>IFERROR(VLOOKUP(M436,'Horario Pabellones'!$A$4:$D$17,4,FALSE),"")</f>
        <v/>
      </c>
      <c r="X436" s="89">
        <f>IFERROR(IF(OR(A436="",M436="",W436=""),"",(((_xludf.AGGREGATE(14,6,MOD($S$4:$S$500,1)/(($A$4:$A$500=A436)*($M$4:$M$500=M436)*($R$4:$R$500&lt;&gt;"")*($S$4:$S$500&lt;&gt;"")),1)-_xludf.AGGREGATE(15,6,MOD($R$4:$R$500,1)/(($A$4:$A$500=A436)*($M$4:$M$500=M436)*($R$4:$R$500&lt;&gt;"")*($S$4:$S$500&lt;&gt;"")),1))*1440)/60)/(W436/60)),"")</f>
        <v/>
      </c>
      <c r="Y436" s="26">
        <f>IFERROR(IF(OR(O436="",A436="",M436=""),"",(IF(ISNUMBER(O436),MOD(O436,1),TIMEVALUE(O436))-LOOKUP(2,1/(($A$4:$A$500=A436)*($M$4:$M$500=M436)*($T$4:$T$500&lt;&gt;"")*($T$4:$T$500&lt;IF(ISNUMBER(O436),MOD(O436,1),TIMEVALUE(O436)))),$T$4:$T$500))*1440),"")</f>
        <v/>
      </c>
      <c r="Z436" s="27">
        <f>IFERROR(IF(Y436="","",IF(ROUND(Y436,0)&lt;=15,"Cumple","No cumple")),"")</f>
        <v/>
      </c>
      <c r="AA436" s="27" t="n"/>
      <c r="AB436" s="26">
        <f>IFERROR(IF(OR(O436="",R436=""),"",IF(IF(ISNUMBER(R436),MOD(R436,1),TIMEVALUE(R436))&gt;=IF(ISNUMBER(O436),MOD(O436,1),TIMEVALUE(O436)),(IF(ISNUMBER(R436),MOD(R436,1),TIMEVALUE(R436))-IF(ISNUMBER(O436),MOD(O436,1),TIMEVALUE(O436)))*1440,(IF(ISNUMBER(R436),MOD(R436,1),TIMEVALUE(R436))+1-IF(ISNUMBER(O436),MOD(O436,1),TIMEVALUE(O436)))*1440)),"")</f>
        <v/>
      </c>
      <c r="AC436" s="26">
        <f>IFERROR(IF(OR(R436="",S436=""),"",IF(IF(ISNUMBER(S436),MOD(S436,1),TIMEVALUE(S436))&gt;=IF(ISNUMBER(R436),MOD(R436,1),TIMEVALUE(R436)),(IF(ISNUMBER(S436),MOD(S436,1),TIMEVALUE(S436))-IF(ISNUMBER(R436),MOD(R436,1),TIMEVALUE(R436)))*1440,(IF(ISNUMBER(S436),MOD(S436,1),TIMEVALUE(S436))+1-IF(ISNUMBER(R436),MOD(R436,1),TIMEVALUE(R436)))*1440)),"")</f>
        <v/>
      </c>
      <c r="AD436" s="29" t="n"/>
      <c r="AE436" s="26">
        <f>IFERROR(IF(OR(AC436="",AD436=""),"",AC436-AD436),"")</f>
        <v/>
      </c>
      <c r="AF436" s="27">
        <f>IFERROR(IF(AE436="","",IF(ROUND(AE436,0)&gt;15,"Subestimacion",IF(ROUND(AE436,0)&lt;-15,"Sobrestimacion","Asertivo"))),"")</f>
        <v/>
      </c>
      <c r="AG436" s="19" t="n"/>
      <c r="AH436" s="19" t="n"/>
      <c r="AI436" s="19" t="n"/>
      <c r="AJ436" s="19" t="n"/>
      <c r="AK436" s="19" t="n"/>
      <c r="AL436" s="19" t="n"/>
      <c r="AM436" s="19" t="n"/>
      <c r="AN436" s="19" t="n"/>
      <c r="AO436" s="19" t="n"/>
      <c r="AP436" s="127">
        <f>IF(A436="","",A436-WEEKDAY(A436,2)+1)</f>
        <v/>
      </c>
      <c r="AQ436" s="127">
        <f>IF(AO436="","",AO436+6)</f>
        <v/>
      </c>
      <c r="AR436" s="19">
        <f>IF(AO436="","","Semana "&amp;TEXT(AO436,"dd-mm-yyyy")&amp;" al "&amp;TEXT(AP436,"dd-mm-yyyy"))</f>
        <v/>
      </c>
      <c r="AS436" s="19">
        <f>IF(A436="","",TEXT(A436,"mmmm yyyy"))</f>
        <v/>
      </c>
      <c r="AT436" s="19">
        <f>IF(A436="","",TEXT(A436,"dddd"))</f>
        <v/>
      </c>
      <c r="AU436" s="19">
        <f>IF(A436="","","CRR-"&amp;TEXT(A436,"yyyymmdd")&amp;"-"&amp;M436&amp;"-"&amp;TEXT(ROW()-3,"0000"))</f>
        <v/>
      </c>
      <c r="AV436" s="19">
        <f>IF(A436="","",IF(OR(B436="",C436="",E436="",F436="",M436="",N436=""),"Revisar campos obligatorios",IF(AND(P436="Atraso primera hora",Q436=""),"Falta justificación atraso primera hora",IF(AND(Z436="No cumple",AA436=""),"Falta justificación recambio &gt;15 min",IF(AND(ISNUMBER(SEARCH("suspend",N436)),OR(AG436="",AH436="")),"Falta causa/motivo suspensión","OK")))))</f>
        <v/>
      </c>
      <c r="AW436" s="19">
        <f>IF(N436="","",IF(ISNUMBER(SEARCH("suspend",N436)),IF(AND(AG436="",AH436=""),"Sin causa/motivo registrado",IF(AG436="",AH436,IF(AH436="",AG436,AG436&amp;": "&amp;AH436))),""))</f>
        <v/>
      </c>
    </row>
    <row r="437" ht="16" customHeight="1" s="151">
      <c r="A437" s="62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20">
        <f>IF(H437&lt;&gt;"",IFERROR(VLOOKUP(IFERROR(LEFT(H437,FIND("-",H437)-1),H437),'Catalogo MINSAL'!A:E,5,FALSE),""),IF(I437&lt;&gt;"",IFERROR(VLOOKUP(IFERROR(LEFT(I437,FIND("-",I437)-1),I437),'Catalogo MINSAL'!A:E,5,FALSE),""),""))</f>
        <v/>
      </c>
      <c r="K437" s="19" t="n"/>
      <c r="L437" s="19" t="n"/>
      <c r="M437" s="19" t="n"/>
      <c r="N437" s="19" t="n"/>
      <c r="O437" s="25" t="n"/>
      <c r="P437" s="27">
        <f>IFERROR(IF(OR(O437="",A437="",M437=""),"",IF(SUMPRODUCT(($A$4:$A$500=A437)*($M$4:$M$500=M437)*($O$4:$O$500&lt;&gt;"")*(MOD($O$4:$O$500,1)&lt;MOD(O437,1)))=0,IF(MOD(O437,1)&lt;=TIME(8,15,0),"Ingreso adecuado primera hora","Atraso primera hora"),"No aplica")),"")</f>
        <v/>
      </c>
      <c r="Q437" s="27" t="n"/>
      <c r="R437" s="25" t="n"/>
      <c r="S437" s="25" t="n"/>
      <c r="T437" s="25" t="n"/>
      <c r="U437" s="25">
        <f>IFERROR(VLOOKUP(M437,'Horario Pabellones'!$A$4:$D$17,2,FALSE),"")</f>
        <v/>
      </c>
      <c r="V437" s="25">
        <f>IFERROR(VLOOKUP(M437,'Horario Pabellones'!$A$4:$D$17,3,FALSE),"")</f>
        <v/>
      </c>
      <c r="W437" s="99">
        <f>IFERROR(VLOOKUP(M437,'Horario Pabellones'!$A$4:$D$17,4,FALSE),"")</f>
        <v/>
      </c>
      <c r="X437" s="89">
        <f>IFERROR(IF(OR(A437="",M437="",W437=""),"",(((_xludf.AGGREGATE(14,6,MOD($S$4:$S$500,1)/(($A$4:$A$500=A437)*($M$4:$M$500=M437)*($R$4:$R$500&lt;&gt;"")*($S$4:$S$500&lt;&gt;"")),1)-_xludf.AGGREGATE(15,6,MOD($R$4:$R$500,1)/(($A$4:$A$500=A437)*($M$4:$M$500=M437)*($R$4:$R$500&lt;&gt;"")*($S$4:$S$500&lt;&gt;"")),1))*1440)/60)/(W437/60)),"")</f>
        <v/>
      </c>
      <c r="Y437" s="26">
        <f>IFERROR(IF(OR(O437="",A437="",M437=""),"",(IF(ISNUMBER(O437),MOD(O437,1),TIMEVALUE(O437))-LOOKUP(2,1/(($A$4:$A$500=A437)*($M$4:$M$500=M437)*($T$4:$T$500&lt;&gt;"")*($T$4:$T$500&lt;IF(ISNUMBER(O437),MOD(O437,1),TIMEVALUE(O437)))),$T$4:$T$500))*1440),"")</f>
        <v/>
      </c>
      <c r="Z437" s="27">
        <f>IFERROR(IF(Y437="","",IF(ROUND(Y437,0)&lt;=15,"Cumple","No cumple")),"")</f>
        <v/>
      </c>
      <c r="AA437" s="27" t="n"/>
      <c r="AB437" s="26">
        <f>IFERROR(IF(OR(O437="",R437=""),"",IF(IF(ISNUMBER(R437),MOD(R437,1),TIMEVALUE(R437))&gt;=IF(ISNUMBER(O437),MOD(O437,1),TIMEVALUE(O437)),(IF(ISNUMBER(R437),MOD(R437,1),TIMEVALUE(R437))-IF(ISNUMBER(O437),MOD(O437,1),TIMEVALUE(O437)))*1440,(IF(ISNUMBER(R437),MOD(R437,1),TIMEVALUE(R437))+1-IF(ISNUMBER(O437),MOD(O437,1),TIMEVALUE(O437)))*1440)),"")</f>
        <v/>
      </c>
      <c r="AC437" s="26">
        <f>IFERROR(IF(OR(R437="",S437=""),"",IF(IF(ISNUMBER(S437),MOD(S437,1),TIMEVALUE(S437))&gt;=IF(ISNUMBER(R437),MOD(R437,1),TIMEVALUE(R437)),(IF(ISNUMBER(S437),MOD(S437,1),TIMEVALUE(S437))-IF(ISNUMBER(R437),MOD(R437,1),TIMEVALUE(R437)))*1440,(IF(ISNUMBER(S437),MOD(S437,1),TIMEVALUE(S437))+1-IF(ISNUMBER(R437),MOD(R437,1),TIMEVALUE(R437)))*1440)),"")</f>
        <v/>
      </c>
      <c r="AD437" s="29" t="n"/>
      <c r="AE437" s="26">
        <f>IFERROR(IF(OR(AC437="",AD437=""),"",AC437-AD437),"")</f>
        <v/>
      </c>
      <c r="AF437" s="27">
        <f>IFERROR(IF(AE437="","",IF(ROUND(AE437,0)&gt;15,"Subestimacion",IF(ROUND(AE437,0)&lt;-15,"Sobrestimacion","Asertivo"))),"")</f>
        <v/>
      </c>
      <c r="AG437" s="19" t="n"/>
      <c r="AH437" s="19" t="n"/>
      <c r="AI437" s="19" t="n"/>
      <c r="AJ437" s="19" t="n"/>
      <c r="AK437" s="19" t="n"/>
      <c r="AL437" s="19" t="n"/>
      <c r="AM437" s="19" t="n"/>
      <c r="AN437" s="19" t="n"/>
      <c r="AO437" s="19" t="n"/>
      <c r="AP437" s="127">
        <f>IF(A437="","",A437-WEEKDAY(A437,2)+1)</f>
        <v/>
      </c>
      <c r="AQ437" s="127">
        <f>IF(AO437="","",AO437+6)</f>
        <v/>
      </c>
      <c r="AR437" s="19">
        <f>IF(AO437="","","Semana "&amp;TEXT(AO437,"dd-mm-yyyy")&amp;" al "&amp;TEXT(AP437,"dd-mm-yyyy"))</f>
        <v/>
      </c>
      <c r="AS437" s="19">
        <f>IF(A437="","",TEXT(A437,"mmmm yyyy"))</f>
        <v/>
      </c>
      <c r="AT437" s="19">
        <f>IF(A437="","",TEXT(A437,"dddd"))</f>
        <v/>
      </c>
      <c r="AU437" s="19">
        <f>IF(A437="","","CRR-"&amp;TEXT(A437,"yyyymmdd")&amp;"-"&amp;M437&amp;"-"&amp;TEXT(ROW()-3,"0000"))</f>
        <v/>
      </c>
      <c r="AV437" s="19">
        <f>IF(A437="","",IF(OR(B437="",C437="",E437="",F437="",M437="",N437=""),"Revisar campos obligatorios",IF(AND(P437="Atraso primera hora",Q437=""),"Falta justificación atraso primera hora",IF(AND(Z437="No cumple",AA437=""),"Falta justificación recambio &gt;15 min",IF(AND(ISNUMBER(SEARCH("suspend",N437)),OR(AG437="",AH437="")),"Falta causa/motivo suspensión","OK")))))</f>
        <v/>
      </c>
      <c r="AW437" s="19">
        <f>IF(N437="","",IF(ISNUMBER(SEARCH("suspend",N437)),IF(AND(AG437="",AH437=""),"Sin causa/motivo registrado",IF(AG437="",AH437,IF(AH437="",AG437,AG437&amp;": "&amp;AH437))),""))</f>
        <v/>
      </c>
    </row>
    <row r="438" ht="16" customHeight="1" s="151">
      <c r="A438" s="62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20">
        <f>IF(H438&lt;&gt;"",IFERROR(VLOOKUP(IFERROR(LEFT(H438,FIND("-",H438)-1),H438),'Catalogo MINSAL'!A:E,5,FALSE),""),IF(I438&lt;&gt;"",IFERROR(VLOOKUP(IFERROR(LEFT(I438,FIND("-",I438)-1),I438),'Catalogo MINSAL'!A:E,5,FALSE),""),""))</f>
        <v/>
      </c>
      <c r="K438" s="19" t="n"/>
      <c r="L438" s="19" t="n"/>
      <c r="M438" s="19" t="n"/>
      <c r="N438" s="19" t="n"/>
      <c r="O438" s="25" t="n"/>
      <c r="P438" s="27">
        <f>IFERROR(IF(OR(O438="",A438="",M438=""),"",IF(SUMPRODUCT(($A$4:$A$500=A438)*($M$4:$M$500=M438)*($O$4:$O$500&lt;&gt;"")*(MOD($O$4:$O$500,1)&lt;MOD(O438,1)))=0,IF(MOD(O438,1)&lt;=TIME(8,15,0),"Ingreso adecuado primera hora","Atraso primera hora"),"No aplica")),"")</f>
        <v/>
      </c>
      <c r="Q438" s="27" t="n"/>
      <c r="R438" s="25" t="n"/>
      <c r="S438" s="25" t="n"/>
      <c r="T438" s="25" t="n"/>
      <c r="U438" s="25">
        <f>IFERROR(VLOOKUP(M438,'Horario Pabellones'!$A$4:$D$17,2,FALSE),"")</f>
        <v/>
      </c>
      <c r="V438" s="25">
        <f>IFERROR(VLOOKUP(M438,'Horario Pabellones'!$A$4:$D$17,3,FALSE),"")</f>
        <v/>
      </c>
      <c r="W438" s="99">
        <f>IFERROR(VLOOKUP(M438,'Horario Pabellones'!$A$4:$D$17,4,FALSE),"")</f>
        <v/>
      </c>
      <c r="X438" s="89">
        <f>IFERROR(IF(OR(A438="",M438="",W438=""),"",(((_xludf.AGGREGATE(14,6,MOD($S$4:$S$500,1)/(($A$4:$A$500=A438)*($M$4:$M$500=M438)*($R$4:$R$500&lt;&gt;"")*($S$4:$S$500&lt;&gt;"")),1)-_xludf.AGGREGATE(15,6,MOD($R$4:$R$500,1)/(($A$4:$A$500=A438)*($M$4:$M$500=M438)*($R$4:$R$500&lt;&gt;"")*($S$4:$S$500&lt;&gt;"")),1))*1440)/60)/(W438/60)),"")</f>
        <v/>
      </c>
      <c r="Y438" s="26">
        <f>IFERROR(IF(OR(O438="",A438="",M438=""),"",(IF(ISNUMBER(O438),MOD(O438,1),TIMEVALUE(O438))-LOOKUP(2,1/(($A$4:$A$500=A438)*($M$4:$M$500=M438)*($T$4:$T$500&lt;&gt;"")*($T$4:$T$500&lt;IF(ISNUMBER(O438),MOD(O438,1),TIMEVALUE(O438)))),$T$4:$T$500))*1440),"")</f>
        <v/>
      </c>
      <c r="Z438" s="27">
        <f>IFERROR(IF(Y438="","",IF(ROUND(Y438,0)&lt;=15,"Cumple","No cumple")),"")</f>
        <v/>
      </c>
      <c r="AA438" s="27" t="n"/>
      <c r="AB438" s="26">
        <f>IFERROR(IF(OR(O438="",R438=""),"",IF(IF(ISNUMBER(R438),MOD(R438,1),TIMEVALUE(R438))&gt;=IF(ISNUMBER(O438),MOD(O438,1),TIMEVALUE(O438)),(IF(ISNUMBER(R438),MOD(R438,1),TIMEVALUE(R438))-IF(ISNUMBER(O438),MOD(O438,1),TIMEVALUE(O438)))*1440,(IF(ISNUMBER(R438),MOD(R438,1),TIMEVALUE(R438))+1-IF(ISNUMBER(O438),MOD(O438,1),TIMEVALUE(O438)))*1440)),"")</f>
        <v/>
      </c>
      <c r="AC438" s="26">
        <f>IFERROR(IF(OR(R438="",S438=""),"",IF(IF(ISNUMBER(S438),MOD(S438,1),TIMEVALUE(S438))&gt;=IF(ISNUMBER(R438),MOD(R438,1),TIMEVALUE(R438)),(IF(ISNUMBER(S438),MOD(S438,1),TIMEVALUE(S438))-IF(ISNUMBER(R438),MOD(R438,1),TIMEVALUE(R438)))*1440,(IF(ISNUMBER(S438),MOD(S438,1),TIMEVALUE(S438))+1-IF(ISNUMBER(R438),MOD(R438,1),TIMEVALUE(R438)))*1440)),"")</f>
        <v/>
      </c>
      <c r="AD438" s="29" t="n"/>
      <c r="AE438" s="26">
        <f>IFERROR(IF(OR(AC438="",AD438=""),"",AC438-AD438),"")</f>
        <v/>
      </c>
      <c r="AF438" s="27">
        <f>IFERROR(IF(AE438="","",IF(ROUND(AE438,0)&gt;15,"Subestimacion",IF(ROUND(AE438,0)&lt;-15,"Sobrestimacion","Asertivo"))),"")</f>
        <v/>
      </c>
      <c r="AG438" s="19" t="n"/>
      <c r="AH438" s="19" t="n"/>
      <c r="AI438" s="19" t="n"/>
      <c r="AJ438" s="19" t="n"/>
      <c r="AK438" s="19" t="n"/>
      <c r="AL438" s="19" t="n"/>
      <c r="AM438" s="19" t="n"/>
      <c r="AN438" s="19" t="n"/>
      <c r="AO438" s="19" t="n"/>
      <c r="AP438" s="127">
        <f>IF(A438="","",A438-WEEKDAY(A438,2)+1)</f>
        <v/>
      </c>
      <c r="AQ438" s="127">
        <f>IF(AO438="","",AO438+6)</f>
        <v/>
      </c>
      <c r="AR438" s="19">
        <f>IF(AO438="","","Semana "&amp;TEXT(AO438,"dd-mm-yyyy")&amp;" al "&amp;TEXT(AP438,"dd-mm-yyyy"))</f>
        <v/>
      </c>
      <c r="AS438" s="19">
        <f>IF(A438="","",TEXT(A438,"mmmm yyyy"))</f>
        <v/>
      </c>
      <c r="AT438" s="19">
        <f>IF(A438="","",TEXT(A438,"dddd"))</f>
        <v/>
      </c>
      <c r="AU438" s="19">
        <f>IF(A438="","","CRR-"&amp;TEXT(A438,"yyyymmdd")&amp;"-"&amp;M438&amp;"-"&amp;TEXT(ROW()-3,"0000"))</f>
        <v/>
      </c>
      <c r="AV438" s="19">
        <f>IF(A438="","",IF(OR(B438="",C438="",E438="",F438="",M438="",N438=""),"Revisar campos obligatorios",IF(AND(P438="Atraso primera hora",Q438=""),"Falta justificación atraso primera hora",IF(AND(Z438="No cumple",AA438=""),"Falta justificación recambio &gt;15 min",IF(AND(ISNUMBER(SEARCH("suspend",N438)),OR(AG438="",AH438="")),"Falta causa/motivo suspensión","OK")))))</f>
        <v/>
      </c>
      <c r="AW438" s="19">
        <f>IF(N438="","",IF(ISNUMBER(SEARCH("suspend",N438)),IF(AND(AG438="",AH438=""),"Sin causa/motivo registrado",IF(AG438="",AH438,IF(AH438="",AG438,AG438&amp;": "&amp;AH438))),""))</f>
        <v/>
      </c>
    </row>
    <row r="439" ht="16" customHeight="1" s="151">
      <c r="A439" s="62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20">
        <f>IF(H439&lt;&gt;"",IFERROR(VLOOKUP(IFERROR(LEFT(H439,FIND("-",H439)-1),H439),'Catalogo MINSAL'!A:E,5,FALSE),""),IF(I439&lt;&gt;"",IFERROR(VLOOKUP(IFERROR(LEFT(I439,FIND("-",I439)-1),I439),'Catalogo MINSAL'!A:E,5,FALSE),""),""))</f>
        <v/>
      </c>
      <c r="K439" s="19" t="n"/>
      <c r="L439" s="19" t="n"/>
      <c r="M439" s="19" t="n"/>
      <c r="N439" s="19" t="n"/>
      <c r="O439" s="25" t="n"/>
      <c r="P439" s="27">
        <f>IFERROR(IF(OR(O439="",A439="",M439=""),"",IF(SUMPRODUCT(($A$4:$A$500=A439)*($M$4:$M$500=M439)*($O$4:$O$500&lt;&gt;"")*(MOD($O$4:$O$500,1)&lt;MOD(O439,1)))=0,IF(MOD(O439,1)&lt;=TIME(8,15,0),"Ingreso adecuado primera hora","Atraso primera hora"),"No aplica")),"")</f>
        <v/>
      </c>
      <c r="Q439" s="27" t="n"/>
      <c r="R439" s="25" t="n"/>
      <c r="S439" s="25" t="n"/>
      <c r="T439" s="25" t="n"/>
      <c r="U439" s="25">
        <f>IFERROR(VLOOKUP(M439,'Horario Pabellones'!$A$4:$D$17,2,FALSE),"")</f>
        <v/>
      </c>
      <c r="V439" s="25">
        <f>IFERROR(VLOOKUP(M439,'Horario Pabellones'!$A$4:$D$17,3,FALSE),"")</f>
        <v/>
      </c>
      <c r="W439" s="99">
        <f>IFERROR(VLOOKUP(M439,'Horario Pabellones'!$A$4:$D$17,4,FALSE),"")</f>
        <v/>
      </c>
      <c r="X439" s="89">
        <f>IFERROR(IF(OR(A439="",M439="",W439=""),"",(((_xludf.AGGREGATE(14,6,MOD($S$4:$S$500,1)/(($A$4:$A$500=A439)*($M$4:$M$500=M439)*($R$4:$R$500&lt;&gt;"")*($S$4:$S$500&lt;&gt;"")),1)-_xludf.AGGREGATE(15,6,MOD($R$4:$R$500,1)/(($A$4:$A$500=A439)*($M$4:$M$500=M439)*($R$4:$R$500&lt;&gt;"")*($S$4:$S$500&lt;&gt;"")),1))*1440)/60)/(W439/60)),"")</f>
        <v/>
      </c>
      <c r="Y439" s="26">
        <f>IFERROR(IF(OR(O439="",A439="",M439=""),"",(IF(ISNUMBER(O439),MOD(O439,1),TIMEVALUE(O439))-LOOKUP(2,1/(($A$4:$A$500=A439)*($M$4:$M$500=M439)*($T$4:$T$500&lt;&gt;"")*($T$4:$T$500&lt;IF(ISNUMBER(O439),MOD(O439,1),TIMEVALUE(O439)))),$T$4:$T$500))*1440),"")</f>
        <v/>
      </c>
      <c r="Z439" s="27">
        <f>IFERROR(IF(Y439="","",IF(ROUND(Y439,0)&lt;=15,"Cumple","No cumple")),"")</f>
        <v/>
      </c>
      <c r="AA439" s="27" t="n"/>
      <c r="AB439" s="26">
        <f>IFERROR(IF(OR(O439="",R439=""),"",IF(IF(ISNUMBER(R439),MOD(R439,1),TIMEVALUE(R439))&gt;=IF(ISNUMBER(O439),MOD(O439,1),TIMEVALUE(O439)),(IF(ISNUMBER(R439),MOD(R439,1),TIMEVALUE(R439))-IF(ISNUMBER(O439),MOD(O439,1),TIMEVALUE(O439)))*1440,(IF(ISNUMBER(R439),MOD(R439,1),TIMEVALUE(R439))+1-IF(ISNUMBER(O439),MOD(O439,1),TIMEVALUE(O439)))*1440)),"")</f>
        <v/>
      </c>
      <c r="AC439" s="26">
        <f>IFERROR(IF(OR(R439="",S439=""),"",IF(IF(ISNUMBER(S439),MOD(S439,1),TIMEVALUE(S439))&gt;=IF(ISNUMBER(R439),MOD(R439,1),TIMEVALUE(R439)),(IF(ISNUMBER(S439),MOD(S439,1),TIMEVALUE(S439))-IF(ISNUMBER(R439),MOD(R439,1),TIMEVALUE(R439)))*1440,(IF(ISNUMBER(S439),MOD(S439,1),TIMEVALUE(S439))+1-IF(ISNUMBER(R439),MOD(R439,1),TIMEVALUE(R439)))*1440)),"")</f>
        <v/>
      </c>
      <c r="AD439" s="29" t="n"/>
      <c r="AE439" s="26">
        <f>IFERROR(IF(OR(AC439="",AD439=""),"",AC439-AD439),"")</f>
        <v/>
      </c>
      <c r="AF439" s="27">
        <f>IFERROR(IF(AE439="","",IF(ROUND(AE439,0)&gt;15,"Subestimacion",IF(ROUND(AE439,0)&lt;-15,"Sobrestimacion","Asertivo"))),"")</f>
        <v/>
      </c>
      <c r="AG439" s="19" t="n"/>
      <c r="AH439" s="19" t="n"/>
      <c r="AI439" s="19" t="n"/>
      <c r="AJ439" s="19" t="n"/>
      <c r="AK439" s="19" t="n"/>
      <c r="AL439" s="19" t="n"/>
      <c r="AM439" s="19" t="n"/>
      <c r="AN439" s="19" t="n"/>
      <c r="AO439" s="19" t="n"/>
      <c r="AP439" s="127">
        <f>IF(A439="","",A439-WEEKDAY(A439,2)+1)</f>
        <v/>
      </c>
      <c r="AQ439" s="127">
        <f>IF(AO439="","",AO439+6)</f>
        <v/>
      </c>
      <c r="AR439" s="19">
        <f>IF(AO439="","","Semana "&amp;TEXT(AO439,"dd-mm-yyyy")&amp;" al "&amp;TEXT(AP439,"dd-mm-yyyy"))</f>
        <v/>
      </c>
      <c r="AS439" s="19">
        <f>IF(A439="","",TEXT(A439,"mmmm yyyy"))</f>
        <v/>
      </c>
      <c r="AT439" s="19">
        <f>IF(A439="","",TEXT(A439,"dddd"))</f>
        <v/>
      </c>
      <c r="AU439" s="19">
        <f>IF(A439="","","CRR-"&amp;TEXT(A439,"yyyymmdd")&amp;"-"&amp;M439&amp;"-"&amp;TEXT(ROW()-3,"0000"))</f>
        <v/>
      </c>
      <c r="AV439" s="19">
        <f>IF(A439="","",IF(OR(B439="",C439="",E439="",F439="",M439="",N439=""),"Revisar campos obligatorios",IF(AND(P439="Atraso primera hora",Q439=""),"Falta justificación atraso primera hora",IF(AND(Z439="No cumple",AA439=""),"Falta justificación recambio &gt;15 min",IF(AND(ISNUMBER(SEARCH("suspend",N439)),OR(AG439="",AH439="")),"Falta causa/motivo suspensión","OK")))))</f>
        <v/>
      </c>
      <c r="AW439" s="19">
        <f>IF(N439="","",IF(ISNUMBER(SEARCH("suspend",N439)),IF(AND(AG439="",AH439=""),"Sin causa/motivo registrado",IF(AG439="",AH439,IF(AH439="",AG439,AG439&amp;": "&amp;AH439))),""))</f>
        <v/>
      </c>
    </row>
    <row r="440" ht="16" customHeight="1" s="151">
      <c r="A440" s="62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20">
        <f>IF(H440&lt;&gt;"",IFERROR(VLOOKUP(IFERROR(LEFT(H440,FIND("-",H440)-1),H440),'Catalogo MINSAL'!A:E,5,FALSE),""),IF(I440&lt;&gt;"",IFERROR(VLOOKUP(IFERROR(LEFT(I440,FIND("-",I440)-1),I440),'Catalogo MINSAL'!A:E,5,FALSE),""),""))</f>
        <v/>
      </c>
      <c r="K440" s="19" t="n"/>
      <c r="L440" s="19" t="n"/>
      <c r="M440" s="19" t="n"/>
      <c r="N440" s="19" t="n"/>
      <c r="O440" s="25" t="n"/>
      <c r="P440" s="27">
        <f>IFERROR(IF(OR(O440="",A440="",M440=""),"",IF(SUMPRODUCT(($A$4:$A$500=A440)*($M$4:$M$500=M440)*($O$4:$O$500&lt;&gt;"")*(MOD($O$4:$O$500,1)&lt;MOD(O440,1)))=0,IF(MOD(O440,1)&lt;=TIME(8,15,0),"Ingreso adecuado primera hora","Atraso primera hora"),"No aplica")),"")</f>
        <v/>
      </c>
      <c r="Q440" s="27" t="n"/>
      <c r="R440" s="25" t="n"/>
      <c r="S440" s="25" t="n"/>
      <c r="T440" s="25" t="n"/>
      <c r="U440" s="25">
        <f>IFERROR(VLOOKUP(M440,'Horario Pabellones'!$A$4:$D$17,2,FALSE),"")</f>
        <v/>
      </c>
      <c r="V440" s="25">
        <f>IFERROR(VLOOKUP(M440,'Horario Pabellones'!$A$4:$D$17,3,FALSE),"")</f>
        <v/>
      </c>
      <c r="W440" s="99">
        <f>IFERROR(VLOOKUP(M440,'Horario Pabellones'!$A$4:$D$17,4,FALSE),"")</f>
        <v/>
      </c>
      <c r="X440" s="89">
        <f>IFERROR(IF(OR(A440="",M440="",W440=""),"",(((_xludf.AGGREGATE(14,6,MOD($S$4:$S$500,1)/(($A$4:$A$500=A440)*($M$4:$M$500=M440)*($R$4:$R$500&lt;&gt;"")*($S$4:$S$500&lt;&gt;"")),1)-_xludf.AGGREGATE(15,6,MOD($R$4:$R$500,1)/(($A$4:$A$500=A440)*($M$4:$M$500=M440)*($R$4:$R$500&lt;&gt;"")*($S$4:$S$500&lt;&gt;"")),1))*1440)/60)/(W440/60)),"")</f>
        <v/>
      </c>
      <c r="Y440" s="26">
        <f>IFERROR(IF(OR(O440="",A440="",M440=""),"",(IF(ISNUMBER(O440),MOD(O440,1),TIMEVALUE(O440))-LOOKUP(2,1/(($A$4:$A$500=A440)*($M$4:$M$500=M440)*($T$4:$T$500&lt;&gt;"")*($T$4:$T$500&lt;IF(ISNUMBER(O440),MOD(O440,1),TIMEVALUE(O440)))),$T$4:$T$500))*1440),"")</f>
        <v/>
      </c>
      <c r="Z440" s="27">
        <f>IFERROR(IF(Y440="","",IF(ROUND(Y440,0)&lt;=15,"Cumple","No cumple")),"")</f>
        <v/>
      </c>
      <c r="AA440" s="27" t="n"/>
      <c r="AB440" s="26">
        <f>IFERROR(IF(OR(O440="",R440=""),"",IF(IF(ISNUMBER(R440),MOD(R440,1),TIMEVALUE(R440))&gt;=IF(ISNUMBER(O440),MOD(O440,1),TIMEVALUE(O440)),(IF(ISNUMBER(R440),MOD(R440,1),TIMEVALUE(R440))-IF(ISNUMBER(O440),MOD(O440,1),TIMEVALUE(O440)))*1440,(IF(ISNUMBER(R440),MOD(R440,1),TIMEVALUE(R440))+1-IF(ISNUMBER(O440),MOD(O440,1),TIMEVALUE(O440)))*1440)),"")</f>
        <v/>
      </c>
      <c r="AC440" s="26">
        <f>IFERROR(IF(OR(R440="",S440=""),"",IF(IF(ISNUMBER(S440),MOD(S440,1),TIMEVALUE(S440))&gt;=IF(ISNUMBER(R440),MOD(R440,1),TIMEVALUE(R440)),(IF(ISNUMBER(S440),MOD(S440,1),TIMEVALUE(S440))-IF(ISNUMBER(R440),MOD(R440,1),TIMEVALUE(R440)))*1440,(IF(ISNUMBER(S440),MOD(S440,1),TIMEVALUE(S440))+1-IF(ISNUMBER(R440),MOD(R440,1),TIMEVALUE(R440)))*1440)),"")</f>
        <v/>
      </c>
      <c r="AD440" s="29" t="n"/>
      <c r="AE440" s="26">
        <f>IFERROR(IF(OR(AC440="",AD440=""),"",AC440-AD440),"")</f>
        <v/>
      </c>
      <c r="AF440" s="27">
        <f>IFERROR(IF(AE440="","",IF(ROUND(AE440,0)&gt;15,"Subestimacion",IF(ROUND(AE440,0)&lt;-15,"Sobrestimacion","Asertivo"))),"")</f>
        <v/>
      </c>
      <c r="AG440" s="19" t="n"/>
      <c r="AH440" s="19" t="n"/>
      <c r="AI440" s="19" t="n"/>
      <c r="AJ440" s="19" t="n"/>
      <c r="AK440" s="19" t="n"/>
      <c r="AL440" s="19" t="n"/>
      <c r="AM440" s="19" t="n"/>
      <c r="AN440" s="19" t="n"/>
      <c r="AO440" s="19" t="n"/>
      <c r="AP440" s="127">
        <f>IF(A440="","",A440-WEEKDAY(A440,2)+1)</f>
        <v/>
      </c>
      <c r="AQ440" s="127">
        <f>IF(AO440="","",AO440+6)</f>
        <v/>
      </c>
      <c r="AR440" s="19">
        <f>IF(AO440="","","Semana "&amp;TEXT(AO440,"dd-mm-yyyy")&amp;" al "&amp;TEXT(AP440,"dd-mm-yyyy"))</f>
        <v/>
      </c>
      <c r="AS440" s="19">
        <f>IF(A440="","",TEXT(A440,"mmmm yyyy"))</f>
        <v/>
      </c>
      <c r="AT440" s="19">
        <f>IF(A440="","",TEXT(A440,"dddd"))</f>
        <v/>
      </c>
      <c r="AU440" s="19">
        <f>IF(A440="","","CRR-"&amp;TEXT(A440,"yyyymmdd")&amp;"-"&amp;M440&amp;"-"&amp;TEXT(ROW()-3,"0000"))</f>
        <v/>
      </c>
      <c r="AV440" s="19">
        <f>IF(A440="","",IF(OR(B440="",C440="",E440="",F440="",M440="",N440=""),"Revisar campos obligatorios",IF(AND(P440="Atraso primera hora",Q440=""),"Falta justificación atraso primera hora",IF(AND(Z440="No cumple",AA440=""),"Falta justificación recambio &gt;15 min",IF(AND(ISNUMBER(SEARCH("suspend",N440)),OR(AG440="",AH440="")),"Falta causa/motivo suspensión","OK")))))</f>
        <v/>
      </c>
      <c r="AW440" s="19">
        <f>IF(N440="","",IF(ISNUMBER(SEARCH("suspend",N440)),IF(AND(AG440="",AH440=""),"Sin causa/motivo registrado",IF(AG440="",AH440,IF(AH440="",AG440,AG440&amp;": "&amp;AH440))),""))</f>
        <v/>
      </c>
    </row>
    <row r="441" ht="16" customHeight="1" s="151">
      <c r="A441" s="62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20">
        <f>IF(H441&lt;&gt;"",IFERROR(VLOOKUP(IFERROR(LEFT(H441,FIND("-",H441)-1),H441),'Catalogo MINSAL'!A:E,5,FALSE),""),IF(I441&lt;&gt;"",IFERROR(VLOOKUP(IFERROR(LEFT(I441,FIND("-",I441)-1),I441),'Catalogo MINSAL'!A:E,5,FALSE),""),""))</f>
        <v/>
      </c>
      <c r="K441" s="19" t="n"/>
      <c r="L441" s="19" t="n"/>
      <c r="M441" s="19" t="n"/>
      <c r="N441" s="19" t="n"/>
      <c r="O441" s="25" t="n"/>
      <c r="P441" s="27">
        <f>IFERROR(IF(OR(O441="",A441="",M441=""),"",IF(SUMPRODUCT(($A$4:$A$500=A441)*($M$4:$M$500=M441)*($O$4:$O$500&lt;&gt;"")*(MOD($O$4:$O$500,1)&lt;MOD(O441,1)))=0,IF(MOD(O441,1)&lt;=TIME(8,15,0),"Ingreso adecuado primera hora","Atraso primera hora"),"No aplica")),"")</f>
        <v/>
      </c>
      <c r="Q441" s="27" t="n"/>
      <c r="R441" s="25" t="n"/>
      <c r="S441" s="25" t="n"/>
      <c r="T441" s="25" t="n"/>
      <c r="U441" s="25">
        <f>IFERROR(VLOOKUP(M441,'Horario Pabellones'!$A$4:$D$17,2,FALSE),"")</f>
        <v/>
      </c>
      <c r="V441" s="25">
        <f>IFERROR(VLOOKUP(M441,'Horario Pabellones'!$A$4:$D$17,3,FALSE),"")</f>
        <v/>
      </c>
      <c r="W441" s="99">
        <f>IFERROR(VLOOKUP(M441,'Horario Pabellones'!$A$4:$D$17,4,FALSE),"")</f>
        <v/>
      </c>
      <c r="X441" s="89">
        <f>IFERROR(IF(OR(A441="",M441="",W441=""),"",(((_xludf.AGGREGATE(14,6,MOD($S$4:$S$500,1)/(($A$4:$A$500=A441)*($M$4:$M$500=M441)*($R$4:$R$500&lt;&gt;"")*($S$4:$S$500&lt;&gt;"")),1)-_xludf.AGGREGATE(15,6,MOD($R$4:$R$500,1)/(($A$4:$A$500=A441)*($M$4:$M$500=M441)*($R$4:$R$500&lt;&gt;"")*($S$4:$S$500&lt;&gt;"")),1))*1440)/60)/(W441/60)),"")</f>
        <v/>
      </c>
      <c r="Y441" s="26">
        <f>IFERROR(IF(OR(O441="",A441="",M441=""),"",(IF(ISNUMBER(O441),MOD(O441,1),TIMEVALUE(O441))-LOOKUP(2,1/(($A$4:$A$500=A441)*($M$4:$M$500=M441)*($T$4:$T$500&lt;&gt;"")*($T$4:$T$500&lt;IF(ISNUMBER(O441),MOD(O441,1),TIMEVALUE(O441)))),$T$4:$T$500))*1440),"")</f>
        <v/>
      </c>
      <c r="Z441" s="27">
        <f>IFERROR(IF(Y441="","",IF(ROUND(Y441,0)&lt;=15,"Cumple","No cumple")),"")</f>
        <v/>
      </c>
      <c r="AA441" s="27" t="n"/>
      <c r="AB441" s="26">
        <f>IFERROR(IF(OR(O441="",R441=""),"",IF(IF(ISNUMBER(R441),MOD(R441,1),TIMEVALUE(R441))&gt;=IF(ISNUMBER(O441),MOD(O441,1),TIMEVALUE(O441)),(IF(ISNUMBER(R441),MOD(R441,1),TIMEVALUE(R441))-IF(ISNUMBER(O441),MOD(O441,1),TIMEVALUE(O441)))*1440,(IF(ISNUMBER(R441),MOD(R441,1),TIMEVALUE(R441))+1-IF(ISNUMBER(O441),MOD(O441,1),TIMEVALUE(O441)))*1440)),"")</f>
        <v/>
      </c>
      <c r="AC441" s="26">
        <f>IFERROR(IF(OR(R441="",S441=""),"",IF(IF(ISNUMBER(S441),MOD(S441,1),TIMEVALUE(S441))&gt;=IF(ISNUMBER(R441),MOD(R441,1),TIMEVALUE(R441)),(IF(ISNUMBER(S441),MOD(S441,1),TIMEVALUE(S441))-IF(ISNUMBER(R441),MOD(R441,1),TIMEVALUE(R441)))*1440,(IF(ISNUMBER(S441),MOD(S441,1),TIMEVALUE(S441))+1-IF(ISNUMBER(R441),MOD(R441,1),TIMEVALUE(R441)))*1440)),"")</f>
        <v/>
      </c>
      <c r="AD441" s="29" t="n"/>
      <c r="AE441" s="26">
        <f>IFERROR(IF(OR(AC441="",AD441=""),"",AC441-AD441),"")</f>
        <v/>
      </c>
      <c r="AF441" s="27">
        <f>IFERROR(IF(AE441="","",IF(ROUND(AE441,0)&gt;15,"Subestimacion",IF(ROUND(AE441,0)&lt;-15,"Sobrestimacion","Asertivo"))),"")</f>
        <v/>
      </c>
      <c r="AG441" s="19" t="n"/>
      <c r="AH441" s="19" t="n"/>
      <c r="AI441" s="19" t="n"/>
      <c r="AJ441" s="19" t="n"/>
      <c r="AK441" s="19" t="n"/>
      <c r="AL441" s="19" t="n"/>
      <c r="AM441" s="19" t="n"/>
      <c r="AN441" s="19" t="n"/>
      <c r="AO441" s="19" t="n"/>
      <c r="AP441" s="127">
        <f>IF(A441="","",A441-WEEKDAY(A441,2)+1)</f>
        <v/>
      </c>
      <c r="AQ441" s="127">
        <f>IF(AO441="","",AO441+6)</f>
        <v/>
      </c>
      <c r="AR441" s="19">
        <f>IF(AO441="","","Semana "&amp;TEXT(AO441,"dd-mm-yyyy")&amp;" al "&amp;TEXT(AP441,"dd-mm-yyyy"))</f>
        <v/>
      </c>
      <c r="AS441" s="19">
        <f>IF(A441="","",TEXT(A441,"mmmm yyyy"))</f>
        <v/>
      </c>
      <c r="AT441" s="19">
        <f>IF(A441="","",TEXT(A441,"dddd"))</f>
        <v/>
      </c>
      <c r="AU441" s="19">
        <f>IF(A441="","","CRR-"&amp;TEXT(A441,"yyyymmdd")&amp;"-"&amp;M441&amp;"-"&amp;TEXT(ROW()-3,"0000"))</f>
        <v/>
      </c>
      <c r="AV441" s="19">
        <f>IF(A441="","",IF(OR(B441="",C441="",E441="",F441="",M441="",N441=""),"Revisar campos obligatorios",IF(AND(P441="Atraso primera hora",Q441=""),"Falta justificación atraso primera hora",IF(AND(Z441="No cumple",AA441=""),"Falta justificación recambio &gt;15 min",IF(AND(ISNUMBER(SEARCH("suspend",N441)),OR(AG441="",AH441="")),"Falta causa/motivo suspensión","OK")))))</f>
        <v/>
      </c>
      <c r="AW441" s="19">
        <f>IF(N441="","",IF(ISNUMBER(SEARCH("suspend",N441)),IF(AND(AG441="",AH441=""),"Sin causa/motivo registrado",IF(AG441="",AH441,IF(AH441="",AG441,AG441&amp;": "&amp;AH441))),""))</f>
        <v/>
      </c>
    </row>
    <row r="442" ht="16" customHeight="1" s="151">
      <c r="A442" s="62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20">
        <f>IF(H442&lt;&gt;"",IFERROR(VLOOKUP(IFERROR(LEFT(H442,FIND("-",H442)-1),H442),'Catalogo MINSAL'!A:E,5,FALSE),""),IF(I442&lt;&gt;"",IFERROR(VLOOKUP(IFERROR(LEFT(I442,FIND("-",I442)-1),I442),'Catalogo MINSAL'!A:E,5,FALSE),""),""))</f>
        <v/>
      </c>
      <c r="K442" s="19" t="n"/>
      <c r="L442" s="19" t="n"/>
      <c r="M442" s="19" t="n"/>
      <c r="N442" s="19" t="n"/>
      <c r="O442" s="25" t="n"/>
      <c r="P442" s="27">
        <f>IFERROR(IF(OR(O442="",A442="",M442=""),"",IF(SUMPRODUCT(($A$4:$A$500=A442)*($M$4:$M$500=M442)*($O$4:$O$500&lt;&gt;"")*(MOD($O$4:$O$500,1)&lt;MOD(O442,1)))=0,IF(MOD(O442,1)&lt;=TIME(8,15,0),"Ingreso adecuado primera hora","Atraso primera hora"),"No aplica")),"")</f>
        <v/>
      </c>
      <c r="Q442" s="27" t="n"/>
      <c r="R442" s="25" t="n"/>
      <c r="S442" s="25" t="n"/>
      <c r="T442" s="25" t="n"/>
      <c r="U442" s="25">
        <f>IFERROR(VLOOKUP(M442,'Horario Pabellones'!$A$4:$D$17,2,FALSE),"")</f>
        <v/>
      </c>
      <c r="V442" s="25">
        <f>IFERROR(VLOOKUP(M442,'Horario Pabellones'!$A$4:$D$17,3,FALSE),"")</f>
        <v/>
      </c>
      <c r="W442" s="99">
        <f>IFERROR(VLOOKUP(M442,'Horario Pabellones'!$A$4:$D$17,4,FALSE),"")</f>
        <v/>
      </c>
      <c r="X442" s="89">
        <f>IFERROR(IF(OR(A442="",M442="",W442=""),"",(((_xludf.AGGREGATE(14,6,MOD($S$4:$S$500,1)/(($A$4:$A$500=A442)*($M$4:$M$500=M442)*($R$4:$R$500&lt;&gt;"")*($S$4:$S$500&lt;&gt;"")),1)-_xludf.AGGREGATE(15,6,MOD($R$4:$R$500,1)/(($A$4:$A$500=A442)*($M$4:$M$500=M442)*($R$4:$R$500&lt;&gt;"")*($S$4:$S$500&lt;&gt;"")),1))*1440)/60)/(W442/60)),"")</f>
        <v/>
      </c>
      <c r="Y442" s="26">
        <f>IFERROR(IF(OR(O442="",A442="",M442=""),"",(IF(ISNUMBER(O442),MOD(O442,1),TIMEVALUE(O442))-LOOKUP(2,1/(($A$4:$A$500=A442)*($M$4:$M$500=M442)*($T$4:$T$500&lt;&gt;"")*($T$4:$T$500&lt;IF(ISNUMBER(O442),MOD(O442,1),TIMEVALUE(O442)))),$T$4:$T$500))*1440),"")</f>
        <v/>
      </c>
      <c r="Z442" s="27">
        <f>IFERROR(IF(Y442="","",IF(ROUND(Y442,0)&lt;=15,"Cumple","No cumple")),"")</f>
        <v/>
      </c>
      <c r="AA442" s="27" t="n"/>
      <c r="AB442" s="26">
        <f>IFERROR(IF(OR(O442="",R442=""),"",IF(IF(ISNUMBER(R442),MOD(R442,1),TIMEVALUE(R442))&gt;=IF(ISNUMBER(O442),MOD(O442,1),TIMEVALUE(O442)),(IF(ISNUMBER(R442),MOD(R442,1),TIMEVALUE(R442))-IF(ISNUMBER(O442),MOD(O442,1),TIMEVALUE(O442)))*1440,(IF(ISNUMBER(R442),MOD(R442,1),TIMEVALUE(R442))+1-IF(ISNUMBER(O442),MOD(O442,1),TIMEVALUE(O442)))*1440)),"")</f>
        <v/>
      </c>
      <c r="AC442" s="26">
        <f>IFERROR(IF(OR(R442="",S442=""),"",IF(IF(ISNUMBER(S442),MOD(S442,1),TIMEVALUE(S442))&gt;=IF(ISNUMBER(R442),MOD(R442,1),TIMEVALUE(R442)),(IF(ISNUMBER(S442),MOD(S442,1),TIMEVALUE(S442))-IF(ISNUMBER(R442),MOD(R442,1),TIMEVALUE(R442)))*1440,(IF(ISNUMBER(S442),MOD(S442,1),TIMEVALUE(S442))+1-IF(ISNUMBER(R442),MOD(R442,1),TIMEVALUE(R442)))*1440)),"")</f>
        <v/>
      </c>
      <c r="AD442" s="29" t="n"/>
      <c r="AE442" s="26">
        <f>IFERROR(IF(OR(AC442="",AD442=""),"",AC442-AD442),"")</f>
        <v/>
      </c>
      <c r="AF442" s="27">
        <f>IFERROR(IF(AE442="","",IF(ROUND(AE442,0)&gt;15,"Subestimacion",IF(ROUND(AE442,0)&lt;-15,"Sobrestimacion","Asertivo"))),"")</f>
        <v/>
      </c>
      <c r="AG442" s="19" t="n"/>
      <c r="AH442" s="19" t="n"/>
      <c r="AI442" s="19" t="n"/>
      <c r="AJ442" s="19" t="n"/>
      <c r="AK442" s="19" t="n"/>
      <c r="AL442" s="19" t="n"/>
      <c r="AM442" s="19" t="n"/>
      <c r="AN442" s="19" t="n"/>
      <c r="AO442" s="19" t="n"/>
      <c r="AP442" s="127">
        <f>IF(A442="","",A442-WEEKDAY(A442,2)+1)</f>
        <v/>
      </c>
      <c r="AQ442" s="127">
        <f>IF(AO442="","",AO442+6)</f>
        <v/>
      </c>
      <c r="AR442" s="19">
        <f>IF(AO442="","","Semana "&amp;TEXT(AO442,"dd-mm-yyyy")&amp;" al "&amp;TEXT(AP442,"dd-mm-yyyy"))</f>
        <v/>
      </c>
      <c r="AS442" s="19">
        <f>IF(A442="","",TEXT(A442,"mmmm yyyy"))</f>
        <v/>
      </c>
      <c r="AT442" s="19">
        <f>IF(A442="","",TEXT(A442,"dddd"))</f>
        <v/>
      </c>
      <c r="AU442" s="19">
        <f>IF(A442="","","CRR-"&amp;TEXT(A442,"yyyymmdd")&amp;"-"&amp;M442&amp;"-"&amp;TEXT(ROW()-3,"0000"))</f>
        <v/>
      </c>
      <c r="AV442" s="19">
        <f>IF(A442="","",IF(OR(B442="",C442="",E442="",F442="",M442="",N442=""),"Revisar campos obligatorios",IF(AND(P442="Atraso primera hora",Q442=""),"Falta justificación atraso primera hora",IF(AND(Z442="No cumple",AA442=""),"Falta justificación recambio &gt;15 min",IF(AND(ISNUMBER(SEARCH("suspend",N442)),OR(AG442="",AH442="")),"Falta causa/motivo suspensión","OK")))))</f>
        <v/>
      </c>
      <c r="AW442" s="19">
        <f>IF(N442="","",IF(ISNUMBER(SEARCH("suspend",N442)),IF(AND(AG442="",AH442=""),"Sin causa/motivo registrado",IF(AG442="",AH442,IF(AH442="",AG442,AG442&amp;": "&amp;AH442))),""))</f>
        <v/>
      </c>
    </row>
    <row r="443" ht="16" customHeight="1" s="151">
      <c r="A443" s="62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20">
        <f>IF(H443&lt;&gt;"",IFERROR(VLOOKUP(IFERROR(LEFT(H443,FIND("-",H443)-1),H443),'Catalogo MINSAL'!A:E,5,FALSE),""),IF(I443&lt;&gt;"",IFERROR(VLOOKUP(IFERROR(LEFT(I443,FIND("-",I443)-1),I443),'Catalogo MINSAL'!A:E,5,FALSE),""),""))</f>
        <v/>
      </c>
      <c r="K443" s="19" t="n"/>
      <c r="L443" s="19" t="n"/>
      <c r="M443" s="19" t="n"/>
      <c r="N443" s="19" t="n"/>
      <c r="O443" s="25" t="n"/>
      <c r="P443" s="27">
        <f>IFERROR(IF(OR(O443="",A443="",M443=""),"",IF(SUMPRODUCT(($A$4:$A$500=A443)*($M$4:$M$500=M443)*($O$4:$O$500&lt;&gt;"")*(MOD($O$4:$O$500,1)&lt;MOD(O443,1)))=0,IF(MOD(O443,1)&lt;=TIME(8,15,0),"Ingreso adecuado primera hora","Atraso primera hora"),"No aplica")),"")</f>
        <v/>
      </c>
      <c r="Q443" s="27" t="n"/>
      <c r="R443" s="25" t="n"/>
      <c r="S443" s="25" t="n"/>
      <c r="T443" s="25" t="n"/>
      <c r="U443" s="25">
        <f>IFERROR(VLOOKUP(M443,'Horario Pabellones'!$A$4:$D$17,2,FALSE),"")</f>
        <v/>
      </c>
      <c r="V443" s="25">
        <f>IFERROR(VLOOKUP(M443,'Horario Pabellones'!$A$4:$D$17,3,FALSE),"")</f>
        <v/>
      </c>
      <c r="W443" s="99">
        <f>IFERROR(VLOOKUP(M443,'Horario Pabellones'!$A$4:$D$17,4,FALSE),"")</f>
        <v/>
      </c>
      <c r="X443" s="89">
        <f>IFERROR(IF(OR(A443="",M443="",W443=""),"",(((_xludf.AGGREGATE(14,6,MOD($S$4:$S$500,1)/(($A$4:$A$500=A443)*($M$4:$M$500=M443)*($R$4:$R$500&lt;&gt;"")*($S$4:$S$500&lt;&gt;"")),1)-_xludf.AGGREGATE(15,6,MOD($R$4:$R$500,1)/(($A$4:$A$500=A443)*($M$4:$M$500=M443)*($R$4:$R$500&lt;&gt;"")*($S$4:$S$500&lt;&gt;"")),1))*1440)/60)/(W443/60)),"")</f>
        <v/>
      </c>
      <c r="Y443" s="26">
        <f>IFERROR(IF(OR(O443="",A443="",M443=""),"",(IF(ISNUMBER(O443),MOD(O443,1),TIMEVALUE(O443))-LOOKUP(2,1/(($A$4:$A$500=A443)*($M$4:$M$500=M443)*($T$4:$T$500&lt;&gt;"")*($T$4:$T$500&lt;IF(ISNUMBER(O443),MOD(O443,1),TIMEVALUE(O443)))),$T$4:$T$500))*1440),"")</f>
        <v/>
      </c>
      <c r="Z443" s="27">
        <f>IFERROR(IF(Y443="","",IF(ROUND(Y443,0)&lt;=15,"Cumple","No cumple")),"")</f>
        <v/>
      </c>
      <c r="AA443" s="27" t="n"/>
      <c r="AB443" s="26">
        <f>IFERROR(IF(OR(O443="",R443=""),"",IF(IF(ISNUMBER(R443),MOD(R443,1),TIMEVALUE(R443))&gt;=IF(ISNUMBER(O443),MOD(O443,1),TIMEVALUE(O443)),(IF(ISNUMBER(R443),MOD(R443,1),TIMEVALUE(R443))-IF(ISNUMBER(O443),MOD(O443,1),TIMEVALUE(O443)))*1440,(IF(ISNUMBER(R443),MOD(R443,1),TIMEVALUE(R443))+1-IF(ISNUMBER(O443),MOD(O443,1),TIMEVALUE(O443)))*1440)),"")</f>
        <v/>
      </c>
      <c r="AC443" s="26">
        <f>IFERROR(IF(OR(R443="",S443=""),"",IF(IF(ISNUMBER(S443),MOD(S443,1),TIMEVALUE(S443))&gt;=IF(ISNUMBER(R443),MOD(R443,1),TIMEVALUE(R443)),(IF(ISNUMBER(S443),MOD(S443,1),TIMEVALUE(S443))-IF(ISNUMBER(R443),MOD(R443,1),TIMEVALUE(R443)))*1440,(IF(ISNUMBER(S443),MOD(S443,1),TIMEVALUE(S443))+1-IF(ISNUMBER(R443),MOD(R443,1),TIMEVALUE(R443)))*1440)),"")</f>
        <v/>
      </c>
      <c r="AD443" s="29" t="n"/>
      <c r="AE443" s="26">
        <f>IFERROR(IF(OR(AC443="",AD443=""),"",AC443-AD443),"")</f>
        <v/>
      </c>
      <c r="AF443" s="27">
        <f>IFERROR(IF(AE443="","",IF(ROUND(AE443,0)&gt;15,"Subestimacion",IF(ROUND(AE443,0)&lt;-15,"Sobrestimacion","Asertivo"))),"")</f>
        <v/>
      </c>
      <c r="AG443" s="19" t="n"/>
      <c r="AH443" s="19" t="n"/>
      <c r="AI443" s="19" t="n"/>
      <c r="AJ443" s="19" t="n"/>
      <c r="AK443" s="19" t="n"/>
      <c r="AL443" s="19" t="n"/>
      <c r="AM443" s="19" t="n"/>
      <c r="AN443" s="19" t="n"/>
      <c r="AO443" s="19" t="n"/>
      <c r="AP443" s="127">
        <f>IF(A443="","",A443-WEEKDAY(A443,2)+1)</f>
        <v/>
      </c>
      <c r="AQ443" s="127">
        <f>IF(AO443="","",AO443+6)</f>
        <v/>
      </c>
      <c r="AR443" s="19">
        <f>IF(AO443="","","Semana "&amp;TEXT(AO443,"dd-mm-yyyy")&amp;" al "&amp;TEXT(AP443,"dd-mm-yyyy"))</f>
        <v/>
      </c>
      <c r="AS443" s="19">
        <f>IF(A443="","",TEXT(A443,"mmmm yyyy"))</f>
        <v/>
      </c>
      <c r="AT443" s="19">
        <f>IF(A443="","",TEXT(A443,"dddd"))</f>
        <v/>
      </c>
      <c r="AU443" s="19">
        <f>IF(A443="","","CRR-"&amp;TEXT(A443,"yyyymmdd")&amp;"-"&amp;M443&amp;"-"&amp;TEXT(ROW()-3,"0000"))</f>
        <v/>
      </c>
      <c r="AV443" s="19">
        <f>IF(A443="","",IF(OR(B443="",C443="",E443="",F443="",M443="",N443=""),"Revisar campos obligatorios",IF(AND(P443="Atraso primera hora",Q443=""),"Falta justificación atraso primera hora",IF(AND(Z443="No cumple",AA443=""),"Falta justificación recambio &gt;15 min",IF(AND(ISNUMBER(SEARCH("suspend",N443)),OR(AG443="",AH443="")),"Falta causa/motivo suspensión","OK")))))</f>
        <v/>
      </c>
      <c r="AW443" s="19">
        <f>IF(N443="","",IF(ISNUMBER(SEARCH("suspend",N443)),IF(AND(AG443="",AH443=""),"Sin causa/motivo registrado",IF(AG443="",AH443,IF(AH443="",AG443,AG443&amp;": "&amp;AH443))),""))</f>
        <v/>
      </c>
    </row>
    <row r="444" ht="16" customHeight="1" s="151">
      <c r="A444" s="62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20">
        <f>IF(H444&lt;&gt;"",IFERROR(VLOOKUP(IFERROR(LEFT(H444,FIND("-",H444)-1),H444),'Catalogo MINSAL'!A:E,5,FALSE),""),IF(I444&lt;&gt;"",IFERROR(VLOOKUP(IFERROR(LEFT(I444,FIND("-",I444)-1),I444),'Catalogo MINSAL'!A:E,5,FALSE),""),""))</f>
        <v/>
      </c>
      <c r="K444" s="19" t="n"/>
      <c r="L444" s="19" t="n"/>
      <c r="M444" s="19" t="n"/>
      <c r="N444" s="19" t="n"/>
      <c r="O444" s="25" t="n"/>
      <c r="P444" s="27">
        <f>IFERROR(IF(OR(O444="",A444="",M444=""),"",IF(SUMPRODUCT(($A$4:$A$500=A444)*($M$4:$M$500=M444)*($O$4:$O$500&lt;&gt;"")*(MOD($O$4:$O$500,1)&lt;MOD(O444,1)))=0,IF(MOD(O444,1)&lt;=TIME(8,15,0),"Ingreso adecuado primera hora","Atraso primera hora"),"No aplica")),"")</f>
        <v/>
      </c>
      <c r="Q444" s="27" t="n"/>
      <c r="R444" s="25" t="n"/>
      <c r="S444" s="25" t="n"/>
      <c r="T444" s="25" t="n"/>
      <c r="U444" s="25">
        <f>IFERROR(VLOOKUP(M444,'Horario Pabellones'!$A$4:$D$17,2,FALSE),"")</f>
        <v/>
      </c>
      <c r="V444" s="25">
        <f>IFERROR(VLOOKUP(M444,'Horario Pabellones'!$A$4:$D$17,3,FALSE),"")</f>
        <v/>
      </c>
      <c r="W444" s="99">
        <f>IFERROR(VLOOKUP(M444,'Horario Pabellones'!$A$4:$D$17,4,FALSE),"")</f>
        <v/>
      </c>
      <c r="X444" s="89">
        <f>IFERROR(IF(OR(A444="",M444="",W444=""),"",(((_xludf.AGGREGATE(14,6,MOD($S$4:$S$500,1)/(($A$4:$A$500=A444)*($M$4:$M$500=M444)*($R$4:$R$500&lt;&gt;"")*($S$4:$S$500&lt;&gt;"")),1)-_xludf.AGGREGATE(15,6,MOD($R$4:$R$500,1)/(($A$4:$A$500=A444)*($M$4:$M$500=M444)*($R$4:$R$500&lt;&gt;"")*($S$4:$S$500&lt;&gt;"")),1))*1440)/60)/(W444/60)),"")</f>
        <v/>
      </c>
      <c r="Y444" s="26">
        <f>IFERROR(IF(OR(O444="",A444="",M444=""),"",(IF(ISNUMBER(O444),MOD(O444,1),TIMEVALUE(O444))-LOOKUP(2,1/(($A$4:$A$500=A444)*($M$4:$M$500=M444)*($T$4:$T$500&lt;&gt;"")*($T$4:$T$500&lt;IF(ISNUMBER(O444),MOD(O444,1),TIMEVALUE(O444)))),$T$4:$T$500))*1440),"")</f>
        <v/>
      </c>
      <c r="Z444" s="27">
        <f>IFERROR(IF(Y444="","",IF(ROUND(Y444,0)&lt;=15,"Cumple","No cumple")),"")</f>
        <v/>
      </c>
      <c r="AA444" s="27" t="n"/>
      <c r="AB444" s="26">
        <f>IFERROR(IF(OR(O444="",R444=""),"",IF(IF(ISNUMBER(R444),MOD(R444,1),TIMEVALUE(R444))&gt;=IF(ISNUMBER(O444),MOD(O444,1),TIMEVALUE(O444)),(IF(ISNUMBER(R444),MOD(R444,1),TIMEVALUE(R444))-IF(ISNUMBER(O444),MOD(O444,1),TIMEVALUE(O444)))*1440,(IF(ISNUMBER(R444),MOD(R444,1),TIMEVALUE(R444))+1-IF(ISNUMBER(O444),MOD(O444,1),TIMEVALUE(O444)))*1440)),"")</f>
        <v/>
      </c>
      <c r="AC444" s="26">
        <f>IFERROR(IF(OR(R444="",S444=""),"",IF(IF(ISNUMBER(S444),MOD(S444,1),TIMEVALUE(S444))&gt;=IF(ISNUMBER(R444),MOD(R444,1),TIMEVALUE(R444)),(IF(ISNUMBER(S444),MOD(S444,1),TIMEVALUE(S444))-IF(ISNUMBER(R444),MOD(R444,1),TIMEVALUE(R444)))*1440,(IF(ISNUMBER(S444),MOD(S444,1),TIMEVALUE(S444))+1-IF(ISNUMBER(R444),MOD(R444,1),TIMEVALUE(R444)))*1440)),"")</f>
        <v/>
      </c>
      <c r="AD444" s="29" t="n"/>
      <c r="AE444" s="26">
        <f>IFERROR(IF(OR(AC444="",AD444=""),"",AC444-AD444),"")</f>
        <v/>
      </c>
      <c r="AF444" s="27">
        <f>IFERROR(IF(AE444="","",IF(ROUND(AE444,0)&gt;15,"Subestimacion",IF(ROUND(AE444,0)&lt;-15,"Sobrestimacion","Asertivo"))),"")</f>
        <v/>
      </c>
      <c r="AG444" s="19" t="n"/>
      <c r="AH444" s="19" t="n"/>
      <c r="AI444" s="19" t="n"/>
      <c r="AJ444" s="19" t="n"/>
      <c r="AK444" s="19" t="n"/>
      <c r="AL444" s="19" t="n"/>
      <c r="AM444" s="19" t="n"/>
      <c r="AN444" s="19" t="n"/>
      <c r="AO444" s="19" t="n"/>
      <c r="AP444" s="127">
        <f>IF(A444="","",A444-WEEKDAY(A444,2)+1)</f>
        <v/>
      </c>
      <c r="AQ444" s="127">
        <f>IF(AO444="","",AO444+6)</f>
        <v/>
      </c>
      <c r="AR444" s="19">
        <f>IF(AO444="","","Semana "&amp;TEXT(AO444,"dd-mm-yyyy")&amp;" al "&amp;TEXT(AP444,"dd-mm-yyyy"))</f>
        <v/>
      </c>
      <c r="AS444" s="19">
        <f>IF(A444="","",TEXT(A444,"mmmm yyyy"))</f>
        <v/>
      </c>
      <c r="AT444" s="19">
        <f>IF(A444="","",TEXT(A444,"dddd"))</f>
        <v/>
      </c>
      <c r="AU444" s="19">
        <f>IF(A444="","","CRR-"&amp;TEXT(A444,"yyyymmdd")&amp;"-"&amp;M444&amp;"-"&amp;TEXT(ROW()-3,"0000"))</f>
        <v/>
      </c>
      <c r="AV444" s="19">
        <f>IF(A444="","",IF(OR(B444="",C444="",E444="",F444="",M444="",N444=""),"Revisar campos obligatorios",IF(AND(P444="Atraso primera hora",Q444=""),"Falta justificación atraso primera hora",IF(AND(Z444="No cumple",AA444=""),"Falta justificación recambio &gt;15 min",IF(AND(ISNUMBER(SEARCH("suspend",N444)),OR(AG444="",AH444="")),"Falta causa/motivo suspensión","OK")))))</f>
        <v/>
      </c>
      <c r="AW444" s="19">
        <f>IF(N444="","",IF(ISNUMBER(SEARCH("suspend",N444)),IF(AND(AG444="",AH444=""),"Sin causa/motivo registrado",IF(AG444="",AH444,IF(AH444="",AG444,AG444&amp;": "&amp;AH444))),""))</f>
        <v/>
      </c>
    </row>
    <row r="445" ht="16" customHeight="1" s="151">
      <c r="A445" s="62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20">
        <f>IF(H445&lt;&gt;"",IFERROR(VLOOKUP(IFERROR(LEFT(H445,FIND("-",H445)-1),H445),'Catalogo MINSAL'!A:E,5,FALSE),""),IF(I445&lt;&gt;"",IFERROR(VLOOKUP(IFERROR(LEFT(I445,FIND("-",I445)-1),I445),'Catalogo MINSAL'!A:E,5,FALSE),""),""))</f>
        <v/>
      </c>
      <c r="K445" s="19" t="n"/>
      <c r="L445" s="19" t="n"/>
      <c r="M445" s="19" t="n"/>
      <c r="N445" s="19" t="n"/>
      <c r="O445" s="25" t="n"/>
      <c r="P445" s="27">
        <f>IFERROR(IF(OR(O445="",A445="",M445=""),"",IF(SUMPRODUCT(($A$4:$A$500=A445)*($M$4:$M$500=M445)*($O$4:$O$500&lt;&gt;"")*(MOD($O$4:$O$500,1)&lt;MOD(O445,1)))=0,IF(MOD(O445,1)&lt;=TIME(8,15,0),"Ingreso adecuado primera hora","Atraso primera hora"),"No aplica")),"")</f>
        <v/>
      </c>
      <c r="Q445" s="27" t="n"/>
      <c r="R445" s="25" t="n"/>
      <c r="S445" s="25" t="n"/>
      <c r="T445" s="25" t="n"/>
      <c r="U445" s="25">
        <f>IFERROR(VLOOKUP(M445,'Horario Pabellones'!$A$4:$D$17,2,FALSE),"")</f>
        <v/>
      </c>
      <c r="V445" s="25">
        <f>IFERROR(VLOOKUP(M445,'Horario Pabellones'!$A$4:$D$17,3,FALSE),"")</f>
        <v/>
      </c>
      <c r="W445" s="99">
        <f>IFERROR(VLOOKUP(M445,'Horario Pabellones'!$A$4:$D$17,4,FALSE),"")</f>
        <v/>
      </c>
      <c r="X445" s="89">
        <f>IFERROR(IF(OR(A445="",M445="",W445=""),"",(((_xludf.AGGREGATE(14,6,MOD($S$4:$S$500,1)/(($A$4:$A$500=A445)*($M$4:$M$500=M445)*($R$4:$R$500&lt;&gt;"")*($S$4:$S$500&lt;&gt;"")),1)-_xludf.AGGREGATE(15,6,MOD($R$4:$R$500,1)/(($A$4:$A$500=A445)*($M$4:$M$500=M445)*($R$4:$R$500&lt;&gt;"")*($S$4:$S$500&lt;&gt;"")),1))*1440)/60)/(W445/60)),"")</f>
        <v/>
      </c>
      <c r="Y445" s="26">
        <f>IFERROR(IF(OR(O445="",A445="",M445=""),"",(IF(ISNUMBER(O445),MOD(O445,1),TIMEVALUE(O445))-LOOKUP(2,1/(($A$4:$A$500=A445)*($M$4:$M$500=M445)*($T$4:$T$500&lt;&gt;"")*($T$4:$T$500&lt;IF(ISNUMBER(O445),MOD(O445,1),TIMEVALUE(O445)))),$T$4:$T$500))*1440),"")</f>
        <v/>
      </c>
      <c r="Z445" s="27">
        <f>IFERROR(IF(Y445="","",IF(ROUND(Y445,0)&lt;=15,"Cumple","No cumple")),"")</f>
        <v/>
      </c>
      <c r="AA445" s="27" t="n"/>
      <c r="AB445" s="26">
        <f>IFERROR(IF(OR(O445="",R445=""),"",IF(IF(ISNUMBER(R445),MOD(R445,1),TIMEVALUE(R445))&gt;=IF(ISNUMBER(O445),MOD(O445,1),TIMEVALUE(O445)),(IF(ISNUMBER(R445),MOD(R445,1),TIMEVALUE(R445))-IF(ISNUMBER(O445),MOD(O445,1),TIMEVALUE(O445)))*1440,(IF(ISNUMBER(R445),MOD(R445,1),TIMEVALUE(R445))+1-IF(ISNUMBER(O445),MOD(O445,1),TIMEVALUE(O445)))*1440)),"")</f>
        <v/>
      </c>
      <c r="AC445" s="26">
        <f>IFERROR(IF(OR(R445="",S445=""),"",IF(IF(ISNUMBER(S445),MOD(S445,1),TIMEVALUE(S445))&gt;=IF(ISNUMBER(R445),MOD(R445,1),TIMEVALUE(R445)),(IF(ISNUMBER(S445),MOD(S445,1),TIMEVALUE(S445))-IF(ISNUMBER(R445),MOD(R445,1),TIMEVALUE(R445)))*1440,(IF(ISNUMBER(S445),MOD(S445,1),TIMEVALUE(S445))+1-IF(ISNUMBER(R445),MOD(R445,1),TIMEVALUE(R445)))*1440)),"")</f>
        <v/>
      </c>
      <c r="AD445" s="29" t="n"/>
      <c r="AE445" s="26">
        <f>IFERROR(IF(OR(AC445="",AD445=""),"",AC445-AD445),"")</f>
        <v/>
      </c>
      <c r="AF445" s="27">
        <f>IFERROR(IF(AE445="","",IF(ROUND(AE445,0)&gt;15,"Subestimacion",IF(ROUND(AE445,0)&lt;-15,"Sobrestimacion","Asertivo"))),"")</f>
        <v/>
      </c>
      <c r="AG445" s="19" t="n"/>
      <c r="AH445" s="19" t="n"/>
      <c r="AI445" s="19" t="n"/>
      <c r="AJ445" s="19" t="n"/>
      <c r="AK445" s="19" t="n"/>
      <c r="AL445" s="19" t="n"/>
      <c r="AM445" s="19" t="n"/>
      <c r="AN445" s="19" t="n"/>
      <c r="AO445" s="19" t="n"/>
      <c r="AP445" s="127">
        <f>IF(A445="","",A445-WEEKDAY(A445,2)+1)</f>
        <v/>
      </c>
      <c r="AQ445" s="127">
        <f>IF(AO445="","",AO445+6)</f>
        <v/>
      </c>
      <c r="AR445" s="19">
        <f>IF(AO445="","","Semana "&amp;TEXT(AO445,"dd-mm-yyyy")&amp;" al "&amp;TEXT(AP445,"dd-mm-yyyy"))</f>
        <v/>
      </c>
      <c r="AS445" s="19">
        <f>IF(A445="","",TEXT(A445,"mmmm yyyy"))</f>
        <v/>
      </c>
      <c r="AT445" s="19">
        <f>IF(A445="","",TEXT(A445,"dddd"))</f>
        <v/>
      </c>
      <c r="AU445" s="19">
        <f>IF(A445="","","CRR-"&amp;TEXT(A445,"yyyymmdd")&amp;"-"&amp;M445&amp;"-"&amp;TEXT(ROW()-3,"0000"))</f>
        <v/>
      </c>
      <c r="AV445" s="19">
        <f>IF(A445="","",IF(OR(B445="",C445="",E445="",F445="",M445="",N445=""),"Revisar campos obligatorios",IF(AND(P445="Atraso primera hora",Q445=""),"Falta justificación atraso primera hora",IF(AND(Z445="No cumple",AA445=""),"Falta justificación recambio &gt;15 min",IF(AND(ISNUMBER(SEARCH("suspend",N445)),OR(AG445="",AH445="")),"Falta causa/motivo suspensión","OK")))))</f>
        <v/>
      </c>
      <c r="AW445" s="19">
        <f>IF(N445="","",IF(ISNUMBER(SEARCH("suspend",N445)),IF(AND(AG445="",AH445=""),"Sin causa/motivo registrado",IF(AG445="",AH445,IF(AH445="",AG445,AG445&amp;": "&amp;AH445))),""))</f>
        <v/>
      </c>
    </row>
    <row r="446" ht="16" customHeight="1" s="151">
      <c r="A446" s="62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20">
        <f>IF(H446&lt;&gt;"",IFERROR(VLOOKUP(IFERROR(LEFT(H446,FIND("-",H446)-1),H446),'Catalogo MINSAL'!A:E,5,FALSE),""),IF(I446&lt;&gt;"",IFERROR(VLOOKUP(IFERROR(LEFT(I446,FIND("-",I446)-1),I446),'Catalogo MINSAL'!A:E,5,FALSE),""),""))</f>
        <v/>
      </c>
      <c r="K446" s="19" t="n"/>
      <c r="L446" s="19" t="n"/>
      <c r="M446" s="19" t="n"/>
      <c r="N446" s="19" t="n"/>
      <c r="O446" s="25" t="n"/>
      <c r="P446" s="27">
        <f>IFERROR(IF(OR(O446="",A446="",M446=""),"",IF(SUMPRODUCT(($A$4:$A$500=A446)*($M$4:$M$500=M446)*($O$4:$O$500&lt;&gt;"")*(MOD($O$4:$O$500,1)&lt;MOD(O446,1)))=0,IF(MOD(O446,1)&lt;=TIME(8,15,0),"Ingreso adecuado primera hora","Atraso primera hora"),"No aplica")),"")</f>
        <v/>
      </c>
      <c r="Q446" s="27" t="n"/>
      <c r="R446" s="25" t="n"/>
      <c r="S446" s="25" t="n"/>
      <c r="T446" s="25" t="n"/>
      <c r="U446" s="25">
        <f>IFERROR(VLOOKUP(M446,'Horario Pabellones'!$A$4:$D$17,2,FALSE),"")</f>
        <v/>
      </c>
      <c r="V446" s="25">
        <f>IFERROR(VLOOKUP(M446,'Horario Pabellones'!$A$4:$D$17,3,FALSE),"")</f>
        <v/>
      </c>
      <c r="W446" s="99">
        <f>IFERROR(VLOOKUP(M446,'Horario Pabellones'!$A$4:$D$17,4,FALSE),"")</f>
        <v/>
      </c>
      <c r="X446" s="89">
        <f>IFERROR(IF(OR(A446="",M446="",W446=""),"",(((_xludf.AGGREGATE(14,6,MOD($S$4:$S$500,1)/(($A$4:$A$500=A446)*($M$4:$M$500=M446)*($R$4:$R$500&lt;&gt;"")*($S$4:$S$500&lt;&gt;"")),1)-_xludf.AGGREGATE(15,6,MOD($R$4:$R$500,1)/(($A$4:$A$500=A446)*($M$4:$M$500=M446)*($R$4:$R$500&lt;&gt;"")*($S$4:$S$500&lt;&gt;"")),1))*1440)/60)/(W446/60)),"")</f>
        <v/>
      </c>
      <c r="Y446" s="26">
        <f>IFERROR(IF(OR(O446="",A446="",M446=""),"",(IF(ISNUMBER(O446),MOD(O446,1),TIMEVALUE(O446))-LOOKUP(2,1/(($A$4:$A$500=A446)*($M$4:$M$500=M446)*($T$4:$T$500&lt;&gt;"")*($T$4:$T$500&lt;IF(ISNUMBER(O446),MOD(O446,1),TIMEVALUE(O446)))),$T$4:$T$500))*1440),"")</f>
        <v/>
      </c>
      <c r="Z446" s="27">
        <f>IFERROR(IF(Y446="","",IF(ROUND(Y446,0)&lt;=15,"Cumple","No cumple")),"")</f>
        <v/>
      </c>
      <c r="AA446" s="27" t="n"/>
      <c r="AB446" s="26">
        <f>IFERROR(IF(OR(O446="",R446=""),"",IF(IF(ISNUMBER(R446),MOD(R446,1),TIMEVALUE(R446))&gt;=IF(ISNUMBER(O446),MOD(O446,1),TIMEVALUE(O446)),(IF(ISNUMBER(R446),MOD(R446,1),TIMEVALUE(R446))-IF(ISNUMBER(O446),MOD(O446,1),TIMEVALUE(O446)))*1440,(IF(ISNUMBER(R446),MOD(R446,1),TIMEVALUE(R446))+1-IF(ISNUMBER(O446),MOD(O446,1),TIMEVALUE(O446)))*1440)),"")</f>
        <v/>
      </c>
      <c r="AC446" s="26">
        <f>IFERROR(IF(OR(R446="",S446=""),"",IF(IF(ISNUMBER(S446),MOD(S446,1),TIMEVALUE(S446))&gt;=IF(ISNUMBER(R446),MOD(R446,1),TIMEVALUE(R446)),(IF(ISNUMBER(S446),MOD(S446,1),TIMEVALUE(S446))-IF(ISNUMBER(R446),MOD(R446,1),TIMEVALUE(R446)))*1440,(IF(ISNUMBER(S446),MOD(S446,1),TIMEVALUE(S446))+1-IF(ISNUMBER(R446),MOD(R446,1),TIMEVALUE(R446)))*1440)),"")</f>
        <v/>
      </c>
      <c r="AD446" s="29" t="n"/>
      <c r="AE446" s="26">
        <f>IFERROR(IF(OR(AC446="",AD446=""),"",AC446-AD446),"")</f>
        <v/>
      </c>
      <c r="AF446" s="27">
        <f>IFERROR(IF(AE446="","",IF(ROUND(AE446,0)&gt;15,"Subestimacion",IF(ROUND(AE446,0)&lt;-15,"Sobrestimacion","Asertivo"))),"")</f>
        <v/>
      </c>
      <c r="AG446" s="19" t="n"/>
      <c r="AH446" s="19" t="n"/>
      <c r="AI446" s="19" t="n"/>
      <c r="AJ446" s="19" t="n"/>
      <c r="AK446" s="19" t="n"/>
      <c r="AL446" s="19" t="n"/>
      <c r="AM446" s="19" t="n"/>
      <c r="AN446" s="19" t="n"/>
      <c r="AO446" s="19" t="n"/>
      <c r="AP446" s="127">
        <f>IF(A446="","",A446-WEEKDAY(A446,2)+1)</f>
        <v/>
      </c>
      <c r="AQ446" s="127">
        <f>IF(AO446="","",AO446+6)</f>
        <v/>
      </c>
      <c r="AR446" s="19">
        <f>IF(AO446="","","Semana "&amp;TEXT(AO446,"dd-mm-yyyy")&amp;" al "&amp;TEXT(AP446,"dd-mm-yyyy"))</f>
        <v/>
      </c>
      <c r="AS446" s="19">
        <f>IF(A446="","",TEXT(A446,"mmmm yyyy"))</f>
        <v/>
      </c>
      <c r="AT446" s="19">
        <f>IF(A446="","",TEXT(A446,"dddd"))</f>
        <v/>
      </c>
      <c r="AU446" s="19">
        <f>IF(A446="","","CRR-"&amp;TEXT(A446,"yyyymmdd")&amp;"-"&amp;M446&amp;"-"&amp;TEXT(ROW()-3,"0000"))</f>
        <v/>
      </c>
      <c r="AV446" s="19">
        <f>IF(A446="","",IF(OR(B446="",C446="",E446="",F446="",M446="",N446=""),"Revisar campos obligatorios",IF(AND(P446="Atraso primera hora",Q446=""),"Falta justificación atraso primera hora",IF(AND(Z446="No cumple",AA446=""),"Falta justificación recambio &gt;15 min",IF(AND(ISNUMBER(SEARCH("suspend",N446)),OR(AG446="",AH446="")),"Falta causa/motivo suspensión","OK")))))</f>
        <v/>
      </c>
      <c r="AW446" s="19">
        <f>IF(N446="","",IF(ISNUMBER(SEARCH("suspend",N446)),IF(AND(AG446="",AH446=""),"Sin causa/motivo registrado",IF(AG446="",AH446,IF(AH446="",AG446,AG446&amp;": "&amp;AH446))),""))</f>
        <v/>
      </c>
    </row>
    <row r="447" ht="16" customHeight="1" s="151">
      <c r="A447" s="62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20">
        <f>IF(H447&lt;&gt;"",IFERROR(VLOOKUP(IFERROR(LEFT(H447,FIND("-",H447)-1),H447),'Catalogo MINSAL'!A:E,5,FALSE),""),IF(I447&lt;&gt;"",IFERROR(VLOOKUP(IFERROR(LEFT(I447,FIND("-",I447)-1),I447),'Catalogo MINSAL'!A:E,5,FALSE),""),""))</f>
        <v/>
      </c>
      <c r="K447" s="19" t="n"/>
      <c r="L447" s="19" t="n"/>
      <c r="M447" s="19" t="n"/>
      <c r="N447" s="19" t="n"/>
      <c r="O447" s="25" t="n"/>
      <c r="P447" s="27">
        <f>IFERROR(IF(OR(O447="",A447="",M447=""),"",IF(SUMPRODUCT(($A$4:$A$500=A447)*($M$4:$M$500=M447)*($O$4:$O$500&lt;&gt;"")*(MOD($O$4:$O$500,1)&lt;MOD(O447,1)))=0,IF(MOD(O447,1)&lt;=TIME(8,15,0),"Ingreso adecuado primera hora","Atraso primera hora"),"No aplica")),"")</f>
        <v/>
      </c>
      <c r="Q447" s="27" t="n"/>
      <c r="R447" s="25" t="n"/>
      <c r="S447" s="25" t="n"/>
      <c r="T447" s="25" t="n"/>
      <c r="U447" s="25">
        <f>IFERROR(VLOOKUP(M447,'Horario Pabellones'!$A$4:$D$17,2,FALSE),"")</f>
        <v/>
      </c>
      <c r="V447" s="25">
        <f>IFERROR(VLOOKUP(M447,'Horario Pabellones'!$A$4:$D$17,3,FALSE),"")</f>
        <v/>
      </c>
      <c r="W447" s="99">
        <f>IFERROR(VLOOKUP(M447,'Horario Pabellones'!$A$4:$D$17,4,FALSE),"")</f>
        <v/>
      </c>
      <c r="X447" s="89">
        <f>IFERROR(IF(OR(A447="",M447="",W447=""),"",(((_xludf.AGGREGATE(14,6,MOD($S$4:$S$500,1)/(($A$4:$A$500=A447)*($M$4:$M$500=M447)*($R$4:$R$500&lt;&gt;"")*($S$4:$S$500&lt;&gt;"")),1)-_xludf.AGGREGATE(15,6,MOD($R$4:$R$500,1)/(($A$4:$A$500=A447)*($M$4:$M$500=M447)*($R$4:$R$500&lt;&gt;"")*($S$4:$S$500&lt;&gt;"")),1))*1440)/60)/(W447/60)),"")</f>
        <v/>
      </c>
      <c r="Y447" s="26">
        <f>IFERROR(IF(OR(O447="",A447="",M447=""),"",(IF(ISNUMBER(O447),MOD(O447,1),TIMEVALUE(O447))-LOOKUP(2,1/(($A$4:$A$500=A447)*($M$4:$M$500=M447)*($T$4:$T$500&lt;&gt;"")*($T$4:$T$500&lt;IF(ISNUMBER(O447),MOD(O447,1),TIMEVALUE(O447)))),$T$4:$T$500))*1440),"")</f>
        <v/>
      </c>
      <c r="Z447" s="27">
        <f>IFERROR(IF(Y447="","",IF(ROUND(Y447,0)&lt;=15,"Cumple","No cumple")),"")</f>
        <v/>
      </c>
      <c r="AA447" s="27" t="n"/>
      <c r="AB447" s="26">
        <f>IFERROR(IF(OR(O447="",R447=""),"",IF(IF(ISNUMBER(R447),MOD(R447,1),TIMEVALUE(R447))&gt;=IF(ISNUMBER(O447),MOD(O447,1),TIMEVALUE(O447)),(IF(ISNUMBER(R447),MOD(R447,1),TIMEVALUE(R447))-IF(ISNUMBER(O447),MOD(O447,1),TIMEVALUE(O447)))*1440,(IF(ISNUMBER(R447),MOD(R447,1),TIMEVALUE(R447))+1-IF(ISNUMBER(O447),MOD(O447,1),TIMEVALUE(O447)))*1440)),"")</f>
        <v/>
      </c>
      <c r="AC447" s="26">
        <f>IFERROR(IF(OR(R447="",S447=""),"",IF(IF(ISNUMBER(S447),MOD(S447,1),TIMEVALUE(S447))&gt;=IF(ISNUMBER(R447),MOD(R447,1),TIMEVALUE(R447)),(IF(ISNUMBER(S447),MOD(S447,1),TIMEVALUE(S447))-IF(ISNUMBER(R447),MOD(R447,1),TIMEVALUE(R447)))*1440,(IF(ISNUMBER(S447),MOD(S447,1),TIMEVALUE(S447))+1-IF(ISNUMBER(R447),MOD(R447,1),TIMEVALUE(R447)))*1440)),"")</f>
        <v/>
      </c>
      <c r="AD447" s="29" t="n"/>
      <c r="AE447" s="26">
        <f>IFERROR(IF(OR(AC447="",AD447=""),"",AC447-AD447),"")</f>
        <v/>
      </c>
      <c r="AF447" s="27">
        <f>IFERROR(IF(AE447="","",IF(ROUND(AE447,0)&gt;15,"Subestimacion",IF(ROUND(AE447,0)&lt;-15,"Sobrestimacion","Asertivo"))),"")</f>
        <v/>
      </c>
      <c r="AG447" s="19" t="n"/>
      <c r="AH447" s="19" t="n"/>
      <c r="AI447" s="19" t="n"/>
      <c r="AJ447" s="19" t="n"/>
      <c r="AK447" s="19" t="n"/>
      <c r="AL447" s="19" t="n"/>
      <c r="AM447" s="19" t="n"/>
      <c r="AN447" s="19" t="n"/>
      <c r="AO447" s="19" t="n"/>
      <c r="AP447" s="127">
        <f>IF(A447="","",A447-WEEKDAY(A447,2)+1)</f>
        <v/>
      </c>
      <c r="AQ447" s="127">
        <f>IF(AO447="","",AO447+6)</f>
        <v/>
      </c>
      <c r="AR447" s="19">
        <f>IF(AO447="","","Semana "&amp;TEXT(AO447,"dd-mm-yyyy")&amp;" al "&amp;TEXT(AP447,"dd-mm-yyyy"))</f>
        <v/>
      </c>
      <c r="AS447" s="19">
        <f>IF(A447="","",TEXT(A447,"mmmm yyyy"))</f>
        <v/>
      </c>
      <c r="AT447" s="19">
        <f>IF(A447="","",TEXT(A447,"dddd"))</f>
        <v/>
      </c>
      <c r="AU447" s="19">
        <f>IF(A447="","","CRR-"&amp;TEXT(A447,"yyyymmdd")&amp;"-"&amp;M447&amp;"-"&amp;TEXT(ROW()-3,"0000"))</f>
        <v/>
      </c>
      <c r="AV447" s="19">
        <f>IF(A447="","",IF(OR(B447="",C447="",E447="",F447="",M447="",N447=""),"Revisar campos obligatorios",IF(AND(P447="Atraso primera hora",Q447=""),"Falta justificación atraso primera hora",IF(AND(Z447="No cumple",AA447=""),"Falta justificación recambio &gt;15 min",IF(AND(ISNUMBER(SEARCH("suspend",N447)),OR(AG447="",AH447="")),"Falta causa/motivo suspensión","OK")))))</f>
        <v/>
      </c>
      <c r="AW447" s="19">
        <f>IF(N447="","",IF(ISNUMBER(SEARCH("suspend",N447)),IF(AND(AG447="",AH447=""),"Sin causa/motivo registrado",IF(AG447="",AH447,IF(AH447="",AG447,AG447&amp;": "&amp;AH447))),""))</f>
        <v/>
      </c>
    </row>
    <row r="448" ht="16" customHeight="1" s="151">
      <c r="A448" s="62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20">
        <f>IF(H448&lt;&gt;"",IFERROR(VLOOKUP(IFERROR(LEFT(H448,FIND("-",H448)-1),H448),'Catalogo MINSAL'!A:E,5,FALSE),""),IF(I448&lt;&gt;"",IFERROR(VLOOKUP(IFERROR(LEFT(I448,FIND("-",I448)-1),I448),'Catalogo MINSAL'!A:E,5,FALSE),""),""))</f>
        <v/>
      </c>
      <c r="K448" s="19" t="n"/>
      <c r="L448" s="19" t="n"/>
      <c r="M448" s="19" t="n"/>
      <c r="N448" s="19" t="n"/>
      <c r="O448" s="25" t="n"/>
      <c r="P448" s="27">
        <f>IFERROR(IF(OR(O448="",A448="",M448=""),"",IF(SUMPRODUCT(($A$4:$A$500=A448)*($M$4:$M$500=M448)*($O$4:$O$500&lt;&gt;"")*(MOD($O$4:$O$500,1)&lt;MOD(O448,1)))=0,IF(MOD(O448,1)&lt;=TIME(8,15,0),"Ingreso adecuado primera hora","Atraso primera hora"),"No aplica")),"")</f>
        <v/>
      </c>
      <c r="Q448" s="27" t="n"/>
      <c r="R448" s="25" t="n"/>
      <c r="S448" s="25" t="n"/>
      <c r="T448" s="25" t="n"/>
      <c r="U448" s="25">
        <f>IFERROR(VLOOKUP(M448,'Horario Pabellones'!$A$4:$D$17,2,FALSE),"")</f>
        <v/>
      </c>
      <c r="V448" s="25">
        <f>IFERROR(VLOOKUP(M448,'Horario Pabellones'!$A$4:$D$17,3,FALSE),"")</f>
        <v/>
      </c>
      <c r="W448" s="99">
        <f>IFERROR(VLOOKUP(M448,'Horario Pabellones'!$A$4:$D$17,4,FALSE),"")</f>
        <v/>
      </c>
      <c r="X448" s="89">
        <f>IFERROR(IF(OR(A448="",M448="",W448=""),"",(((_xludf.AGGREGATE(14,6,MOD($S$4:$S$500,1)/(($A$4:$A$500=A448)*($M$4:$M$500=M448)*($R$4:$R$500&lt;&gt;"")*($S$4:$S$500&lt;&gt;"")),1)-_xludf.AGGREGATE(15,6,MOD($R$4:$R$500,1)/(($A$4:$A$500=A448)*($M$4:$M$500=M448)*($R$4:$R$500&lt;&gt;"")*($S$4:$S$500&lt;&gt;"")),1))*1440)/60)/(W448/60)),"")</f>
        <v/>
      </c>
      <c r="Y448" s="26">
        <f>IFERROR(IF(OR(O448="",A448="",M448=""),"",(IF(ISNUMBER(O448),MOD(O448,1),TIMEVALUE(O448))-LOOKUP(2,1/(($A$4:$A$500=A448)*($M$4:$M$500=M448)*($T$4:$T$500&lt;&gt;"")*($T$4:$T$500&lt;IF(ISNUMBER(O448),MOD(O448,1),TIMEVALUE(O448)))),$T$4:$T$500))*1440),"")</f>
        <v/>
      </c>
      <c r="Z448" s="27">
        <f>IFERROR(IF(Y448="","",IF(ROUND(Y448,0)&lt;=15,"Cumple","No cumple")),"")</f>
        <v/>
      </c>
      <c r="AA448" s="27" t="n"/>
      <c r="AB448" s="26">
        <f>IFERROR(IF(OR(O448="",R448=""),"",IF(IF(ISNUMBER(R448),MOD(R448,1),TIMEVALUE(R448))&gt;=IF(ISNUMBER(O448),MOD(O448,1),TIMEVALUE(O448)),(IF(ISNUMBER(R448),MOD(R448,1),TIMEVALUE(R448))-IF(ISNUMBER(O448),MOD(O448,1),TIMEVALUE(O448)))*1440,(IF(ISNUMBER(R448),MOD(R448,1),TIMEVALUE(R448))+1-IF(ISNUMBER(O448),MOD(O448,1),TIMEVALUE(O448)))*1440)),"")</f>
        <v/>
      </c>
      <c r="AC448" s="26">
        <f>IFERROR(IF(OR(R448="",S448=""),"",IF(IF(ISNUMBER(S448),MOD(S448,1),TIMEVALUE(S448))&gt;=IF(ISNUMBER(R448),MOD(R448,1),TIMEVALUE(R448)),(IF(ISNUMBER(S448),MOD(S448,1),TIMEVALUE(S448))-IF(ISNUMBER(R448),MOD(R448,1),TIMEVALUE(R448)))*1440,(IF(ISNUMBER(S448),MOD(S448,1),TIMEVALUE(S448))+1-IF(ISNUMBER(R448),MOD(R448,1),TIMEVALUE(R448)))*1440)),"")</f>
        <v/>
      </c>
      <c r="AD448" s="29" t="n"/>
      <c r="AE448" s="26">
        <f>IFERROR(IF(OR(AC448="",AD448=""),"",AC448-AD448),"")</f>
        <v/>
      </c>
      <c r="AF448" s="27">
        <f>IFERROR(IF(AE448="","",IF(ROUND(AE448,0)&gt;15,"Subestimacion",IF(ROUND(AE448,0)&lt;-15,"Sobrestimacion","Asertivo"))),"")</f>
        <v/>
      </c>
      <c r="AG448" s="19" t="n"/>
      <c r="AH448" s="19" t="n"/>
      <c r="AI448" s="19" t="n"/>
      <c r="AJ448" s="19" t="n"/>
      <c r="AK448" s="19" t="n"/>
      <c r="AL448" s="19" t="n"/>
      <c r="AM448" s="19" t="n"/>
      <c r="AN448" s="19" t="n"/>
      <c r="AO448" s="19" t="n"/>
      <c r="AP448" s="127">
        <f>IF(A448="","",A448-WEEKDAY(A448,2)+1)</f>
        <v/>
      </c>
      <c r="AQ448" s="127">
        <f>IF(AO448="","",AO448+6)</f>
        <v/>
      </c>
      <c r="AR448" s="19">
        <f>IF(AO448="","","Semana "&amp;TEXT(AO448,"dd-mm-yyyy")&amp;" al "&amp;TEXT(AP448,"dd-mm-yyyy"))</f>
        <v/>
      </c>
      <c r="AS448" s="19">
        <f>IF(A448="","",TEXT(A448,"mmmm yyyy"))</f>
        <v/>
      </c>
      <c r="AT448" s="19">
        <f>IF(A448="","",TEXT(A448,"dddd"))</f>
        <v/>
      </c>
      <c r="AU448" s="19">
        <f>IF(A448="","","CRR-"&amp;TEXT(A448,"yyyymmdd")&amp;"-"&amp;M448&amp;"-"&amp;TEXT(ROW()-3,"0000"))</f>
        <v/>
      </c>
      <c r="AV448" s="19">
        <f>IF(A448="","",IF(OR(B448="",C448="",E448="",F448="",M448="",N448=""),"Revisar campos obligatorios",IF(AND(P448="Atraso primera hora",Q448=""),"Falta justificación atraso primera hora",IF(AND(Z448="No cumple",AA448=""),"Falta justificación recambio &gt;15 min",IF(AND(ISNUMBER(SEARCH("suspend",N448)),OR(AG448="",AH448="")),"Falta causa/motivo suspensión","OK")))))</f>
        <v/>
      </c>
      <c r="AW448" s="19">
        <f>IF(N448="","",IF(ISNUMBER(SEARCH("suspend",N448)),IF(AND(AG448="",AH448=""),"Sin causa/motivo registrado",IF(AG448="",AH448,IF(AH448="",AG448,AG448&amp;": "&amp;AH448))),""))</f>
        <v/>
      </c>
    </row>
    <row r="449" ht="16" customHeight="1" s="151">
      <c r="A449" s="62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20">
        <f>IF(H449&lt;&gt;"",IFERROR(VLOOKUP(IFERROR(LEFT(H449,FIND("-",H449)-1),H449),'Catalogo MINSAL'!A:E,5,FALSE),""),IF(I449&lt;&gt;"",IFERROR(VLOOKUP(IFERROR(LEFT(I449,FIND("-",I449)-1),I449),'Catalogo MINSAL'!A:E,5,FALSE),""),""))</f>
        <v/>
      </c>
      <c r="K449" s="19" t="n"/>
      <c r="L449" s="19" t="n"/>
      <c r="M449" s="19" t="n"/>
      <c r="N449" s="19" t="n"/>
      <c r="O449" s="25" t="n"/>
      <c r="P449" s="27">
        <f>IFERROR(IF(OR(O449="",A449="",M449=""),"",IF(SUMPRODUCT(($A$4:$A$500=A449)*($M$4:$M$500=M449)*($O$4:$O$500&lt;&gt;"")*(MOD($O$4:$O$500,1)&lt;MOD(O449,1)))=0,IF(MOD(O449,1)&lt;=TIME(8,15,0),"Ingreso adecuado primera hora","Atraso primera hora"),"No aplica")),"")</f>
        <v/>
      </c>
      <c r="Q449" s="27" t="n"/>
      <c r="R449" s="25" t="n"/>
      <c r="S449" s="25" t="n"/>
      <c r="T449" s="25" t="n"/>
      <c r="U449" s="25">
        <f>IFERROR(VLOOKUP(M449,'Horario Pabellones'!$A$4:$D$17,2,FALSE),"")</f>
        <v/>
      </c>
      <c r="V449" s="25">
        <f>IFERROR(VLOOKUP(M449,'Horario Pabellones'!$A$4:$D$17,3,FALSE),"")</f>
        <v/>
      </c>
      <c r="W449" s="99">
        <f>IFERROR(VLOOKUP(M449,'Horario Pabellones'!$A$4:$D$17,4,FALSE),"")</f>
        <v/>
      </c>
      <c r="X449" s="89">
        <f>IFERROR(IF(OR(A449="",M449="",W449=""),"",(((_xludf.AGGREGATE(14,6,MOD($S$4:$S$500,1)/(($A$4:$A$500=A449)*($M$4:$M$500=M449)*($R$4:$R$500&lt;&gt;"")*($S$4:$S$500&lt;&gt;"")),1)-_xludf.AGGREGATE(15,6,MOD($R$4:$R$500,1)/(($A$4:$A$500=A449)*($M$4:$M$500=M449)*($R$4:$R$500&lt;&gt;"")*($S$4:$S$500&lt;&gt;"")),1))*1440)/60)/(W449/60)),"")</f>
        <v/>
      </c>
      <c r="Y449" s="26">
        <f>IFERROR(IF(OR(O449="",A449="",M449=""),"",(IF(ISNUMBER(O449),MOD(O449,1),TIMEVALUE(O449))-LOOKUP(2,1/(($A$4:$A$500=A449)*($M$4:$M$500=M449)*($T$4:$T$500&lt;&gt;"")*($T$4:$T$500&lt;IF(ISNUMBER(O449),MOD(O449,1),TIMEVALUE(O449)))),$T$4:$T$500))*1440),"")</f>
        <v/>
      </c>
      <c r="Z449" s="27">
        <f>IFERROR(IF(Y449="","",IF(ROUND(Y449,0)&lt;=15,"Cumple","No cumple")),"")</f>
        <v/>
      </c>
      <c r="AA449" s="27" t="n"/>
      <c r="AB449" s="26">
        <f>IFERROR(IF(OR(O449="",R449=""),"",IF(IF(ISNUMBER(R449),MOD(R449,1),TIMEVALUE(R449))&gt;=IF(ISNUMBER(O449),MOD(O449,1),TIMEVALUE(O449)),(IF(ISNUMBER(R449),MOD(R449,1),TIMEVALUE(R449))-IF(ISNUMBER(O449),MOD(O449,1),TIMEVALUE(O449)))*1440,(IF(ISNUMBER(R449),MOD(R449,1),TIMEVALUE(R449))+1-IF(ISNUMBER(O449),MOD(O449,1),TIMEVALUE(O449)))*1440)),"")</f>
        <v/>
      </c>
      <c r="AC449" s="26">
        <f>IFERROR(IF(OR(R449="",S449=""),"",IF(IF(ISNUMBER(S449),MOD(S449,1),TIMEVALUE(S449))&gt;=IF(ISNUMBER(R449),MOD(R449,1),TIMEVALUE(R449)),(IF(ISNUMBER(S449),MOD(S449,1),TIMEVALUE(S449))-IF(ISNUMBER(R449),MOD(R449,1),TIMEVALUE(R449)))*1440,(IF(ISNUMBER(S449),MOD(S449,1),TIMEVALUE(S449))+1-IF(ISNUMBER(R449),MOD(R449,1),TIMEVALUE(R449)))*1440)),"")</f>
        <v/>
      </c>
      <c r="AD449" s="29" t="n"/>
      <c r="AE449" s="26">
        <f>IFERROR(IF(OR(AC449="",AD449=""),"",AC449-AD449),"")</f>
        <v/>
      </c>
      <c r="AF449" s="27">
        <f>IFERROR(IF(AE449="","",IF(ROUND(AE449,0)&gt;15,"Subestimacion",IF(ROUND(AE449,0)&lt;-15,"Sobrestimacion","Asertivo"))),"")</f>
        <v/>
      </c>
      <c r="AG449" s="19" t="n"/>
      <c r="AH449" s="19" t="n"/>
      <c r="AI449" s="19" t="n"/>
      <c r="AJ449" s="19" t="n"/>
      <c r="AK449" s="19" t="n"/>
      <c r="AL449" s="19" t="n"/>
      <c r="AM449" s="19" t="n"/>
      <c r="AN449" s="19" t="n"/>
      <c r="AO449" s="19" t="n"/>
      <c r="AP449" s="127">
        <f>IF(A449="","",A449-WEEKDAY(A449,2)+1)</f>
        <v/>
      </c>
      <c r="AQ449" s="127">
        <f>IF(AO449="","",AO449+6)</f>
        <v/>
      </c>
      <c r="AR449" s="19">
        <f>IF(AO449="","","Semana "&amp;TEXT(AO449,"dd-mm-yyyy")&amp;" al "&amp;TEXT(AP449,"dd-mm-yyyy"))</f>
        <v/>
      </c>
      <c r="AS449" s="19">
        <f>IF(A449="","",TEXT(A449,"mmmm yyyy"))</f>
        <v/>
      </c>
      <c r="AT449" s="19">
        <f>IF(A449="","",TEXT(A449,"dddd"))</f>
        <v/>
      </c>
      <c r="AU449" s="19">
        <f>IF(A449="","","CRR-"&amp;TEXT(A449,"yyyymmdd")&amp;"-"&amp;M449&amp;"-"&amp;TEXT(ROW()-3,"0000"))</f>
        <v/>
      </c>
      <c r="AV449" s="19">
        <f>IF(A449="","",IF(OR(B449="",C449="",E449="",F449="",M449="",N449=""),"Revisar campos obligatorios",IF(AND(P449="Atraso primera hora",Q449=""),"Falta justificación atraso primera hora",IF(AND(Z449="No cumple",AA449=""),"Falta justificación recambio &gt;15 min",IF(AND(ISNUMBER(SEARCH("suspend",N449)),OR(AG449="",AH449="")),"Falta causa/motivo suspensión","OK")))))</f>
        <v/>
      </c>
      <c r="AW449" s="19">
        <f>IF(N449="","",IF(ISNUMBER(SEARCH("suspend",N449)),IF(AND(AG449="",AH449=""),"Sin causa/motivo registrado",IF(AG449="",AH449,IF(AH449="",AG449,AG449&amp;": "&amp;AH449))),""))</f>
        <v/>
      </c>
    </row>
    <row r="450" ht="16" customHeight="1" s="151">
      <c r="A450" s="62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20">
        <f>IF(H450&lt;&gt;"",IFERROR(VLOOKUP(IFERROR(LEFT(H450,FIND("-",H450)-1),H450),'Catalogo MINSAL'!A:E,5,FALSE),""),IF(I450&lt;&gt;"",IFERROR(VLOOKUP(IFERROR(LEFT(I450,FIND("-",I450)-1),I450),'Catalogo MINSAL'!A:E,5,FALSE),""),""))</f>
        <v/>
      </c>
      <c r="K450" s="19" t="n"/>
      <c r="L450" s="19" t="n"/>
      <c r="M450" s="19" t="n"/>
      <c r="N450" s="19" t="n"/>
      <c r="O450" s="25" t="n"/>
      <c r="P450" s="27">
        <f>IFERROR(IF(OR(O450="",A450="",M450=""),"",IF(SUMPRODUCT(($A$4:$A$500=A450)*($M$4:$M$500=M450)*($O$4:$O$500&lt;&gt;"")*(MOD($O$4:$O$500,1)&lt;MOD(O450,1)))=0,IF(MOD(O450,1)&lt;=TIME(8,15,0),"Ingreso adecuado primera hora","Atraso primera hora"),"No aplica")),"")</f>
        <v/>
      </c>
      <c r="Q450" s="27" t="n"/>
      <c r="R450" s="25" t="n"/>
      <c r="S450" s="25" t="n"/>
      <c r="T450" s="25" t="n"/>
      <c r="U450" s="25">
        <f>IFERROR(VLOOKUP(M450,'Horario Pabellones'!$A$4:$D$17,2,FALSE),"")</f>
        <v/>
      </c>
      <c r="V450" s="25">
        <f>IFERROR(VLOOKUP(M450,'Horario Pabellones'!$A$4:$D$17,3,FALSE),"")</f>
        <v/>
      </c>
      <c r="W450" s="99">
        <f>IFERROR(VLOOKUP(M450,'Horario Pabellones'!$A$4:$D$17,4,FALSE),"")</f>
        <v/>
      </c>
      <c r="X450" s="89">
        <f>IFERROR(IF(OR(A450="",M450="",W450=""),"",(((_xludf.AGGREGATE(14,6,MOD($S$4:$S$500,1)/(($A$4:$A$500=A450)*($M$4:$M$500=M450)*($R$4:$R$500&lt;&gt;"")*($S$4:$S$500&lt;&gt;"")),1)-_xludf.AGGREGATE(15,6,MOD($R$4:$R$500,1)/(($A$4:$A$500=A450)*($M$4:$M$500=M450)*($R$4:$R$500&lt;&gt;"")*($S$4:$S$500&lt;&gt;"")),1))*1440)/60)/(W450/60)),"")</f>
        <v/>
      </c>
      <c r="Y450" s="26">
        <f>IFERROR(IF(OR(O450="",A450="",M450=""),"",(IF(ISNUMBER(O450),MOD(O450,1),TIMEVALUE(O450))-LOOKUP(2,1/(($A$4:$A$500=A450)*($M$4:$M$500=M450)*($T$4:$T$500&lt;&gt;"")*($T$4:$T$500&lt;IF(ISNUMBER(O450),MOD(O450,1),TIMEVALUE(O450)))),$T$4:$T$500))*1440),"")</f>
        <v/>
      </c>
      <c r="Z450" s="27">
        <f>IFERROR(IF(Y450="","",IF(ROUND(Y450,0)&lt;=15,"Cumple","No cumple")),"")</f>
        <v/>
      </c>
      <c r="AA450" s="27" t="n"/>
      <c r="AB450" s="26">
        <f>IFERROR(IF(OR(O450="",R450=""),"",IF(IF(ISNUMBER(R450),MOD(R450,1),TIMEVALUE(R450))&gt;=IF(ISNUMBER(O450),MOD(O450,1),TIMEVALUE(O450)),(IF(ISNUMBER(R450),MOD(R450,1),TIMEVALUE(R450))-IF(ISNUMBER(O450),MOD(O450,1),TIMEVALUE(O450)))*1440,(IF(ISNUMBER(R450),MOD(R450,1),TIMEVALUE(R450))+1-IF(ISNUMBER(O450),MOD(O450,1),TIMEVALUE(O450)))*1440)),"")</f>
        <v/>
      </c>
      <c r="AC450" s="26">
        <f>IFERROR(IF(OR(R450="",S450=""),"",IF(IF(ISNUMBER(S450),MOD(S450,1),TIMEVALUE(S450))&gt;=IF(ISNUMBER(R450),MOD(R450,1),TIMEVALUE(R450)),(IF(ISNUMBER(S450),MOD(S450,1),TIMEVALUE(S450))-IF(ISNUMBER(R450),MOD(R450,1),TIMEVALUE(R450)))*1440,(IF(ISNUMBER(S450),MOD(S450,1),TIMEVALUE(S450))+1-IF(ISNUMBER(R450),MOD(R450,1),TIMEVALUE(R450)))*1440)),"")</f>
        <v/>
      </c>
      <c r="AD450" s="29" t="n"/>
      <c r="AE450" s="26">
        <f>IFERROR(IF(OR(AC450="",AD450=""),"",AC450-AD450),"")</f>
        <v/>
      </c>
      <c r="AF450" s="27">
        <f>IFERROR(IF(AE450="","",IF(ROUND(AE450,0)&gt;15,"Subestimacion",IF(ROUND(AE450,0)&lt;-15,"Sobrestimacion","Asertivo"))),"")</f>
        <v/>
      </c>
      <c r="AG450" s="19" t="n"/>
      <c r="AH450" s="19" t="n"/>
      <c r="AI450" s="19" t="n"/>
      <c r="AJ450" s="19" t="n"/>
      <c r="AK450" s="19" t="n"/>
      <c r="AL450" s="19" t="n"/>
      <c r="AM450" s="19" t="n"/>
      <c r="AN450" s="19" t="n"/>
      <c r="AO450" s="19" t="n"/>
      <c r="AP450" s="127">
        <f>IF(A450="","",A450-WEEKDAY(A450,2)+1)</f>
        <v/>
      </c>
      <c r="AQ450" s="127">
        <f>IF(AO450="","",AO450+6)</f>
        <v/>
      </c>
      <c r="AR450" s="19">
        <f>IF(AO450="","","Semana "&amp;TEXT(AO450,"dd-mm-yyyy")&amp;" al "&amp;TEXT(AP450,"dd-mm-yyyy"))</f>
        <v/>
      </c>
      <c r="AS450" s="19">
        <f>IF(A450="","",TEXT(A450,"mmmm yyyy"))</f>
        <v/>
      </c>
      <c r="AT450" s="19">
        <f>IF(A450="","",TEXT(A450,"dddd"))</f>
        <v/>
      </c>
      <c r="AU450" s="19">
        <f>IF(A450="","","CRR-"&amp;TEXT(A450,"yyyymmdd")&amp;"-"&amp;M450&amp;"-"&amp;TEXT(ROW()-3,"0000"))</f>
        <v/>
      </c>
      <c r="AV450" s="19">
        <f>IF(A450="","",IF(OR(B450="",C450="",E450="",F450="",M450="",N450=""),"Revisar campos obligatorios",IF(AND(P450="Atraso primera hora",Q450=""),"Falta justificación atraso primera hora",IF(AND(Z450="No cumple",AA450=""),"Falta justificación recambio &gt;15 min",IF(AND(ISNUMBER(SEARCH("suspend",N450)),OR(AG450="",AH450="")),"Falta causa/motivo suspensión","OK")))))</f>
        <v/>
      </c>
      <c r="AW450" s="19">
        <f>IF(N450="","",IF(ISNUMBER(SEARCH("suspend",N450)),IF(AND(AG450="",AH450=""),"Sin causa/motivo registrado",IF(AG450="",AH450,IF(AH450="",AG450,AG450&amp;": "&amp;AH450))),""))</f>
        <v/>
      </c>
    </row>
    <row r="451" ht="16" customHeight="1" s="151">
      <c r="A451" s="62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20">
        <f>IF(H451&lt;&gt;"",IFERROR(VLOOKUP(IFERROR(LEFT(H451,FIND("-",H451)-1),H451),'Catalogo MINSAL'!A:E,5,FALSE),""),IF(I451&lt;&gt;"",IFERROR(VLOOKUP(IFERROR(LEFT(I451,FIND("-",I451)-1),I451),'Catalogo MINSAL'!A:E,5,FALSE),""),""))</f>
        <v/>
      </c>
      <c r="K451" s="19" t="n"/>
      <c r="L451" s="19" t="n"/>
      <c r="M451" s="19" t="n"/>
      <c r="N451" s="19" t="n"/>
      <c r="O451" s="25" t="n"/>
      <c r="P451" s="27">
        <f>IFERROR(IF(OR(O451="",A451="",M451=""),"",IF(SUMPRODUCT(($A$4:$A$500=A451)*($M$4:$M$500=M451)*($O$4:$O$500&lt;&gt;"")*(MOD($O$4:$O$500,1)&lt;MOD(O451,1)))=0,IF(MOD(O451,1)&lt;=TIME(8,15,0),"Ingreso adecuado primera hora","Atraso primera hora"),"No aplica")),"")</f>
        <v/>
      </c>
      <c r="Q451" s="27" t="n"/>
      <c r="R451" s="25" t="n"/>
      <c r="S451" s="25" t="n"/>
      <c r="T451" s="25" t="n"/>
      <c r="U451" s="25">
        <f>IFERROR(VLOOKUP(M451,'Horario Pabellones'!$A$4:$D$17,2,FALSE),"")</f>
        <v/>
      </c>
      <c r="V451" s="25">
        <f>IFERROR(VLOOKUP(M451,'Horario Pabellones'!$A$4:$D$17,3,FALSE),"")</f>
        <v/>
      </c>
      <c r="W451" s="99">
        <f>IFERROR(VLOOKUP(M451,'Horario Pabellones'!$A$4:$D$17,4,FALSE),"")</f>
        <v/>
      </c>
      <c r="X451" s="89">
        <f>IFERROR(IF(OR(A451="",M451="",W451=""),"",(((_xludf.AGGREGATE(14,6,MOD($S$4:$S$500,1)/(($A$4:$A$500=A451)*($M$4:$M$500=M451)*($R$4:$R$500&lt;&gt;"")*($S$4:$S$500&lt;&gt;"")),1)-_xludf.AGGREGATE(15,6,MOD($R$4:$R$500,1)/(($A$4:$A$500=A451)*($M$4:$M$500=M451)*($R$4:$R$500&lt;&gt;"")*($S$4:$S$500&lt;&gt;"")),1))*1440)/60)/(W451/60)),"")</f>
        <v/>
      </c>
      <c r="Y451" s="26">
        <f>IFERROR(IF(OR(O451="",A451="",M451=""),"",(IF(ISNUMBER(O451),MOD(O451,1),TIMEVALUE(O451))-LOOKUP(2,1/(($A$4:$A$500=A451)*($M$4:$M$500=M451)*($T$4:$T$500&lt;&gt;"")*($T$4:$T$500&lt;IF(ISNUMBER(O451),MOD(O451,1),TIMEVALUE(O451)))),$T$4:$T$500))*1440),"")</f>
        <v/>
      </c>
      <c r="Z451" s="27">
        <f>IFERROR(IF(Y451="","",IF(ROUND(Y451,0)&lt;=15,"Cumple","No cumple")),"")</f>
        <v/>
      </c>
      <c r="AA451" s="27" t="n"/>
      <c r="AB451" s="26">
        <f>IFERROR(IF(OR(O451="",R451=""),"",IF(IF(ISNUMBER(R451),MOD(R451,1),TIMEVALUE(R451))&gt;=IF(ISNUMBER(O451),MOD(O451,1),TIMEVALUE(O451)),(IF(ISNUMBER(R451),MOD(R451,1),TIMEVALUE(R451))-IF(ISNUMBER(O451),MOD(O451,1),TIMEVALUE(O451)))*1440,(IF(ISNUMBER(R451),MOD(R451,1),TIMEVALUE(R451))+1-IF(ISNUMBER(O451),MOD(O451,1),TIMEVALUE(O451)))*1440)),"")</f>
        <v/>
      </c>
      <c r="AC451" s="26">
        <f>IFERROR(IF(OR(R451="",S451=""),"",IF(IF(ISNUMBER(S451),MOD(S451,1),TIMEVALUE(S451))&gt;=IF(ISNUMBER(R451),MOD(R451,1),TIMEVALUE(R451)),(IF(ISNUMBER(S451),MOD(S451,1),TIMEVALUE(S451))-IF(ISNUMBER(R451),MOD(R451,1),TIMEVALUE(R451)))*1440,(IF(ISNUMBER(S451),MOD(S451,1),TIMEVALUE(S451))+1-IF(ISNUMBER(R451),MOD(R451,1),TIMEVALUE(R451)))*1440)),"")</f>
        <v/>
      </c>
      <c r="AD451" s="29" t="n"/>
      <c r="AE451" s="26">
        <f>IFERROR(IF(OR(AC451="",AD451=""),"",AC451-AD451),"")</f>
        <v/>
      </c>
      <c r="AF451" s="27">
        <f>IFERROR(IF(AE451="","",IF(ROUND(AE451,0)&gt;15,"Subestimacion",IF(ROUND(AE451,0)&lt;-15,"Sobrestimacion","Asertivo"))),"")</f>
        <v/>
      </c>
      <c r="AG451" s="19" t="n"/>
      <c r="AH451" s="19" t="n"/>
      <c r="AI451" s="19" t="n"/>
      <c r="AJ451" s="19" t="n"/>
      <c r="AK451" s="19" t="n"/>
      <c r="AL451" s="19" t="n"/>
      <c r="AM451" s="19" t="n"/>
      <c r="AN451" s="19" t="n"/>
      <c r="AO451" s="19" t="n"/>
      <c r="AP451" s="127">
        <f>IF(A451="","",A451-WEEKDAY(A451,2)+1)</f>
        <v/>
      </c>
      <c r="AQ451" s="127">
        <f>IF(AO451="","",AO451+6)</f>
        <v/>
      </c>
      <c r="AR451" s="19">
        <f>IF(AO451="","","Semana "&amp;TEXT(AO451,"dd-mm-yyyy")&amp;" al "&amp;TEXT(AP451,"dd-mm-yyyy"))</f>
        <v/>
      </c>
      <c r="AS451" s="19">
        <f>IF(A451="","",TEXT(A451,"mmmm yyyy"))</f>
        <v/>
      </c>
      <c r="AT451" s="19">
        <f>IF(A451="","",TEXT(A451,"dddd"))</f>
        <v/>
      </c>
      <c r="AU451" s="19">
        <f>IF(A451="","","CRR-"&amp;TEXT(A451,"yyyymmdd")&amp;"-"&amp;M451&amp;"-"&amp;TEXT(ROW()-3,"0000"))</f>
        <v/>
      </c>
      <c r="AV451" s="19">
        <f>IF(A451="","",IF(OR(B451="",C451="",E451="",F451="",M451="",N451=""),"Revisar campos obligatorios",IF(AND(P451="Atraso primera hora",Q451=""),"Falta justificación atraso primera hora",IF(AND(Z451="No cumple",AA451=""),"Falta justificación recambio &gt;15 min",IF(AND(ISNUMBER(SEARCH("suspend",N451)),OR(AG451="",AH451="")),"Falta causa/motivo suspensión","OK")))))</f>
        <v/>
      </c>
      <c r="AW451" s="19">
        <f>IF(N451="","",IF(ISNUMBER(SEARCH("suspend",N451)),IF(AND(AG451="",AH451=""),"Sin causa/motivo registrado",IF(AG451="",AH451,IF(AH451="",AG451,AG451&amp;": "&amp;AH451))),""))</f>
        <v/>
      </c>
    </row>
    <row r="452" ht="16" customHeight="1" s="151">
      <c r="A452" s="62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20">
        <f>IF(H452&lt;&gt;"",IFERROR(VLOOKUP(IFERROR(LEFT(H452,FIND("-",H452)-1),H452),'Catalogo MINSAL'!A:E,5,FALSE),""),IF(I452&lt;&gt;"",IFERROR(VLOOKUP(IFERROR(LEFT(I452,FIND("-",I452)-1),I452),'Catalogo MINSAL'!A:E,5,FALSE),""),""))</f>
        <v/>
      </c>
      <c r="K452" s="19" t="n"/>
      <c r="L452" s="19" t="n"/>
      <c r="M452" s="19" t="n"/>
      <c r="N452" s="19" t="n"/>
      <c r="O452" s="25" t="n"/>
      <c r="P452" s="27">
        <f>IFERROR(IF(OR(O452="",A452="",M452=""),"",IF(SUMPRODUCT(($A$4:$A$500=A452)*($M$4:$M$500=M452)*($O$4:$O$500&lt;&gt;"")*(MOD($O$4:$O$500,1)&lt;MOD(O452,1)))=0,IF(MOD(O452,1)&lt;=TIME(8,15,0),"Ingreso adecuado primera hora","Atraso primera hora"),"No aplica")),"")</f>
        <v/>
      </c>
      <c r="Q452" s="27" t="n"/>
      <c r="R452" s="25" t="n"/>
      <c r="S452" s="25" t="n"/>
      <c r="T452" s="25" t="n"/>
      <c r="U452" s="25">
        <f>IFERROR(VLOOKUP(M452,'Horario Pabellones'!$A$4:$D$17,2,FALSE),"")</f>
        <v/>
      </c>
      <c r="V452" s="25">
        <f>IFERROR(VLOOKUP(M452,'Horario Pabellones'!$A$4:$D$17,3,FALSE),"")</f>
        <v/>
      </c>
      <c r="W452" s="99">
        <f>IFERROR(VLOOKUP(M452,'Horario Pabellones'!$A$4:$D$17,4,FALSE),"")</f>
        <v/>
      </c>
      <c r="X452" s="89">
        <f>IFERROR(IF(OR(A452="",M452="",W452=""),"",(((_xludf.AGGREGATE(14,6,MOD($S$4:$S$500,1)/(($A$4:$A$500=A452)*($M$4:$M$500=M452)*($R$4:$R$500&lt;&gt;"")*($S$4:$S$500&lt;&gt;"")),1)-_xludf.AGGREGATE(15,6,MOD($R$4:$R$500,1)/(($A$4:$A$500=A452)*($M$4:$M$500=M452)*($R$4:$R$500&lt;&gt;"")*($S$4:$S$500&lt;&gt;"")),1))*1440)/60)/(W452/60)),"")</f>
        <v/>
      </c>
      <c r="Y452" s="26">
        <f>IFERROR(IF(OR(O452="",A452="",M452=""),"",(IF(ISNUMBER(O452),MOD(O452,1),TIMEVALUE(O452))-LOOKUP(2,1/(($A$4:$A$500=A452)*($M$4:$M$500=M452)*($T$4:$T$500&lt;&gt;"")*($T$4:$T$500&lt;IF(ISNUMBER(O452),MOD(O452,1),TIMEVALUE(O452)))),$T$4:$T$500))*1440),"")</f>
        <v/>
      </c>
      <c r="Z452" s="27">
        <f>IFERROR(IF(Y452="","",IF(ROUND(Y452,0)&lt;=15,"Cumple","No cumple")),"")</f>
        <v/>
      </c>
      <c r="AA452" s="27" t="n"/>
      <c r="AB452" s="26">
        <f>IFERROR(IF(OR(O452="",R452=""),"",IF(IF(ISNUMBER(R452),MOD(R452,1),TIMEVALUE(R452))&gt;=IF(ISNUMBER(O452),MOD(O452,1),TIMEVALUE(O452)),(IF(ISNUMBER(R452),MOD(R452,1),TIMEVALUE(R452))-IF(ISNUMBER(O452),MOD(O452,1),TIMEVALUE(O452)))*1440,(IF(ISNUMBER(R452),MOD(R452,1),TIMEVALUE(R452))+1-IF(ISNUMBER(O452),MOD(O452,1),TIMEVALUE(O452)))*1440)),"")</f>
        <v/>
      </c>
      <c r="AC452" s="26">
        <f>IFERROR(IF(OR(R452="",S452=""),"",IF(IF(ISNUMBER(S452),MOD(S452,1),TIMEVALUE(S452))&gt;=IF(ISNUMBER(R452),MOD(R452,1),TIMEVALUE(R452)),(IF(ISNUMBER(S452),MOD(S452,1),TIMEVALUE(S452))-IF(ISNUMBER(R452),MOD(R452,1),TIMEVALUE(R452)))*1440,(IF(ISNUMBER(S452),MOD(S452,1),TIMEVALUE(S452))+1-IF(ISNUMBER(R452),MOD(R452,1),TIMEVALUE(R452)))*1440)),"")</f>
        <v/>
      </c>
      <c r="AD452" s="29" t="n"/>
      <c r="AE452" s="26">
        <f>IFERROR(IF(OR(AC452="",AD452=""),"",AC452-AD452),"")</f>
        <v/>
      </c>
      <c r="AF452" s="27">
        <f>IFERROR(IF(AE452="","",IF(ROUND(AE452,0)&gt;15,"Subestimacion",IF(ROUND(AE452,0)&lt;-15,"Sobrestimacion","Asertivo"))),"")</f>
        <v/>
      </c>
      <c r="AG452" s="19" t="n"/>
      <c r="AH452" s="19" t="n"/>
      <c r="AI452" s="19" t="n"/>
      <c r="AJ452" s="19" t="n"/>
      <c r="AK452" s="19" t="n"/>
      <c r="AL452" s="19" t="n"/>
      <c r="AM452" s="19" t="n"/>
      <c r="AN452" s="19" t="n"/>
      <c r="AO452" s="19" t="n"/>
      <c r="AP452" s="127">
        <f>IF(A452="","",A452-WEEKDAY(A452,2)+1)</f>
        <v/>
      </c>
      <c r="AQ452" s="127">
        <f>IF(AO452="","",AO452+6)</f>
        <v/>
      </c>
      <c r="AR452" s="19">
        <f>IF(AO452="","","Semana "&amp;TEXT(AO452,"dd-mm-yyyy")&amp;" al "&amp;TEXT(AP452,"dd-mm-yyyy"))</f>
        <v/>
      </c>
      <c r="AS452" s="19">
        <f>IF(A452="","",TEXT(A452,"mmmm yyyy"))</f>
        <v/>
      </c>
      <c r="AT452" s="19">
        <f>IF(A452="","",TEXT(A452,"dddd"))</f>
        <v/>
      </c>
      <c r="AU452" s="19">
        <f>IF(A452="","","CRR-"&amp;TEXT(A452,"yyyymmdd")&amp;"-"&amp;M452&amp;"-"&amp;TEXT(ROW()-3,"0000"))</f>
        <v/>
      </c>
      <c r="AV452" s="19">
        <f>IF(A452="","",IF(OR(B452="",C452="",E452="",F452="",M452="",N452=""),"Revisar campos obligatorios",IF(AND(P452="Atraso primera hora",Q452=""),"Falta justificación atraso primera hora",IF(AND(Z452="No cumple",AA452=""),"Falta justificación recambio &gt;15 min",IF(AND(ISNUMBER(SEARCH("suspend",N452)),OR(AG452="",AH452="")),"Falta causa/motivo suspensión","OK")))))</f>
        <v/>
      </c>
      <c r="AW452" s="19">
        <f>IF(N452="","",IF(ISNUMBER(SEARCH("suspend",N452)),IF(AND(AG452="",AH452=""),"Sin causa/motivo registrado",IF(AG452="",AH452,IF(AH452="",AG452,AG452&amp;": "&amp;AH452))),""))</f>
        <v/>
      </c>
    </row>
    <row r="453" ht="16" customHeight="1" s="151">
      <c r="A453" s="62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20">
        <f>IF(H453&lt;&gt;"",IFERROR(VLOOKUP(IFERROR(LEFT(H453,FIND("-",H453)-1),H453),'Catalogo MINSAL'!A:E,5,FALSE),""),IF(I453&lt;&gt;"",IFERROR(VLOOKUP(IFERROR(LEFT(I453,FIND("-",I453)-1),I453),'Catalogo MINSAL'!A:E,5,FALSE),""),""))</f>
        <v/>
      </c>
      <c r="K453" s="19" t="n"/>
      <c r="L453" s="19" t="n"/>
      <c r="M453" s="19" t="n"/>
      <c r="N453" s="19" t="n"/>
      <c r="O453" s="25" t="n"/>
      <c r="P453" s="27">
        <f>IFERROR(IF(OR(O453="",A453="",M453=""),"",IF(SUMPRODUCT(($A$4:$A$500=A453)*($M$4:$M$500=M453)*($O$4:$O$500&lt;&gt;"")*(MOD($O$4:$O$500,1)&lt;MOD(O453,1)))=0,IF(MOD(O453,1)&lt;=TIME(8,15,0),"Ingreso adecuado primera hora","Atraso primera hora"),"No aplica")),"")</f>
        <v/>
      </c>
      <c r="Q453" s="27" t="n"/>
      <c r="R453" s="25" t="n"/>
      <c r="S453" s="25" t="n"/>
      <c r="T453" s="25" t="n"/>
      <c r="U453" s="25">
        <f>IFERROR(VLOOKUP(M453,'Horario Pabellones'!$A$4:$D$17,2,FALSE),"")</f>
        <v/>
      </c>
      <c r="V453" s="25">
        <f>IFERROR(VLOOKUP(M453,'Horario Pabellones'!$A$4:$D$17,3,FALSE),"")</f>
        <v/>
      </c>
      <c r="W453" s="99">
        <f>IFERROR(VLOOKUP(M453,'Horario Pabellones'!$A$4:$D$17,4,FALSE),"")</f>
        <v/>
      </c>
      <c r="X453" s="89">
        <f>IFERROR(IF(OR(A453="",M453="",W453=""),"",(((_xludf.AGGREGATE(14,6,MOD($S$4:$S$500,1)/(($A$4:$A$500=A453)*($M$4:$M$500=M453)*($R$4:$R$500&lt;&gt;"")*($S$4:$S$500&lt;&gt;"")),1)-_xludf.AGGREGATE(15,6,MOD($R$4:$R$500,1)/(($A$4:$A$500=A453)*($M$4:$M$500=M453)*($R$4:$R$500&lt;&gt;"")*($S$4:$S$500&lt;&gt;"")),1))*1440)/60)/(W453/60)),"")</f>
        <v/>
      </c>
      <c r="Y453" s="26">
        <f>IFERROR(IF(OR(O453="",A453="",M453=""),"",(IF(ISNUMBER(O453),MOD(O453,1),TIMEVALUE(O453))-LOOKUP(2,1/(($A$4:$A$500=A453)*($M$4:$M$500=M453)*($T$4:$T$500&lt;&gt;"")*($T$4:$T$500&lt;IF(ISNUMBER(O453),MOD(O453,1),TIMEVALUE(O453)))),$T$4:$T$500))*1440),"")</f>
        <v/>
      </c>
      <c r="Z453" s="27">
        <f>IFERROR(IF(Y453="","",IF(ROUND(Y453,0)&lt;=15,"Cumple","No cumple")),"")</f>
        <v/>
      </c>
      <c r="AA453" s="27" t="n"/>
      <c r="AB453" s="26">
        <f>IFERROR(IF(OR(O453="",R453=""),"",IF(IF(ISNUMBER(R453),MOD(R453,1),TIMEVALUE(R453))&gt;=IF(ISNUMBER(O453),MOD(O453,1),TIMEVALUE(O453)),(IF(ISNUMBER(R453),MOD(R453,1),TIMEVALUE(R453))-IF(ISNUMBER(O453),MOD(O453,1),TIMEVALUE(O453)))*1440,(IF(ISNUMBER(R453),MOD(R453,1),TIMEVALUE(R453))+1-IF(ISNUMBER(O453),MOD(O453,1),TIMEVALUE(O453)))*1440)),"")</f>
        <v/>
      </c>
      <c r="AC453" s="26">
        <f>IFERROR(IF(OR(R453="",S453=""),"",IF(IF(ISNUMBER(S453),MOD(S453,1),TIMEVALUE(S453))&gt;=IF(ISNUMBER(R453),MOD(R453,1),TIMEVALUE(R453)),(IF(ISNUMBER(S453),MOD(S453,1),TIMEVALUE(S453))-IF(ISNUMBER(R453),MOD(R453,1),TIMEVALUE(R453)))*1440,(IF(ISNUMBER(S453),MOD(S453,1),TIMEVALUE(S453))+1-IF(ISNUMBER(R453),MOD(R453,1),TIMEVALUE(R453)))*1440)),"")</f>
        <v/>
      </c>
      <c r="AD453" s="29" t="n"/>
      <c r="AE453" s="26">
        <f>IFERROR(IF(OR(AC453="",AD453=""),"",AC453-AD453),"")</f>
        <v/>
      </c>
      <c r="AF453" s="27">
        <f>IFERROR(IF(AE453="","",IF(ROUND(AE453,0)&gt;15,"Subestimacion",IF(ROUND(AE453,0)&lt;-15,"Sobrestimacion","Asertivo"))),"")</f>
        <v/>
      </c>
      <c r="AG453" s="19" t="n"/>
      <c r="AH453" s="19" t="n"/>
      <c r="AI453" s="19" t="n"/>
      <c r="AJ453" s="19" t="n"/>
      <c r="AK453" s="19" t="n"/>
      <c r="AL453" s="19" t="n"/>
      <c r="AM453" s="19" t="n"/>
      <c r="AN453" s="19" t="n"/>
      <c r="AO453" s="19" t="n"/>
      <c r="AP453" s="127">
        <f>IF(A453="","",A453-WEEKDAY(A453,2)+1)</f>
        <v/>
      </c>
      <c r="AQ453" s="127">
        <f>IF(AO453="","",AO453+6)</f>
        <v/>
      </c>
      <c r="AR453" s="19">
        <f>IF(AO453="","","Semana "&amp;TEXT(AO453,"dd-mm-yyyy")&amp;" al "&amp;TEXT(AP453,"dd-mm-yyyy"))</f>
        <v/>
      </c>
      <c r="AS453" s="19">
        <f>IF(A453="","",TEXT(A453,"mmmm yyyy"))</f>
        <v/>
      </c>
      <c r="AT453" s="19">
        <f>IF(A453="","",TEXT(A453,"dddd"))</f>
        <v/>
      </c>
      <c r="AU453" s="19">
        <f>IF(A453="","","CRR-"&amp;TEXT(A453,"yyyymmdd")&amp;"-"&amp;M453&amp;"-"&amp;TEXT(ROW()-3,"0000"))</f>
        <v/>
      </c>
      <c r="AV453" s="19">
        <f>IF(A453="","",IF(OR(B453="",C453="",E453="",F453="",M453="",N453=""),"Revisar campos obligatorios",IF(AND(P453="Atraso primera hora",Q453=""),"Falta justificación atraso primera hora",IF(AND(Z453="No cumple",AA453=""),"Falta justificación recambio &gt;15 min",IF(AND(ISNUMBER(SEARCH("suspend",N453)),OR(AG453="",AH453="")),"Falta causa/motivo suspensión","OK")))))</f>
        <v/>
      </c>
      <c r="AW453" s="19">
        <f>IF(N453="","",IF(ISNUMBER(SEARCH("suspend",N453)),IF(AND(AG453="",AH453=""),"Sin causa/motivo registrado",IF(AG453="",AH453,IF(AH453="",AG453,AG453&amp;": "&amp;AH453))),""))</f>
        <v/>
      </c>
    </row>
    <row r="454" ht="16" customHeight="1" s="151">
      <c r="A454" s="62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20">
        <f>IF(H454&lt;&gt;"",IFERROR(VLOOKUP(IFERROR(LEFT(H454,FIND("-",H454)-1),H454),'Catalogo MINSAL'!A:E,5,FALSE),""),IF(I454&lt;&gt;"",IFERROR(VLOOKUP(IFERROR(LEFT(I454,FIND("-",I454)-1),I454),'Catalogo MINSAL'!A:E,5,FALSE),""),""))</f>
        <v/>
      </c>
      <c r="K454" s="19" t="n"/>
      <c r="L454" s="19" t="n"/>
      <c r="M454" s="19" t="n"/>
      <c r="N454" s="19" t="n"/>
      <c r="O454" s="25" t="n"/>
      <c r="P454" s="27">
        <f>IFERROR(IF(OR(O454="",A454="",M454=""),"",IF(SUMPRODUCT(($A$4:$A$500=A454)*($M$4:$M$500=M454)*($O$4:$O$500&lt;&gt;"")*(MOD($O$4:$O$500,1)&lt;MOD(O454,1)))=0,IF(MOD(O454,1)&lt;=TIME(8,15,0),"Ingreso adecuado primera hora","Atraso primera hora"),"No aplica")),"")</f>
        <v/>
      </c>
      <c r="Q454" s="27" t="n"/>
      <c r="R454" s="25" t="n"/>
      <c r="S454" s="25" t="n"/>
      <c r="T454" s="25" t="n"/>
      <c r="U454" s="25">
        <f>IFERROR(VLOOKUP(M454,'Horario Pabellones'!$A$4:$D$17,2,FALSE),"")</f>
        <v/>
      </c>
      <c r="V454" s="25">
        <f>IFERROR(VLOOKUP(M454,'Horario Pabellones'!$A$4:$D$17,3,FALSE),"")</f>
        <v/>
      </c>
      <c r="W454" s="99">
        <f>IFERROR(VLOOKUP(M454,'Horario Pabellones'!$A$4:$D$17,4,FALSE),"")</f>
        <v/>
      </c>
      <c r="X454" s="89">
        <f>IFERROR(IF(OR(A454="",M454="",W454=""),"",(((_xludf.AGGREGATE(14,6,MOD($S$4:$S$500,1)/(($A$4:$A$500=A454)*($M$4:$M$500=M454)*($R$4:$R$500&lt;&gt;"")*($S$4:$S$500&lt;&gt;"")),1)-_xludf.AGGREGATE(15,6,MOD($R$4:$R$500,1)/(($A$4:$A$500=A454)*($M$4:$M$500=M454)*($R$4:$R$500&lt;&gt;"")*($S$4:$S$500&lt;&gt;"")),1))*1440)/60)/(W454/60)),"")</f>
        <v/>
      </c>
      <c r="Y454" s="26">
        <f>IFERROR(IF(OR(O454="",A454="",M454=""),"",(IF(ISNUMBER(O454),MOD(O454,1),TIMEVALUE(O454))-LOOKUP(2,1/(($A$4:$A$500=A454)*($M$4:$M$500=M454)*($T$4:$T$500&lt;&gt;"")*($T$4:$T$500&lt;IF(ISNUMBER(O454),MOD(O454,1),TIMEVALUE(O454)))),$T$4:$T$500))*1440),"")</f>
        <v/>
      </c>
      <c r="Z454" s="27">
        <f>IFERROR(IF(Y454="","",IF(ROUND(Y454,0)&lt;=15,"Cumple","No cumple")),"")</f>
        <v/>
      </c>
      <c r="AA454" s="27" t="n"/>
      <c r="AB454" s="26">
        <f>IFERROR(IF(OR(O454="",R454=""),"",IF(IF(ISNUMBER(R454),MOD(R454,1),TIMEVALUE(R454))&gt;=IF(ISNUMBER(O454),MOD(O454,1),TIMEVALUE(O454)),(IF(ISNUMBER(R454),MOD(R454,1),TIMEVALUE(R454))-IF(ISNUMBER(O454),MOD(O454,1),TIMEVALUE(O454)))*1440,(IF(ISNUMBER(R454),MOD(R454,1),TIMEVALUE(R454))+1-IF(ISNUMBER(O454),MOD(O454,1),TIMEVALUE(O454)))*1440)),"")</f>
        <v/>
      </c>
      <c r="AC454" s="26">
        <f>IFERROR(IF(OR(R454="",S454=""),"",IF(IF(ISNUMBER(S454),MOD(S454,1),TIMEVALUE(S454))&gt;=IF(ISNUMBER(R454),MOD(R454,1),TIMEVALUE(R454)),(IF(ISNUMBER(S454),MOD(S454,1),TIMEVALUE(S454))-IF(ISNUMBER(R454),MOD(R454,1),TIMEVALUE(R454)))*1440,(IF(ISNUMBER(S454),MOD(S454,1),TIMEVALUE(S454))+1-IF(ISNUMBER(R454),MOD(R454,1),TIMEVALUE(R454)))*1440)),"")</f>
        <v/>
      </c>
      <c r="AD454" s="29" t="n"/>
      <c r="AE454" s="26">
        <f>IFERROR(IF(OR(AC454="",AD454=""),"",AC454-AD454),"")</f>
        <v/>
      </c>
      <c r="AF454" s="27">
        <f>IFERROR(IF(AE454="","",IF(ROUND(AE454,0)&gt;15,"Subestimacion",IF(ROUND(AE454,0)&lt;-15,"Sobrestimacion","Asertivo"))),"")</f>
        <v/>
      </c>
      <c r="AG454" s="19" t="n"/>
      <c r="AH454" s="19" t="n"/>
      <c r="AI454" s="19" t="n"/>
      <c r="AJ454" s="19" t="n"/>
      <c r="AK454" s="19" t="n"/>
      <c r="AL454" s="19" t="n"/>
      <c r="AM454" s="19" t="n"/>
      <c r="AN454" s="19" t="n"/>
      <c r="AO454" s="19" t="n"/>
      <c r="AP454" s="127">
        <f>IF(A454="","",A454-WEEKDAY(A454,2)+1)</f>
        <v/>
      </c>
      <c r="AQ454" s="127">
        <f>IF(AO454="","",AO454+6)</f>
        <v/>
      </c>
      <c r="AR454" s="19">
        <f>IF(AO454="","","Semana "&amp;TEXT(AO454,"dd-mm-yyyy")&amp;" al "&amp;TEXT(AP454,"dd-mm-yyyy"))</f>
        <v/>
      </c>
      <c r="AS454" s="19">
        <f>IF(A454="","",TEXT(A454,"mmmm yyyy"))</f>
        <v/>
      </c>
      <c r="AT454" s="19">
        <f>IF(A454="","",TEXT(A454,"dddd"))</f>
        <v/>
      </c>
      <c r="AU454" s="19">
        <f>IF(A454="","","CRR-"&amp;TEXT(A454,"yyyymmdd")&amp;"-"&amp;M454&amp;"-"&amp;TEXT(ROW()-3,"0000"))</f>
        <v/>
      </c>
      <c r="AV454" s="19">
        <f>IF(A454="","",IF(OR(B454="",C454="",E454="",F454="",M454="",N454=""),"Revisar campos obligatorios",IF(AND(P454="Atraso primera hora",Q454=""),"Falta justificación atraso primera hora",IF(AND(Z454="No cumple",AA454=""),"Falta justificación recambio &gt;15 min",IF(AND(ISNUMBER(SEARCH("suspend",N454)),OR(AG454="",AH454="")),"Falta causa/motivo suspensión","OK")))))</f>
        <v/>
      </c>
      <c r="AW454" s="19">
        <f>IF(N454="","",IF(ISNUMBER(SEARCH("suspend",N454)),IF(AND(AG454="",AH454=""),"Sin causa/motivo registrado",IF(AG454="",AH454,IF(AH454="",AG454,AG454&amp;": "&amp;AH454))),""))</f>
        <v/>
      </c>
    </row>
    <row r="455" ht="16" customHeight="1" s="151">
      <c r="A455" s="62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20">
        <f>IF(H455&lt;&gt;"",IFERROR(VLOOKUP(IFERROR(LEFT(H455,FIND("-",H455)-1),H455),'Catalogo MINSAL'!A:E,5,FALSE),""),IF(I455&lt;&gt;"",IFERROR(VLOOKUP(IFERROR(LEFT(I455,FIND("-",I455)-1),I455),'Catalogo MINSAL'!A:E,5,FALSE),""),""))</f>
        <v/>
      </c>
      <c r="K455" s="19" t="n"/>
      <c r="L455" s="19" t="n"/>
      <c r="M455" s="19" t="n"/>
      <c r="N455" s="19" t="n"/>
      <c r="O455" s="25" t="n"/>
      <c r="P455" s="27">
        <f>IFERROR(IF(OR(O455="",A455="",M455=""),"",IF(SUMPRODUCT(($A$4:$A$500=A455)*($M$4:$M$500=M455)*($O$4:$O$500&lt;&gt;"")*(MOD($O$4:$O$500,1)&lt;MOD(O455,1)))=0,IF(MOD(O455,1)&lt;=TIME(8,15,0),"Ingreso adecuado primera hora","Atraso primera hora"),"No aplica")),"")</f>
        <v/>
      </c>
      <c r="Q455" s="27" t="n"/>
      <c r="R455" s="25" t="n"/>
      <c r="S455" s="25" t="n"/>
      <c r="T455" s="25" t="n"/>
      <c r="U455" s="25">
        <f>IFERROR(VLOOKUP(M455,'Horario Pabellones'!$A$4:$D$17,2,FALSE),"")</f>
        <v/>
      </c>
      <c r="V455" s="25">
        <f>IFERROR(VLOOKUP(M455,'Horario Pabellones'!$A$4:$D$17,3,FALSE),"")</f>
        <v/>
      </c>
      <c r="W455" s="99">
        <f>IFERROR(VLOOKUP(M455,'Horario Pabellones'!$A$4:$D$17,4,FALSE),"")</f>
        <v/>
      </c>
      <c r="X455" s="89">
        <f>IFERROR(IF(OR(A455="",M455="",W455=""),"",(((_xludf.AGGREGATE(14,6,MOD($S$4:$S$500,1)/(($A$4:$A$500=A455)*($M$4:$M$500=M455)*($R$4:$R$500&lt;&gt;"")*($S$4:$S$500&lt;&gt;"")),1)-_xludf.AGGREGATE(15,6,MOD($R$4:$R$500,1)/(($A$4:$A$500=A455)*($M$4:$M$500=M455)*($R$4:$R$500&lt;&gt;"")*($S$4:$S$500&lt;&gt;"")),1))*1440)/60)/(W455/60)),"")</f>
        <v/>
      </c>
      <c r="Y455" s="26">
        <f>IFERROR(IF(OR(O455="",A455="",M455=""),"",(IF(ISNUMBER(O455),MOD(O455,1),TIMEVALUE(O455))-LOOKUP(2,1/(($A$4:$A$500=A455)*($M$4:$M$500=M455)*($T$4:$T$500&lt;&gt;"")*($T$4:$T$500&lt;IF(ISNUMBER(O455),MOD(O455,1),TIMEVALUE(O455)))),$T$4:$T$500))*1440),"")</f>
        <v/>
      </c>
      <c r="Z455" s="27">
        <f>IFERROR(IF(Y455="","",IF(ROUND(Y455,0)&lt;=15,"Cumple","No cumple")),"")</f>
        <v/>
      </c>
      <c r="AA455" s="27" t="n"/>
      <c r="AB455" s="26">
        <f>IFERROR(IF(OR(O455="",R455=""),"",IF(IF(ISNUMBER(R455),MOD(R455,1),TIMEVALUE(R455))&gt;=IF(ISNUMBER(O455),MOD(O455,1),TIMEVALUE(O455)),(IF(ISNUMBER(R455),MOD(R455,1),TIMEVALUE(R455))-IF(ISNUMBER(O455),MOD(O455,1),TIMEVALUE(O455)))*1440,(IF(ISNUMBER(R455),MOD(R455,1),TIMEVALUE(R455))+1-IF(ISNUMBER(O455),MOD(O455,1),TIMEVALUE(O455)))*1440)),"")</f>
        <v/>
      </c>
      <c r="AC455" s="26">
        <f>IFERROR(IF(OR(R455="",S455=""),"",IF(IF(ISNUMBER(S455),MOD(S455,1),TIMEVALUE(S455))&gt;=IF(ISNUMBER(R455),MOD(R455,1),TIMEVALUE(R455)),(IF(ISNUMBER(S455),MOD(S455,1),TIMEVALUE(S455))-IF(ISNUMBER(R455),MOD(R455,1),TIMEVALUE(R455)))*1440,(IF(ISNUMBER(S455),MOD(S455,1),TIMEVALUE(S455))+1-IF(ISNUMBER(R455),MOD(R455,1),TIMEVALUE(R455)))*1440)),"")</f>
        <v/>
      </c>
      <c r="AD455" s="29" t="n"/>
      <c r="AE455" s="26">
        <f>IFERROR(IF(OR(AC455="",AD455=""),"",AC455-AD455),"")</f>
        <v/>
      </c>
      <c r="AF455" s="27">
        <f>IFERROR(IF(AE455="","",IF(ROUND(AE455,0)&gt;15,"Subestimacion",IF(ROUND(AE455,0)&lt;-15,"Sobrestimacion","Asertivo"))),"")</f>
        <v/>
      </c>
      <c r="AG455" s="19" t="n"/>
      <c r="AH455" s="19" t="n"/>
      <c r="AI455" s="19" t="n"/>
      <c r="AJ455" s="19" t="n"/>
      <c r="AK455" s="19" t="n"/>
      <c r="AL455" s="19" t="n"/>
      <c r="AM455" s="19" t="n"/>
      <c r="AN455" s="19" t="n"/>
      <c r="AO455" s="19" t="n"/>
      <c r="AP455" s="127">
        <f>IF(A455="","",A455-WEEKDAY(A455,2)+1)</f>
        <v/>
      </c>
      <c r="AQ455" s="127">
        <f>IF(AO455="","",AO455+6)</f>
        <v/>
      </c>
      <c r="AR455" s="19">
        <f>IF(AO455="","","Semana "&amp;TEXT(AO455,"dd-mm-yyyy")&amp;" al "&amp;TEXT(AP455,"dd-mm-yyyy"))</f>
        <v/>
      </c>
      <c r="AS455" s="19">
        <f>IF(A455="","",TEXT(A455,"mmmm yyyy"))</f>
        <v/>
      </c>
      <c r="AT455" s="19">
        <f>IF(A455="","",TEXT(A455,"dddd"))</f>
        <v/>
      </c>
      <c r="AU455" s="19">
        <f>IF(A455="","","CRR-"&amp;TEXT(A455,"yyyymmdd")&amp;"-"&amp;M455&amp;"-"&amp;TEXT(ROW()-3,"0000"))</f>
        <v/>
      </c>
      <c r="AV455" s="19">
        <f>IF(A455="","",IF(OR(B455="",C455="",E455="",F455="",M455="",N455=""),"Revisar campos obligatorios",IF(AND(P455="Atraso primera hora",Q455=""),"Falta justificación atraso primera hora",IF(AND(Z455="No cumple",AA455=""),"Falta justificación recambio &gt;15 min",IF(AND(ISNUMBER(SEARCH("suspend",N455)),OR(AG455="",AH455="")),"Falta causa/motivo suspensión","OK")))))</f>
        <v/>
      </c>
      <c r="AW455" s="19">
        <f>IF(N455="","",IF(ISNUMBER(SEARCH("suspend",N455)),IF(AND(AG455="",AH455=""),"Sin causa/motivo registrado",IF(AG455="",AH455,IF(AH455="",AG455,AG455&amp;": "&amp;AH455))),""))</f>
        <v/>
      </c>
    </row>
    <row r="456" ht="16" customHeight="1" s="151">
      <c r="A456" s="62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20">
        <f>IF(H456&lt;&gt;"",IFERROR(VLOOKUP(IFERROR(LEFT(H456,FIND("-",H456)-1),H456),'Catalogo MINSAL'!A:E,5,FALSE),""),IF(I456&lt;&gt;"",IFERROR(VLOOKUP(IFERROR(LEFT(I456,FIND("-",I456)-1),I456),'Catalogo MINSAL'!A:E,5,FALSE),""),""))</f>
        <v/>
      </c>
      <c r="K456" s="19" t="n"/>
      <c r="L456" s="19" t="n"/>
      <c r="M456" s="19" t="n"/>
      <c r="N456" s="19" t="n"/>
      <c r="O456" s="25" t="n"/>
      <c r="P456" s="27">
        <f>IFERROR(IF(OR(O456="",A456="",M456=""),"",IF(SUMPRODUCT(($A$4:$A$500=A456)*($M$4:$M$500=M456)*($O$4:$O$500&lt;&gt;"")*(MOD($O$4:$O$500,1)&lt;MOD(O456,1)))=0,IF(MOD(O456,1)&lt;=TIME(8,15,0),"Ingreso adecuado primera hora","Atraso primera hora"),"No aplica")),"")</f>
        <v/>
      </c>
      <c r="Q456" s="27" t="n"/>
      <c r="R456" s="25" t="n"/>
      <c r="S456" s="25" t="n"/>
      <c r="T456" s="25" t="n"/>
      <c r="U456" s="25">
        <f>IFERROR(VLOOKUP(M456,'Horario Pabellones'!$A$4:$D$17,2,FALSE),"")</f>
        <v/>
      </c>
      <c r="V456" s="25">
        <f>IFERROR(VLOOKUP(M456,'Horario Pabellones'!$A$4:$D$17,3,FALSE),"")</f>
        <v/>
      </c>
      <c r="W456" s="99">
        <f>IFERROR(VLOOKUP(M456,'Horario Pabellones'!$A$4:$D$17,4,FALSE),"")</f>
        <v/>
      </c>
      <c r="X456" s="89">
        <f>IFERROR(IF(OR(A456="",M456="",W456=""),"",(((_xludf.AGGREGATE(14,6,MOD($S$4:$S$500,1)/(($A$4:$A$500=A456)*($M$4:$M$500=M456)*($R$4:$R$500&lt;&gt;"")*($S$4:$S$500&lt;&gt;"")),1)-_xludf.AGGREGATE(15,6,MOD($R$4:$R$500,1)/(($A$4:$A$500=A456)*($M$4:$M$500=M456)*($R$4:$R$500&lt;&gt;"")*($S$4:$S$500&lt;&gt;"")),1))*1440)/60)/(W456/60)),"")</f>
        <v/>
      </c>
      <c r="Y456" s="26">
        <f>IFERROR(IF(OR(O456="",A456="",M456=""),"",(IF(ISNUMBER(O456),MOD(O456,1),TIMEVALUE(O456))-LOOKUP(2,1/(($A$4:$A$500=A456)*($M$4:$M$500=M456)*($T$4:$T$500&lt;&gt;"")*($T$4:$T$500&lt;IF(ISNUMBER(O456),MOD(O456,1),TIMEVALUE(O456)))),$T$4:$T$500))*1440),"")</f>
        <v/>
      </c>
      <c r="Z456" s="27">
        <f>IFERROR(IF(Y456="","",IF(ROUND(Y456,0)&lt;=15,"Cumple","No cumple")),"")</f>
        <v/>
      </c>
      <c r="AA456" s="27" t="n"/>
      <c r="AB456" s="26">
        <f>IFERROR(IF(OR(O456="",R456=""),"",IF(IF(ISNUMBER(R456),MOD(R456,1),TIMEVALUE(R456))&gt;=IF(ISNUMBER(O456),MOD(O456,1),TIMEVALUE(O456)),(IF(ISNUMBER(R456),MOD(R456,1),TIMEVALUE(R456))-IF(ISNUMBER(O456),MOD(O456,1),TIMEVALUE(O456)))*1440,(IF(ISNUMBER(R456),MOD(R456,1),TIMEVALUE(R456))+1-IF(ISNUMBER(O456),MOD(O456,1),TIMEVALUE(O456)))*1440)),"")</f>
        <v/>
      </c>
      <c r="AC456" s="26">
        <f>IFERROR(IF(OR(R456="",S456=""),"",IF(IF(ISNUMBER(S456),MOD(S456,1),TIMEVALUE(S456))&gt;=IF(ISNUMBER(R456),MOD(R456,1),TIMEVALUE(R456)),(IF(ISNUMBER(S456),MOD(S456,1),TIMEVALUE(S456))-IF(ISNUMBER(R456),MOD(R456,1),TIMEVALUE(R456)))*1440,(IF(ISNUMBER(S456),MOD(S456,1),TIMEVALUE(S456))+1-IF(ISNUMBER(R456),MOD(R456,1),TIMEVALUE(R456)))*1440)),"")</f>
        <v/>
      </c>
      <c r="AD456" s="29" t="n"/>
      <c r="AE456" s="26">
        <f>IFERROR(IF(OR(AC456="",AD456=""),"",AC456-AD456),"")</f>
        <v/>
      </c>
      <c r="AF456" s="27">
        <f>IFERROR(IF(AE456="","",IF(ROUND(AE456,0)&gt;15,"Subestimacion",IF(ROUND(AE456,0)&lt;-15,"Sobrestimacion","Asertivo"))),"")</f>
        <v/>
      </c>
      <c r="AG456" s="19" t="n"/>
      <c r="AH456" s="19" t="n"/>
      <c r="AI456" s="19" t="n"/>
      <c r="AJ456" s="19" t="n"/>
      <c r="AK456" s="19" t="n"/>
      <c r="AL456" s="19" t="n"/>
      <c r="AM456" s="19" t="n"/>
      <c r="AN456" s="19" t="n"/>
      <c r="AO456" s="19" t="n"/>
      <c r="AP456" s="127">
        <f>IF(A456="","",A456-WEEKDAY(A456,2)+1)</f>
        <v/>
      </c>
      <c r="AQ456" s="127">
        <f>IF(AO456="","",AO456+6)</f>
        <v/>
      </c>
      <c r="AR456" s="19">
        <f>IF(AO456="","","Semana "&amp;TEXT(AO456,"dd-mm-yyyy")&amp;" al "&amp;TEXT(AP456,"dd-mm-yyyy"))</f>
        <v/>
      </c>
      <c r="AS456" s="19">
        <f>IF(A456="","",TEXT(A456,"mmmm yyyy"))</f>
        <v/>
      </c>
      <c r="AT456" s="19">
        <f>IF(A456="","",TEXT(A456,"dddd"))</f>
        <v/>
      </c>
      <c r="AU456" s="19">
        <f>IF(A456="","","CRR-"&amp;TEXT(A456,"yyyymmdd")&amp;"-"&amp;M456&amp;"-"&amp;TEXT(ROW()-3,"0000"))</f>
        <v/>
      </c>
      <c r="AV456" s="19">
        <f>IF(A456="","",IF(OR(B456="",C456="",E456="",F456="",M456="",N456=""),"Revisar campos obligatorios",IF(AND(P456="Atraso primera hora",Q456=""),"Falta justificación atraso primera hora",IF(AND(Z456="No cumple",AA456=""),"Falta justificación recambio &gt;15 min",IF(AND(ISNUMBER(SEARCH("suspend",N456)),OR(AG456="",AH456="")),"Falta causa/motivo suspensión","OK")))))</f>
        <v/>
      </c>
      <c r="AW456" s="19">
        <f>IF(N456="","",IF(ISNUMBER(SEARCH("suspend",N456)),IF(AND(AG456="",AH456=""),"Sin causa/motivo registrado",IF(AG456="",AH456,IF(AH456="",AG456,AG456&amp;": "&amp;AH456))),""))</f>
        <v/>
      </c>
    </row>
    <row r="457" ht="16" customHeight="1" s="151">
      <c r="A457" s="62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20">
        <f>IF(H457&lt;&gt;"",IFERROR(VLOOKUP(IFERROR(LEFT(H457,FIND("-",H457)-1),H457),'Catalogo MINSAL'!A:E,5,FALSE),""),IF(I457&lt;&gt;"",IFERROR(VLOOKUP(IFERROR(LEFT(I457,FIND("-",I457)-1),I457),'Catalogo MINSAL'!A:E,5,FALSE),""),""))</f>
        <v/>
      </c>
      <c r="K457" s="19" t="n"/>
      <c r="L457" s="19" t="n"/>
      <c r="M457" s="19" t="n"/>
      <c r="N457" s="19" t="n"/>
      <c r="O457" s="25" t="n"/>
      <c r="P457" s="27">
        <f>IFERROR(IF(OR(O457="",A457="",M457=""),"",IF(SUMPRODUCT(($A$4:$A$500=A457)*($M$4:$M$500=M457)*($O$4:$O$500&lt;&gt;"")*(MOD($O$4:$O$500,1)&lt;MOD(O457,1)))=0,IF(MOD(O457,1)&lt;=TIME(8,15,0),"Ingreso adecuado primera hora","Atraso primera hora"),"No aplica")),"")</f>
        <v/>
      </c>
      <c r="Q457" s="27" t="n"/>
      <c r="R457" s="25" t="n"/>
      <c r="S457" s="25" t="n"/>
      <c r="T457" s="25" t="n"/>
      <c r="U457" s="25">
        <f>IFERROR(VLOOKUP(M457,'Horario Pabellones'!$A$4:$D$17,2,FALSE),"")</f>
        <v/>
      </c>
      <c r="V457" s="25">
        <f>IFERROR(VLOOKUP(M457,'Horario Pabellones'!$A$4:$D$17,3,FALSE),"")</f>
        <v/>
      </c>
      <c r="W457" s="99">
        <f>IFERROR(VLOOKUP(M457,'Horario Pabellones'!$A$4:$D$17,4,FALSE),"")</f>
        <v/>
      </c>
      <c r="X457" s="89">
        <f>IFERROR(IF(OR(A457="",M457="",W457=""),"",(((_xludf.AGGREGATE(14,6,MOD($S$4:$S$500,1)/(($A$4:$A$500=A457)*($M$4:$M$500=M457)*($R$4:$R$500&lt;&gt;"")*($S$4:$S$500&lt;&gt;"")),1)-_xludf.AGGREGATE(15,6,MOD($R$4:$R$500,1)/(($A$4:$A$500=A457)*($M$4:$M$500=M457)*($R$4:$R$500&lt;&gt;"")*($S$4:$S$500&lt;&gt;"")),1))*1440)/60)/(W457/60)),"")</f>
        <v/>
      </c>
      <c r="Y457" s="26">
        <f>IFERROR(IF(OR(O457="",A457="",M457=""),"",(IF(ISNUMBER(O457),MOD(O457,1),TIMEVALUE(O457))-LOOKUP(2,1/(($A$4:$A$500=A457)*($M$4:$M$500=M457)*($T$4:$T$500&lt;&gt;"")*($T$4:$T$500&lt;IF(ISNUMBER(O457),MOD(O457,1),TIMEVALUE(O457)))),$T$4:$T$500))*1440),"")</f>
        <v/>
      </c>
      <c r="Z457" s="27">
        <f>IFERROR(IF(Y457="","",IF(ROUND(Y457,0)&lt;=15,"Cumple","No cumple")),"")</f>
        <v/>
      </c>
      <c r="AA457" s="27" t="n"/>
      <c r="AB457" s="26">
        <f>IFERROR(IF(OR(O457="",R457=""),"",IF(IF(ISNUMBER(R457),MOD(R457,1),TIMEVALUE(R457))&gt;=IF(ISNUMBER(O457),MOD(O457,1),TIMEVALUE(O457)),(IF(ISNUMBER(R457),MOD(R457,1),TIMEVALUE(R457))-IF(ISNUMBER(O457),MOD(O457,1),TIMEVALUE(O457)))*1440,(IF(ISNUMBER(R457),MOD(R457,1),TIMEVALUE(R457))+1-IF(ISNUMBER(O457),MOD(O457,1),TIMEVALUE(O457)))*1440)),"")</f>
        <v/>
      </c>
      <c r="AC457" s="26">
        <f>IFERROR(IF(OR(R457="",S457=""),"",IF(IF(ISNUMBER(S457),MOD(S457,1),TIMEVALUE(S457))&gt;=IF(ISNUMBER(R457),MOD(R457,1),TIMEVALUE(R457)),(IF(ISNUMBER(S457),MOD(S457,1),TIMEVALUE(S457))-IF(ISNUMBER(R457),MOD(R457,1),TIMEVALUE(R457)))*1440,(IF(ISNUMBER(S457),MOD(S457,1),TIMEVALUE(S457))+1-IF(ISNUMBER(R457),MOD(R457,1),TIMEVALUE(R457)))*1440)),"")</f>
        <v/>
      </c>
      <c r="AD457" s="29" t="n"/>
      <c r="AE457" s="26">
        <f>IFERROR(IF(OR(AC457="",AD457=""),"",AC457-AD457),"")</f>
        <v/>
      </c>
      <c r="AF457" s="27">
        <f>IFERROR(IF(AE457="","",IF(ROUND(AE457,0)&gt;15,"Subestimacion",IF(ROUND(AE457,0)&lt;-15,"Sobrestimacion","Asertivo"))),"")</f>
        <v/>
      </c>
      <c r="AG457" s="19" t="n"/>
      <c r="AH457" s="19" t="n"/>
      <c r="AI457" s="19" t="n"/>
      <c r="AJ457" s="19" t="n"/>
      <c r="AK457" s="19" t="n"/>
      <c r="AL457" s="19" t="n"/>
      <c r="AM457" s="19" t="n"/>
      <c r="AN457" s="19" t="n"/>
      <c r="AO457" s="19" t="n"/>
      <c r="AP457" s="127">
        <f>IF(A457="","",A457-WEEKDAY(A457,2)+1)</f>
        <v/>
      </c>
      <c r="AQ457" s="127">
        <f>IF(AO457="","",AO457+6)</f>
        <v/>
      </c>
      <c r="AR457" s="19">
        <f>IF(AO457="","","Semana "&amp;TEXT(AO457,"dd-mm-yyyy")&amp;" al "&amp;TEXT(AP457,"dd-mm-yyyy"))</f>
        <v/>
      </c>
      <c r="AS457" s="19">
        <f>IF(A457="","",TEXT(A457,"mmmm yyyy"))</f>
        <v/>
      </c>
      <c r="AT457" s="19">
        <f>IF(A457="","",TEXT(A457,"dddd"))</f>
        <v/>
      </c>
      <c r="AU457" s="19">
        <f>IF(A457="","","CRR-"&amp;TEXT(A457,"yyyymmdd")&amp;"-"&amp;M457&amp;"-"&amp;TEXT(ROW()-3,"0000"))</f>
        <v/>
      </c>
      <c r="AV457" s="19">
        <f>IF(A457="","",IF(OR(B457="",C457="",E457="",F457="",M457="",N457=""),"Revisar campos obligatorios",IF(AND(P457="Atraso primera hora",Q457=""),"Falta justificación atraso primera hora",IF(AND(Z457="No cumple",AA457=""),"Falta justificación recambio &gt;15 min",IF(AND(ISNUMBER(SEARCH("suspend",N457)),OR(AG457="",AH457="")),"Falta causa/motivo suspensión","OK")))))</f>
        <v/>
      </c>
      <c r="AW457" s="19">
        <f>IF(N457="","",IF(ISNUMBER(SEARCH("suspend",N457)),IF(AND(AG457="",AH457=""),"Sin causa/motivo registrado",IF(AG457="",AH457,IF(AH457="",AG457,AG457&amp;": "&amp;AH457))),""))</f>
        <v/>
      </c>
    </row>
    <row r="458" ht="16" customHeight="1" s="151">
      <c r="A458" s="62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20">
        <f>IF(H458&lt;&gt;"",IFERROR(VLOOKUP(IFERROR(LEFT(H458,FIND("-",H458)-1),H458),'Catalogo MINSAL'!A:E,5,FALSE),""),IF(I458&lt;&gt;"",IFERROR(VLOOKUP(IFERROR(LEFT(I458,FIND("-",I458)-1),I458),'Catalogo MINSAL'!A:E,5,FALSE),""),""))</f>
        <v/>
      </c>
      <c r="K458" s="19" t="n"/>
      <c r="L458" s="19" t="n"/>
      <c r="M458" s="19" t="n"/>
      <c r="N458" s="19" t="n"/>
      <c r="O458" s="25" t="n"/>
      <c r="P458" s="27">
        <f>IFERROR(IF(OR(O458="",A458="",M458=""),"",IF(SUMPRODUCT(($A$4:$A$500=A458)*($M$4:$M$500=M458)*($O$4:$O$500&lt;&gt;"")*(MOD($O$4:$O$500,1)&lt;MOD(O458,1)))=0,IF(MOD(O458,1)&lt;=TIME(8,15,0),"Ingreso adecuado primera hora","Atraso primera hora"),"No aplica")),"")</f>
        <v/>
      </c>
      <c r="Q458" s="27" t="n"/>
      <c r="R458" s="25" t="n"/>
      <c r="S458" s="25" t="n"/>
      <c r="T458" s="25" t="n"/>
      <c r="U458" s="25">
        <f>IFERROR(VLOOKUP(M458,'Horario Pabellones'!$A$4:$D$17,2,FALSE),"")</f>
        <v/>
      </c>
      <c r="V458" s="25">
        <f>IFERROR(VLOOKUP(M458,'Horario Pabellones'!$A$4:$D$17,3,FALSE),"")</f>
        <v/>
      </c>
      <c r="W458" s="99">
        <f>IFERROR(VLOOKUP(M458,'Horario Pabellones'!$A$4:$D$17,4,FALSE),"")</f>
        <v/>
      </c>
      <c r="X458" s="89">
        <f>IFERROR(IF(OR(A458="",M458="",W458=""),"",(((_xludf.AGGREGATE(14,6,MOD($S$4:$S$500,1)/(($A$4:$A$500=A458)*($M$4:$M$500=M458)*($R$4:$R$500&lt;&gt;"")*($S$4:$S$500&lt;&gt;"")),1)-_xludf.AGGREGATE(15,6,MOD($R$4:$R$500,1)/(($A$4:$A$500=A458)*($M$4:$M$500=M458)*($R$4:$R$500&lt;&gt;"")*($S$4:$S$500&lt;&gt;"")),1))*1440)/60)/(W458/60)),"")</f>
        <v/>
      </c>
      <c r="Y458" s="26">
        <f>IFERROR(IF(OR(O458="",A458="",M458=""),"",(IF(ISNUMBER(O458),MOD(O458,1),TIMEVALUE(O458))-LOOKUP(2,1/(($A$4:$A$500=A458)*($M$4:$M$500=M458)*($T$4:$T$500&lt;&gt;"")*($T$4:$T$500&lt;IF(ISNUMBER(O458),MOD(O458,1),TIMEVALUE(O458)))),$T$4:$T$500))*1440),"")</f>
        <v/>
      </c>
      <c r="Z458" s="27">
        <f>IFERROR(IF(Y458="","",IF(ROUND(Y458,0)&lt;=15,"Cumple","No cumple")),"")</f>
        <v/>
      </c>
      <c r="AA458" s="27" t="n"/>
      <c r="AB458" s="26">
        <f>IFERROR(IF(OR(O458="",R458=""),"",IF(IF(ISNUMBER(R458),MOD(R458,1),TIMEVALUE(R458))&gt;=IF(ISNUMBER(O458),MOD(O458,1),TIMEVALUE(O458)),(IF(ISNUMBER(R458),MOD(R458,1),TIMEVALUE(R458))-IF(ISNUMBER(O458),MOD(O458,1),TIMEVALUE(O458)))*1440,(IF(ISNUMBER(R458),MOD(R458,1),TIMEVALUE(R458))+1-IF(ISNUMBER(O458),MOD(O458,1),TIMEVALUE(O458)))*1440)),"")</f>
        <v/>
      </c>
      <c r="AC458" s="26">
        <f>IFERROR(IF(OR(R458="",S458=""),"",IF(IF(ISNUMBER(S458),MOD(S458,1),TIMEVALUE(S458))&gt;=IF(ISNUMBER(R458),MOD(R458,1),TIMEVALUE(R458)),(IF(ISNUMBER(S458),MOD(S458,1),TIMEVALUE(S458))-IF(ISNUMBER(R458),MOD(R458,1),TIMEVALUE(R458)))*1440,(IF(ISNUMBER(S458),MOD(S458,1),TIMEVALUE(S458))+1-IF(ISNUMBER(R458),MOD(R458,1),TIMEVALUE(R458)))*1440)),"")</f>
        <v/>
      </c>
      <c r="AD458" s="29" t="n"/>
      <c r="AE458" s="26">
        <f>IFERROR(IF(OR(AC458="",AD458=""),"",AC458-AD458),"")</f>
        <v/>
      </c>
      <c r="AF458" s="27">
        <f>IFERROR(IF(AE458="","",IF(ROUND(AE458,0)&gt;15,"Subestimacion",IF(ROUND(AE458,0)&lt;-15,"Sobrestimacion","Asertivo"))),"")</f>
        <v/>
      </c>
      <c r="AG458" s="19" t="n"/>
      <c r="AH458" s="19" t="n"/>
      <c r="AI458" s="19" t="n"/>
      <c r="AJ458" s="19" t="n"/>
      <c r="AK458" s="19" t="n"/>
      <c r="AL458" s="19" t="n"/>
      <c r="AM458" s="19" t="n"/>
      <c r="AN458" s="19" t="n"/>
      <c r="AO458" s="19" t="n"/>
      <c r="AP458" s="127">
        <f>IF(A458="","",A458-WEEKDAY(A458,2)+1)</f>
        <v/>
      </c>
      <c r="AQ458" s="127">
        <f>IF(AO458="","",AO458+6)</f>
        <v/>
      </c>
      <c r="AR458" s="19">
        <f>IF(AO458="","","Semana "&amp;TEXT(AO458,"dd-mm-yyyy")&amp;" al "&amp;TEXT(AP458,"dd-mm-yyyy"))</f>
        <v/>
      </c>
      <c r="AS458" s="19">
        <f>IF(A458="","",TEXT(A458,"mmmm yyyy"))</f>
        <v/>
      </c>
      <c r="AT458" s="19">
        <f>IF(A458="","",TEXT(A458,"dddd"))</f>
        <v/>
      </c>
      <c r="AU458" s="19">
        <f>IF(A458="","","CRR-"&amp;TEXT(A458,"yyyymmdd")&amp;"-"&amp;M458&amp;"-"&amp;TEXT(ROW()-3,"0000"))</f>
        <v/>
      </c>
      <c r="AV458" s="19">
        <f>IF(A458="","",IF(OR(B458="",C458="",E458="",F458="",M458="",N458=""),"Revisar campos obligatorios",IF(AND(P458="Atraso primera hora",Q458=""),"Falta justificación atraso primera hora",IF(AND(Z458="No cumple",AA458=""),"Falta justificación recambio &gt;15 min",IF(AND(ISNUMBER(SEARCH("suspend",N458)),OR(AG458="",AH458="")),"Falta causa/motivo suspensión","OK")))))</f>
        <v/>
      </c>
      <c r="AW458" s="19">
        <f>IF(N458="","",IF(ISNUMBER(SEARCH("suspend",N458)),IF(AND(AG458="",AH458=""),"Sin causa/motivo registrado",IF(AG458="",AH458,IF(AH458="",AG458,AG458&amp;": "&amp;AH458))),""))</f>
        <v/>
      </c>
    </row>
    <row r="459" ht="16" customHeight="1" s="151">
      <c r="A459" s="62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20">
        <f>IF(H459&lt;&gt;"",IFERROR(VLOOKUP(IFERROR(LEFT(H459,FIND("-",H459)-1),H459),'Catalogo MINSAL'!A:E,5,FALSE),""),IF(I459&lt;&gt;"",IFERROR(VLOOKUP(IFERROR(LEFT(I459,FIND("-",I459)-1),I459),'Catalogo MINSAL'!A:E,5,FALSE),""),""))</f>
        <v/>
      </c>
      <c r="K459" s="19" t="n"/>
      <c r="L459" s="19" t="n"/>
      <c r="M459" s="19" t="n"/>
      <c r="N459" s="19" t="n"/>
      <c r="O459" s="25" t="n"/>
      <c r="P459" s="27">
        <f>IFERROR(IF(OR(O459="",A459="",M459=""),"",IF(SUMPRODUCT(($A$4:$A$500=A459)*($M$4:$M$500=M459)*($O$4:$O$500&lt;&gt;"")*(MOD($O$4:$O$500,1)&lt;MOD(O459,1)))=0,IF(MOD(O459,1)&lt;=TIME(8,15,0),"Ingreso adecuado primera hora","Atraso primera hora"),"No aplica")),"")</f>
        <v/>
      </c>
      <c r="Q459" s="27" t="n"/>
      <c r="R459" s="25" t="n"/>
      <c r="S459" s="25" t="n"/>
      <c r="T459" s="25" t="n"/>
      <c r="U459" s="25">
        <f>IFERROR(VLOOKUP(M459,'Horario Pabellones'!$A$4:$D$17,2,FALSE),"")</f>
        <v/>
      </c>
      <c r="V459" s="25">
        <f>IFERROR(VLOOKUP(M459,'Horario Pabellones'!$A$4:$D$17,3,FALSE),"")</f>
        <v/>
      </c>
      <c r="W459" s="99">
        <f>IFERROR(VLOOKUP(M459,'Horario Pabellones'!$A$4:$D$17,4,FALSE),"")</f>
        <v/>
      </c>
      <c r="X459" s="89">
        <f>IFERROR(IF(OR(A459="",M459="",W459=""),"",(((_xludf.AGGREGATE(14,6,MOD($S$4:$S$500,1)/(($A$4:$A$500=A459)*($M$4:$M$500=M459)*($R$4:$R$500&lt;&gt;"")*($S$4:$S$500&lt;&gt;"")),1)-_xludf.AGGREGATE(15,6,MOD($R$4:$R$500,1)/(($A$4:$A$500=A459)*($M$4:$M$500=M459)*($R$4:$R$500&lt;&gt;"")*($S$4:$S$500&lt;&gt;"")),1))*1440)/60)/(W459/60)),"")</f>
        <v/>
      </c>
      <c r="Y459" s="26">
        <f>IFERROR(IF(OR(O459="",A459="",M459=""),"",(IF(ISNUMBER(O459),MOD(O459,1),TIMEVALUE(O459))-LOOKUP(2,1/(($A$4:$A$500=A459)*($M$4:$M$500=M459)*($T$4:$T$500&lt;&gt;"")*($T$4:$T$500&lt;IF(ISNUMBER(O459),MOD(O459,1),TIMEVALUE(O459)))),$T$4:$T$500))*1440),"")</f>
        <v/>
      </c>
      <c r="Z459" s="27">
        <f>IFERROR(IF(Y459="","",IF(ROUND(Y459,0)&lt;=15,"Cumple","No cumple")),"")</f>
        <v/>
      </c>
      <c r="AA459" s="27" t="n"/>
      <c r="AB459" s="26">
        <f>IFERROR(IF(OR(O459="",R459=""),"",IF(IF(ISNUMBER(R459),MOD(R459,1),TIMEVALUE(R459))&gt;=IF(ISNUMBER(O459),MOD(O459,1),TIMEVALUE(O459)),(IF(ISNUMBER(R459),MOD(R459,1),TIMEVALUE(R459))-IF(ISNUMBER(O459),MOD(O459,1),TIMEVALUE(O459)))*1440,(IF(ISNUMBER(R459),MOD(R459,1),TIMEVALUE(R459))+1-IF(ISNUMBER(O459),MOD(O459,1),TIMEVALUE(O459)))*1440)),"")</f>
        <v/>
      </c>
      <c r="AC459" s="26">
        <f>IFERROR(IF(OR(R459="",S459=""),"",IF(IF(ISNUMBER(S459),MOD(S459,1),TIMEVALUE(S459))&gt;=IF(ISNUMBER(R459),MOD(R459,1),TIMEVALUE(R459)),(IF(ISNUMBER(S459),MOD(S459,1),TIMEVALUE(S459))-IF(ISNUMBER(R459),MOD(R459,1),TIMEVALUE(R459)))*1440,(IF(ISNUMBER(S459),MOD(S459,1),TIMEVALUE(S459))+1-IF(ISNUMBER(R459),MOD(R459,1),TIMEVALUE(R459)))*1440)),"")</f>
        <v/>
      </c>
      <c r="AD459" s="29" t="n"/>
      <c r="AE459" s="26">
        <f>IFERROR(IF(OR(AC459="",AD459=""),"",AC459-AD459),"")</f>
        <v/>
      </c>
      <c r="AF459" s="27">
        <f>IFERROR(IF(AE459="","",IF(ROUND(AE459,0)&gt;15,"Subestimacion",IF(ROUND(AE459,0)&lt;-15,"Sobrestimacion","Asertivo"))),"")</f>
        <v/>
      </c>
      <c r="AG459" s="19" t="n"/>
      <c r="AH459" s="19" t="n"/>
      <c r="AI459" s="19" t="n"/>
      <c r="AJ459" s="19" t="n"/>
      <c r="AK459" s="19" t="n"/>
      <c r="AL459" s="19" t="n"/>
      <c r="AM459" s="19" t="n"/>
      <c r="AN459" s="19" t="n"/>
      <c r="AO459" s="19" t="n"/>
      <c r="AP459" s="127">
        <f>IF(A459="","",A459-WEEKDAY(A459,2)+1)</f>
        <v/>
      </c>
      <c r="AQ459" s="127">
        <f>IF(AO459="","",AO459+6)</f>
        <v/>
      </c>
      <c r="AR459" s="19">
        <f>IF(AO459="","","Semana "&amp;TEXT(AO459,"dd-mm-yyyy")&amp;" al "&amp;TEXT(AP459,"dd-mm-yyyy"))</f>
        <v/>
      </c>
      <c r="AS459" s="19">
        <f>IF(A459="","",TEXT(A459,"mmmm yyyy"))</f>
        <v/>
      </c>
      <c r="AT459" s="19">
        <f>IF(A459="","",TEXT(A459,"dddd"))</f>
        <v/>
      </c>
      <c r="AU459" s="19">
        <f>IF(A459="","","CRR-"&amp;TEXT(A459,"yyyymmdd")&amp;"-"&amp;M459&amp;"-"&amp;TEXT(ROW()-3,"0000"))</f>
        <v/>
      </c>
      <c r="AV459" s="19">
        <f>IF(A459="","",IF(OR(B459="",C459="",E459="",F459="",M459="",N459=""),"Revisar campos obligatorios",IF(AND(P459="Atraso primera hora",Q459=""),"Falta justificación atraso primera hora",IF(AND(Z459="No cumple",AA459=""),"Falta justificación recambio &gt;15 min",IF(AND(ISNUMBER(SEARCH("suspend",N459)),OR(AG459="",AH459="")),"Falta causa/motivo suspensión","OK")))))</f>
        <v/>
      </c>
      <c r="AW459" s="19">
        <f>IF(N459="","",IF(ISNUMBER(SEARCH("suspend",N459)),IF(AND(AG459="",AH459=""),"Sin causa/motivo registrado",IF(AG459="",AH459,IF(AH459="",AG459,AG459&amp;": "&amp;AH459))),""))</f>
        <v/>
      </c>
    </row>
    <row r="460" ht="16" customHeight="1" s="151">
      <c r="A460" s="62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20">
        <f>IF(H460&lt;&gt;"",IFERROR(VLOOKUP(IFERROR(LEFT(H460,FIND("-",H460)-1),H460),'Catalogo MINSAL'!A:E,5,FALSE),""),IF(I460&lt;&gt;"",IFERROR(VLOOKUP(IFERROR(LEFT(I460,FIND("-",I460)-1),I460),'Catalogo MINSAL'!A:E,5,FALSE),""),""))</f>
        <v/>
      </c>
      <c r="K460" s="19" t="n"/>
      <c r="L460" s="19" t="n"/>
      <c r="M460" s="19" t="n"/>
      <c r="N460" s="19" t="n"/>
      <c r="O460" s="25" t="n"/>
      <c r="P460" s="27">
        <f>IFERROR(IF(OR(O460="",A460="",M460=""),"",IF(SUMPRODUCT(($A$4:$A$500=A460)*($M$4:$M$500=M460)*($O$4:$O$500&lt;&gt;"")*(MOD($O$4:$O$500,1)&lt;MOD(O460,1)))=0,IF(MOD(O460,1)&lt;=TIME(8,15,0),"Ingreso adecuado primera hora","Atraso primera hora"),"No aplica")),"")</f>
        <v/>
      </c>
      <c r="Q460" s="27" t="n"/>
      <c r="R460" s="25" t="n"/>
      <c r="S460" s="25" t="n"/>
      <c r="T460" s="25" t="n"/>
      <c r="U460" s="25">
        <f>IFERROR(VLOOKUP(M460,'Horario Pabellones'!$A$4:$D$17,2,FALSE),"")</f>
        <v/>
      </c>
      <c r="V460" s="25">
        <f>IFERROR(VLOOKUP(M460,'Horario Pabellones'!$A$4:$D$17,3,FALSE),"")</f>
        <v/>
      </c>
      <c r="W460" s="99">
        <f>IFERROR(VLOOKUP(M460,'Horario Pabellones'!$A$4:$D$17,4,FALSE),"")</f>
        <v/>
      </c>
      <c r="X460" s="89">
        <f>IFERROR(IF(OR(A460="",M460="",W460=""),"",(((_xludf.AGGREGATE(14,6,MOD($S$4:$S$500,1)/(($A$4:$A$500=A460)*($M$4:$M$500=M460)*($R$4:$R$500&lt;&gt;"")*($S$4:$S$500&lt;&gt;"")),1)-_xludf.AGGREGATE(15,6,MOD($R$4:$R$500,1)/(($A$4:$A$500=A460)*($M$4:$M$500=M460)*($R$4:$R$500&lt;&gt;"")*($S$4:$S$500&lt;&gt;"")),1))*1440)/60)/(W460/60)),"")</f>
        <v/>
      </c>
      <c r="Y460" s="26">
        <f>IFERROR(IF(OR(O460="",A460="",M460=""),"",(IF(ISNUMBER(O460),MOD(O460,1),TIMEVALUE(O460))-LOOKUP(2,1/(($A$4:$A$500=A460)*($M$4:$M$500=M460)*($T$4:$T$500&lt;&gt;"")*($T$4:$T$500&lt;IF(ISNUMBER(O460),MOD(O460,1),TIMEVALUE(O460)))),$T$4:$T$500))*1440),"")</f>
        <v/>
      </c>
      <c r="Z460" s="27">
        <f>IFERROR(IF(Y460="","",IF(ROUND(Y460,0)&lt;=15,"Cumple","No cumple")),"")</f>
        <v/>
      </c>
      <c r="AA460" s="27" t="n"/>
      <c r="AB460" s="26">
        <f>IFERROR(IF(OR(O460="",R460=""),"",IF(IF(ISNUMBER(R460),MOD(R460,1),TIMEVALUE(R460))&gt;=IF(ISNUMBER(O460),MOD(O460,1),TIMEVALUE(O460)),(IF(ISNUMBER(R460),MOD(R460,1),TIMEVALUE(R460))-IF(ISNUMBER(O460),MOD(O460,1),TIMEVALUE(O460)))*1440,(IF(ISNUMBER(R460),MOD(R460,1),TIMEVALUE(R460))+1-IF(ISNUMBER(O460),MOD(O460,1),TIMEVALUE(O460)))*1440)),"")</f>
        <v/>
      </c>
      <c r="AC460" s="26">
        <f>IFERROR(IF(OR(R460="",S460=""),"",IF(IF(ISNUMBER(S460),MOD(S460,1),TIMEVALUE(S460))&gt;=IF(ISNUMBER(R460),MOD(R460,1),TIMEVALUE(R460)),(IF(ISNUMBER(S460),MOD(S460,1),TIMEVALUE(S460))-IF(ISNUMBER(R460),MOD(R460,1),TIMEVALUE(R460)))*1440,(IF(ISNUMBER(S460),MOD(S460,1),TIMEVALUE(S460))+1-IF(ISNUMBER(R460),MOD(R460,1),TIMEVALUE(R460)))*1440)),"")</f>
        <v/>
      </c>
      <c r="AD460" s="29" t="n"/>
      <c r="AE460" s="26">
        <f>IFERROR(IF(OR(AC460="",AD460=""),"",AC460-AD460),"")</f>
        <v/>
      </c>
      <c r="AF460" s="27">
        <f>IFERROR(IF(AE460="","",IF(ROUND(AE460,0)&gt;15,"Subestimacion",IF(ROUND(AE460,0)&lt;-15,"Sobrestimacion","Asertivo"))),"")</f>
        <v/>
      </c>
      <c r="AG460" s="19" t="n"/>
      <c r="AH460" s="19" t="n"/>
      <c r="AI460" s="19" t="n"/>
      <c r="AJ460" s="19" t="n"/>
      <c r="AK460" s="19" t="n"/>
      <c r="AL460" s="19" t="n"/>
      <c r="AM460" s="19" t="n"/>
      <c r="AN460" s="19" t="n"/>
      <c r="AO460" s="19" t="n"/>
      <c r="AP460" s="127">
        <f>IF(A460="","",A460-WEEKDAY(A460,2)+1)</f>
        <v/>
      </c>
      <c r="AQ460" s="127">
        <f>IF(AO460="","",AO460+6)</f>
        <v/>
      </c>
      <c r="AR460" s="19">
        <f>IF(AO460="","","Semana "&amp;TEXT(AO460,"dd-mm-yyyy")&amp;" al "&amp;TEXT(AP460,"dd-mm-yyyy"))</f>
        <v/>
      </c>
      <c r="AS460" s="19">
        <f>IF(A460="","",TEXT(A460,"mmmm yyyy"))</f>
        <v/>
      </c>
      <c r="AT460" s="19">
        <f>IF(A460="","",TEXT(A460,"dddd"))</f>
        <v/>
      </c>
      <c r="AU460" s="19">
        <f>IF(A460="","","CRR-"&amp;TEXT(A460,"yyyymmdd")&amp;"-"&amp;M460&amp;"-"&amp;TEXT(ROW()-3,"0000"))</f>
        <v/>
      </c>
      <c r="AV460" s="19">
        <f>IF(A460="","",IF(OR(B460="",C460="",E460="",F460="",M460="",N460=""),"Revisar campos obligatorios",IF(AND(P460="Atraso primera hora",Q460=""),"Falta justificación atraso primera hora",IF(AND(Z460="No cumple",AA460=""),"Falta justificación recambio &gt;15 min",IF(AND(ISNUMBER(SEARCH("suspend",N460)),OR(AG460="",AH460="")),"Falta causa/motivo suspensión","OK")))))</f>
        <v/>
      </c>
      <c r="AW460" s="19">
        <f>IF(N460="","",IF(ISNUMBER(SEARCH("suspend",N460)),IF(AND(AG460="",AH460=""),"Sin causa/motivo registrado",IF(AG460="",AH460,IF(AH460="",AG460,AG460&amp;": "&amp;AH460))),""))</f>
        <v/>
      </c>
    </row>
    <row r="461" ht="16" customHeight="1" s="151">
      <c r="A461" s="62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20">
        <f>IF(H461&lt;&gt;"",IFERROR(VLOOKUP(IFERROR(LEFT(H461,FIND("-",H461)-1),H461),'Catalogo MINSAL'!A:E,5,FALSE),""),IF(I461&lt;&gt;"",IFERROR(VLOOKUP(IFERROR(LEFT(I461,FIND("-",I461)-1),I461),'Catalogo MINSAL'!A:E,5,FALSE),""),""))</f>
        <v/>
      </c>
      <c r="K461" s="19" t="n"/>
      <c r="L461" s="19" t="n"/>
      <c r="M461" s="19" t="n"/>
      <c r="N461" s="19" t="n"/>
      <c r="O461" s="25" t="n"/>
      <c r="P461" s="27">
        <f>IFERROR(IF(OR(O461="",A461="",M461=""),"",IF(SUMPRODUCT(($A$4:$A$500=A461)*($M$4:$M$500=M461)*($O$4:$O$500&lt;&gt;"")*(MOD($O$4:$O$500,1)&lt;MOD(O461,1)))=0,IF(MOD(O461,1)&lt;=TIME(8,15,0),"Ingreso adecuado primera hora","Atraso primera hora"),"No aplica")),"")</f>
        <v/>
      </c>
      <c r="Q461" s="27" t="n"/>
      <c r="R461" s="25" t="n"/>
      <c r="S461" s="25" t="n"/>
      <c r="T461" s="25" t="n"/>
      <c r="U461" s="25">
        <f>IFERROR(VLOOKUP(M461,'Horario Pabellones'!$A$4:$D$17,2,FALSE),"")</f>
        <v/>
      </c>
      <c r="V461" s="25">
        <f>IFERROR(VLOOKUP(M461,'Horario Pabellones'!$A$4:$D$17,3,FALSE),"")</f>
        <v/>
      </c>
      <c r="W461" s="99">
        <f>IFERROR(VLOOKUP(M461,'Horario Pabellones'!$A$4:$D$17,4,FALSE),"")</f>
        <v/>
      </c>
      <c r="X461" s="89">
        <f>IFERROR(IF(OR(A461="",M461="",W461=""),"",(((_xludf.AGGREGATE(14,6,MOD($S$4:$S$500,1)/(($A$4:$A$500=A461)*($M$4:$M$500=M461)*($R$4:$R$500&lt;&gt;"")*($S$4:$S$500&lt;&gt;"")),1)-_xludf.AGGREGATE(15,6,MOD($R$4:$R$500,1)/(($A$4:$A$500=A461)*($M$4:$M$500=M461)*($R$4:$R$500&lt;&gt;"")*($S$4:$S$500&lt;&gt;"")),1))*1440)/60)/(W461/60)),"")</f>
        <v/>
      </c>
      <c r="Y461" s="26">
        <f>IFERROR(IF(OR(O461="",A461="",M461=""),"",(IF(ISNUMBER(O461),MOD(O461,1),TIMEVALUE(O461))-LOOKUP(2,1/(($A$4:$A$500=A461)*($M$4:$M$500=M461)*($T$4:$T$500&lt;&gt;"")*($T$4:$T$500&lt;IF(ISNUMBER(O461),MOD(O461,1),TIMEVALUE(O461)))),$T$4:$T$500))*1440),"")</f>
        <v/>
      </c>
      <c r="Z461" s="27">
        <f>IFERROR(IF(Y461="","",IF(ROUND(Y461,0)&lt;=15,"Cumple","No cumple")),"")</f>
        <v/>
      </c>
      <c r="AA461" s="27" t="n"/>
      <c r="AB461" s="26">
        <f>IFERROR(IF(OR(O461="",R461=""),"",IF(IF(ISNUMBER(R461),MOD(R461,1),TIMEVALUE(R461))&gt;=IF(ISNUMBER(O461),MOD(O461,1),TIMEVALUE(O461)),(IF(ISNUMBER(R461),MOD(R461,1),TIMEVALUE(R461))-IF(ISNUMBER(O461),MOD(O461,1),TIMEVALUE(O461)))*1440,(IF(ISNUMBER(R461),MOD(R461,1),TIMEVALUE(R461))+1-IF(ISNUMBER(O461),MOD(O461,1),TIMEVALUE(O461)))*1440)),"")</f>
        <v/>
      </c>
      <c r="AC461" s="26">
        <f>IFERROR(IF(OR(R461="",S461=""),"",IF(IF(ISNUMBER(S461),MOD(S461,1),TIMEVALUE(S461))&gt;=IF(ISNUMBER(R461),MOD(R461,1),TIMEVALUE(R461)),(IF(ISNUMBER(S461),MOD(S461,1),TIMEVALUE(S461))-IF(ISNUMBER(R461),MOD(R461,1),TIMEVALUE(R461)))*1440,(IF(ISNUMBER(S461),MOD(S461,1),TIMEVALUE(S461))+1-IF(ISNUMBER(R461),MOD(R461,1),TIMEVALUE(R461)))*1440)),"")</f>
        <v/>
      </c>
      <c r="AD461" s="29" t="n"/>
      <c r="AE461" s="26">
        <f>IFERROR(IF(OR(AC461="",AD461=""),"",AC461-AD461),"")</f>
        <v/>
      </c>
      <c r="AF461" s="27">
        <f>IFERROR(IF(AE461="","",IF(ROUND(AE461,0)&gt;15,"Subestimacion",IF(ROUND(AE461,0)&lt;-15,"Sobrestimacion","Asertivo"))),"")</f>
        <v/>
      </c>
      <c r="AG461" s="19" t="n"/>
      <c r="AH461" s="19" t="n"/>
      <c r="AI461" s="19" t="n"/>
      <c r="AJ461" s="19" t="n"/>
      <c r="AK461" s="19" t="n"/>
      <c r="AL461" s="19" t="n"/>
      <c r="AM461" s="19" t="n"/>
      <c r="AN461" s="19" t="n"/>
      <c r="AO461" s="19" t="n"/>
      <c r="AP461" s="127">
        <f>IF(A461="","",A461-WEEKDAY(A461,2)+1)</f>
        <v/>
      </c>
      <c r="AQ461" s="127">
        <f>IF(AO461="","",AO461+6)</f>
        <v/>
      </c>
      <c r="AR461" s="19">
        <f>IF(AO461="","","Semana "&amp;TEXT(AO461,"dd-mm-yyyy")&amp;" al "&amp;TEXT(AP461,"dd-mm-yyyy"))</f>
        <v/>
      </c>
      <c r="AS461" s="19">
        <f>IF(A461="","",TEXT(A461,"mmmm yyyy"))</f>
        <v/>
      </c>
      <c r="AT461" s="19">
        <f>IF(A461="","",TEXT(A461,"dddd"))</f>
        <v/>
      </c>
      <c r="AU461" s="19">
        <f>IF(A461="","","CRR-"&amp;TEXT(A461,"yyyymmdd")&amp;"-"&amp;M461&amp;"-"&amp;TEXT(ROW()-3,"0000"))</f>
        <v/>
      </c>
      <c r="AV461" s="19">
        <f>IF(A461="","",IF(OR(B461="",C461="",E461="",F461="",M461="",N461=""),"Revisar campos obligatorios",IF(AND(P461="Atraso primera hora",Q461=""),"Falta justificación atraso primera hora",IF(AND(Z461="No cumple",AA461=""),"Falta justificación recambio &gt;15 min",IF(AND(ISNUMBER(SEARCH("suspend",N461)),OR(AG461="",AH461="")),"Falta causa/motivo suspensión","OK")))))</f>
        <v/>
      </c>
      <c r="AW461" s="19">
        <f>IF(N461="","",IF(ISNUMBER(SEARCH("suspend",N461)),IF(AND(AG461="",AH461=""),"Sin causa/motivo registrado",IF(AG461="",AH461,IF(AH461="",AG461,AG461&amp;": "&amp;AH461))),""))</f>
        <v/>
      </c>
    </row>
    <row r="462" ht="16" customHeight="1" s="151">
      <c r="A462" s="62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20">
        <f>IF(H462&lt;&gt;"",IFERROR(VLOOKUP(IFERROR(LEFT(H462,FIND("-",H462)-1),H462),'Catalogo MINSAL'!A:E,5,FALSE),""),IF(I462&lt;&gt;"",IFERROR(VLOOKUP(IFERROR(LEFT(I462,FIND("-",I462)-1),I462),'Catalogo MINSAL'!A:E,5,FALSE),""),""))</f>
        <v/>
      </c>
      <c r="K462" s="19" t="n"/>
      <c r="L462" s="19" t="n"/>
      <c r="M462" s="19" t="n"/>
      <c r="N462" s="19" t="n"/>
      <c r="O462" s="25" t="n"/>
      <c r="P462" s="27">
        <f>IFERROR(IF(OR(O462="",A462="",M462=""),"",IF(SUMPRODUCT(($A$4:$A$500=A462)*($M$4:$M$500=M462)*($O$4:$O$500&lt;&gt;"")*(MOD($O$4:$O$500,1)&lt;MOD(O462,1)))=0,IF(MOD(O462,1)&lt;=TIME(8,15,0),"Ingreso adecuado primera hora","Atraso primera hora"),"No aplica")),"")</f>
        <v/>
      </c>
      <c r="Q462" s="27" t="n"/>
      <c r="R462" s="25" t="n"/>
      <c r="S462" s="25" t="n"/>
      <c r="T462" s="25" t="n"/>
      <c r="U462" s="25">
        <f>IFERROR(VLOOKUP(M462,'Horario Pabellones'!$A$4:$D$17,2,FALSE),"")</f>
        <v/>
      </c>
      <c r="V462" s="25">
        <f>IFERROR(VLOOKUP(M462,'Horario Pabellones'!$A$4:$D$17,3,FALSE),"")</f>
        <v/>
      </c>
      <c r="W462" s="99">
        <f>IFERROR(VLOOKUP(M462,'Horario Pabellones'!$A$4:$D$17,4,FALSE),"")</f>
        <v/>
      </c>
      <c r="X462" s="89">
        <f>IFERROR(IF(OR(A462="",M462="",W462=""),"",(((_xludf.AGGREGATE(14,6,MOD($S$4:$S$500,1)/(($A$4:$A$500=A462)*($M$4:$M$500=M462)*($R$4:$R$500&lt;&gt;"")*($S$4:$S$500&lt;&gt;"")),1)-_xludf.AGGREGATE(15,6,MOD($R$4:$R$500,1)/(($A$4:$A$500=A462)*($M$4:$M$500=M462)*($R$4:$R$500&lt;&gt;"")*($S$4:$S$500&lt;&gt;"")),1))*1440)/60)/(W462/60)),"")</f>
        <v/>
      </c>
      <c r="Y462" s="26">
        <f>IFERROR(IF(OR(O462="",A462="",M462=""),"",(IF(ISNUMBER(O462),MOD(O462,1),TIMEVALUE(O462))-LOOKUP(2,1/(($A$4:$A$500=A462)*($M$4:$M$500=M462)*($T$4:$T$500&lt;&gt;"")*($T$4:$T$500&lt;IF(ISNUMBER(O462),MOD(O462,1),TIMEVALUE(O462)))),$T$4:$T$500))*1440),"")</f>
        <v/>
      </c>
      <c r="Z462" s="27">
        <f>IFERROR(IF(Y462="","",IF(ROUND(Y462,0)&lt;=15,"Cumple","No cumple")),"")</f>
        <v/>
      </c>
      <c r="AA462" s="27" t="n"/>
      <c r="AB462" s="26">
        <f>IFERROR(IF(OR(O462="",R462=""),"",IF(IF(ISNUMBER(R462),MOD(R462,1),TIMEVALUE(R462))&gt;=IF(ISNUMBER(O462),MOD(O462,1),TIMEVALUE(O462)),(IF(ISNUMBER(R462),MOD(R462,1),TIMEVALUE(R462))-IF(ISNUMBER(O462),MOD(O462,1),TIMEVALUE(O462)))*1440,(IF(ISNUMBER(R462),MOD(R462,1),TIMEVALUE(R462))+1-IF(ISNUMBER(O462),MOD(O462,1),TIMEVALUE(O462)))*1440)),"")</f>
        <v/>
      </c>
      <c r="AC462" s="26">
        <f>IFERROR(IF(OR(R462="",S462=""),"",IF(IF(ISNUMBER(S462),MOD(S462,1),TIMEVALUE(S462))&gt;=IF(ISNUMBER(R462),MOD(R462,1),TIMEVALUE(R462)),(IF(ISNUMBER(S462),MOD(S462,1),TIMEVALUE(S462))-IF(ISNUMBER(R462),MOD(R462,1),TIMEVALUE(R462)))*1440,(IF(ISNUMBER(S462),MOD(S462,1),TIMEVALUE(S462))+1-IF(ISNUMBER(R462),MOD(R462,1),TIMEVALUE(R462)))*1440)),"")</f>
        <v/>
      </c>
      <c r="AD462" s="29" t="n"/>
      <c r="AE462" s="26">
        <f>IFERROR(IF(OR(AC462="",AD462=""),"",AC462-AD462),"")</f>
        <v/>
      </c>
      <c r="AF462" s="27">
        <f>IFERROR(IF(AE462="","",IF(ROUND(AE462,0)&gt;15,"Subestimacion",IF(ROUND(AE462,0)&lt;-15,"Sobrestimacion","Asertivo"))),"")</f>
        <v/>
      </c>
      <c r="AG462" s="19" t="n"/>
      <c r="AH462" s="19" t="n"/>
      <c r="AI462" s="19" t="n"/>
      <c r="AJ462" s="19" t="n"/>
      <c r="AK462" s="19" t="n"/>
      <c r="AL462" s="19" t="n"/>
      <c r="AM462" s="19" t="n"/>
      <c r="AN462" s="19" t="n"/>
      <c r="AO462" s="19" t="n"/>
      <c r="AP462" s="127">
        <f>IF(A462="","",A462-WEEKDAY(A462,2)+1)</f>
        <v/>
      </c>
      <c r="AQ462" s="127">
        <f>IF(AO462="","",AO462+6)</f>
        <v/>
      </c>
      <c r="AR462" s="19">
        <f>IF(AO462="","","Semana "&amp;TEXT(AO462,"dd-mm-yyyy")&amp;" al "&amp;TEXT(AP462,"dd-mm-yyyy"))</f>
        <v/>
      </c>
      <c r="AS462" s="19">
        <f>IF(A462="","",TEXT(A462,"mmmm yyyy"))</f>
        <v/>
      </c>
      <c r="AT462" s="19">
        <f>IF(A462="","",TEXT(A462,"dddd"))</f>
        <v/>
      </c>
      <c r="AU462" s="19">
        <f>IF(A462="","","CRR-"&amp;TEXT(A462,"yyyymmdd")&amp;"-"&amp;M462&amp;"-"&amp;TEXT(ROW()-3,"0000"))</f>
        <v/>
      </c>
      <c r="AV462" s="19">
        <f>IF(A462="","",IF(OR(B462="",C462="",E462="",F462="",M462="",N462=""),"Revisar campos obligatorios",IF(AND(P462="Atraso primera hora",Q462=""),"Falta justificación atraso primera hora",IF(AND(Z462="No cumple",AA462=""),"Falta justificación recambio &gt;15 min",IF(AND(ISNUMBER(SEARCH("suspend",N462)),OR(AG462="",AH462="")),"Falta causa/motivo suspensión","OK")))))</f>
        <v/>
      </c>
      <c r="AW462" s="19">
        <f>IF(N462="","",IF(ISNUMBER(SEARCH("suspend",N462)),IF(AND(AG462="",AH462=""),"Sin causa/motivo registrado",IF(AG462="",AH462,IF(AH462="",AG462,AG462&amp;": "&amp;AH462))),""))</f>
        <v/>
      </c>
    </row>
    <row r="463" ht="16" customHeight="1" s="151">
      <c r="A463" s="62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20">
        <f>IF(H463&lt;&gt;"",IFERROR(VLOOKUP(IFERROR(LEFT(H463,FIND("-",H463)-1),H463),'Catalogo MINSAL'!A:E,5,FALSE),""),IF(I463&lt;&gt;"",IFERROR(VLOOKUP(IFERROR(LEFT(I463,FIND("-",I463)-1),I463),'Catalogo MINSAL'!A:E,5,FALSE),""),""))</f>
        <v/>
      </c>
      <c r="K463" s="19" t="n"/>
      <c r="L463" s="19" t="n"/>
      <c r="M463" s="19" t="n"/>
      <c r="N463" s="19" t="n"/>
      <c r="O463" s="25" t="n"/>
      <c r="P463" s="27">
        <f>IFERROR(IF(OR(O463="",A463="",M463=""),"",IF(SUMPRODUCT(($A$4:$A$500=A463)*($M$4:$M$500=M463)*($O$4:$O$500&lt;&gt;"")*(MOD($O$4:$O$500,1)&lt;MOD(O463,1)))=0,IF(MOD(O463,1)&lt;=TIME(8,15,0),"Ingreso adecuado primera hora","Atraso primera hora"),"No aplica")),"")</f>
        <v/>
      </c>
      <c r="Q463" s="27" t="n"/>
      <c r="R463" s="25" t="n"/>
      <c r="S463" s="25" t="n"/>
      <c r="T463" s="25" t="n"/>
      <c r="U463" s="25">
        <f>IFERROR(VLOOKUP(M463,'Horario Pabellones'!$A$4:$D$17,2,FALSE),"")</f>
        <v/>
      </c>
      <c r="V463" s="25">
        <f>IFERROR(VLOOKUP(M463,'Horario Pabellones'!$A$4:$D$17,3,FALSE),"")</f>
        <v/>
      </c>
      <c r="W463" s="99">
        <f>IFERROR(VLOOKUP(M463,'Horario Pabellones'!$A$4:$D$17,4,FALSE),"")</f>
        <v/>
      </c>
      <c r="X463" s="89">
        <f>IFERROR(IF(OR(A463="",M463="",W463=""),"",(((_xludf.AGGREGATE(14,6,MOD($S$4:$S$500,1)/(($A$4:$A$500=A463)*($M$4:$M$500=M463)*($R$4:$R$500&lt;&gt;"")*($S$4:$S$500&lt;&gt;"")),1)-_xludf.AGGREGATE(15,6,MOD($R$4:$R$500,1)/(($A$4:$A$500=A463)*($M$4:$M$500=M463)*($R$4:$R$500&lt;&gt;"")*($S$4:$S$500&lt;&gt;"")),1))*1440)/60)/(W463/60)),"")</f>
        <v/>
      </c>
      <c r="Y463" s="26">
        <f>IFERROR(IF(OR(O463="",A463="",M463=""),"",(IF(ISNUMBER(O463),MOD(O463,1),TIMEVALUE(O463))-LOOKUP(2,1/(($A$4:$A$500=A463)*($M$4:$M$500=M463)*($T$4:$T$500&lt;&gt;"")*($T$4:$T$500&lt;IF(ISNUMBER(O463),MOD(O463,1),TIMEVALUE(O463)))),$T$4:$T$500))*1440),"")</f>
        <v/>
      </c>
      <c r="Z463" s="27">
        <f>IFERROR(IF(Y463="","",IF(ROUND(Y463,0)&lt;=15,"Cumple","No cumple")),"")</f>
        <v/>
      </c>
      <c r="AA463" s="27" t="n"/>
      <c r="AB463" s="26">
        <f>IFERROR(IF(OR(O463="",R463=""),"",IF(IF(ISNUMBER(R463),MOD(R463,1),TIMEVALUE(R463))&gt;=IF(ISNUMBER(O463),MOD(O463,1),TIMEVALUE(O463)),(IF(ISNUMBER(R463),MOD(R463,1),TIMEVALUE(R463))-IF(ISNUMBER(O463),MOD(O463,1),TIMEVALUE(O463)))*1440,(IF(ISNUMBER(R463),MOD(R463,1),TIMEVALUE(R463))+1-IF(ISNUMBER(O463),MOD(O463,1),TIMEVALUE(O463)))*1440)),"")</f>
        <v/>
      </c>
      <c r="AC463" s="26">
        <f>IFERROR(IF(OR(R463="",S463=""),"",IF(IF(ISNUMBER(S463),MOD(S463,1),TIMEVALUE(S463))&gt;=IF(ISNUMBER(R463),MOD(R463,1),TIMEVALUE(R463)),(IF(ISNUMBER(S463),MOD(S463,1),TIMEVALUE(S463))-IF(ISNUMBER(R463),MOD(R463,1),TIMEVALUE(R463)))*1440,(IF(ISNUMBER(S463),MOD(S463,1),TIMEVALUE(S463))+1-IF(ISNUMBER(R463),MOD(R463,1),TIMEVALUE(R463)))*1440)),"")</f>
        <v/>
      </c>
      <c r="AD463" s="29" t="n"/>
      <c r="AE463" s="26">
        <f>IFERROR(IF(OR(AC463="",AD463=""),"",AC463-AD463),"")</f>
        <v/>
      </c>
      <c r="AF463" s="27">
        <f>IFERROR(IF(AE463="","",IF(ROUND(AE463,0)&gt;15,"Subestimacion",IF(ROUND(AE463,0)&lt;-15,"Sobrestimacion","Asertivo"))),"")</f>
        <v/>
      </c>
      <c r="AG463" s="19" t="n"/>
      <c r="AH463" s="19" t="n"/>
      <c r="AI463" s="19" t="n"/>
      <c r="AJ463" s="19" t="n"/>
      <c r="AK463" s="19" t="n"/>
      <c r="AL463" s="19" t="n"/>
      <c r="AM463" s="19" t="n"/>
      <c r="AN463" s="19" t="n"/>
      <c r="AO463" s="19" t="n"/>
      <c r="AP463" s="127">
        <f>IF(A463="","",A463-WEEKDAY(A463,2)+1)</f>
        <v/>
      </c>
      <c r="AQ463" s="127">
        <f>IF(AO463="","",AO463+6)</f>
        <v/>
      </c>
      <c r="AR463" s="19">
        <f>IF(AO463="","","Semana "&amp;TEXT(AO463,"dd-mm-yyyy")&amp;" al "&amp;TEXT(AP463,"dd-mm-yyyy"))</f>
        <v/>
      </c>
      <c r="AS463" s="19">
        <f>IF(A463="","",TEXT(A463,"mmmm yyyy"))</f>
        <v/>
      </c>
      <c r="AT463" s="19">
        <f>IF(A463="","",TEXT(A463,"dddd"))</f>
        <v/>
      </c>
      <c r="AU463" s="19">
        <f>IF(A463="","","CRR-"&amp;TEXT(A463,"yyyymmdd")&amp;"-"&amp;M463&amp;"-"&amp;TEXT(ROW()-3,"0000"))</f>
        <v/>
      </c>
      <c r="AV463" s="19">
        <f>IF(A463="","",IF(OR(B463="",C463="",E463="",F463="",M463="",N463=""),"Revisar campos obligatorios",IF(AND(P463="Atraso primera hora",Q463=""),"Falta justificación atraso primera hora",IF(AND(Z463="No cumple",AA463=""),"Falta justificación recambio &gt;15 min",IF(AND(ISNUMBER(SEARCH("suspend",N463)),OR(AG463="",AH463="")),"Falta causa/motivo suspensión","OK")))))</f>
        <v/>
      </c>
      <c r="AW463" s="19">
        <f>IF(N463="","",IF(ISNUMBER(SEARCH("suspend",N463)),IF(AND(AG463="",AH463=""),"Sin causa/motivo registrado",IF(AG463="",AH463,IF(AH463="",AG463,AG463&amp;": "&amp;AH463))),""))</f>
        <v/>
      </c>
    </row>
    <row r="464" ht="16" customHeight="1" s="151">
      <c r="A464" s="62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20">
        <f>IF(H464&lt;&gt;"",IFERROR(VLOOKUP(IFERROR(LEFT(H464,FIND("-",H464)-1),H464),'Catalogo MINSAL'!A:E,5,FALSE),""),IF(I464&lt;&gt;"",IFERROR(VLOOKUP(IFERROR(LEFT(I464,FIND("-",I464)-1),I464),'Catalogo MINSAL'!A:E,5,FALSE),""),""))</f>
        <v/>
      </c>
      <c r="K464" s="19" t="n"/>
      <c r="L464" s="19" t="n"/>
      <c r="M464" s="19" t="n"/>
      <c r="N464" s="19" t="n"/>
      <c r="O464" s="25" t="n"/>
      <c r="P464" s="27">
        <f>IFERROR(IF(OR(O464="",A464="",M464=""),"",IF(SUMPRODUCT(($A$4:$A$500=A464)*($M$4:$M$500=M464)*($O$4:$O$500&lt;&gt;"")*(MOD($O$4:$O$500,1)&lt;MOD(O464,1)))=0,IF(MOD(O464,1)&lt;=TIME(8,15,0),"Ingreso adecuado primera hora","Atraso primera hora"),"No aplica")),"")</f>
        <v/>
      </c>
      <c r="Q464" s="27" t="n"/>
      <c r="R464" s="25" t="n"/>
      <c r="S464" s="25" t="n"/>
      <c r="T464" s="25" t="n"/>
      <c r="U464" s="25">
        <f>IFERROR(VLOOKUP(M464,'Horario Pabellones'!$A$4:$D$17,2,FALSE),"")</f>
        <v/>
      </c>
      <c r="V464" s="25">
        <f>IFERROR(VLOOKUP(M464,'Horario Pabellones'!$A$4:$D$17,3,FALSE),"")</f>
        <v/>
      </c>
      <c r="W464" s="99">
        <f>IFERROR(VLOOKUP(M464,'Horario Pabellones'!$A$4:$D$17,4,FALSE),"")</f>
        <v/>
      </c>
      <c r="X464" s="89">
        <f>IFERROR(IF(OR(A464="",M464="",W464=""),"",(((_xludf.AGGREGATE(14,6,MOD($S$4:$S$500,1)/(($A$4:$A$500=A464)*($M$4:$M$500=M464)*($R$4:$R$500&lt;&gt;"")*($S$4:$S$500&lt;&gt;"")),1)-_xludf.AGGREGATE(15,6,MOD($R$4:$R$500,1)/(($A$4:$A$500=A464)*($M$4:$M$500=M464)*($R$4:$R$500&lt;&gt;"")*($S$4:$S$500&lt;&gt;"")),1))*1440)/60)/(W464/60)),"")</f>
        <v/>
      </c>
      <c r="Y464" s="26">
        <f>IFERROR(IF(OR(O464="",A464="",M464=""),"",(IF(ISNUMBER(O464),MOD(O464,1),TIMEVALUE(O464))-LOOKUP(2,1/(($A$4:$A$500=A464)*($M$4:$M$500=M464)*($T$4:$T$500&lt;&gt;"")*($T$4:$T$500&lt;IF(ISNUMBER(O464),MOD(O464,1),TIMEVALUE(O464)))),$T$4:$T$500))*1440),"")</f>
        <v/>
      </c>
      <c r="Z464" s="27">
        <f>IFERROR(IF(Y464="","",IF(ROUND(Y464,0)&lt;=15,"Cumple","No cumple")),"")</f>
        <v/>
      </c>
      <c r="AA464" s="27" t="n"/>
      <c r="AB464" s="26">
        <f>IFERROR(IF(OR(O464="",R464=""),"",IF(IF(ISNUMBER(R464),MOD(R464,1),TIMEVALUE(R464))&gt;=IF(ISNUMBER(O464),MOD(O464,1),TIMEVALUE(O464)),(IF(ISNUMBER(R464),MOD(R464,1),TIMEVALUE(R464))-IF(ISNUMBER(O464),MOD(O464,1),TIMEVALUE(O464)))*1440,(IF(ISNUMBER(R464),MOD(R464,1),TIMEVALUE(R464))+1-IF(ISNUMBER(O464),MOD(O464,1),TIMEVALUE(O464)))*1440)),"")</f>
        <v/>
      </c>
      <c r="AC464" s="26">
        <f>IFERROR(IF(OR(R464="",S464=""),"",IF(IF(ISNUMBER(S464),MOD(S464,1),TIMEVALUE(S464))&gt;=IF(ISNUMBER(R464),MOD(R464,1),TIMEVALUE(R464)),(IF(ISNUMBER(S464),MOD(S464,1),TIMEVALUE(S464))-IF(ISNUMBER(R464),MOD(R464,1),TIMEVALUE(R464)))*1440,(IF(ISNUMBER(S464),MOD(S464,1),TIMEVALUE(S464))+1-IF(ISNUMBER(R464),MOD(R464,1),TIMEVALUE(R464)))*1440)),"")</f>
        <v/>
      </c>
      <c r="AD464" s="29" t="n"/>
      <c r="AE464" s="26">
        <f>IFERROR(IF(OR(AC464="",AD464=""),"",AC464-AD464),"")</f>
        <v/>
      </c>
      <c r="AF464" s="27">
        <f>IFERROR(IF(AE464="","",IF(ROUND(AE464,0)&gt;15,"Subestimacion",IF(ROUND(AE464,0)&lt;-15,"Sobrestimacion","Asertivo"))),"")</f>
        <v/>
      </c>
      <c r="AG464" s="19" t="n"/>
      <c r="AH464" s="19" t="n"/>
      <c r="AI464" s="19" t="n"/>
      <c r="AJ464" s="19" t="n"/>
      <c r="AK464" s="19" t="n"/>
      <c r="AL464" s="19" t="n"/>
      <c r="AM464" s="19" t="n"/>
      <c r="AN464" s="19" t="n"/>
      <c r="AO464" s="19" t="n"/>
      <c r="AP464" s="127">
        <f>IF(A464="","",A464-WEEKDAY(A464,2)+1)</f>
        <v/>
      </c>
      <c r="AQ464" s="127">
        <f>IF(AO464="","",AO464+6)</f>
        <v/>
      </c>
      <c r="AR464" s="19">
        <f>IF(AO464="","","Semana "&amp;TEXT(AO464,"dd-mm-yyyy")&amp;" al "&amp;TEXT(AP464,"dd-mm-yyyy"))</f>
        <v/>
      </c>
      <c r="AS464" s="19">
        <f>IF(A464="","",TEXT(A464,"mmmm yyyy"))</f>
        <v/>
      </c>
      <c r="AT464" s="19">
        <f>IF(A464="","",TEXT(A464,"dddd"))</f>
        <v/>
      </c>
      <c r="AU464" s="19">
        <f>IF(A464="","","CRR-"&amp;TEXT(A464,"yyyymmdd")&amp;"-"&amp;M464&amp;"-"&amp;TEXT(ROW()-3,"0000"))</f>
        <v/>
      </c>
      <c r="AV464" s="19">
        <f>IF(A464="","",IF(OR(B464="",C464="",E464="",F464="",M464="",N464=""),"Revisar campos obligatorios",IF(AND(P464="Atraso primera hora",Q464=""),"Falta justificación atraso primera hora",IF(AND(Z464="No cumple",AA464=""),"Falta justificación recambio &gt;15 min",IF(AND(ISNUMBER(SEARCH("suspend",N464)),OR(AG464="",AH464="")),"Falta causa/motivo suspensión","OK")))))</f>
        <v/>
      </c>
      <c r="AW464" s="19">
        <f>IF(N464="","",IF(ISNUMBER(SEARCH("suspend",N464)),IF(AND(AG464="",AH464=""),"Sin causa/motivo registrado",IF(AG464="",AH464,IF(AH464="",AG464,AG464&amp;": "&amp;AH464))),""))</f>
        <v/>
      </c>
    </row>
    <row r="465" ht="16" customHeight="1" s="151">
      <c r="A465" s="62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20">
        <f>IF(H465&lt;&gt;"",IFERROR(VLOOKUP(IFERROR(LEFT(H465,FIND("-",H465)-1),H465),'Catalogo MINSAL'!A:E,5,FALSE),""),IF(I465&lt;&gt;"",IFERROR(VLOOKUP(IFERROR(LEFT(I465,FIND("-",I465)-1),I465),'Catalogo MINSAL'!A:E,5,FALSE),""),""))</f>
        <v/>
      </c>
      <c r="K465" s="19" t="n"/>
      <c r="L465" s="19" t="n"/>
      <c r="M465" s="19" t="n"/>
      <c r="N465" s="19" t="n"/>
      <c r="O465" s="25" t="n"/>
      <c r="P465" s="27">
        <f>IFERROR(IF(OR(O465="",A465="",M465=""),"",IF(SUMPRODUCT(($A$4:$A$500=A465)*($M$4:$M$500=M465)*($O$4:$O$500&lt;&gt;"")*(MOD($O$4:$O$500,1)&lt;MOD(O465,1)))=0,IF(MOD(O465,1)&lt;=TIME(8,15,0),"Ingreso adecuado primera hora","Atraso primera hora"),"No aplica")),"")</f>
        <v/>
      </c>
      <c r="Q465" s="27" t="n"/>
      <c r="R465" s="25" t="n"/>
      <c r="S465" s="25" t="n"/>
      <c r="T465" s="25" t="n"/>
      <c r="U465" s="25">
        <f>IFERROR(VLOOKUP(M465,'Horario Pabellones'!$A$4:$D$17,2,FALSE),"")</f>
        <v/>
      </c>
      <c r="V465" s="25">
        <f>IFERROR(VLOOKUP(M465,'Horario Pabellones'!$A$4:$D$17,3,FALSE),"")</f>
        <v/>
      </c>
      <c r="W465" s="99">
        <f>IFERROR(VLOOKUP(M465,'Horario Pabellones'!$A$4:$D$17,4,FALSE),"")</f>
        <v/>
      </c>
      <c r="X465" s="89">
        <f>IFERROR(IF(OR(A465="",M465="",W465=""),"",(((_xludf.AGGREGATE(14,6,MOD($S$4:$S$500,1)/(($A$4:$A$500=A465)*($M$4:$M$500=M465)*($R$4:$R$500&lt;&gt;"")*($S$4:$S$500&lt;&gt;"")),1)-_xludf.AGGREGATE(15,6,MOD($R$4:$R$500,1)/(($A$4:$A$500=A465)*($M$4:$M$500=M465)*($R$4:$R$500&lt;&gt;"")*($S$4:$S$500&lt;&gt;"")),1))*1440)/60)/(W465/60)),"")</f>
        <v/>
      </c>
      <c r="Y465" s="26">
        <f>IFERROR(IF(OR(O465="",A465="",M465=""),"",(IF(ISNUMBER(O465),MOD(O465,1),TIMEVALUE(O465))-LOOKUP(2,1/(($A$4:$A$500=A465)*($M$4:$M$500=M465)*($T$4:$T$500&lt;&gt;"")*($T$4:$T$500&lt;IF(ISNUMBER(O465),MOD(O465,1),TIMEVALUE(O465)))),$T$4:$T$500))*1440),"")</f>
        <v/>
      </c>
      <c r="Z465" s="27">
        <f>IFERROR(IF(Y465="","",IF(ROUND(Y465,0)&lt;=15,"Cumple","No cumple")),"")</f>
        <v/>
      </c>
      <c r="AA465" s="27" t="n"/>
      <c r="AB465" s="26">
        <f>IFERROR(IF(OR(O465="",R465=""),"",IF(IF(ISNUMBER(R465),MOD(R465,1),TIMEVALUE(R465))&gt;=IF(ISNUMBER(O465),MOD(O465,1),TIMEVALUE(O465)),(IF(ISNUMBER(R465),MOD(R465,1),TIMEVALUE(R465))-IF(ISNUMBER(O465),MOD(O465,1),TIMEVALUE(O465)))*1440,(IF(ISNUMBER(R465),MOD(R465,1),TIMEVALUE(R465))+1-IF(ISNUMBER(O465),MOD(O465,1),TIMEVALUE(O465)))*1440)),"")</f>
        <v/>
      </c>
      <c r="AC465" s="26">
        <f>IFERROR(IF(OR(R465="",S465=""),"",IF(IF(ISNUMBER(S465),MOD(S465,1),TIMEVALUE(S465))&gt;=IF(ISNUMBER(R465),MOD(R465,1),TIMEVALUE(R465)),(IF(ISNUMBER(S465),MOD(S465,1),TIMEVALUE(S465))-IF(ISNUMBER(R465),MOD(R465,1),TIMEVALUE(R465)))*1440,(IF(ISNUMBER(S465),MOD(S465,1),TIMEVALUE(S465))+1-IF(ISNUMBER(R465),MOD(R465,1),TIMEVALUE(R465)))*1440)),"")</f>
        <v/>
      </c>
      <c r="AD465" s="29" t="n"/>
      <c r="AE465" s="26">
        <f>IFERROR(IF(OR(AC465="",AD465=""),"",AC465-AD465),"")</f>
        <v/>
      </c>
      <c r="AF465" s="27">
        <f>IFERROR(IF(AE465="","",IF(ROUND(AE465,0)&gt;15,"Subestimacion",IF(ROUND(AE465,0)&lt;-15,"Sobrestimacion","Asertivo"))),"")</f>
        <v/>
      </c>
      <c r="AG465" s="19" t="n"/>
      <c r="AH465" s="19" t="n"/>
      <c r="AI465" s="19" t="n"/>
      <c r="AJ465" s="19" t="n"/>
      <c r="AK465" s="19" t="n"/>
      <c r="AL465" s="19" t="n"/>
      <c r="AM465" s="19" t="n"/>
      <c r="AN465" s="19" t="n"/>
      <c r="AO465" s="19" t="n"/>
      <c r="AP465" s="127">
        <f>IF(A465="","",A465-WEEKDAY(A465,2)+1)</f>
        <v/>
      </c>
      <c r="AQ465" s="127">
        <f>IF(AO465="","",AO465+6)</f>
        <v/>
      </c>
      <c r="AR465" s="19">
        <f>IF(AO465="","","Semana "&amp;TEXT(AO465,"dd-mm-yyyy")&amp;" al "&amp;TEXT(AP465,"dd-mm-yyyy"))</f>
        <v/>
      </c>
      <c r="AS465" s="19">
        <f>IF(A465="","",TEXT(A465,"mmmm yyyy"))</f>
        <v/>
      </c>
      <c r="AT465" s="19">
        <f>IF(A465="","",TEXT(A465,"dddd"))</f>
        <v/>
      </c>
      <c r="AU465" s="19">
        <f>IF(A465="","","CRR-"&amp;TEXT(A465,"yyyymmdd")&amp;"-"&amp;M465&amp;"-"&amp;TEXT(ROW()-3,"0000"))</f>
        <v/>
      </c>
      <c r="AV465" s="19">
        <f>IF(A465="","",IF(OR(B465="",C465="",E465="",F465="",M465="",N465=""),"Revisar campos obligatorios",IF(AND(P465="Atraso primera hora",Q465=""),"Falta justificación atraso primera hora",IF(AND(Z465="No cumple",AA465=""),"Falta justificación recambio &gt;15 min",IF(AND(ISNUMBER(SEARCH("suspend",N465)),OR(AG465="",AH465="")),"Falta causa/motivo suspensión","OK")))))</f>
        <v/>
      </c>
      <c r="AW465" s="19">
        <f>IF(N465="","",IF(ISNUMBER(SEARCH("suspend",N465)),IF(AND(AG465="",AH465=""),"Sin causa/motivo registrado",IF(AG465="",AH465,IF(AH465="",AG465,AG465&amp;": "&amp;AH465))),""))</f>
        <v/>
      </c>
    </row>
    <row r="466" ht="16" customHeight="1" s="151">
      <c r="A466" s="62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20">
        <f>IF(H466&lt;&gt;"",IFERROR(VLOOKUP(IFERROR(LEFT(H466,FIND("-",H466)-1),H466),'Catalogo MINSAL'!A:E,5,FALSE),""),IF(I466&lt;&gt;"",IFERROR(VLOOKUP(IFERROR(LEFT(I466,FIND("-",I466)-1),I466),'Catalogo MINSAL'!A:E,5,FALSE),""),""))</f>
        <v/>
      </c>
      <c r="K466" s="19" t="n"/>
      <c r="L466" s="19" t="n"/>
      <c r="M466" s="19" t="n"/>
      <c r="N466" s="19" t="n"/>
      <c r="O466" s="25" t="n"/>
      <c r="P466" s="27">
        <f>IFERROR(IF(OR(O466="",A466="",M466=""),"",IF(SUMPRODUCT(($A$4:$A$500=A466)*($M$4:$M$500=M466)*($O$4:$O$500&lt;&gt;"")*(MOD($O$4:$O$500,1)&lt;MOD(O466,1)))=0,IF(MOD(O466,1)&lt;=TIME(8,15,0),"Ingreso adecuado primera hora","Atraso primera hora"),"No aplica")),"")</f>
        <v/>
      </c>
      <c r="Q466" s="27" t="n"/>
      <c r="R466" s="25" t="n"/>
      <c r="S466" s="25" t="n"/>
      <c r="T466" s="25" t="n"/>
      <c r="U466" s="25">
        <f>IFERROR(VLOOKUP(M466,'Horario Pabellones'!$A$4:$D$17,2,FALSE),"")</f>
        <v/>
      </c>
      <c r="V466" s="25">
        <f>IFERROR(VLOOKUP(M466,'Horario Pabellones'!$A$4:$D$17,3,FALSE),"")</f>
        <v/>
      </c>
      <c r="W466" s="99">
        <f>IFERROR(VLOOKUP(M466,'Horario Pabellones'!$A$4:$D$17,4,FALSE),"")</f>
        <v/>
      </c>
      <c r="X466" s="89">
        <f>IFERROR(IF(OR(A466="",M466="",W466=""),"",(((_xludf.AGGREGATE(14,6,MOD($S$4:$S$500,1)/(($A$4:$A$500=A466)*($M$4:$M$500=M466)*($R$4:$R$500&lt;&gt;"")*($S$4:$S$500&lt;&gt;"")),1)-_xludf.AGGREGATE(15,6,MOD($R$4:$R$500,1)/(($A$4:$A$500=A466)*($M$4:$M$500=M466)*($R$4:$R$500&lt;&gt;"")*($S$4:$S$500&lt;&gt;"")),1))*1440)/60)/(W466/60)),"")</f>
        <v/>
      </c>
      <c r="Y466" s="26">
        <f>IFERROR(IF(OR(O466="",A466="",M466=""),"",(IF(ISNUMBER(O466),MOD(O466,1),TIMEVALUE(O466))-LOOKUP(2,1/(($A$4:$A$500=A466)*($M$4:$M$500=M466)*($T$4:$T$500&lt;&gt;"")*($T$4:$T$500&lt;IF(ISNUMBER(O466),MOD(O466,1),TIMEVALUE(O466)))),$T$4:$T$500))*1440),"")</f>
        <v/>
      </c>
      <c r="Z466" s="27">
        <f>IFERROR(IF(Y466="","",IF(ROUND(Y466,0)&lt;=15,"Cumple","No cumple")),"")</f>
        <v/>
      </c>
      <c r="AA466" s="27" t="n"/>
      <c r="AB466" s="26">
        <f>IFERROR(IF(OR(O466="",R466=""),"",IF(IF(ISNUMBER(R466),MOD(R466,1),TIMEVALUE(R466))&gt;=IF(ISNUMBER(O466),MOD(O466,1),TIMEVALUE(O466)),(IF(ISNUMBER(R466),MOD(R466,1),TIMEVALUE(R466))-IF(ISNUMBER(O466),MOD(O466,1),TIMEVALUE(O466)))*1440,(IF(ISNUMBER(R466),MOD(R466,1),TIMEVALUE(R466))+1-IF(ISNUMBER(O466),MOD(O466,1),TIMEVALUE(O466)))*1440)),"")</f>
        <v/>
      </c>
      <c r="AC466" s="26">
        <f>IFERROR(IF(OR(R466="",S466=""),"",IF(IF(ISNUMBER(S466),MOD(S466,1),TIMEVALUE(S466))&gt;=IF(ISNUMBER(R466),MOD(R466,1),TIMEVALUE(R466)),(IF(ISNUMBER(S466),MOD(S466,1),TIMEVALUE(S466))-IF(ISNUMBER(R466),MOD(R466,1),TIMEVALUE(R466)))*1440,(IF(ISNUMBER(S466),MOD(S466,1),TIMEVALUE(S466))+1-IF(ISNUMBER(R466),MOD(R466,1),TIMEVALUE(R466)))*1440)),"")</f>
        <v/>
      </c>
      <c r="AD466" s="29" t="n"/>
      <c r="AE466" s="26">
        <f>IFERROR(IF(OR(AC466="",AD466=""),"",AC466-AD466),"")</f>
        <v/>
      </c>
      <c r="AF466" s="27">
        <f>IFERROR(IF(AE466="","",IF(ROUND(AE466,0)&gt;15,"Subestimacion",IF(ROUND(AE466,0)&lt;-15,"Sobrestimacion","Asertivo"))),"")</f>
        <v/>
      </c>
      <c r="AG466" s="19" t="n"/>
      <c r="AH466" s="19" t="n"/>
      <c r="AI466" s="19" t="n"/>
      <c r="AJ466" s="19" t="n"/>
      <c r="AK466" s="19" t="n"/>
      <c r="AL466" s="19" t="n"/>
      <c r="AM466" s="19" t="n"/>
      <c r="AN466" s="19" t="n"/>
      <c r="AO466" s="19" t="n"/>
      <c r="AP466" s="127">
        <f>IF(A466="","",A466-WEEKDAY(A466,2)+1)</f>
        <v/>
      </c>
      <c r="AQ466" s="127">
        <f>IF(AO466="","",AO466+6)</f>
        <v/>
      </c>
      <c r="AR466" s="19">
        <f>IF(AO466="","","Semana "&amp;TEXT(AO466,"dd-mm-yyyy")&amp;" al "&amp;TEXT(AP466,"dd-mm-yyyy"))</f>
        <v/>
      </c>
      <c r="AS466" s="19">
        <f>IF(A466="","",TEXT(A466,"mmmm yyyy"))</f>
        <v/>
      </c>
      <c r="AT466" s="19">
        <f>IF(A466="","",TEXT(A466,"dddd"))</f>
        <v/>
      </c>
      <c r="AU466" s="19">
        <f>IF(A466="","","CRR-"&amp;TEXT(A466,"yyyymmdd")&amp;"-"&amp;M466&amp;"-"&amp;TEXT(ROW()-3,"0000"))</f>
        <v/>
      </c>
      <c r="AV466" s="19">
        <f>IF(A466="","",IF(OR(B466="",C466="",E466="",F466="",M466="",N466=""),"Revisar campos obligatorios",IF(AND(P466="Atraso primera hora",Q466=""),"Falta justificación atraso primera hora",IF(AND(Z466="No cumple",AA466=""),"Falta justificación recambio &gt;15 min",IF(AND(ISNUMBER(SEARCH("suspend",N466)),OR(AG466="",AH466="")),"Falta causa/motivo suspensión","OK")))))</f>
        <v/>
      </c>
      <c r="AW466" s="19">
        <f>IF(N466="","",IF(ISNUMBER(SEARCH("suspend",N466)),IF(AND(AG466="",AH466=""),"Sin causa/motivo registrado",IF(AG466="",AH466,IF(AH466="",AG466,AG466&amp;": "&amp;AH466))),""))</f>
        <v/>
      </c>
    </row>
    <row r="467" ht="16" customHeight="1" s="151">
      <c r="A467" s="62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20">
        <f>IF(H467&lt;&gt;"",IFERROR(VLOOKUP(IFERROR(LEFT(H467,FIND("-",H467)-1),H467),'Catalogo MINSAL'!A:E,5,FALSE),""),IF(I467&lt;&gt;"",IFERROR(VLOOKUP(IFERROR(LEFT(I467,FIND("-",I467)-1),I467),'Catalogo MINSAL'!A:E,5,FALSE),""),""))</f>
        <v/>
      </c>
      <c r="K467" s="19" t="n"/>
      <c r="L467" s="19" t="n"/>
      <c r="M467" s="19" t="n"/>
      <c r="N467" s="19" t="n"/>
      <c r="O467" s="25" t="n"/>
      <c r="P467" s="27">
        <f>IFERROR(IF(OR(O467="",A467="",M467=""),"",IF(SUMPRODUCT(($A$4:$A$500=A467)*($M$4:$M$500=M467)*($O$4:$O$500&lt;&gt;"")*(MOD($O$4:$O$500,1)&lt;MOD(O467,1)))=0,IF(MOD(O467,1)&lt;=TIME(8,15,0),"Ingreso adecuado primera hora","Atraso primera hora"),"No aplica")),"")</f>
        <v/>
      </c>
      <c r="Q467" s="27" t="n"/>
      <c r="R467" s="25" t="n"/>
      <c r="S467" s="25" t="n"/>
      <c r="T467" s="25" t="n"/>
      <c r="U467" s="25">
        <f>IFERROR(VLOOKUP(M467,'Horario Pabellones'!$A$4:$D$17,2,FALSE),"")</f>
        <v/>
      </c>
      <c r="V467" s="25">
        <f>IFERROR(VLOOKUP(M467,'Horario Pabellones'!$A$4:$D$17,3,FALSE),"")</f>
        <v/>
      </c>
      <c r="W467" s="99">
        <f>IFERROR(VLOOKUP(M467,'Horario Pabellones'!$A$4:$D$17,4,FALSE),"")</f>
        <v/>
      </c>
      <c r="X467" s="89">
        <f>IFERROR(IF(OR(A467="",M467="",W467=""),"",(((_xludf.AGGREGATE(14,6,MOD($S$4:$S$500,1)/(($A$4:$A$500=A467)*($M$4:$M$500=M467)*($R$4:$R$500&lt;&gt;"")*($S$4:$S$500&lt;&gt;"")),1)-_xludf.AGGREGATE(15,6,MOD($R$4:$R$500,1)/(($A$4:$A$500=A467)*($M$4:$M$500=M467)*($R$4:$R$500&lt;&gt;"")*($S$4:$S$500&lt;&gt;"")),1))*1440)/60)/(W467/60)),"")</f>
        <v/>
      </c>
      <c r="Y467" s="26">
        <f>IFERROR(IF(OR(O467="",A467="",M467=""),"",(IF(ISNUMBER(O467),MOD(O467,1),TIMEVALUE(O467))-LOOKUP(2,1/(($A$4:$A$500=A467)*($M$4:$M$500=M467)*($T$4:$T$500&lt;&gt;"")*($T$4:$T$500&lt;IF(ISNUMBER(O467),MOD(O467,1),TIMEVALUE(O467)))),$T$4:$T$500))*1440),"")</f>
        <v/>
      </c>
      <c r="Z467" s="27">
        <f>IFERROR(IF(Y467="","",IF(ROUND(Y467,0)&lt;=15,"Cumple","No cumple")),"")</f>
        <v/>
      </c>
      <c r="AA467" s="27" t="n"/>
      <c r="AB467" s="26">
        <f>IFERROR(IF(OR(O467="",R467=""),"",IF(IF(ISNUMBER(R467),MOD(R467,1),TIMEVALUE(R467))&gt;=IF(ISNUMBER(O467),MOD(O467,1),TIMEVALUE(O467)),(IF(ISNUMBER(R467),MOD(R467,1),TIMEVALUE(R467))-IF(ISNUMBER(O467),MOD(O467,1),TIMEVALUE(O467)))*1440,(IF(ISNUMBER(R467),MOD(R467,1),TIMEVALUE(R467))+1-IF(ISNUMBER(O467),MOD(O467,1),TIMEVALUE(O467)))*1440)),"")</f>
        <v/>
      </c>
      <c r="AC467" s="26">
        <f>IFERROR(IF(OR(R467="",S467=""),"",IF(IF(ISNUMBER(S467),MOD(S467,1),TIMEVALUE(S467))&gt;=IF(ISNUMBER(R467),MOD(R467,1),TIMEVALUE(R467)),(IF(ISNUMBER(S467),MOD(S467,1),TIMEVALUE(S467))-IF(ISNUMBER(R467),MOD(R467,1),TIMEVALUE(R467)))*1440,(IF(ISNUMBER(S467),MOD(S467,1),TIMEVALUE(S467))+1-IF(ISNUMBER(R467),MOD(R467,1),TIMEVALUE(R467)))*1440)),"")</f>
        <v/>
      </c>
      <c r="AD467" s="29" t="n"/>
      <c r="AE467" s="26">
        <f>IFERROR(IF(OR(AC467="",AD467=""),"",AC467-AD467),"")</f>
        <v/>
      </c>
      <c r="AF467" s="27">
        <f>IFERROR(IF(AE467="","",IF(ROUND(AE467,0)&gt;15,"Subestimacion",IF(ROUND(AE467,0)&lt;-15,"Sobrestimacion","Asertivo"))),"")</f>
        <v/>
      </c>
      <c r="AG467" s="19" t="n"/>
      <c r="AH467" s="19" t="n"/>
      <c r="AI467" s="19" t="n"/>
      <c r="AJ467" s="19" t="n"/>
      <c r="AK467" s="19" t="n"/>
      <c r="AL467" s="19" t="n"/>
      <c r="AM467" s="19" t="n"/>
      <c r="AN467" s="19" t="n"/>
      <c r="AO467" s="19" t="n"/>
      <c r="AP467" s="127">
        <f>IF(A467="","",A467-WEEKDAY(A467,2)+1)</f>
        <v/>
      </c>
      <c r="AQ467" s="127">
        <f>IF(AO467="","",AO467+6)</f>
        <v/>
      </c>
      <c r="AR467" s="19">
        <f>IF(AO467="","","Semana "&amp;TEXT(AO467,"dd-mm-yyyy")&amp;" al "&amp;TEXT(AP467,"dd-mm-yyyy"))</f>
        <v/>
      </c>
      <c r="AS467" s="19">
        <f>IF(A467="","",TEXT(A467,"mmmm yyyy"))</f>
        <v/>
      </c>
      <c r="AT467" s="19">
        <f>IF(A467="","",TEXT(A467,"dddd"))</f>
        <v/>
      </c>
      <c r="AU467" s="19">
        <f>IF(A467="","","CRR-"&amp;TEXT(A467,"yyyymmdd")&amp;"-"&amp;M467&amp;"-"&amp;TEXT(ROW()-3,"0000"))</f>
        <v/>
      </c>
      <c r="AV467" s="19">
        <f>IF(A467="","",IF(OR(B467="",C467="",E467="",F467="",M467="",N467=""),"Revisar campos obligatorios",IF(AND(P467="Atraso primera hora",Q467=""),"Falta justificación atraso primera hora",IF(AND(Z467="No cumple",AA467=""),"Falta justificación recambio &gt;15 min",IF(AND(ISNUMBER(SEARCH("suspend",N467)),OR(AG467="",AH467="")),"Falta causa/motivo suspensión","OK")))))</f>
        <v/>
      </c>
      <c r="AW467" s="19">
        <f>IF(N467="","",IF(ISNUMBER(SEARCH("suspend",N467)),IF(AND(AG467="",AH467=""),"Sin causa/motivo registrado",IF(AG467="",AH467,IF(AH467="",AG467,AG467&amp;": "&amp;AH467))),""))</f>
        <v/>
      </c>
    </row>
    <row r="468" ht="16" customHeight="1" s="151">
      <c r="A468" s="62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20">
        <f>IF(H468&lt;&gt;"",IFERROR(VLOOKUP(IFERROR(LEFT(H468,FIND("-",H468)-1),H468),'Catalogo MINSAL'!A:E,5,FALSE),""),IF(I468&lt;&gt;"",IFERROR(VLOOKUP(IFERROR(LEFT(I468,FIND("-",I468)-1),I468),'Catalogo MINSAL'!A:E,5,FALSE),""),""))</f>
        <v/>
      </c>
      <c r="K468" s="19" t="n"/>
      <c r="L468" s="19" t="n"/>
      <c r="M468" s="19" t="n"/>
      <c r="N468" s="19" t="n"/>
      <c r="O468" s="25" t="n"/>
      <c r="P468" s="27">
        <f>IFERROR(IF(OR(O468="",A468="",M468=""),"",IF(SUMPRODUCT(($A$4:$A$500=A468)*($M$4:$M$500=M468)*($O$4:$O$500&lt;&gt;"")*(MOD($O$4:$O$500,1)&lt;MOD(O468,1)))=0,IF(MOD(O468,1)&lt;=TIME(8,15,0),"Ingreso adecuado primera hora","Atraso primera hora"),"No aplica")),"")</f>
        <v/>
      </c>
      <c r="Q468" s="27" t="n"/>
      <c r="R468" s="25" t="n"/>
      <c r="S468" s="25" t="n"/>
      <c r="T468" s="25" t="n"/>
      <c r="U468" s="25">
        <f>IFERROR(VLOOKUP(M468,'Horario Pabellones'!$A$4:$D$17,2,FALSE),"")</f>
        <v/>
      </c>
      <c r="V468" s="25">
        <f>IFERROR(VLOOKUP(M468,'Horario Pabellones'!$A$4:$D$17,3,FALSE),"")</f>
        <v/>
      </c>
      <c r="W468" s="99">
        <f>IFERROR(VLOOKUP(M468,'Horario Pabellones'!$A$4:$D$17,4,FALSE),"")</f>
        <v/>
      </c>
      <c r="X468" s="89">
        <f>IFERROR(IF(OR(A468="",M468="",W468=""),"",(((_xludf.AGGREGATE(14,6,MOD($S$4:$S$500,1)/(($A$4:$A$500=A468)*($M$4:$M$500=M468)*($R$4:$R$500&lt;&gt;"")*($S$4:$S$500&lt;&gt;"")),1)-_xludf.AGGREGATE(15,6,MOD($R$4:$R$500,1)/(($A$4:$A$500=A468)*($M$4:$M$500=M468)*($R$4:$R$500&lt;&gt;"")*($S$4:$S$500&lt;&gt;"")),1))*1440)/60)/(W468/60)),"")</f>
        <v/>
      </c>
      <c r="Y468" s="26">
        <f>IFERROR(IF(OR(O468="",A468="",M468=""),"",(IF(ISNUMBER(O468),MOD(O468,1),TIMEVALUE(O468))-LOOKUP(2,1/(($A$4:$A$500=A468)*($M$4:$M$500=M468)*($T$4:$T$500&lt;&gt;"")*($T$4:$T$500&lt;IF(ISNUMBER(O468),MOD(O468,1),TIMEVALUE(O468)))),$T$4:$T$500))*1440),"")</f>
        <v/>
      </c>
      <c r="Z468" s="27">
        <f>IFERROR(IF(Y468="","",IF(ROUND(Y468,0)&lt;=15,"Cumple","No cumple")),"")</f>
        <v/>
      </c>
      <c r="AA468" s="27" t="n"/>
      <c r="AB468" s="26">
        <f>IFERROR(IF(OR(O468="",R468=""),"",IF(IF(ISNUMBER(R468),MOD(R468,1),TIMEVALUE(R468))&gt;=IF(ISNUMBER(O468),MOD(O468,1),TIMEVALUE(O468)),(IF(ISNUMBER(R468),MOD(R468,1),TIMEVALUE(R468))-IF(ISNUMBER(O468),MOD(O468,1),TIMEVALUE(O468)))*1440,(IF(ISNUMBER(R468),MOD(R468,1),TIMEVALUE(R468))+1-IF(ISNUMBER(O468),MOD(O468,1),TIMEVALUE(O468)))*1440)),"")</f>
        <v/>
      </c>
      <c r="AC468" s="26">
        <f>IFERROR(IF(OR(R468="",S468=""),"",IF(IF(ISNUMBER(S468),MOD(S468,1),TIMEVALUE(S468))&gt;=IF(ISNUMBER(R468),MOD(R468,1),TIMEVALUE(R468)),(IF(ISNUMBER(S468),MOD(S468,1),TIMEVALUE(S468))-IF(ISNUMBER(R468),MOD(R468,1),TIMEVALUE(R468)))*1440,(IF(ISNUMBER(S468),MOD(S468,1),TIMEVALUE(S468))+1-IF(ISNUMBER(R468),MOD(R468,1),TIMEVALUE(R468)))*1440)),"")</f>
        <v/>
      </c>
      <c r="AD468" s="29" t="n"/>
      <c r="AE468" s="26">
        <f>IFERROR(IF(OR(AC468="",AD468=""),"",AC468-AD468),"")</f>
        <v/>
      </c>
      <c r="AF468" s="27">
        <f>IFERROR(IF(AE468="","",IF(ROUND(AE468,0)&gt;15,"Subestimacion",IF(ROUND(AE468,0)&lt;-15,"Sobrestimacion","Asertivo"))),"")</f>
        <v/>
      </c>
      <c r="AG468" s="19" t="n"/>
      <c r="AH468" s="19" t="n"/>
      <c r="AI468" s="19" t="n"/>
      <c r="AJ468" s="19" t="n"/>
      <c r="AK468" s="19" t="n"/>
      <c r="AL468" s="19" t="n"/>
      <c r="AM468" s="19" t="n"/>
      <c r="AN468" s="19" t="n"/>
      <c r="AO468" s="19" t="n"/>
      <c r="AP468" s="127">
        <f>IF(A468="","",A468-WEEKDAY(A468,2)+1)</f>
        <v/>
      </c>
      <c r="AQ468" s="127">
        <f>IF(AO468="","",AO468+6)</f>
        <v/>
      </c>
      <c r="AR468" s="19">
        <f>IF(AO468="","","Semana "&amp;TEXT(AO468,"dd-mm-yyyy")&amp;" al "&amp;TEXT(AP468,"dd-mm-yyyy"))</f>
        <v/>
      </c>
      <c r="AS468" s="19">
        <f>IF(A468="","",TEXT(A468,"mmmm yyyy"))</f>
        <v/>
      </c>
      <c r="AT468" s="19">
        <f>IF(A468="","",TEXT(A468,"dddd"))</f>
        <v/>
      </c>
      <c r="AU468" s="19">
        <f>IF(A468="","","CRR-"&amp;TEXT(A468,"yyyymmdd")&amp;"-"&amp;M468&amp;"-"&amp;TEXT(ROW()-3,"0000"))</f>
        <v/>
      </c>
      <c r="AV468" s="19">
        <f>IF(A468="","",IF(OR(B468="",C468="",E468="",F468="",M468="",N468=""),"Revisar campos obligatorios",IF(AND(P468="Atraso primera hora",Q468=""),"Falta justificación atraso primera hora",IF(AND(Z468="No cumple",AA468=""),"Falta justificación recambio &gt;15 min",IF(AND(ISNUMBER(SEARCH("suspend",N468)),OR(AG468="",AH468="")),"Falta causa/motivo suspensión","OK")))))</f>
        <v/>
      </c>
      <c r="AW468" s="19">
        <f>IF(N468="","",IF(ISNUMBER(SEARCH("suspend",N468)),IF(AND(AG468="",AH468=""),"Sin causa/motivo registrado",IF(AG468="",AH468,IF(AH468="",AG468,AG468&amp;": "&amp;AH468))),""))</f>
        <v/>
      </c>
    </row>
    <row r="469" ht="16" customHeight="1" s="151">
      <c r="A469" s="62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20">
        <f>IF(H469&lt;&gt;"",IFERROR(VLOOKUP(IFERROR(LEFT(H469,FIND("-",H469)-1),H469),'Catalogo MINSAL'!A:E,5,FALSE),""),IF(I469&lt;&gt;"",IFERROR(VLOOKUP(IFERROR(LEFT(I469,FIND("-",I469)-1),I469),'Catalogo MINSAL'!A:E,5,FALSE),""),""))</f>
        <v/>
      </c>
      <c r="K469" s="19" t="n"/>
      <c r="L469" s="19" t="n"/>
      <c r="M469" s="19" t="n"/>
      <c r="N469" s="19" t="n"/>
      <c r="O469" s="25" t="n"/>
      <c r="P469" s="27">
        <f>IFERROR(IF(OR(O469="",A469="",M469=""),"",IF(SUMPRODUCT(($A$4:$A$500=A469)*($M$4:$M$500=M469)*($O$4:$O$500&lt;&gt;"")*(MOD($O$4:$O$500,1)&lt;MOD(O469,1)))=0,IF(MOD(O469,1)&lt;=TIME(8,15,0),"Ingreso adecuado primera hora","Atraso primera hora"),"No aplica")),"")</f>
        <v/>
      </c>
      <c r="Q469" s="27" t="n"/>
      <c r="R469" s="25" t="n"/>
      <c r="S469" s="25" t="n"/>
      <c r="T469" s="25" t="n"/>
      <c r="U469" s="25">
        <f>IFERROR(VLOOKUP(M469,'Horario Pabellones'!$A$4:$D$17,2,FALSE),"")</f>
        <v/>
      </c>
      <c r="V469" s="25">
        <f>IFERROR(VLOOKUP(M469,'Horario Pabellones'!$A$4:$D$17,3,FALSE),"")</f>
        <v/>
      </c>
      <c r="W469" s="99">
        <f>IFERROR(VLOOKUP(M469,'Horario Pabellones'!$A$4:$D$17,4,FALSE),"")</f>
        <v/>
      </c>
      <c r="X469" s="89">
        <f>IFERROR(IF(OR(A469="",M469="",W469=""),"",(((_xludf.AGGREGATE(14,6,MOD($S$4:$S$500,1)/(($A$4:$A$500=A469)*($M$4:$M$500=M469)*($R$4:$R$500&lt;&gt;"")*($S$4:$S$500&lt;&gt;"")),1)-_xludf.AGGREGATE(15,6,MOD($R$4:$R$500,1)/(($A$4:$A$500=A469)*($M$4:$M$500=M469)*($R$4:$R$500&lt;&gt;"")*($S$4:$S$500&lt;&gt;"")),1))*1440)/60)/(W469/60)),"")</f>
        <v/>
      </c>
      <c r="Y469" s="26">
        <f>IFERROR(IF(OR(O469="",A469="",M469=""),"",(IF(ISNUMBER(O469),MOD(O469,1),TIMEVALUE(O469))-LOOKUP(2,1/(($A$4:$A$500=A469)*($M$4:$M$500=M469)*($T$4:$T$500&lt;&gt;"")*($T$4:$T$500&lt;IF(ISNUMBER(O469),MOD(O469,1),TIMEVALUE(O469)))),$T$4:$T$500))*1440),"")</f>
        <v/>
      </c>
      <c r="Z469" s="27">
        <f>IFERROR(IF(Y469="","",IF(ROUND(Y469,0)&lt;=15,"Cumple","No cumple")),"")</f>
        <v/>
      </c>
      <c r="AA469" s="27" t="n"/>
      <c r="AB469" s="26">
        <f>IFERROR(IF(OR(O469="",R469=""),"",IF(IF(ISNUMBER(R469),MOD(R469,1),TIMEVALUE(R469))&gt;=IF(ISNUMBER(O469),MOD(O469,1),TIMEVALUE(O469)),(IF(ISNUMBER(R469),MOD(R469,1),TIMEVALUE(R469))-IF(ISNUMBER(O469),MOD(O469,1),TIMEVALUE(O469)))*1440,(IF(ISNUMBER(R469),MOD(R469,1),TIMEVALUE(R469))+1-IF(ISNUMBER(O469),MOD(O469,1),TIMEVALUE(O469)))*1440)),"")</f>
        <v/>
      </c>
      <c r="AC469" s="26">
        <f>IFERROR(IF(OR(R469="",S469=""),"",IF(IF(ISNUMBER(S469),MOD(S469,1),TIMEVALUE(S469))&gt;=IF(ISNUMBER(R469),MOD(R469,1),TIMEVALUE(R469)),(IF(ISNUMBER(S469),MOD(S469,1),TIMEVALUE(S469))-IF(ISNUMBER(R469),MOD(R469,1),TIMEVALUE(R469)))*1440,(IF(ISNUMBER(S469),MOD(S469,1),TIMEVALUE(S469))+1-IF(ISNUMBER(R469),MOD(R469,1),TIMEVALUE(R469)))*1440)),"")</f>
        <v/>
      </c>
      <c r="AD469" s="29" t="n"/>
      <c r="AE469" s="26">
        <f>IFERROR(IF(OR(AC469="",AD469=""),"",AC469-AD469),"")</f>
        <v/>
      </c>
      <c r="AF469" s="27">
        <f>IFERROR(IF(AE469="","",IF(ROUND(AE469,0)&gt;15,"Subestimacion",IF(ROUND(AE469,0)&lt;-15,"Sobrestimacion","Asertivo"))),"")</f>
        <v/>
      </c>
      <c r="AG469" s="19" t="n"/>
      <c r="AH469" s="19" t="n"/>
      <c r="AI469" s="19" t="n"/>
      <c r="AJ469" s="19" t="n"/>
      <c r="AK469" s="19" t="n"/>
      <c r="AL469" s="19" t="n"/>
      <c r="AM469" s="19" t="n"/>
      <c r="AN469" s="19" t="n"/>
      <c r="AO469" s="19" t="n"/>
      <c r="AP469" s="127">
        <f>IF(A469="","",A469-WEEKDAY(A469,2)+1)</f>
        <v/>
      </c>
      <c r="AQ469" s="127">
        <f>IF(AO469="","",AO469+6)</f>
        <v/>
      </c>
      <c r="AR469" s="19">
        <f>IF(AO469="","","Semana "&amp;TEXT(AO469,"dd-mm-yyyy")&amp;" al "&amp;TEXT(AP469,"dd-mm-yyyy"))</f>
        <v/>
      </c>
      <c r="AS469" s="19">
        <f>IF(A469="","",TEXT(A469,"mmmm yyyy"))</f>
        <v/>
      </c>
      <c r="AT469" s="19">
        <f>IF(A469="","",TEXT(A469,"dddd"))</f>
        <v/>
      </c>
      <c r="AU469" s="19">
        <f>IF(A469="","","CRR-"&amp;TEXT(A469,"yyyymmdd")&amp;"-"&amp;M469&amp;"-"&amp;TEXT(ROW()-3,"0000"))</f>
        <v/>
      </c>
      <c r="AV469" s="19">
        <f>IF(A469="","",IF(OR(B469="",C469="",E469="",F469="",M469="",N469=""),"Revisar campos obligatorios",IF(AND(P469="Atraso primera hora",Q469=""),"Falta justificación atraso primera hora",IF(AND(Z469="No cumple",AA469=""),"Falta justificación recambio &gt;15 min",IF(AND(ISNUMBER(SEARCH("suspend",N469)),OR(AG469="",AH469="")),"Falta causa/motivo suspensión","OK")))))</f>
        <v/>
      </c>
      <c r="AW469" s="19">
        <f>IF(N469="","",IF(ISNUMBER(SEARCH("suspend",N469)),IF(AND(AG469="",AH469=""),"Sin causa/motivo registrado",IF(AG469="",AH469,IF(AH469="",AG469,AG469&amp;": "&amp;AH469))),""))</f>
        <v/>
      </c>
    </row>
    <row r="470" ht="16" customHeight="1" s="151">
      <c r="A470" s="62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20">
        <f>IF(H470&lt;&gt;"",IFERROR(VLOOKUP(IFERROR(LEFT(H470,FIND("-",H470)-1),H470),'Catalogo MINSAL'!A:E,5,FALSE),""),IF(I470&lt;&gt;"",IFERROR(VLOOKUP(IFERROR(LEFT(I470,FIND("-",I470)-1),I470),'Catalogo MINSAL'!A:E,5,FALSE),""),""))</f>
        <v/>
      </c>
      <c r="K470" s="19" t="n"/>
      <c r="L470" s="19" t="n"/>
      <c r="M470" s="19" t="n"/>
      <c r="N470" s="19" t="n"/>
      <c r="O470" s="25" t="n"/>
      <c r="P470" s="27">
        <f>IFERROR(IF(OR(O470="",A470="",M470=""),"",IF(SUMPRODUCT(($A$4:$A$500=A470)*($M$4:$M$500=M470)*($O$4:$O$500&lt;&gt;"")*(MOD($O$4:$O$500,1)&lt;MOD(O470,1)))=0,IF(MOD(O470,1)&lt;=TIME(8,15,0),"Ingreso adecuado primera hora","Atraso primera hora"),"No aplica")),"")</f>
        <v/>
      </c>
      <c r="Q470" s="27" t="n"/>
      <c r="R470" s="25" t="n"/>
      <c r="S470" s="25" t="n"/>
      <c r="T470" s="25" t="n"/>
      <c r="U470" s="25">
        <f>IFERROR(VLOOKUP(M470,'Horario Pabellones'!$A$4:$D$17,2,FALSE),"")</f>
        <v/>
      </c>
      <c r="V470" s="25">
        <f>IFERROR(VLOOKUP(M470,'Horario Pabellones'!$A$4:$D$17,3,FALSE),"")</f>
        <v/>
      </c>
      <c r="W470" s="99">
        <f>IFERROR(VLOOKUP(M470,'Horario Pabellones'!$A$4:$D$17,4,FALSE),"")</f>
        <v/>
      </c>
      <c r="X470" s="89">
        <f>IFERROR(IF(OR(A470="",M470="",W470=""),"",(((_xludf.AGGREGATE(14,6,MOD($S$4:$S$500,1)/(($A$4:$A$500=A470)*($M$4:$M$500=M470)*($R$4:$R$500&lt;&gt;"")*($S$4:$S$500&lt;&gt;"")),1)-_xludf.AGGREGATE(15,6,MOD($R$4:$R$500,1)/(($A$4:$A$500=A470)*($M$4:$M$500=M470)*($R$4:$R$500&lt;&gt;"")*($S$4:$S$500&lt;&gt;"")),1))*1440)/60)/(W470/60)),"")</f>
        <v/>
      </c>
      <c r="Y470" s="26">
        <f>IFERROR(IF(OR(O470="",A470="",M470=""),"",(IF(ISNUMBER(O470),MOD(O470,1),TIMEVALUE(O470))-LOOKUP(2,1/(($A$4:$A$500=A470)*($M$4:$M$500=M470)*($T$4:$T$500&lt;&gt;"")*($T$4:$T$500&lt;IF(ISNUMBER(O470),MOD(O470,1),TIMEVALUE(O470)))),$T$4:$T$500))*1440),"")</f>
        <v/>
      </c>
      <c r="Z470" s="27">
        <f>IFERROR(IF(Y470="","",IF(ROUND(Y470,0)&lt;=15,"Cumple","No cumple")),"")</f>
        <v/>
      </c>
      <c r="AA470" s="27" t="n"/>
      <c r="AB470" s="26">
        <f>IFERROR(IF(OR(O470="",R470=""),"",IF(IF(ISNUMBER(R470),MOD(R470,1),TIMEVALUE(R470))&gt;=IF(ISNUMBER(O470),MOD(O470,1),TIMEVALUE(O470)),(IF(ISNUMBER(R470),MOD(R470,1),TIMEVALUE(R470))-IF(ISNUMBER(O470),MOD(O470,1),TIMEVALUE(O470)))*1440,(IF(ISNUMBER(R470),MOD(R470,1),TIMEVALUE(R470))+1-IF(ISNUMBER(O470),MOD(O470,1),TIMEVALUE(O470)))*1440)),"")</f>
        <v/>
      </c>
      <c r="AC470" s="26">
        <f>IFERROR(IF(OR(R470="",S470=""),"",IF(IF(ISNUMBER(S470),MOD(S470,1),TIMEVALUE(S470))&gt;=IF(ISNUMBER(R470),MOD(R470,1),TIMEVALUE(R470)),(IF(ISNUMBER(S470),MOD(S470,1),TIMEVALUE(S470))-IF(ISNUMBER(R470),MOD(R470,1),TIMEVALUE(R470)))*1440,(IF(ISNUMBER(S470),MOD(S470,1),TIMEVALUE(S470))+1-IF(ISNUMBER(R470),MOD(R470,1),TIMEVALUE(R470)))*1440)),"")</f>
        <v/>
      </c>
      <c r="AD470" s="29" t="n"/>
      <c r="AE470" s="26">
        <f>IFERROR(IF(OR(AC470="",AD470=""),"",AC470-AD470),"")</f>
        <v/>
      </c>
      <c r="AF470" s="27">
        <f>IFERROR(IF(AE470="","",IF(ROUND(AE470,0)&gt;15,"Subestimacion",IF(ROUND(AE470,0)&lt;-15,"Sobrestimacion","Asertivo"))),"")</f>
        <v/>
      </c>
      <c r="AG470" s="19" t="n"/>
      <c r="AH470" s="19" t="n"/>
      <c r="AI470" s="19" t="n"/>
      <c r="AJ470" s="19" t="n"/>
      <c r="AK470" s="19" t="n"/>
      <c r="AL470" s="19" t="n"/>
      <c r="AM470" s="19" t="n"/>
      <c r="AN470" s="19" t="n"/>
      <c r="AO470" s="19" t="n"/>
      <c r="AP470" s="127">
        <f>IF(A470="","",A470-WEEKDAY(A470,2)+1)</f>
        <v/>
      </c>
      <c r="AQ470" s="127">
        <f>IF(AO470="","",AO470+6)</f>
        <v/>
      </c>
      <c r="AR470" s="19">
        <f>IF(AO470="","","Semana "&amp;TEXT(AO470,"dd-mm-yyyy")&amp;" al "&amp;TEXT(AP470,"dd-mm-yyyy"))</f>
        <v/>
      </c>
      <c r="AS470" s="19">
        <f>IF(A470="","",TEXT(A470,"mmmm yyyy"))</f>
        <v/>
      </c>
      <c r="AT470" s="19">
        <f>IF(A470="","",TEXT(A470,"dddd"))</f>
        <v/>
      </c>
      <c r="AU470" s="19">
        <f>IF(A470="","","CRR-"&amp;TEXT(A470,"yyyymmdd")&amp;"-"&amp;M470&amp;"-"&amp;TEXT(ROW()-3,"0000"))</f>
        <v/>
      </c>
      <c r="AV470" s="19">
        <f>IF(A470="","",IF(OR(B470="",C470="",E470="",F470="",M470="",N470=""),"Revisar campos obligatorios",IF(AND(P470="Atraso primera hora",Q470=""),"Falta justificación atraso primera hora",IF(AND(Z470="No cumple",AA470=""),"Falta justificación recambio &gt;15 min",IF(AND(ISNUMBER(SEARCH("suspend",N470)),OR(AG470="",AH470="")),"Falta causa/motivo suspensión","OK")))))</f>
        <v/>
      </c>
      <c r="AW470" s="19">
        <f>IF(N470="","",IF(ISNUMBER(SEARCH("suspend",N470)),IF(AND(AG470="",AH470=""),"Sin causa/motivo registrado",IF(AG470="",AH470,IF(AH470="",AG470,AG470&amp;": "&amp;AH470))),""))</f>
        <v/>
      </c>
    </row>
    <row r="471" ht="16" customHeight="1" s="151">
      <c r="A471" s="62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20">
        <f>IF(H471&lt;&gt;"",IFERROR(VLOOKUP(IFERROR(LEFT(H471,FIND("-",H471)-1),H471),'Catalogo MINSAL'!A:E,5,FALSE),""),IF(I471&lt;&gt;"",IFERROR(VLOOKUP(IFERROR(LEFT(I471,FIND("-",I471)-1),I471),'Catalogo MINSAL'!A:E,5,FALSE),""),""))</f>
        <v/>
      </c>
      <c r="K471" s="19" t="n"/>
      <c r="L471" s="19" t="n"/>
      <c r="M471" s="19" t="n"/>
      <c r="N471" s="19" t="n"/>
      <c r="O471" s="25" t="n"/>
      <c r="P471" s="27">
        <f>IFERROR(IF(OR(O471="",A471="",M471=""),"",IF(SUMPRODUCT(($A$4:$A$500=A471)*($M$4:$M$500=M471)*($O$4:$O$500&lt;&gt;"")*(MOD($O$4:$O$500,1)&lt;MOD(O471,1)))=0,IF(MOD(O471,1)&lt;=TIME(8,15,0),"Ingreso adecuado primera hora","Atraso primera hora"),"No aplica")),"")</f>
        <v/>
      </c>
      <c r="Q471" s="27" t="n"/>
      <c r="R471" s="25" t="n"/>
      <c r="S471" s="25" t="n"/>
      <c r="T471" s="25" t="n"/>
      <c r="U471" s="25">
        <f>IFERROR(VLOOKUP(M471,'Horario Pabellones'!$A$4:$D$17,2,FALSE),"")</f>
        <v/>
      </c>
      <c r="V471" s="25">
        <f>IFERROR(VLOOKUP(M471,'Horario Pabellones'!$A$4:$D$17,3,FALSE),"")</f>
        <v/>
      </c>
      <c r="W471" s="99">
        <f>IFERROR(VLOOKUP(M471,'Horario Pabellones'!$A$4:$D$17,4,FALSE),"")</f>
        <v/>
      </c>
      <c r="X471" s="89">
        <f>IFERROR(IF(OR(A471="",M471="",W471=""),"",(((_xludf.AGGREGATE(14,6,MOD($S$4:$S$500,1)/(($A$4:$A$500=A471)*($M$4:$M$500=M471)*($R$4:$R$500&lt;&gt;"")*($S$4:$S$500&lt;&gt;"")),1)-_xludf.AGGREGATE(15,6,MOD($R$4:$R$500,1)/(($A$4:$A$500=A471)*($M$4:$M$500=M471)*($R$4:$R$500&lt;&gt;"")*($S$4:$S$500&lt;&gt;"")),1))*1440)/60)/(W471/60)),"")</f>
        <v/>
      </c>
      <c r="Y471" s="26">
        <f>IFERROR(IF(OR(O471="",A471="",M471=""),"",(IF(ISNUMBER(O471),MOD(O471,1),TIMEVALUE(O471))-LOOKUP(2,1/(($A$4:$A$500=A471)*($M$4:$M$500=M471)*($T$4:$T$500&lt;&gt;"")*($T$4:$T$500&lt;IF(ISNUMBER(O471),MOD(O471,1),TIMEVALUE(O471)))),$T$4:$T$500))*1440),"")</f>
        <v/>
      </c>
      <c r="Z471" s="27">
        <f>IFERROR(IF(Y471="","",IF(ROUND(Y471,0)&lt;=15,"Cumple","No cumple")),"")</f>
        <v/>
      </c>
      <c r="AA471" s="27" t="n"/>
      <c r="AB471" s="26">
        <f>IFERROR(IF(OR(O471="",R471=""),"",IF(IF(ISNUMBER(R471),MOD(R471,1),TIMEVALUE(R471))&gt;=IF(ISNUMBER(O471),MOD(O471,1),TIMEVALUE(O471)),(IF(ISNUMBER(R471),MOD(R471,1),TIMEVALUE(R471))-IF(ISNUMBER(O471),MOD(O471,1),TIMEVALUE(O471)))*1440,(IF(ISNUMBER(R471),MOD(R471,1),TIMEVALUE(R471))+1-IF(ISNUMBER(O471),MOD(O471,1),TIMEVALUE(O471)))*1440)),"")</f>
        <v/>
      </c>
      <c r="AC471" s="26">
        <f>IFERROR(IF(OR(R471="",S471=""),"",IF(IF(ISNUMBER(S471),MOD(S471,1),TIMEVALUE(S471))&gt;=IF(ISNUMBER(R471),MOD(R471,1),TIMEVALUE(R471)),(IF(ISNUMBER(S471),MOD(S471,1),TIMEVALUE(S471))-IF(ISNUMBER(R471),MOD(R471,1),TIMEVALUE(R471)))*1440,(IF(ISNUMBER(S471),MOD(S471,1),TIMEVALUE(S471))+1-IF(ISNUMBER(R471),MOD(R471,1),TIMEVALUE(R471)))*1440)),"")</f>
        <v/>
      </c>
      <c r="AD471" s="29" t="n"/>
      <c r="AE471" s="26">
        <f>IFERROR(IF(OR(AC471="",AD471=""),"",AC471-AD471),"")</f>
        <v/>
      </c>
      <c r="AF471" s="27">
        <f>IFERROR(IF(AE471="","",IF(ROUND(AE471,0)&gt;15,"Subestimacion",IF(ROUND(AE471,0)&lt;-15,"Sobrestimacion","Asertivo"))),"")</f>
        <v/>
      </c>
      <c r="AG471" s="19" t="n"/>
      <c r="AH471" s="19" t="n"/>
      <c r="AI471" s="19" t="n"/>
      <c r="AJ471" s="19" t="n"/>
      <c r="AK471" s="19" t="n"/>
      <c r="AL471" s="19" t="n"/>
      <c r="AM471" s="19" t="n"/>
      <c r="AN471" s="19" t="n"/>
      <c r="AO471" s="19" t="n"/>
      <c r="AP471" s="127">
        <f>IF(A471="","",A471-WEEKDAY(A471,2)+1)</f>
        <v/>
      </c>
      <c r="AQ471" s="127">
        <f>IF(AO471="","",AO471+6)</f>
        <v/>
      </c>
      <c r="AR471" s="19">
        <f>IF(AO471="","","Semana "&amp;TEXT(AO471,"dd-mm-yyyy")&amp;" al "&amp;TEXT(AP471,"dd-mm-yyyy"))</f>
        <v/>
      </c>
      <c r="AS471" s="19">
        <f>IF(A471="","",TEXT(A471,"mmmm yyyy"))</f>
        <v/>
      </c>
      <c r="AT471" s="19">
        <f>IF(A471="","",TEXT(A471,"dddd"))</f>
        <v/>
      </c>
      <c r="AU471" s="19">
        <f>IF(A471="","","CRR-"&amp;TEXT(A471,"yyyymmdd")&amp;"-"&amp;M471&amp;"-"&amp;TEXT(ROW()-3,"0000"))</f>
        <v/>
      </c>
      <c r="AV471" s="19">
        <f>IF(A471="","",IF(OR(B471="",C471="",E471="",F471="",M471="",N471=""),"Revisar campos obligatorios",IF(AND(P471="Atraso primera hora",Q471=""),"Falta justificación atraso primera hora",IF(AND(Z471="No cumple",AA471=""),"Falta justificación recambio &gt;15 min",IF(AND(ISNUMBER(SEARCH("suspend",N471)),OR(AG471="",AH471="")),"Falta causa/motivo suspensión","OK")))))</f>
        <v/>
      </c>
      <c r="AW471" s="19">
        <f>IF(N471="","",IF(ISNUMBER(SEARCH("suspend",N471)),IF(AND(AG471="",AH471=""),"Sin causa/motivo registrado",IF(AG471="",AH471,IF(AH471="",AG471,AG471&amp;": "&amp;AH471))),""))</f>
        <v/>
      </c>
    </row>
    <row r="472" ht="16" customHeight="1" s="151">
      <c r="A472" s="62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20">
        <f>IF(H472&lt;&gt;"",IFERROR(VLOOKUP(IFERROR(LEFT(H472,FIND("-",H472)-1),H472),'Catalogo MINSAL'!A:E,5,FALSE),""),IF(I472&lt;&gt;"",IFERROR(VLOOKUP(IFERROR(LEFT(I472,FIND("-",I472)-1),I472),'Catalogo MINSAL'!A:E,5,FALSE),""),""))</f>
        <v/>
      </c>
      <c r="K472" s="19" t="n"/>
      <c r="L472" s="19" t="n"/>
      <c r="M472" s="19" t="n"/>
      <c r="N472" s="19" t="n"/>
      <c r="O472" s="25" t="n"/>
      <c r="P472" s="27">
        <f>IFERROR(IF(OR(O472="",A472="",M472=""),"",IF(SUMPRODUCT(($A$4:$A$500=A472)*($M$4:$M$500=M472)*($O$4:$O$500&lt;&gt;"")*(MOD($O$4:$O$500,1)&lt;MOD(O472,1)))=0,IF(MOD(O472,1)&lt;=TIME(8,15,0),"Ingreso adecuado primera hora","Atraso primera hora"),"No aplica")),"")</f>
        <v/>
      </c>
      <c r="Q472" s="27" t="n"/>
      <c r="R472" s="25" t="n"/>
      <c r="S472" s="25" t="n"/>
      <c r="T472" s="25" t="n"/>
      <c r="U472" s="25">
        <f>IFERROR(VLOOKUP(M472,'Horario Pabellones'!$A$4:$D$17,2,FALSE),"")</f>
        <v/>
      </c>
      <c r="V472" s="25">
        <f>IFERROR(VLOOKUP(M472,'Horario Pabellones'!$A$4:$D$17,3,FALSE),"")</f>
        <v/>
      </c>
      <c r="W472" s="99">
        <f>IFERROR(VLOOKUP(M472,'Horario Pabellones'!$A$4:$D$17,4,FALSE),"")</f>
        <v/>
      </c>
      <c r="X472" s="89">
        <f>IFERROR(IF(OR(A472="",M472="",W472=""),"",(((_xludf.AGGREGATE(14,6,MOD($S$4:$S$500,1)/(($A$4:$A$500=A472)*($M$4:$M$500=M472)*($R$4:$R$500&lt;&gt;"")*($S$4:$S$500&lt;&gt;"")),1)-_xludf.AGGREGATE(15,6,MOD($R$4:$R$500,1)/(($A$4:$A$500=A472)*($M$4:$M$500=M472)*($R$4:$R$500&lt;&gt;"")*($S$4:$S$500&lt;&gt;"")),1))*1440)/60)/(W472/60)),"")</f>
        <v/>
      </c>
      <c r="Y472" s="26">
        <f>IFERROR(IF(OR(O472="",A472="",M472=""),"",(IF(ISNUMBER(O472),MOD(O472,1),TIMEVALUE(O472))-LOOKUP(2,1/(($A$4:$A$500=A472)*($M$4:$M$500=M472)*($T$4:$T$500&lt;&gt;"")*($T$4:$T$500&lt;IF(ISNUMBER(O472),MOD(O472,1),TIMEVALUE(O472)))),$T$4:$T$500))*1440),"")</f>
        <v/>
      </c>
      <c r="Z472" s="27">
        <f>IFERROR(IF(Y472="","",IF(ROUND(Y472,0)&lt;=15,"Cumple","No cumple")),"")</f>
        <v/>
      </c>
      <c r="AA472" s="27" t="n"/>
      <c r="AB472" s="26">
        <f>IFERROR(IF(OR(O472="",R472=""),"",IF(IF(ISNUMBER(R472),MOD(R472,1),TIMEVALUE(R472))&gt;=IF(ISNUMBER(O472),MOD(O472,1),TIMEVALUE(O472)),(IF(ISNUMBER(R472),MOD(R472,1),TIMEVALUE(R472))-IF(ISNUMBER(O472),MOD(O472,1),TIMEVALUE(O472)))*1440,(IF(ISNUMBER(R472),MOD(R472,1),TIMEVALUE(R472))+1-IF(ISNUMBER(O472),MOD(O472,1),TIMEVALUE(O472)))*1440)),"")</f>
        <v/>
      </c>
      <c r="AC472" s="26">
        <f>IFERROR(IF(OR(R472="",S472=""),"",IF(IF(ISNUMBER(S472),MOD(S472,1),TIMEVALUE(S472))&gt;=IF(ISNUMBER(R472),MOD(R472,1),TIMEVALUE(R472)),(IF(ISNUMBER(S472),MOD(S472,1),TIMEVALUE(S472))-IF(ISNUMBER(R472),MOD(R472,1),TIMEVALUE(R472)))*1440,(IF(ISNUMBER(S472),MOD(S472,1),TIMEVALUE(S472))+1-IF(ISNUMBER(R472),MOD(R472,1),TIMEVALUE(R472)))*1440)),"")</f>
        <v/>
      </c>
      <c r="AD472" s="29" t="n"/>
      <c r="AE472" s="26">
        <f>IFERROR(IF(OR(AC472="",AD472=""),"",AC472-AD472),"")</f>
        <v/>
      </c>
      <c r="AF472" s="27">
        <f>IFERROR(IF(AE472="","",IF(ROUND(AE472,0)&gt;15,"Subestimacion",IF(ROUND(AE472,0)&lt;-15,"Sobrestimacion","Asertivo"))),"")</f>
        <v/>
      </c>
      <c r="AG472" s="19" t="n"/>
      <c r="AH472" s="19" t="n"/>
      <c r="AI472" s="19" t="n"/>
      <c r="AJ472" s="19" t="n"/>
      <c r="AK472" s="19" t="n"/>
      <c r="AL472" s="19" t="n"/>
      <c r="AM472" s="19" t="n"/>
      <c r="AN472" s="19" t="n"/>
      <c r="AO472" s="19" t="n"/>
      <c r="AP472" s="127">
        <f>IF(A472="","",A472-WEEKDAY(A472,2)+1)</f>
        <v/>
      </c>
      <c r="AQ472" s="127">
        <f>IF(AO472="","",AO472+6)</f>
        <v/>
      </c>
      <c r="AR472" s="19">
        <f>IF(AO472="","","Semana "&amp;TEXT(AO472,"dd-mm-yyyy")&amp;" al "&amp;TEXT(AP472,"dd-mm-yyyy"))</f>
        <v/>
      </c>
      <c r="AS472" s="19">
        <f>IF(A472="","",TEXT(A472,"mmmm yyyy"))</f>
        <v/>
      </c>
      <c r="AT472" s="19">
        <f>IF(A472="","",TEXT(A472,"dddd"))</f>
        <v/>
      </c>
      <c r="AU472" s="19">
        <f>IF(A472="","","CRR-"&amp;TEXT(A472,"yyyymmdd")&amp;"-"&amp;M472&amp;"-"&amp;TEXT(ROW()-3,"0000"))</f>
        <v/>
      </c>
      <c r="AV472" s="19">
        <f>IF(A472="","",IF(OR(B472="",C472="",E472="",F472="",M472="",N472=""),"Revisar campos obligatorios",IF(AND(P472="Atraso primera hora",Q472=""),"Falta justificación atraso primera hora",IF(AND(Z472="No cumple",AA472=""),"Falta justificación recambio &gt;15 min",IF(AND(ISNUMBER(SEARCH("suspend",N472)),OR(AG472="",AH472="")),"Falta causa/motivo suspensión","OK")))))</f>
        <v/>
      </c>
      <c r="AW472" s="19">
        <f>IF(N472="","",IF(ISNUMBER(SEARCH("suspend",N472)),IF(AND(AG472="",AH472=""),"Sin causa/motivo registrado",IF(AG472="",AH472,IF(AH472="",AG472,AG472&amp;": "&amp;AH472))),""))</f>
        <v/>
      </c>
    </row>
    <row r="473" ht="16" customHeight="1" s="151">
      <c r="A473" s="62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20">
        <f>IF(H473&lt;&gt;"",IFERROR(VLOOKUP(IFERROR(LEFT(H473,FIND("-",H473)-1),H473),'Catalogo MINSAL'!A:E,5,FALSE),""),IF(I473&lt;&gt;"",IFERROR(VLOOKUP(IFERROR(LEFT(I473,FIND("-",I473)-1),I473),'Catalogo MINSAL'!A:E,5,FALSE),""),""))</f>
        <v/>
      </c>
      <c r="K473" s="19" t="n"/>
      <c r="L473" s="19" t="n"/>
      <c r="M473" s="19" t="n"/>
      <c r="N473" s="19" t="n"/>
      <c r="O473" s="25" t="n"/>
      <c r="P473" s="27">
        <f>IFERROR(IF(OR(O473="",A473="",M473=""),"",IF(SUMPRODUCT(($A$4:$A$500=A473)*($M$4:$M$500=M473)*($O$4:$O$500&lt;&gt;"")*(MOD($O$4:$O$500,1)&lt;MOD(O473,1)))=0,IF(MOD(O473,1)&lt;=TIME(8,15,0),"Ingreso adecuado primera hora","Atraso primera hora"),"No aplica")),"")</f>
        <v/>
      </c>
      <c r="Q473" s="27" t="n"/>
      <c r="R473" s="25" t="n"/>
      <c r="S473" s="25" t="n"/>
      <c r="T473" s="25" t="n"/>
      <c r="U473" s="25">
        <f>IFERROR(VLOOKUP(M473,'Horario Pabellones'!$A$4:$D$17,2,FALSE),"")</f>
        <v/>
      </c>
      <c r="V473" s="25">
        <f>IFERROR(VLOOKUP(M473,'Horario Pabellones'!$A$4:$D$17,3,FALSE),"")</f>
        <v/>
      </c>
      <c r="W473" s="99">
        <f>IFERROR(VLOOKUP(M473,'Horario Pabellones'!$A$4:$D$17,4,FALSE),"")</f>
        <v/>
      </c>
      <c r="X473" s="89">
        <f>IFERROR(IF(OR(A473="",M473="",W473=""),"",(((_xludf.AGGREGATE(14,6,MOD($S$4:$S$500,1)/(($A$4:$A$500=A473)*($M$4:$M$500=M473)*($R$4:$R$500&lt;&gt;"")*($S$4:$S$500&lt;&gt;"")),1)-_xludf.AGGREGATE(15,6,MOD($R$4:$R$500,1)/(($A$4:$A$500=A473)*($M$4:$M$500=M473)*($R$4:$R$500&lt;&gt;"")*($S$4:$S$500&lt;&gt;"")),1))*1440)/60)/(W473/60)),"")</f>
        <v/>
      </c>
      <c r="Y473" s="26">
        <f>IFERROR(IF(OR(O473="",A473="",M473=""),"",(IF(ISNUMBER(O473),MOD(O473,1),TIMEVALUE(O473))-LOOKUP(2,1/(($A$4:$A$500=A473)*($M$4:$M$500=M473)*($T$4:$T$500&lt;&gt;"")*($T$4:$T$500&lt;IF(ISNUMBER(O473),MOD(O473,1),TIMEVALUE(O473)))),$T$4:$T$500))*1440),"")</f>
        <v/>
      </c>
      <c r="Z473" s="27">
        <f>IFERROR(IF(Y473="","",IF(ROUND(Y473,0)&lt;=15,"Cumple","No cumple")),"")</f>
        <v/>
      </c>
      <c r="AA473" s="27" t="n"/>
      <c r="AB473" s="26">
        <f>IFERROR(IF(OR(O473="",R473=""),"",IF(IF(ISNUMBER(R473),MOD(R473,1),TIMEVALUE(R473))&gt;=IF(ISNUMBER(O473),MOD(O473,1),TIMEVALUE(O473)),(IF(ISNUMBER(R473),MOD(R473,1),TIMEVALUE(R473))-IF(ISNUMBER(O473),MOD(O473,1),TIMEVALUE(O473)))*1440,(IF(ISNUMBER(R473),MOD(R473,1),TIMEVALUE(R473))+1-IF(ISNUMBER(O473),MOD(O473,1),TIMEVALUE(O473)))*1440)),"")</f>
        <v/>
      </c>
      <c r="AC473" s="26">
        <f>IFERROR(IF(OR(R473="",S473=""),"",IF(IF(ISNUMBER(S473),MOD(S473,1),TIMEVALUE(S473))&gt;=IF(ISNUMBER(R473),MOD(R473,1),TIMEVALUE(R473)),(IF(ISNUMBER(S473),MOD(S473,1),TIMEVALUE(S473))-IF(ISNUMBER(R473),MOD(R473,1),TIMEVALUE(R473)))*1440,(IF(ISNUMBER(S473),MOD(S473,1),TIMEVALUE(S473))+1-IF(ISNUMBER(R473),MOD(R473,1),TIMEVALUE(R473)))*1440)),"")</f>
        <v/>
      </c>
      <c r="AD473" s="29" t="n"/>
      <c r="AE473" s="26">
        <f>IFERROR(IF(OR(AC473="",AD473=""),"",AC473-AD473),"")</f>
        <v/>
      </c>
      <c r="AF473" s="27">
        <f>IFERROR(IF(AE473="","",IF(ROUND(AE473,0)&gt;15,"Subestimacion",IF(ROUND(AE473,0)&lt;-15,"Sobrestimacion","Asertivo"))),"")</f>
        <v/>
      </c>
      <c r="AG473" s="19" t="n"/>
      <c r="AH473" s="19" t="n"/>
      <c r="AI473" s="19" t="n"/>
      <c r="AJ473" s="19" t="n"/>
      <c r="AK473" s="19" t="n"/>
      <c r="AL473" s="19" t="n"/>
      <c r="AM473" s="19" t="n"/>
      <c r="AN473" s="19" t="n"/>
      <c r="AO473" s="19" t="n"/>
      <c r="AP473" s="127">
        <f>IF(A473="","",A473-WEEKDAY(A473,2)+1)</f>
        <v/>
      </c>
      <c r="AQ473" s="127">
        <f>IF(AO473="","",AO473+6)</f>
        <v/>
      </c>
      <c r="AR473" s="19">
        <f>IF(AO473="","","Semana "&amp;TEXT(AO473,"dd-mm-yyyy")&amp;" al "&amp;TEXT(AP473,"dd-mm-yyyy"))</f>
        <v/>
      </c>
      <c r="AS473" s="19">
        <f>IF(A473="","",TEXT(A473,"mmmm yyyy"))</f>
        <v/>
      </c>
      <c r="AT473" s="19">
        <f>IF(A473="","",TEXT(A473,"dddd"))</f>
        <v/>
      </c>
      <c r="AU473" s="19">
        <f>IF(A473="","","CRR-"&amp;TEXT(A473,"yyyymmdd")&amp;"-"&amp;M473&amp;"-"&amp;TEXT(ROW()-3,"0000"))</f>
        <v/>
      </c>
      <c r="AV473" s="19">
        <f>IF(A473="","",IF(OR(B473="",C473="",E473="",F473="",M473="",N473=""),"Revisar campos obligatorios",IF(AND(P473="Atraso primera hora",Q473=""),"Falta justificación atraso primera hora",IF(AND(Z473="No cumple",AA473=""),"Falta justificación recambio &gt;15 min",IF(AND(ISNUMBER(SEARCH("suspend",N473)),OR(AG473="",AH473="")),"Falta causa/motivo suspensión","OK")))))</f>
        <v/>
      </c>
      <c r="AW473" s="19">
        <f>IF(N473="","",IF(ISNUMBER(SEARCH("suspend",N473)),IF(AND(AG473="",AH473=""),"Sin causa/motivo registrado",IF(AG473="",AH473,IF(AH473="",AG473,AG473&amp;": "&amp;AH473))),""))</f>
        <v/>
      </c>
    </row>
    <row r="474" ht="16" customHeight="1" s="151">
      <c r="A474" s="62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20">
        <f>IF(H474&lt;&gt;"",IFERROR(VLOOKUP(IFERROR(LEFT(H474,FIND("-",H474)-1),H474),'Catalogo MINSAL'!A:E,5,FALSE),""),IF(I474&lt;&gt;"",IFERROR(VLOOKUP(IFERROR(LEFT(I474,FIND("-",I474)-1),I474),'Catalogo MINSAL'!A:E,5,FALSE),""),""))</f>
        <v/>
      </c>
      <c r="K474" s="19" t="n"/>
      <c r="L474" s="19" t="n"/>
      <c r="M474" s="19" t="n"/>
      <c r="N474" s="19" t="n"/>
      <c r="O474" s="25" t="n"/>
      <c r="P474" s="27">
        <f>IFERROR(IF(OR(O474="",A474="",M474=""),"",IF(SUMPRODUCT(($A$4:$A$500=A474)*($M$4:$M$500=M474)*($O$4:$O$500&lt;&gt;"")*(MOD($O$4:$O$500,1)&lt;MOD(O474,1)))=0,IF(MOD(O474,1)&lt;=TIME(8,15,0),"Ingreso adecuado primera hora","Atraso primera hora"),"No aplica")),"")</f>
        <v/>
      </c>
      <c r="Q474" s="27" t="n"/>
      <c r="R474" s="25" t="n"/>
      <c r="S474" s="25" t="n"/>
      <c r="T474" s="25" t="n"/>
      <c r="U474" s="25">
        <f>IFERROR(VLOOKUP(M474,'Horario Pabellones'!$A$4:$D$17,2,FALSE),"")</f>
        <v/>
      </c>
      <c r="V474" s="25">
        <f>IFERROR(VLOOKUP(M474,'Horario Pabellones'!$A$4:$D$17,3,FALSE),"")</f>
        <v/>
      </c>
      <c r="W474" s="99">
        <f>IFERROR(VLOOKUP(M474,'Horario Pabellones'!$A$4:$D$17,4,FALSE),"")</f>
        <v/>
      </c>
      <c r="X474" s="89">
        <f>IFERROR(IF(OR(A474="",M474="",W474=""),"",(((_xludf.AGGREGATE(14,6,MOD($S$4:$S$500,1)/(($A$4:$A$500=A474)*($M$4:$M$500=M474)*($R$4:$R$500&lt;&gt;"")*($S$4:$S$500&lt;&gt;"")),1)-_xludf.AGGREGATE(15,6,MOD($R$4:$R$500,1)/(($A$4:$A$500=A474)*($M$4:$M$500=M474)*($R$4:$R$500&lt;&gt;"")*($S$4:$S$500&lt;&gt;"")),1))*1440)/60)/(W474/60)),"")</f>
        <v/>
      </c>
      <c r="Y474" s="26">
        <f>IFERROR(IF(OR(O474="",A474="",M474=""),"",(IF(ISNUMBER(O474),MOD(O474,1),TIMEVALUE(O474))-LOOKUP(2,1/(($A$4:$A$500=A474)*($M$4:$M$500=M474)*($T$4:$T$500&lt;&gt;"")*($T$4:$T$500&lt;IF(ISNUMBER(O474),MOD(O474,1),TIMEVALUE(O474)))),$T$4:$T$500))*1440),"")</f>
        <v/>
      </c>
      <c r="Z474" s="27">
        <f>IFERROR(IF(Y474="","",IF(ROUND(Y474,0)&lt;=15,"Cumple","No cumple")),"")</f>
        <v/>
      </c>
      <c r="AA474" s="27" t="n"/>
      <c r="AB474" s="26">
        <f>IFERROR(IF(OR(O474="",R474=""),"",IF(IF(ISNUMBER(R474),MOD(R474,1),TIMEVALUE(R474))&gt;=IF(ISNUMBER(O474),MOD(O474,1),TIMEVALUE(O474)),(IF(ISNUMBER(R474),MOD(R474,1),TIMEVALUE(R474))-IF(ISNUMBER(O474),MOD(O474,1),TIMEVALUE(O474)))*1440,(IF(ISNUMBER(R474),MOD(R474,1),TIMEVALUE(R474))+1-IF(ISNUMBER(O474),MOD(O474,1),TIMEVALUE(O474)))*1440)),"")</f>
        <v/>
      </c>
      <c r="AC474" s="26">
        <f>IFERROR(IF(OR(R474="",S474=""),"",IF(IF(ISNUMBER(S474),MOD(S474,1),TIMEVALUE(S474))&gt;=IF(ISNUMBER(R474),MOD(R474,1),TIMEVALUE(R474)),(IF(ISNUMBER(S474),MOD(S474,1),TIMEVALUE(S474))-IF(ISNUMBER(R474),MOD(R474,1),TIMEVALUE(R474)))*1440,(IF(ISNUMBER(S474),MOD(S474,1),TIMEVALUE(S474))+1-IF(ISNUMBER(R474),MOD(R474,1),TIMEVALUE(R474)))*1440)),"")</f>
        <v/>
      </c>
      <c r="AD474" s="29" t="n"/>
      <c r="AE474" s="26">
        <f>IFERROR(IF(OR(AC474="",AD474=""),"",AC474-AD474),"")</f>
        <v/>
      </c>
      <c r="AF474" s="27">
        <f>IFERROR(IF(AE474="","",IF(ROUND(AE474,0)&gt;15,"Subestimacion",IF(ROUND(AE474,0)&lt;-15,"Sobrestimacion","Asertivo"))),"")</f>
        <v/>
      </c>
      <c r="AG474" s="19" t="n"/>
      <c r="AH474" s="19" t="n"/>
      <c r="AI474" s="19" t="n"/>
      <c r="AJ474" s="19" t="n"/>
      <c r="AK474" s="19" t="n"/>
      <c r="AL474" s="19" t="n"/>
      <c r="AM474" s="19" t="n"/>
      <c r="AN474" s="19" t="n"/>
      <c r="AO474" s="19" t="n"/>
      <c r="AP474" s="127">
        <f>IF(A474="","",A474-WEEKDAY(A474,2)+1)</f>
        <v/>
      </c>
      <c r="AQ474" s="127">
        <f>IF(AO474="","",AO474+6)</f>
        <v/>
      </c>
      <c r="AR474" s="19">
        <f>IF(AO474="","","Semana "&amp;TEXT(AO474,"dd-mm-yyyy")&amp;" al "&amp;TEXT(AP474,"dd-mm-yyyy"))</f>
        <v/>
      </c>
      <c r="AS474" s="19">
        <f>IF(A474="","",TEXT(A474,"mmmm yyyy"))</f>
        <v/>
      </c>
      <c r="AT474" s="19">
        <f>IF(A474="","",TEXT(A474,"dddd"))</f>
        <v/>
      </c>
      <c r="AU474" s="19">
        <f>IF(A474="","","CRR-"&amp;TEXT(A474,"yyyymmdd")&amp;"-"&amp;M474&amp;"-"&amp;TEXT(ROW()-3,"0000"))</f>
        <v/>
      </c>
      <c r="AV474" s="19">
        <f>IF(A474="","",IF(OR(B474="",C474="",E474="",F474="",M474="",N474=""),"Revisar campos obligatorios",IF(AND(P474="Atraso primera hora",Q474=""),"Falta justificación atraso primera hora",IF(AND(Z474="No cumple",AA474=""),"Falta justificación recambio &gt;15 min",IF(AND(ISNUMBER(SEARCH("suspend",N474)),OR(AG474="",AH474="")),"Falta causa/motivo suspensión","OK")))))</f>
        <v/>
      </c>
      <c r="AW474" s="19">
        <f>IF(N474="","",IF(ISNUMBER(SEARCH("suspend",N474)),IF(AND(AG474="",AH474=""),"Sin causa/motivo registrado",IF(AG474="",AH474,IF(AH474="",AG474,AG474&amp;": "&amp;AH474))),""))</f>
        <v/>
      </c>
    </row>
    <row r="475" ht="16" customHeight="1" s="151">
      <c r="A475" s="62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20">
        <f>IF(H475&lt;&gt;"",IFERROR(VLOOKUP(IFERROR(LEFT(H475,FIND("-",H475)-1),H475),'Catalogo MINSAL'!A:E,5,FALSE),""),IF(I475&lt;&gt;"",IFERROR(VLOOKUP(IFERROR(LEFT(I475,FIND("-",I475)-1),I475),'Catalogo MINSAL'!A:E,5,FALSE),""),""))</f>
        <v/>
      </c>
      <c r="K475" s="19" t="n"/>
      <c r="L475" s="19" t="n"/>
      <c r="M475" s="19" t="n"/>
      <c r="N475" s="19" t="n"/>
      <c r="O475" s="25" t="n"/>
      <c r="P475" s="27">
        <f>IFERROR(IF(OR(O475="",A475="",M475=""),"",IF(SUMPRODUCT(($A$4:$A$500=A475)*($M$4:$M$500=M475)*($O$4:$O$500&lt;&gt;"")*(MOD($O$4:$O$500,1)&lt;MOD(O475,1)))=0,IF(MOD(O475,1)&lt;=TIME(8,15,0),"Ingreso adecuado primera hora","Atraso primera hora"),"No aplica")),"")</f>
        <v/>
      </c>
      <c r="Q475" s="27" t="n"/>
      <c r="R475" s="25" t="n"/>
      <c r="S475" s="25" t="n"/>
      <c r="T475" s="25" t="n"/>
      <c r="U475" s="25">
        <f>IFERROR(VLOOKUP(M475,'Horario Pabellones'!$A$4:$D$17,2,FALSE),"")</f>
        <v/>
      </c>
      <c r="V475" s="25">
        <f>IFERROR(VLOOKUP(M475,'Horario Pabellones'!$A$4:$D$17,3,FALSE),"")</f>
        <v/>
      </c>
      <c r="W475" s="99">
        <f>IFERROR(VLOOKUP(M475,'Horario Pabellones'!$A$4:$D$17,4,FALSE),"")</f>
        <v/>
      </c>
      <c r="X475" s="89">
        <f>IFERROR(IF(OR(A475="",M475="",W475=""),"",(((_xludf.AGGREGATE(14,6,MOD($S$4:$S$500,1)/(($A$4:$A$500=A475)*($M$4:$M$500=M475)*($R$4:$R$500&lt;&gt;"")*($S$4:$S$500&lt;&gt;"")),1)-_xludf.AGGREGATE(15,6,MOD($R$4:$R$500,1)/(($A$4:$A$500=A475)*($M$4:$M$500=M475)*($R$4:$R$500&lt;&gt;"")*($S$4:$S$500&lt;&gt;"")),1))*1440)/60)/(W475/60)),"")</f>
        <v/>
      </c>
      <c r="Y475" s="26">
        <f>IFERROR(IF(OR(O475="",A475="",M475=""),"",(IF(ISNUMBER(O475),MOD(O475,1),TIMEVALUE(O475))-LOOKUP(2,1/(($A$4:$A$500=A475)*($M$4:$M$500=M475)*($T$4:$T$500&lt;&gt;"")*($T$4:$T$500&lt;IF(ISNUMBER(O475),MOD(O475,1),TIMEVALUE(O475)))),$T$4:$T$500))*1440),"")</f>
        <v/>
      </c>
      <c r="Z475" s="27">
        <f>IFERROR(IF(Y475="","",IF(ROUND(Y475,0)&lt;=15,"Cumple","No cumple")),"")</f>
        <v/>
      </c>
      <c r="AA475" s="27" t="n"/>
      <c r="AB475" s="26">
        <f>IFERROR(IF(OR(O475="",R475=""),"",IF(IF(ISNUMBER(R475),MOD(R475,1),TIMEVALUE(R475))&gt;=IF(ISNUMBER(O475),MOD(O475,1),TIMEVALUE(O475)),(IF(ISNUMBER(R475),MOD(R475,1),TIMEVALUE(R475))-IF(ISNUMBER(O475),MOD(O475,1),TIMEVALUE(O475)))*1440,(IF(ISNUMBER(R475),MOD(R475,1),TIMEVALUE(R475))+1-IF(ISNUMBER(O475),MOD(O475,1),TIMEVALUE(O475)))*1440)),"")</f>
        <v/>
      </c>
      <c r="AC475" s="26">
        <f>IFERROR(IF(OR(R475="",S475=""),"",IF(IF(ISNUMBER(S475),MOD(S475,1),TIMEVALUE(S475))&gt;=IF(ISNUMBER(R475),MOD(R475,1),TIMEVALUE(R475)),(IF(ISNUMBER(S475),MOD(S475,1),TIMEVALUE(S475))-IF(ISNUMBER(R475),MOD(R475,1),TIMEVALUE(R475)))*1440,(IF(ISNUMBER(S475),MOD(S475,1),TIMEVALUE(S475))+1-IF(ISNUMBER(R475),MOD(R475,1),TIMEVALUE(R475)))*1440)),"")</f>
        <v/>
      </c>
      <c r="AD475" s="29" t="n"/>
      <c r="AE475" s="26">
        <f>IFERROR(IF(OR(AC475="",AD475=""),"",AC475-AD475),"")</f>
        <v/>
      </c>
      <c r="AF475" s="27">
        <f>IFERROR(IF(AE475="","",IF(ROUND(AE475,0)&gt;15,"Subestimacion",IF(ROUND(AE475,0)&lt;-15,"Sobrestimacion","Asertivo"))),"")</f>
        <v/>
      </c>
      <c r="AG475" s="19" t="n"/>
      <c r="AH475" s="19" t="n"/>
      <c r="AI475" s="19" t="n"/>
      <c r="AJ475" s="19" t="n"/>
      <c r="AK475" s="19" t="n"/>
      <c r="AL475" s="19" t="n"/>
      <c r="AM475" s="19" t="n"/>
      <c r="AN475" s="19" t="n"/>
      <c r="AO475" s="19" t="n"/>
      <c r="AP475" s="127">
        <f>IF(A475="","",A475-WEEKDAY(A475,2)+1)</f>
        <v/>
      </c>
      <c r="AQ475" s="127">
        <f>IF(AO475="","",AO475+6)</f>
        <v/>
      </c>
      <c r="AR475" s="19">
        <f>IF(AO475="","","Semana "&amp;TEXT(AO475,"dd-mm-yyyy")&amp;" al "&amp;TEXT(AP475,"dd-mm-yyyy"))</f>
        <v/>
      </c>
      <c r="AS475" s="19">
        <f>IF(A475="","",TEXT(A475,"mmmm yyyy"))</f>
        <v/>
      </c>
      <c r="AT475" s="19">
        <f>IF(A475="","",TEXT(A475,"dddd"))</f>
        <v/>
      </c>
      <c r="AU475" s="19">
        <f>IF(A475="","","CRR-"&amp;TEXT(A475,"yyyymmdd")&amp;"-"&amp;M475&amp;"-"&amp;TEXT(ROW()-3,"0000"))</f>
        <v/>
      </c>
      <c r="AV475" s="19">
        <f>IF(A475="","",IF(OR(B475="",C475="",E475="",F475="",M475="",N475=""),"Revisar campos obligatorios",IF(AND(P475="Atraso primera hora",Q475=""),"Falta justificación atraso primera hora",IF(AND(Z475="No cumple",AA475=""),"Falta justificación recambio &gt;15 min",IF(AND(ISNUMBER(SEARCH("suspend",N475)),OR(AG475="",AH475="")),"Falta causa/motivo suspensión","OK")))))</f>
        <v/>
      </c>
      <c r="AW475" s="19">
        <f>IF(N475="","",IF(ISNUMBER(SEARCH("suspend",N475)),IF(AND(AG475="",AH475=""),"Sin causa/motivo registrado",IF(AG475="",AH475,IF(AH475="",AG475,AG475&amp;": "&amp;AH475))),""))</f>
        <v/>
      </c>
    </row>
    <row r="476" ht="16" customHeight="1" s="151">
      <c r="A476" s="62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20">
        <f>IF(H476&lt;&gt;"",IFERROR(VLOOKUP(IFERROR(LEFT(H476,FIND("-",H476)-1),H476),'Catalogo MINSAL'!A:E,5,FALSE),""),IF(I476&lt;&gt;"",IFERROR(VLOOKUP(IFERROR(LEFT(I476,FIND("-",I476)-1),I476),'Catalogo MINSAL'!A:E,5,FALSE),""),""))</f>
        <v/>
      </c>
      <c r="K476" s="19" t="n"/>
      <c r="L476" s="19" t="n"/>
      <c r="M476" s="19" t="n"/>
      <c r="N476" s="19" t="n"/>
      <c r="O476" s="25" t="n"/>
      <c r="P476" s="27">
        <f>IFERROR(IF(OR(O476="",A476="",M476=""),"",IF(SUMPRODUCT(($A$4:$A$500=A476)*($M$4:$M$500=M476)*($O$4:$O$500&lt;&gt;"")*(MOD($O$4:$O$500,1)&lt;MOD(O476,1)))=0,IF(MOD(O476,1)&lt;=TIME(8,15,0),"Ingreso adecuado primera hora","Atraso primera hora"),"No aplica")),"")</f>
        <v/>
      </c>
      <c r="Q476" s="27" t="n"/>
      <c r="R476" s="25" t="n"/>
      <c r="S476" s="25" t="n"/>
      <c r="T476" s="25" t="n"/>
      <c r="U476" s="25">
        <f>IFERROR(VLOOKUP(M476,'Horario Pabellones'!$A$4:$D$17,2,FALSE),"")</f>
        <v/>
      </c>
      <c r="V476" s="25">
        <f>IFERROR(VLOOKUP(M476,'Horario Pabellones'!$A$4:$D$17,3,FALSE),"")</f>
        <v/>
      </c>
      <c r="W476" s="99">
        <f>IFERROR(VLOOKUP(M476,'Horario Pabellones'!$A$4:$D$17,4,FALSE),"")</f>
        <v/>
      </c>
      <c r="X476" s="89">
        <f>IFERROR(IF(OR(A476="",M476="",W476=""),"",(((_xludf.AGGREGATE(14,6,MOD($S$4:$S$500,1)/(($A$4:$A$500=A476)*($M$4:$M$500=M476)*($R$4:$R$500&lt;&gt;"")*($S$4:$S$500&lt;&gt;"")),1)-_xludf.AGGREGATE(15,6,MOD($R$4:$R$500,1)/(($A$4:$A$500=A476)*($M$4:$M$500=M476)*($R$4:$R$500&lt;&gt;"")*($S$4:$S$500&lt;&gt;"")),1))*1440)/60)/(W476/60)),"")</f>
        <v/>
      </c>
      <c r="Y476" s="26">
        <f>IFERROR(IF(OR(O476="",A476="",M476=""),"",(IF(ISNUMBER(O476),MOD(O476,1),TIMEVALUE(O476))-LOOKUP(2,1/(($A$4:$A$500=A476)*($M$4:$M$500=M476)*($T$4:$T$500&lt;&gt;"")*($T$4:$T$500&lt;IF(ISNUMBER(O476),MOD(O476,1),TIMEVALUE(O476)))),$T$4:$T$500))*1440),"")</f>
        <v/>
      </c>
      <c r="Z476" s="27">
        <f>IFERROR(IF(Y476="","",IF(ROUND(Y476,0)&lt;=15,"Cumple","No cumple")),"")</f>
        <v/>
      </c>
      <c r="AA476" s="27" t="n"/>
      <c r="AB476" s="26">
        <f>IFERROR(IF(OR(O476="",R476=""),"",IF(IF(ISNUMBER(R476),MOD(R476,1),TIMEVALUE(R476))&gt;=IF(ISNUMBER(O476),MOD(O476,1),TIMEVALUE(O476)),(IF(ISNUMBER(R476),MOD(R476,1),TIMEVALUE(R476))-IF(ISNUMBER(O476),MOD(O476,1),TIMEVALUE(O476)))*1440,(IF(ISNUMBER(R476),MOD(R476,1),TIMEVALUE(R476))+1-IF(ISNUMBER(O476),MOD(O476,1),TIMEVALUE(O476)))*1440)),"")</f>
        <v/>
      </c>
      <c r="AC476" s="26">
        <f>IFERROR(IF(OR(R476="",S476=""),"",IF(IF(ISNUMBER(S476),MOD(S476,1),TIMEVALUE(S476))&gt;=IF(ISNUMBER(R476),MOD(R476,1),TIMEVALUE(R476)),(IF(ISNUMBER(S476),MOD(S476,1),TIMEVALUE(S476))-IF(ISNUMBER(R476),MOD(R476,1),TIMEVALUE(R476)))*1440,(IF(ISNUMBER(S476),MOD(S476,1),TIMEVALUE(S476))+1-IF(ISNUMBER(R476),MOD(R476,1),TIMEVALUE(R476)))*1440)),"")</f>
        <v/>
      </c>
      <c r="AD476" s="29" t="n"/>
      <c r="AE476" s="26">
        <f>IFERROR(IF(OR(AC476="",AD476=""),"",AC476-AD476),"")</f>
        <v/>
      </c>
      <c r="AF476" s="27">
        <f>IFERROR(IF(AE476="","",IF(ROUND(AE476,0)&gt;15,"Subestimacion",IF(ROUND(AE476,0)&lt;-15,"Sobrestimacion","Asertivo"))),"")</f>
        <v/>
      </c>
      <c r="AG476" s="19" t="n"/>
      <c r="AH476" s="19" t="n"/>
      <c r="AI476" s="19" t="n"/>
      <c r="AJ476" s="19" t="n"/>
      <c r="AK476" s="19" t="n"/>
      <c r="AL476" s="19" t="n"/>
      <c r="AM476" s="19" t="n"/>
      <c r="AN476" s="19" t="n"/>
      <c r="AO476" s="19" t="n"/>
      <c r="AP476" s="127">
        <f>IF(A476="","",A476-WEEKDAY(A476,2)+1)</f>
        <v/>
      </c>
      <c r="AQ476" s="127">
        <f>IF(AO476="","",AO476+6)</f>
        <v/>
      </c>
      <c r="AR476" s="19">
        <f>IF(AO476="","","Semana "&amp;TEXT(AO476,"dd-mm-yyyy")&amp;" al "&amp;TEXT(AP476,"dd-mm-yyyy"))</f>
        <v/>
      </c>
      <c r="AS476" s="19">
        <f>IF(A476="","",TEXT(A476,"mmmm yyyy"))</f>
        <v/>
      </c>
      <c r="AT476" s="19">
        <f>IF(A476="","",TEXT(A476,"dddd"))</f>
        <v/>
      </c>
      <c r="AU476" s="19">
        <f>IF(A476="","","CRR-"&amp;TEXT(A476,"yyyymmdd")&amp;"-"&amp;M476&amp;"-"&amp;TEXT(ROW()-3,"0000"))</f>
        <v/>
      </c>
      <c r="AV476" s="19">
        <f>IF(A476="","",IF(OR(B476="",C476="",E476="",F476="",M476="",N476=""),"Revisar campos obligatorios",IF(AND(P476="Atraso primera hora",Q476=""),"Falta justificación atraso primera hora",IF(AND(Z476="No cumple",AA476=""),"Falta justificación recambio &gt;15 min",IF(AND(ISNUMBER(SEARCH("suspend",N476)),OR(AG476="",AH476="")),"Falta causa/motivo suspensión","OK")))))</f>
        <v/>
      </c>
      <c r="AW476" s="19">
        <f>IF(N476="","",IF(ISNUMBER(SEARCH("suspend",N476)),IF(AND(AG476="",AH476=""),"Sin causa/motivo registrado",IF(AG476="",AH476,IF(AH476="",AG476,AG476&amp;": "&amp;AH476))),""))</f>
        <v/>
      </c>
    </row>
    <row r="477" ht="16" customHeight="1" s="151">
      <c r="A477" s="62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20">
        <f>IF(H477&lt;&gt;"",IFERROR(VLOOKUP(IFERROR(LEFT(H477,FIND("-",H477)-1),H477),'Catalogo MINSAL'!A:E,5,FALSE),""),IF(I477&lt;&gt;"",IFERROR(VLOOKUP(IFERROR(LEFT(I477,FIND("-",I477)-1),I477),'Catalogo MINSAL'!A:E,5,FALSE),""),""))</f>
        <v/>
      </c>
      <c r="K477" s="19" t="n"/>
      <c r="L477" s="19" t="n"/>
      <c r="M477" s="19" t="n"/>
      <c r="N477" s="19" t="n"/>
      <c r="O477" s="25" t="n"/>
      <c r="P477" s="27">
        <f>IFERROR(IF(OR(O477="",A477="",M477=""),"",IF(SUMPRODUCT(($A$4:$A$500=A477)*($M$4:$M$500=M477)*($O$4:$O$500&lt;&gt;"")*(MOD($O$4:$O$500,1)&lt;MOD(O477,1)))=0,IF(MOD(O477,1)&lt;=TIME(8,15,0),"Ingreso adecuado primera hora","Atraso primera hora"),"No aplica")),"")</f>
        <v/>
      </c>
      <c r="Q477" s="27" t="n"/>
      <c r="R477" s="25" t="n"/>
      <c r="S477" s="25" t="n"/>
      <c r="T477" s="25" t="n"/>
      <c r="U477" s="25">
        <f>IFERROR(VLOOKUP(M477,'Horario Pabellones'!$A$4:$D$17,2,FALSE),"")</f>
        <v/>
      </c>
      <c r="V477" s="25">
        <f>IFERROR(VLOOKUP(M477,'Horario Pabellones'!$A$4:$D$17,3,FALSE),"")</f>
        <v/>
      </c>
      <c r="W477" s="99">
        <f>IFERROR(VLOOKUP(M477,'Horario Pabellones'!$A$4:$D$17,4,FALSE),"")</f>
        <v/>
      </c>
      <c r="X477" s="89">
        <f>IFERROR(IF(OR(A477="",M477="",W477=""),"",(((_xludf.AGGREGATE(14,6,MOD($S$4:$S$500,1)/(($A$4:$A$500=A477)*($M$4:$M$500=M477)*($R$4:$R$500&lt;&gt;"")*($S$4:$S$500&lt;&gt;"")),1)-_xludf.AGGREGATE(15,6,MOD($R$4:$R$500,1)/(($A$4:$A$500=A477)*($M$4:$M$500=M477)*($R$4:$R$500&lt;&gt;"")*($S$4:$S$500&lt;&gt;"")),1))*1440)/60)/(W477/60)),"")</f>
        <v/>
      </c>
      <c r="Y477" s="26">
        <f>IFERROR(IF(OR(O477="",A477="",M477=""),"",(IF(ISNUMBER(O477),MOD(O477,1),TIMEVALUE(O477))-LOOKUP(2,1/(($A$4:$A$500=A477)*($M$4:$M$500=M477)*($T$4:$T$500&lt;&gt;"")*($T$4:$T$500&lt;IF(ISNUMBER(O477),MOD(O477,1),TIMEVALUE(O477)))),$T$4:$T$500))*1440),"")</f>
        <v/>
      </c>
      <c r="Z477" s="27">
        <f>IFERROR(IF(Y477="","",IF(ROUND(Y477,0)&lt;=15,"Cumple","No cumple")),"")</f>
        <v/>
      </c>
      <c r="AA477" s="27" t="n"/>
      <c r="AB477" s="26">
        <f>IFERROR(IF(OR(O477="",R477=""),"",IF(IF(ISNUMBER(R477),MOD(R477,1),TIMEVALUE(R477))&gt;=IF(ISNUMBER(O477),MOD(O477,1),TIMEVALUE(O477)),(IF(ISNUMBER(R477),MOD(R477,1),TIMEVALUE(R477))-IF(ISNUMBER(O477),MOD(O477,1),TIMEVALUE(O477)))*1440,(IF(ISNUMBER(R477),MOD(R477,1),TIMEVALUE(R477))+1-IF(ISNUMBER(O477),MOD(O477,1),TIMEVALUE(O477)))*1440)),"")</f>
        <v/>
      </c>
      <c r="AC477" s="26">
        <f>IFERROR(IF(OR(R477="",S477=""),"",IF(IF(ISNUMBER(S477),MOD(S477,1),TIMEVALUE(S477))&gt;=IF(ISNUMBER(R477),MOD(R477,1),TIMEVALUE(R477)),(IF(ISNUMBER(S477),MOD(S477,1),TIMEVALUE(S477))-IF(ISNUMBER(R477),MOD(R477,1),TIMEVALUE(R477)))*1440,(IF(ISNUMBER(S477),MOD(S477,1),TIMEVALUE(S477))+1-IF(ISNUMBER(R477),MOD(R477,1),TIMEVALUE(R477)))*1440)),"")</f>
        <v/>
      </c>
      <c r="AD477" s="29" t="n"/>
      <c r="AE477" s="26">
        <f>IFERROR(IF(OR(AC477="",AD477=""),"",AC477-AD477),"")</f>
        <v/>
      </c>
      <c r="AF477" s="27">
        <f>IFERROR(IF(AE477="","",IF(ROUND(AE477,0)&gt;15,"Subestimacion",IF(ROUND(AE477,0)&lt;-15,"Sobrestimacion","Asertivo"))),"")</f>
        <v/>
      </c>
      <c r="AG477" s="19" t="n"/>
      <c r="AH477" s="19" t="n"/>
      <c r="AI477" s="19" t="n"/>
      <c r="AJ477" s="19" t="n"/>
      <c r="AK477" s="19" t="n"/>
      <c r="AL477" s="19" t="n"/>
      <c r="AM477" s="19" t="n"/>
      <c r="AN477" s="19" t="n"/>
      <c r="AO477" s="19" t="n"/>
      <c r="AP477" s="127">
        <f>IF(A477="","",A477-WEEKDAY(A477,2)+1)</f>
        <v/>
      </c>
      <c r="AQ477" s="127">
        <f>IF(AO477="","",AO477+6)</f>
        <v/>
      </c>
      <c r="AR477" s="19">
        <f>IF(AO477="","","Semana "&amp;TEXT(AO477,"dd-mm-yyyy")&amp;" al "&amp;TEXT(AP477,"dd-mm-yyyy"))</f>
        <v/>
      </c>
      <c r="AS477" s="19">
        <f>IF(A477="","",TEXT(A477,"mmmm yyyy"))</f>
        <v/>
      </c>
      <c r="AT477" s="19">
        <f>IF(A477="","",TEXT(A477,"dddd"))</f>
        <v/>
      </c>
      <c r="AU477" s="19">
        <f>IF(A477="","","CRR-"&amp;TEXT(A477,"yyyymmdd")&amp;"-"&amp;M477&amp;"-"&amp;TEXT(ROW()-3,"0000"))</f>
        <v/>
      </c>
      <c r="AV477" s="19">
        <f>IF(A477="","",IF(OR(B477="",C477="",E477="",F477="",M477="",N477=""),"Revisar campos obligatorios",IF(AND(P477="Atraso primera hora",Q477=""),"Falta justificación atraso primera hora",IF(AND(Z477="No cumple",AA477=""),"Falta justificación recambio &gt;15 min",IF(AND(ISNUMBER(SEARCH("suspend",N477)),OR(AG477="",AH477="")),"Falta causa/motivo suspensión","OK")))))</f>
        <v/>
      </c>
      <c r="AW477" s="19">
        <f>IF(N477="","",IF(ISNUMBER(SEARCH("suspend",N477)),IF(AND(AG477="",AH477=""),"Sin causa/motivo registrado",IF(AG477="",AH477,IF(AH477="",AG477,AG477&amp;": "&amp;AH477))),""))</f>
        <v/>
      </c>
    </row>
    <row r="478" ht="16" customHeight="1" s="151">
      <c r="A478" s="62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20">
        <f>IF(H478&lt;&gt;"",IFERROR(VLOOKUP(IFERROR(LEFT(H478,FIND("-",H478)-1),H478),'Catalogo MINSAL'!A:E,5,FALSE),""),IF(I478&lt;&gt;"",IFERROR(VLOOKUP(IFERROR(LEFT(I478,FIND("-",I478)-1),I478),'Catalogo MINSAL'!A:E,5,FALSE),""),""))</f>
        <v/>
      </c>
      <c r="K478" s="19" t="n"/>
      <c r="L478" s="19" t="n"/>
      <c r="M478" s="19" t="n"/>
      <c r="N478" s="19" t="n"/>
      <c r="O478" s="25" t="n"/>
      <c r="P478" s="27">
        <f>IFERROR(IF(OR(O478="",A478="",M478=""),"",IF(SUMPRODUCT(($A$4:$A$500=A478)*($M$4:$M$500=M478)*($O$4:$O$500&lt;&gt;"")*(MOD($O$4:$O$500,1)&lt;MOD(O478,1)))=0,IF(MOD(O478,1)&lt;=TIME(8,15,0),"Ingreso adecuado primera hora","Atraso primera hora"),"No aplica")),"")</f>
        <v/>
      </c>
      <c r="Q478" s="27" t="n"/>
      <c r="R478" s="25" t="n"/>
      <c r="S478" s="25" t="n"/>
      <c r="T478" s="25" t="n"/>
      <c r="U478" s="25">
        <f>IFERROR(VLOOKUP(M478,'Horario Pabellones'!$A$4:$D$17,2,FALSE),"")</f>
        <v/>
      </c>
      <c r="V478" s="25">
        <f>IFERROR(VLOOKUP(M478,'Horario Pabellones'!$A$4:$D$17,3,FALSE),"")</f>
        <v/>
      </c>
      <c r="W478" s="99">
        <f>IFERROR(VLOOKUP(M478,'Horario Pabellones'!$A$4:$D$17,4,FALSE),"")</f>
        <v/>
      </c>
      <c r="X478" s="89">
        <f>IFERROR(IF(OR(A478="",M478="",W478=""),"",(((_xludf.AGGREGATE(14,6,MOD($S$4:$S$500,1)/(($A$4:$A$500=A478)*($M$4:$M$500=M478)*($R$4:$R$500&lt;&gt;"")*($S$4:$S$500&lt;&gt;"")),1)-_xludf.AGGREGATE(15,6,MOD($R$4:$R$500,1)/(($A$4:$A$500=A478)*($M$4:$M$500=M478)*($R$4:$R$500&lt;&gt;"")*($S$4:$S$500&lt;&gt;"")),1))*1440)/60)/(W478/60)),"")</f>
        <v/>
      </c>
      <c r="Y478" s="26">
        <f>IFERROR(IF(OR(O478="",A478="",M478=""),"",(IF(ISNUMBER(O478),MOD(O478,1),TIMEVALUE(O478))-LOOKUP(2,1/(($A$4:$A$500=A478)*($M$4:$M$500=M478)*($T$4:$T$500&lt;&gt;"")*($T$4:$T$500&lt;IF(ISNUMBER(O478),MOD(O478,1),TIMEVALUE(O478)))),$T$4:$T$500))*1440),"")</f>
        <v/>
      </c>
      <c r="Z478" s="27">
        <f>IFERROR(IF(Y478="","",IF(ROUND(Y478,0)&lt;=15,"Cumple","No cumple")),"")</f>
        <v/>
      </c>
      <c r="AA478" s="27" t="n"/>
      <c r="AB478" s="26">
        <f>IFERROR(IF(OR(O478="",R478=""),"",IF(IF(ISNUMBER(R478),MOD(R478,1),TIMEVALUE(R478))&gt;=IF(ISNUMBER(O478),MOD(O478,1),TIMEVALUE(O478)),(IF(ISNUMBER(R478),MOD(R478,1),TIMEVALUE(R478))-IF(ISNUMBER(O478),MOD(O478,1),TIMEVALUE(O478)))*1440,(IF(ISNUMBER(R478),MOD(R478,1),TIMEVALUE(R478))+1-IF(ISNUMBER(O478),MOD(O478,1),TIMEVALUE(O478)))*1440)),"")</f>
        <v/>
      </c>
      <c r="AC478" s="26">
        <f>IFERROR(IF(OR(R478="",S478=""),"",IF(IF(ISNUMBER(S478),MOD(S478,1),TIMEVALUE(S478))&gt;=IF(ISNUMBER(R478),MOD(R478,1),TIMEVALUE(R478)),(IF(ISNUMBER(S478),MOD(S478,1),TIMEVALUE(S478))-IF(ISNUMBER(R478),MOD(R478,1),TIMEVALUE(R478)))*1440,(IF(ISNUMBER(S478),MOD(S478,1),TIMEVALUE(S478))+1-IF(ISNUMBER(R478),MOD(R478,1),TIMEVALUE(R478)))*1440)),"")</f>
        <v/>
      </c>
      <c r="AD478" s="29" t="n"/>
      <c r="AE478" s="26">
        <f>IFERROR(IF(OR(AC478="",AD478=""),"",AC478-AD478),"")</f>
        <v/>
      </c>
      <c r="AF478" s="27">
        <f>IFERROR(IF(AE478="","",IF(ROUND(AE478,0)&gt;15,"Subestimacion",IF(ROUND(AE478,0)&lt;-15,"Sobrestimacion","Asertivo"))),"")</f>
        <v/>
      </c>
      <c r="AG478" s="19" t="n"/>
      <c r="AH478" s="19" t="n"/>
      <c r="AI478" s="19" t="n"/>
      <c r="AJ478" s="19" t="n"/>
      <c r="AK478" s="19" t="n"/>
      <c r="AL478" s="19" t="n"/>
      <c r="AM478" s="19" t="n"/>
      <c r="AN478" s="19" t="n"/>
      <c r="AO478" s="19" t="n"/>
      <c r="AP478" s="127">
        <f>IF(A478="","",A478-WEEKDAY(A478,2)+1)</f>
        <v/>
      </c>
      <c r="AQ478" s="127">
        <f>IF(AO478="","",AO478+6)</f>
        <v/>
      </c>
      <c r="AR478" s="19">
        <f>IF(AO478="","","Semana "&amp;TEXT(AO478,"dd-mm-yyyy")&amp;" al "&amp;TEXT(AP478,"dd-mm-yyyy"))</f>
        <v/>
      </c>
      <c r="AS478" s="19">
        <f>IF(A478="","",TEXT(A478,"mmmm yyyy"))</f>
        <v/>
      </c>
      <c r="AT478" s="19">
        <f>IF(A478="","",TEXT(A478,"dddd"))</f>
        <v/>
      </c>
      <c r="AU478" s="19">
        <f>IF(A478="","","CRR-"&amp;TEXT(A478,"yyyymmdd")&amp;"-"&amp;M478&amp;"-"&amp;TEXT(ROW()-3,"0000"))</f>
        <v/>
      </c>
      <c r="AV478" s="19">
        <f>IF(A478="","",IF(OR(B478="",C478="",E478="",F478="",M478="",N478=""),"Revisar campos obligatorios",IF(AND(P478="Atraso primera hora",Q478=""),"Falta justificación atraso primera hora",IF(AND(Z478="No cumple",AA478=""),"Falta justificación recambio &gt;15 min",IF(AND(ISNUMBER(SEARCH("suspend",N478)),OR(AG478="",AH478="")),"Falta causa/motivo suspensión","OK")))))</f>
        <v/>
      </c>
      <c r="AW478" s="19">
        <f>IF(N478="","",IF(ISNUMBER(SEARCH("suspend",N478)),IF(AND(AG478="",AH478=""),"Sin causa/motivo registrado",IF(AG478="",AH478,IF(AH478="",AG478,AG478&amp;": "&amp;AH478))),""))</f>
        <v/>
      </c>
    </row>
    <row r="479" ht="16" customHeight="1" s="151">
      <c r="A479" s="62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20">
        <f>IF(H479&lt;&gt;"",IFERROR(VLOOKUP(IFERROR(LEFT(H479,FIND("-",H479)-1),H479),'Catalogo MINSAL'!A:E,5,FALSE),""),IF(I479&lt;&gt;"",IFERROR(VLOOKUP(IFERROR(LEFT(I479,FIND("-",I479)-1),I479),'Catalogo MINSAL'!A:E,5,FALSE),""),""))</f>
        <v/>
      </c>
      <c r="K479" s="19" t="n"/>
      <c r="L479" s="19" t="n"/>
      <c r="M479" s="19" t="n"/>
      <c r="N479" s="19" t="n"/>
      <c r="O479" s="25" t="n"/>
      <c r="P479" s="27">
        <f>IFERROR(IF(OR(O479="",A479="",M479=""),"",IF(SUMPRODUCT(($A$4:$A$500=A479)*($M$4:$M$500=M479)*($O$4:$O$500&lt;&gt;"")*(MOD($O$4:$O$500,1)&lt;MOD(O479,1)))=0,IF(MOD(O479,1)&lt;=TIME(8,15,0),"Ingreso adecuado primera hora","Atraso primera hora"),"No aplica")),"")</f>
        <v/>
      </c>
      <c r="Q479" s="27" t="n"/>
      <c r="R479" s="25" t="n"/>
      <c r="S479" s="25" t="n"/>
      <c r="T479" s="25" t="n"/>
      <c r="U479" s="25">
        <f>IFERROR(VLOOKUP(M479,'Horario Pabellones'!$A$4:$D$17,2,FALSE),"")</f>
        <v/>
      </c>
      <c r="V479" s="25">
        <f>IFERROR(VLOOKUP(M479,'Horario Pabellones'!$A$4:$D$17,3,FALSE),"")</f>
        <v/>
      </c>
      <c r="W479" s="99">
        <f>IFERROR(VLOOKUP(M479,'Horario Pabellones'!$A$4:$D$17,4,FALSE),"")</f>
        <v/>
      </c>
      <c r="X479" s="89">
        <f>IFERROR(IF(OR(A479="",M479="",W479=""),"",(((_xludf.AGGREGATE(14,6,MOD($S$4:$S$500,1)/(($A$4:$A$500=A479)*($M$4:$M$500=M479)*($R$4:$R$500&lt;&gt;"")*($S$4:$S$500&lt;&gt;"")),1)-_xludf.AGGREGATE(15,6,MOD($R$4:$R$500,1)/(($A$4:$A$500=A479)*($M$4:$M$500=M479)*($R$4:$R$500&lt;&gt;"")*($S$4:$S$500&lt;&gt;"")),1))*1440)/60)/(W479/60)),"")</f>
        <v/>
      </c>
      <c r="Y479" s="26">
        <f>IFERROR(IF(OR(O479="",A479="",M479=""),"",(IF(ISNUMBER(O479),MOD(O479,1),TIMEVALUE(O479))-LOOKUP(2,1/(($A$4:$A$500=A479)*($M$4:$M$500=M479)*($T$4:$T$500&lt;&gt;"")*($T$4:$T$500&lt;IF(ISNUMBER(O479),MOD(O479,1),TIMEVALUE(O479)))),$T$4:$T$500))*1440),"")</f>
        <v/>
      </c>
      <c r="Z479" s="27">
        <f>IFERROR(IF(Y479="","",IF(ROUND(Y479,0)&lt;=15,"Cumple","No cumple")),"")</f>
        <v/>
      </c>
      <c r="AA479" s="27" t="n"/>
      <c r="AB479" s="26">
        <f>IFERROR(IF(OR(O479="",R479=""),"",IF(IF(ISNUMBER(R479),MOD(R479,1),TIMEVALUE(R479))&gt;=IF(ISNUMBER(O479),MOD(O479,1),TIMEVALUE(O479)),(IF(ISNUMBER(R479),MOD(R479,1),TIMEVALUE(R479))-IF(ISNUMBER(O479),MOD(O479,1),TIMEVALUE(O479)))*1440,(IF(ISNUMBER(R479),MOD(R479,1),TIMEVALUE(R479))+1-IF(ISNUMBER(O479),MOD(O479,1),TIMEVALUE(O479)))*1440)),"")</f>
        <v/>
      </c>
      <c r="AC479" s="26">
        <f>IFERROR(IF(OR(R479="",S479=""),"",IF(IF(ISNUMBER(S479),MOD(S479,1),TIMEVALUE(S479))&gt;=IF(ISNUMBER(R479),MOD(R479,1),TIMEVALUE(R479)),(IF(ISNUMBER(S479),MOD(S479,1),TIMEVALUE(S479))-IF(ISNUMBER(R479),MOD(R479,1),TIMEVALUE(R479)))*1440,(IF(ISNUMBER(S479),MOD(S479,1),TIMEVALUE(S479))+1-IF(ISNUMBER(R479),MOD(R479,1),TIMEVALUE(R479)))*1440)),"")</f>
        <v/>
      </c>
      <c r="AD479" s="29" t="n"/>
      <c r="AE479" s="26">
        <f>IFERROR(IF(OR(AC479="",AD479=""),"",AC479-AD479),"")</f>
        <v/>
      </c>
      <c r="AF479" s="27">
        <f>IFERROR(IF(AE479="","",IF(ROUND(AE479,0)&gt;15,"Subestimacion",IF(ROUND(AE479,0)&lt;-15,"Sobrestimacion","Asertivo"))),"")</f>
        <v/>
      </c>
      <c r="AG479" s="19" t="n"/>
      <c r="AH479" s="19" t="n"/>
      <c r="AI479" s="19" t="n"/>
      <c r="AJ479" s="19" t="n"/>
      <c r="AK479" s="19" t="n"/>
      <c r="AL479" s="19" t="n"/>
      <c r="AM479" s="19" t="n"/>
      <c r="AN479" s="19" t="n"/>
      <c r="AO479" s="19" t="n"/>
      <c r="AP479" s="127">
        <f>IF(A479="","",A479-WEEKDAY(A479,2)+1)</f>
        <v/>
      </c>
      <c r="AQ479" s="127">
        <f>IF(AO479="","",AO479+6)</f>
        <v/>
      </c>
      <c r="AR479" s="19">
        <f>IF(AO479="","","Semana "&amp;TEXT(AO479,"dd-mm-yyyy")&amp;" al "&amp;TEXT(AP479,"dd-mm-yyyy"))</f>
        <v/>
      </c>
      <c r="AS479" s="19">
        <f>IF(A479="","",TEXT(A479,"mmmm yyyy"))</f>
        <v/>
      </c>
      <c r="AT479" s="19">
        <f>IF(A479="","",TEXT(A479,"dddd"))</f>
        <v/>
      </c>
      <c r="AU479" s="19">
        <f>IF(A479="","","CRR-"&amp;TEXT(A479,"yyyymmdd")&amp;"-"&amp;M479&amp;"-"&amp;TEXT(ROW()-3,"0000"))</f>
        <v/>
      </c>
      <c r="AV479" s="19">
        <f>IF(A479="","",IF(OR(B479="",C479="",E479="",F479="",M479="",N479=""),"Revisar campos obligatorios",IF(AND(P479="Atraso primera hora",Q479=""),"Falta justificación atraso primera hora",IF(AND(Z479="No cumple",AA479=""),"Falta justificación recambio &gt;15 min",IF(AND(ISNUMBER(SEARCH("suspend",N479)),OR(AG479="",AH479="")),"Falta causa/motivo suspensión","OK")))))</f>
        <v/>
      </c>
      <c r="AW479" s="19">
        <f>IF(N479="","",IF(ISNUMBER(SEARCH("suspend",N479)),IF(AND(AG479="",AH479=""),"Sin causa/motivo registrado",IF(AG479="",AH479,IF(AH479="",AG479,AG479&amp;": "&amp;AH479))),""))</f>
        <v/>
      </c>
    </row>
    <row r="480" ht="16" customHeight="1" s="151">
      <c r="A480" s="62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20">
        <f>IF(H480&lt;&gt;"",IFERROR(VLOOKUP(IFERROR(LEFT(H480,FIND("-",H480)-1),H480),'Catalogo MINSAL'!A:E,5,FALSE),""),IF(I480&lt;&gt;"",IFERROR(VLOOKUP(IFERROR(LEFT(I480,FIND("-",I480)-1),I480),'Catalogo MINSAL'!A:E,5,FALSE),""),""))</f>
        <v/>
      </c>
      <c r="K480" s="19" t="n"/>
      <c r="L480" s="19" t="n"/>
      <c r="M480" s="19" t="n"/>
      <c r="N480" s="19" t="n"/>
      <c r="O480" s="25" t="n"/>
      <c r="P480" s="27">
        <f>IFERROR(IF(OR(O480="",A480="",M480=""),"",IF(SUMPRODUCT(($A$4:$A$500=A480)*($M$4:$M$500=M480)*($O$4:$O$500&lt;&gt;"")*(MOD($O$4:$O$500,1)&lt;MOD(O480,1)))=0,IF(MOD(O480,1)&lt;=TIME(8,15,0),"Ingreso adecuado primera hora","Atraso primera hora"),"No aplica")),"")</f>
        <v/>
      </c>
      <c r="Q480" s="27" t="n"/>
      <c r="R480" s="25" t="n"/>
      <c r="S480" s="25" t="n"/>
      <c r="T480" s="25" t="n"/>
      <c r="U480" s="25">
        <f>IFERROR(VLOOKUP(M480,'Horario Pabellones'!$A$4:$D$17,2,FALSE),"")</f>
        <v/>
      </c>
      <c r="V480" s="25">
        <f>IFERROR(VLOOKUP(M480,'Horario Pabellones'!$A$4:$D$17,3,FALSE),"")</f>
        <v/>
      </c>
      <c r="W480" s="99">
        <f>IFERROR(VLOOKUP(M480,'Horario Pabellones'!$A$4:$D$17,4,FALSE),"")</f>
        <v/>
      </c>
      <c r="X480" s="89">
        <f>IFERROR(IF(OR(A480="",M480="",W480=""),"",(((_xludf.AGGREGATE(14,6,MOD($S$4:$S$500,1)/(($A$4:$A$500=A480)*($M$4:$M$500=M480)*($R$4:$R$500&lt;&gt;"")*($S$4:$S$500&lt;&gt;"")),1)-_xludf.AGGREGATE(15,6,MOD($R$4:$R$500,1)/(($A$4:$A$500=A480)*($M$4:$M$500=M480)*($R$4:$R$500&lt;&gt;"")*($S$4:$S$500&lt;&gt;"")),1))*1440)/60)/(W480/60)),"")</f>
        <v/>
      </c>
      <c r="Y480" s="26">
        <f>IFERROR(IF(OR(O480="",A480="",M480=""),"",(IF(ISNUMBER(O480),MOD(O480,1),TIMEVALUE(O480))-LOOKUP(2,1/(($A$4:$A$500=A480)*($M$4:$M$500=M480)*($T$4:$T$500&lt;&gt;"")*($T$4:$T$500&lt;IF(ISNUMBER(O480),MOD(O480,1),TIMEVALUE(O480)))),$T$4:$T$500))*1440),"")</f>
        <v/>
      </c>
      <c r="Z480" s="27">
        <f>IFERROR(IF(Y480="","",IF(ROUND(Y480,0)&lt;=15,"Cumple","No cumple")),"")</f>
        <v/>
      </c>
      <c r="AA480" s="27" t="n"/>
      <c r="AB480" s="26">
        <f>IFERROR(IF(OR(O480="",R480=""),"",IF(IF(ISNUMBER(R480),MOD(R480,1),TIMEVALUE(R480))&gt;=IF(ISNUMBER(O480),MOD(O480,1),TIMEVALUE(O480)),(IF(ISNUMBER(R480),MOD(R480,1),TIMEVALUE(R480))-IF(ISNUMBER(O480),MOD(O480,1),TIMEVALUE(O480)))*1440,(IF(ISNUMBER(R480),MOD(R480,1),TIMEVALUE(R480))+1-IF(ISNUMBER(O480),MOD(O480,1),TIMEVALUE(O480)))*1440)),"")</f>
        <v/>
      </c>
      <c r="AC480" s="26">
        <f>IFERROR(IF(OR(R480="",S480=""),"",IF(IF(ISNUMBER(S480),MOD(S480,1),TIMEVALUE(S480))&gt;=IF(ISNUMBER(R480),MOD(R480,1),TIMEVALUE(R480)),(IF(ISNUMBER(S480),MOD(S480,1),TIMEVALUE(S480))-IF(ISNUMBER(R480),MOD(R480,1),TIMEVALUE(R480)))*1440,(IF(ISNUMBER(S480),MOD(S480,1),TIMEVALUE(S480))+1-IF(ISNUMBER(R480),MOD(R480,1),TIMEVALUE(R480)))*1440)),"")</f>
        <v/>
      </c>
      <c r="AD480" s="29" t="n"/>
      <c r="AE480" s="26">
        <f>IFERROR(IF(OR(AC480="",AD480=""),"",AC480-AD480),"")</f>
        <v/>
      </c>
      <c r="AF480" s="27">
        <f>IFERROR(IF(AE480="","",IF(ROUND(AE480,0)&gt;15,"Subestimacion",IF(ROUND(AE480,0)&lt;-15,"Sobrestimacion","Asertivo"))),"")</f>
        <v/>
      </c>
      <c r="AG480" s="19" t="n"/>
      <c r="AH480" s="19" t="n"/>
      <c r="AI480" s="19" t="n"/>
      <c r="AJ480" s="19" t="n"/>
      <c r="AK480" s="19" t="n"/>
      <c r="AL480" s="19" t="n"/>
      <c r="AM480" s="19" t="n"/>
      <c r="AN480" s="19" t="n"/>
      <c r="AO480" s="19" t="n"/>
      <c r="AP480" s="127">
        <f>IF(A480="","",A480-WEEKDAY(A480,2)+1)</f>
        <v/>
      </c>
      <c r="AQ480" s="127">
        <f>IF(AO480="","",AO480+6)</f>
        <v/>
      </c>
      <c r="AR480" s="19">
        <f>IF(AO480="","","Semana "&amp;TEXT(AO480,"dd-mm-yyyy")&amp;" al "&amp;TEXT(AP480,"dd-mm-yyyy"))</f>
        <v/>
      </c>
      <c r="AS480" s="19">
        <f>IF(A480="","",TEXT(A480,"mmmm yyyy"))</f>
        <v/>
      </c>
      <c r="AT480" s="19">
        <f>IF(A480="","",TEXT(A480,"dddd"))</f>
        <v/>
      </c>
      <c r="AU480" s="19">
        <f>IF(A480="","","CRR-"&amp;TEXT(A480,"yyyymmdd")&amp;"-"&amp;M480&amp;"-"&amp;TEXT(ROW()-3,"0000"))</f>
        <v/>
      </c>
      <c r="AV480" s="19">
        <f>IF(A480="","",IF(OR(B480="",C480="",E480="",F480="",M480="",N480=""),"Revisar campos obligatorios",IF(AND(P480="Atraso primera hora",Q480=""),"Falta justificación atraso primera hora",IF(AND(Z480="No cumple",AA480=""),"Falta justificación recambio &gt;15 min",IF(AND(ISNUMBER(SEARCH("suspend",N480)),OR(AG480="",AH480="")),"Falta causa/motivo suspensión","OK")))))</f>
        <v/>
      </c>
      <c r="AW480" s="19">
        <f>IF(N480="","",IF(ISNUMBER(SEARCH("suspend",N480)),IF(AND(AG480="",AH480=""),"Sin causa/motivo registrado",IF(AG480="",AH480,IF(AH480="",AG480,AG480&amp;": "&amp;AH480))),""))</f>
        <v/>
      </c>
    </row>
    <row r="481" ht="16" customHeight="1" s="151">
      <c r="A481" s="62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20">
        <f>IF(H481&lt;&gt;"",IFERROR(VLOOKUP(IFERROR(LEFT(H481,FIND("-",H481)-1),H481),'Catalogo MINSAL'!A:E,5,FALSE),""),IF(I481&lt;&gt;"",IFERROR(VLOOKUP(IFERROR(LEFT(I481,FIND("-",I481)-1),I481),'Catalogo MINSAL'!A:E,5,FALSE),""),""))</f>
        <v/>
      </c>
      <c r="K481" s="19" t="n"/>
      <c r="L481" s="19" t="n"/>
      <c r="M481" s="19" t="n"/>
      <c r="N481" s="19" t="n"/>
      <c r="O481" s="25" t="n"/>
      <c r="P481" s="27">
        <f>IFERROR(IF(OR(O481="",A481="",M481=""),"",IF(SUMPRODUCT(($A$4:$A$500=A481)*($M$4:$M$500=M481)*($O$4:$O$500&lt;&gt;"")*(MOD($O$4:$O$500,1)&lt;MOD(O481,1)))=0,IF(MOD(O481,1)&lt;=TIME(8,15,0),"Ingreso adecuado primera hora","Atraso primera hora"),"No aplica")),"")</f>
        <v/>
      </c>
      <c r="Q481" s="27" t="n"/>
      <c r="R481" s="25" t="n"/>
      <c r="S481" s="25" t="n"/>
      <c r="T481" s="25" t="n"/>
      <c r="U481" s="25">
        <f>IFERROR(VLOOKUP(M481,'Horario Pabellones'!$A$4:$D$17,2,FALSE),"")</f>
        <v/>
      </c>
      <c r="V481" s="25">
        <f>IFERROR(VLOOKUP(M481,'Horario Pabellones'!$A$4:$D$17,3,FALSE),"")</f>
        <v/>
      </c>
      <c r="W481" s="99">
        <f>IFERROR(VLOOKUP(M481,'Horario Pabellones'!$A$4:$D$17,4,FALSE),"")</f>
        <v/>
      </c>
      <c r="X481" s="89">
        <f>IFERROR(IF(OR(A481="",M481="",W481=""),"",(((_xludf.AGGREGATE(14,6,MOD($S$4:$S$500,1)/(($A$4:$A$500=A481)*($M$4:$M$500=M481)*($R$4:$R$500&lt;&gt;"")*($S$4:$S$500&lt;&gt;"")),1)-_xludf.AGGREGATE(15,6,MOD($R$4:$R$500,1)/(($A$4:$A$500=A481)*($M$4:$M$500=M481)*($R$4:$R$500&lt;&gt;"")*($S$4:$S$500&lt;&gt;"")),1))*1440)/60)/(W481/60)),"")</f>
        <v/>
      </c>
      <c r="Y481" s="26">
        <f>IFERROR(IF(OR(O481="",A481="",M481=""),"",(IF(ISNUMBER(O481),MOD(O481,1),TIMEVALUE(O481))-LOOKUP(2,1/(($A$4:$A$500=A481)*($M$4:$M$500=M481)*($T$4:$T$500&lt;&gt;"")*($T$4:$T$500&lt;IF(ISNUMBER(O481),MOD(O481,1),TIMEVALUE(O481)))),$T$4:$T$500))*1440),"")</f>
        <v/>
      </c>
      <c r="Z481" s="27">
        <f>IFERROR(IF(Y481="","",IF(ROUND(Y481,0)&lt;=15,"Cumple","No cumple")),"")</f>
        <v/>
      </c>
      <c r="AA481" s="27" t="n"/>
      <c r="AB481" s="26">
        <f>IFERROR(IF(OR(O481="",R481=""),"",IF(IF(ISNUMBER(R481),MOD(R481,1),TIMEVALUE(R481))&gt;=IF(ISNUMBER(O481),MOD(O481,1),TIMEVALUE(O481)),(IF(ISNUMBER(R481),MOD(R481,1),TIMEVALUE(R481))-IF(ISNUMBER(O481),MOD(O481,1),TIMEVALUE(O481)))*1440,(IF(ISNUMBER(R481),MOD(R481,1),TIMEVALUE(R481))+1-IF(ISNUMBER(O481),MOD(O481,1),TIMEVALUE(O481)))*1440)),"")</f>
        <v/>
      </c>
      <c r="AC481" s="26">
        <f>IFERROR(IF(OR(R481="",S481=""),"",IF(IF(ISNUMBER(S481),MOD(S481,1),TIMEVALUE(S481))&gt;=IF(ISNUMBER(R481),MOD(R481,1),TIMEVALUE(R481)),(IF(ISNUMBER(S481),MOD(S481,1),TIMEVALUE(S481))-IF(ISNUMBER(R481),MOD(R481,1),TIMEVALUE(R481)))*1440,(IF(ISNUMBER(S481),MOD(S481,1),TIMEVALUE(S481))+1-IF(ISNUMBER(R481),MOD(R481,1),TIMEVALUE(R481)))*1440)),"")</f>
        <v/>
      </c>
      <c r="AD481" s="29" t="n"/>
      <c r="AE481" s="26">
        <f>IFERROR(IF(OR(AC481="",AD481=""),"",AC481-AD481),"")</f>
        <v/>
      </c>
      <c r="AF481" s="27">
        <f>IFERROR(IF(AE481="","",IF(ROUND(AE481,0)&gt;15,"Subestimacion",IF(ROUND(AE481,0)&lt;-15,"Sobrestimacion","Asertivo"))),"")</f>
        <v/>
      </c>
      <c r="AG481" s="19" t="n"/>
      <c r="AH481" s="19" t="n"/>
      <c r="AI481" s="19" t="n"/>
      <c r="AJ481" s="19" t="n"/>
      <c r="AK481" s="19" t="n"/>
      <c r="AL481" s="19" t="n"/>
      <c r="AM481" s="19" t="n"/>
      <c r="AN481" s="19" t="n"/>
      <c r="AO481" s="19" t="n"/>
      <c r="AP481" s="127">
        <f>IF(A481="","",A481-WEEKDAY(A481,2)+1)</f>
        <v/>
      </c>
      <c r="AQ481" s="127">
        <f>IF(AO481="","",AO481+6)</f>
        <v/>
      </c>
      <c r="AR481" s="19">
        <f>IF(AO481="","","Semana "&amp;TEXT(AO481,"dd-mm-yyyy")&amp;" al "&amp;TEXT(AP481,"dd-mm-yyyy"))</f>
        <v/>
      </c>
      <c r="AS481" s="19">
        <f>IF(A481="","",TEXT(A481,"mmmm yyyy"))</f>
        <v/>
      </c>
      <c r="AT481" s="19">
        <f>IF(A481="","",TEXT(A481,"dddd"))</f>
        <v/>
      </c>
      <c r="AU481" s="19">
        <f>IF(A481="","","CRR-"&amp;TEXT(A481,"yyyymmdd")&amp;"-"&amp;M481&amp;"-"&amp;TEXT(ROW()-3,"0000"))</f>
        <v/>
      </c>
      <c r="AV481" s="19">
        <f>IF(A481="","",IF(OR(B481="",C481="",E481="",F481="",M481="",N481=""),"Revisar campos obligatorios",IF(AND(P481="Atraso primera hora",Q481=""),"Falta justificación atraso primera hora",IF(AND(Z481="No cumple",AA481=""),"Falta justificación recambio &gt;15 min",IF(AND(ISNUMBER(SEARCH("suspend",N481)),OR(AG481="",AH481="")),"Falta causa/motivo suspensión","OK")))))</f>
        <v/>
      </c>
      <c r="AW481" s="19">
        <f>IF(N481="","",IF(ISNUMBER(SEARCH("suspend",N481)),IF(AND(AG481="",AH481=""),"Sin causa/motivo registrado",IF(AG481="",AH481,IF(AH481="",AG481,AG481&amp;": "&amp;AH481))),""))</f>
        <v/>
      </c>
    </row>
    <row r="482" ht="16" customHeight="1" s="151">
      <c r="A482" s="62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20">
        <f>IF(H482&lt;&gt;"",IFERROR(VLOOKUP(IFERROR(LEFT(H482,FIND("-",H482)-1),H482),'Catalogo MINSAL'!A:E,5,FALSE),""),IF(I482&lt;&gt;"",IFERROR(VLOOKUP(IFERROR(LEFT(I482,FIND("-",I482)-1),I482),'Catalogo MINSAL'!A:E,5,FALSE),""),""))</f>
        <v/>
      </c>
      <c r="K482" s="19" t="n"/>
      <c r="L482" s="19" t="n"/>
      <c r="M482" s="19" t="n"/>
      <c r="N482" s="19" t="n"/>
      <c r="O482" s="25" t="n"/>
      <c r="P482" s="27">
        <f>IFERROR(IF(OR(O482="",A482="",M482=""),"",IF(SUMPRODUCT(($A$4:$A$500=A482)*($M$4:$M$500=M482)*($O$4:$O$500&lt;&gt;"")*(MOD($O$4:$O$500,1)&lt;MOD(O482,1)))=0,IF(MOD(O482,1)&lt;=TIME(8,15,0),"Ingreso adecuado primera hora","Atraso primera hora"),"No aplica")),"")</f>
        <v/>
      </c>
      <c r="Q482" s="27" t="n"/>
      <c r="R482" s="25" t="n"/>
      <c r="S482" s="25" t="n"/>
      <c r="T482" s="25" t="n"/>
      <c r="U482" s="25">
        <f>IFERROR(VLOOKUP(M482,'Horario Pabellones'!$A$4:$D$17,2,FALSE),"")</f>
        <v/>
      </c>
      <c r="V482" s="25">
        <f>IFERROR(VLOOKUP(M482,'Horario Pabellones'!$A$4:$D$17,3,FALSE),"")</f>
        <v/>
      </c>
      <c r="W482" s="99">
        <f>IFERROR(VLOOKUP(M482,'Horario Pabellones'!$A$4:$D$17,4,FALSE),"")</f>
        <v/>
      </c>
      <c r="X482" s="89">
        <f>IFERROR(IF(OR(A482="",M482="",W482=""),"",(((_xludf.AGGREGATE(14,6,MOD($S$4:$S$500,1)/(($A$4:$A$500=A482)*($M$4:$M$500=M482)*($R$4:$R$500&lt;&gt;"")*($S$4:$S$500&lt;&gt;"")),1)-_xludf.AGGREGATE(15,6,MOD($R$4:$R$500,1)/(($A$4:$A$500=A482)*($M$4:$M$500=M482)*($R$4:$R$500&lt;&gt;"")*($S$4:$S$500&lt;&gt;"")),1))*1440)/60)/(W482/60)),"")</f>
        <v/>
      </c>
      <c r="Y482" s="26">
        <f>IFERROR(IF(OR(O482="",A482="",M482=""),"",(IF(ISNUMBER(O482),MOD(O482,1),TIMEVALUE(O482))-LOOKUP(2,1/(($A$4:$A$500=A482)*($M$4:$M$500=M482)*($T$4:$T$500&lt;&gt;"")*($T$4:$T$500&lt;IF(ISNUMBER(O482),MOD(O482,1),TIMEVALUE(O482)))),$T$4:$T$500))*1440),"")</f>
        <v/>
      </c>
      <c r="Z482" s="27">
        <f>IFERROR(IF(Y482="","",IF(ROUND(Y482,0)&lt;=15,"Cumple","No cumple")),"")</f>
        <v/>
      </c>
      <c r="AA482" s="27" t="n"/>
      <c r="AB482" s="26">
        <f>IFERROR(IF(OR(O482="",R482=""),"",IF(IF(ISNUMBER(R482),MOD(R482,1),TIMEVALUE(R482))&gt;=IF(ISNUMBER(O482),MOD(O482,1),TIMEVALUE(O482)),(IF(ISNUMBER(R482),MOD(R482,1),TIMEVALUE(R482))-IF(ISNUMBER(O482),MOD(O482,1),TIMEVALUE(O482)))*1440,(IF(ISNUMBER(R482),MOD(R482,1),TIMEVALUE(R482))+1-IF(ISNUMBER(O482),MOD(O482,1),TIMEVALUE(O482)))*1440)),"")</f>
        <v/>
      </c>
      <c r="AC482" s="26">
        <f>IFERROR(IF(OR(R482="",S482=""),"",IF(IF(ISNUMBER(S482),MOD(S482,1),TIMEVALUE(S482))&gt;=IF(ISNUMBER(R482),MOD(R482,1),TIMEVALUE(R482)),(IF(ISNUMBER(S482),MOD(S482,1),TIMEVALUE(S482))-IF(ISNUMBER(R482),MOD(R482,1),TIMEVALUE(R482)))*1440,(IF(ISNUMBER(S482),MOD(S482,1),TIMEVALUE(S482))+1-IF(ISNUMBER(R482),MOD(R482,1),TIMEVALUE(R482)))*1440)),"")</f>
        <v/>
      </c>
      <c r="AD482" s="29" t="n"/>
      <c r="AE482" s="26">
        <f>IFERROR(IF(OR(AC482="",AD482=""),"",AC482-AD482),"")</f>
        <v/>
      </c>
      <c r="AF482" s="27">
        <f>IFERROR(IF(AE482="","",IF(ROUND(AE482,0)&gt;15,"Subestimacion",IF(ROUND(AE482,0)&lt;-15,"Sobrestimacion","Asertivo"))),"")</f>
        <v/>
      </c>
      <c r="AG482" s="19" t="n"/>
      <c r="AH482" s="19" t="n"/>
      <c r="AI482" s="19" t="n"/>
      <c r="AJ482" s="19" t="n"/>
      <c r="AK482" s="19" t="n"/>
      <c r="AL482" s="19" t="n"/>
      <c r="AM482" s="19" t="n"/>
      <c r="AN482" s="19" t="n"/>
      <c r="AO482" s="19" t="n"/>
      <c r="AP482" s="127">
        <f>IF(A482="","",A482-WEEKDAY(A482,2)+1)</f>
        <v/>
      </c>
      <c r="AQ482" s="127">
        <f>IF(AO482="","",AO482+6)</f>
        <v/>
      </c>
      <c r="AR482" s="19">
        <f>IF(AO482="","","Semana "&amp;TEXT(AO482,"dd-mm-yyyy")&amp;" al "&amp;TEXT(AP482,"dd-mm-yyyy"))</f>
        <v/>
      </c>
      <c r="AS482" s="19">
        <f>IF(A482="","",TEXT(A482,"mmmm yyyy"))</f>
        <v/>
      </c>
      <c r="AT482" s="19">
        <f>IF(A482="","",TEXT(A482,"dddd"))</f>
        <v/>
      </c>
      <c r="AU482" s="19">
        <f>IF(A482="","","CRR-"&amp;TEXT(A482,"yyyymmdd")&amp;"-"&amp;M482&amp;"-"&amp;TEXT(ROW()-3,"0000"))</f>
        <v/>
      </c>
      <c r="AV482" s="19">
        <f>IF(A482="","",IF(OR(B482="",C482="",E482="",F482="",M482="",N482=""),"Revisar campos obligatorios",IF(AND(P482="Atraso primera hora",Q482=""),"Falta justificación atraso primera hora",IF(AND(Z482="No cumple",AA482=""),"Falta justificación recambio &gt;15 min",IF(AND(ISNUMBER(SEARCH("suspend",N482)),OR(AG482="",AH482="")),"Falta causa/motivo suspensión","OK")))))</f>
        <v/>
      </c>
      <c r="AW482" s="19">
        <f>IF(N482="","",IF(ISNUMBER(SEARCH("suspend",N482)),IF(AND(AG482="",AH482=""),"Sin causa/motivo registrado",IF(AG482="",AH482,IF(AH482="",AG482,AG482&amp;": "&amp;AH482))),""))</f>
        <v/>
      </c>
    </row>
    <row r="483" ht="16" customHeight="1" s="151">
      <c r="A483" s="62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20">
        <f>IF(H483&lt;&gt;"",IFERROR(VLOOKUP(IFERROR(LEFT(H483,FIND("-",H483)-1),H483),'Catalogo MINSAL'!A:E,5,FALSE),""),IF(I483&lt;&gt;"",IFERROR(VLOOKUP(IFERROR(LEFT(I483,FIND("-",I483)-1),I483),'Catalogo MINSAL'!A:E,5,FALSE),""),""))</f>
        <v/>
      </c>
      <c r="K483" s="19" t="n"/>
      <c r="L483" s="19" t="n"/>
      <c r="M483" s="19" t="n"/>
      <c r="N483" s="19" t="n"/>
      <c r="O483" s="25" t="n"/>
      <c r="P483" s="27">
        <f>IFERROR(IF(OR(O483="",A483="",M483=""),"",IF(SUMPRODUCT(($A$4:$A$500=A483)*($M$4:$M$500=M483)*($O$4:$O$500&lt;&gt;"")*(MOD($O$4:$O$500,1)&lt;MOD(O483,1)))=0,IF(MOD(O483,1)&lt;=TIME(8,15,0),"Ingreso adecuado primera hora","Atraso primera hora"),"No aplica")),"")</f>
        <v/>
      </c>
      <c r="Q483" s="27" t="n"/>
      <c r="R483" s="25" t="n"/>
      <c r="S483" s="25" t="n"/>
      <c r="T483" s="25" t="n"/>
      <c r="U483" s="25">
        <f>IFERROR(VLOOKUP(M483,'Horario Pabellones'!$A$4:$D$17,2,FALSE),"")</f>
        <v/>
      </c>
      <c r="V483" s="25">
        <f>IFERROR(VLOOKUP(M483,'Horario Pabellones'!$A$4:$D$17,3,FALSE),"")</f>
        <v/>
      </c>
      <c r="W483" s="99">
        <f>IFERROR(VLOOKUP(M483,'Horario Pabellones'!$A$4:$D$17,4,FALSE),"")</f>
        <v/>
      </c>
      <c r="X483" s="89">
        <f>IFERROR(IF(OR(A483="",M483="",W483=""),"",(((_xludf.AGGREGATE(14,6,MOD($S$4:$S$500,1)/(($A$4:$A$500=A483)*($M$4:$M$500=M483)*($R$4:$R$500&lt;&gt;"")*($S$4:$S$500&lt;&gt;"")),1)-_xludf.AGGREGATE(15,6,MOD($R$4:$R$500,1)/(($A$4:$A$500=A483)*($M$4:$M$500=M483)*($R$4:$R$500&lt;&gt;"")*($S$4:$S$500&lt;&gt;"")),1))*1440)/60)/(W483/60)),"")</f>
        <v/>
      </c>
      <c r="Y483" s="26">
        <f>IFERROR(IF(OR(O483="",A483="",M483=""),"",(IF(ISNUMBER(O483),MOD(O483,1),TIMEVALUE(O483))-LOOKUP(2,1/(($A$4:$A$500=A483)*($M$4:$M$500=M483)*($T$4:$T$500&lt;&gt;"")*($T$4:$T$500&lt;IF(ISNUMBER(O483),MOD(O483,1),TIMEVALUE(O483)))),$T$4:$T$500))*1440),"")</f>
        <v/>
      </c>
      <c r="Z483" s="27">
        <f>IFERROR(IF(Y483="","",IF(ROUND(Y483,0)&lt;=15,"Cumple","No cumple")),"")</f>
        <v/>
      </c>
      <c r="AA483" s="27" t="n"/>
      <c r="AB483" s="26">
        <f>IFERROR(IF(OR(O483="",R483=""),"",IF(IF(ISNUMBER(R483),MOD(R483,1),TIMEVALUE(R483))&gt;=IF(ISNUMBER(O483),MOD(O483,1),TIMEVALUE(O483)),(IF(ISNUMBER(R483),MOD(R483,1),TIMEVALUE(R483))-IF(ISNUMBER(O483),MOD(O483,1),TIMEVALUE(O483)))*1440,(IF(ISNUMBER(R483),MOD(R483,1),TIMEVALUE(R483))+1-IF(ISNUMBER(O483),MOD(O483,1),TIMEVALUE(O483)))*1440)),"")</f>
        <v/>
      </c>
      <c r="AC483" s="26">
        <f>IFERROR(IF(OR(R483="",S483=""),"",IF(IF(ISNUMBER(S483),MOD(S483,1),TIMEVALUE(S483))&gt;=IF(ISNUMBER(R483),MOD(R483,1),TIMEVALUE(R483)),(IF(ISNUMBER(S483),MOD(S483,1),TIMEVALUE(S483))-IF(ISNUMBER(R483),MOD(R483,1),TIMEVALUE(R483)))*1440,(IF(ISNUMBER(S483),MOD(S483,1),TIMEVALUE(S483))+1-IF(ISNUMBER(R483),MOD(R483,1),TIMEVALUE(R483)))*1440)),"")</f>
        <v/>
      </c>
      <c r="AD483" s="29" t="n"/>
      <c r="AE483" s="26">
        <f>IFERROR(IF(OR(AC483="",AD483=""),"",AC483-AD483),"")</f>
        <v/>
      </c>
      <c r="AF483" s="27">
        <f>IFERROR(IF(AE483="","",IF(ROUND(AE483,0)&gt;15,"Subestimacion",IF(ROUND(AE483,0)&lt;-15,"Sobrestimacion","Asertivo"))),"")</f>
        <v/>
      </c>
      <c r="AG483" s="19" t="n"/>
      <c r="AH483" s="19" t="n"/>
      <c r="AI483" s="19" t="n"/>
      <c r="AJ483" s="19" t="n"/>
      <c r="AK483" s="19" t="n"/>
      <c r="AL483" s="19" t="n"/>
      <c r="AM483" s="19" t="n"/>
      <c r="AN483" s="19" t="n"/>
      <c r="AO483" s="19" t="n"/>
      <c r="AP483" s="127">
        <f>IF(A483="","",A483-WEEKDAY(A483,2)+1)</f>
        <v/>
      </c>
      <c r="AQ483" s="127">
        <f>IF(AO483="","",AO483+6)</f>
        <v/>
      </c>
      <c r="AR483" s="19">
        <f>IF(AO483="","","Semana "&amp;TEXT(AO483,"dd-mm-yyyy")&amp;" al "&amp;TEXT(AP483,"dd-mm-yyyy"))</f>
        <v/>
      </c>
      <c r="AS483" s="19">
        <f>IF(A483="","",TEXT(A483,"mmmm yyyy"))</f>
        <v/>
      </c>
      <c r="AT483" s="19">
        <f>IF(A483="","",TEXT(A483,"dddd"))</f>
        <v/>
      </c>
      <c r="AU483" s="19">
        <f>IF(A483="","","CRR-"&amp;TEXT(A483,"yyyymmdd")&amp;"-"&amp;M483&amp;"-"&amp;TEXT(ROW()-3,"0000"))</f>
        <v/>
      </c>
      <c r="AV483" s="19">
        <f>IF(A483="","",IF(OR(B483="",C483="",E483="",F483="",M483="",N483=""),"Revisar campos obligatorios",IF(AND(P483="Atraso primera hora",Q483=""),"Falta justificación atraso primera hora",IF(AND(Z483="No cumple",AA483=""),"Falta justificación recambio &gt;15 min",IF(AND(ISNUMBER(SEARCH("suspend",N483)),OR(AG483="",AH483="")),"Falta causa/motivo suspensión","OK")))))</f>
        <v/>
      </c>
      <c r="AW483" s="19">
        <f>IF(N483="","",IF(ISNUMBER(SEARCH("suspend",N483)),IF(AND(AG483="",AH483=""),"Sin causa/motivo registrado",IF(AG483="",AH483,IF(AH483="",AG483,AG483&amp;": "&amp;AH483))),""))</f>
        <v/>
      </c>
    </row>
    <row r="484" ht="16" customHeight="1" s="151">
      <c r="A484" s="62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20">
        <f>IF(H484&lt;&gt;"",IFERROR(VLOOKUP(IFERROR(LEFT(H484,FIND("-",H484)-1),H484),'Catalogo MINSAL'!A:E,5,FALSE),""),IF(I484&lt;&gt;"",IFERROR(VLOOKUP(IFERROR(LEFT(I484,FIND("-",I484)-1),I484),'Catalogo MINSAL'!A:E,5,FALSE),""),""))</f>
        <v/>
      </c>
      <c r="K484" s="19" t="n"/>
      <c r="L484" s="19" t="n"/>
      <c r="M484" s="19" t="n"/>
      <c r="N484" s="19" t="n"/>
      <c r="O484" s="25" t="n"/>
      <c r="P484" s="27">
        <f>IFERROR(IF(OR(O484="",A484="",M484=""),"",IF(SUMPRODUCT(($A$4:$A$500=A484)*($M$4:$M$500=M484)*($O$4:$O$500&lt;&gt;"")*(MOD($O$4:$O$500,1)&lt;MOD(O484,1)))=0,IF(MOD(O484,1)&lt;=TIME(8,15,0),"Ingreso adecuado primera hora","Atraso primera hora"),"No aplica")),"")</f>
        <v/>
      </c>
      <c r="Q484" s="27" t="n"/>
      <c r="R484" s="25" t="n"/>
      <c r="S484" s="25" t="n"/>
      <c r="T484" s="25" t="n"/>
      <c r="U484" s="25">
        <f>IFERROR(VLOOKUP(M484,'Horario Pabellones'!$A$4:$D$17,2,FALSE),"")</f>
        <v/>
      </c>
      <c r="V484" s="25">
        <f>IFERROR(VLOOKUP(M484,'Horario Pabellones'!$A$4:$D$17,3,FALSE),"")</f>
        <v/>
      </c>
      <c r="W484" s="99">
        <f>IFERROR(VLOOKUP(M484,'Horario Pabellones'!$A$4:$D$17,4,FALSE),"")</f>
        <v/>
      </c>
      <c r="X484" s="89">
        <f>IFERROR(IF(OR(A484="",M484="",W484=""),"",(((_xludf.AGGREGATE(14,6,MOD($S$4:$S$500,1)/(($A$4:$A$500=A484)*($M$4:$M$500=M484)*($R$4:$R$500&lt;&gt;"")*($S$4:$S$500&lt;&gt;"")),1)-_xludf.AGGREGATE(15,6,MOD($R$4:$R$500,1)/(($A$4:$A$500=A484)*($M$4:$M$500=M484)*($R$4:$R$500&lt;&gt;"")*($S$4:$S$500&lt;&gt;"")),1))*1440)/60)/(W484/60)),"")</f>
        <v/>
      </c>
      <c r="Y484" s="26">
        <f>IFERROR(IF(OR(O484="",A484="",M484=""),"",(IF(ISNUMBER(O484),MOD(O484,1),TIMEVALUE(O484))-LOOKUP(2,1/(($A$4:$A$500=A484)*($M$4:$M$500=M484)*($T$4:$T$500&lt;&gt;"")*($T$4:$T$500&lt;IF(ISNUMBER(O484),MOD(O484,1),TIMEVALUE(O484)))),$T$4:$T$500))*1440),"")</f>
        <v/>
      </c>
      <c r="Z484" s="27">
        <f>IFERROR(IF(Y484="","",IF(ROUND(Y484,0)&lt;=15,"Cumple","No cumple")),"")</f>
        <v/>
      </c>
      <c r="AA484" s="27" t="n"/>
      <c r="AB484" s="26">
        <f>IFERROR(IF(OR(O484="",R484=""),"",IF(IF(ISNUMBER(R484),MOD(R484,1),TIMEVALUE(R484))&gt;=IF(ISNUMBER(O484),MOD(O484,1),TIMEVALUE(O484)),(IF(ISNUMBER(R484),MOD(R484,1),TIMEVALUE(R484))-IF(ISNUMBER(O484),MOD(O484,1),TIMEVALUE(O484)))*1440,(IF(ISNUMBER(R484),MOD(R484,1),TIMEVALUE(R484))+1-IF(ISNUMBER(O484),MOD(O484,1),TIMEVALUE(O484)))*1440)),"")</f>
        <v/>
      </c>
      <c r="AC484" s="26">
        <f>IFERROR(IF(OR(R484="",S484=""),"",IF(IF(ISNUMBER(S484),MOD(S484,1),TIMEVALUE(S484))&gt;=IF(ISNUMBER(R484),MOD(R484,1),TIMEVALUE(R484)),(IF(ISNUMBER(S484),MOD(S484,1),TIMEVALUE(S484))-IF(ISNUMBER(R484),MOD(R484,1),TIMEVALUE(R484)))*1440,(IF(ISNUMBER(S484),MOD(S484,1),TIMEVALUE(S484))+1-IF(ISNUMBER(R484),MOD(R484,1),TIMEVALUE(R484)))*1440)),"")</f>
        <v/>
      </c>
      <c r="AD484" s="29" t="n"/>
      <c r="AE484" s="26">
        <f>IFERROR(IF(OR(AC484="",AD484=""),"",AC484-AD484),"")</f>
        <v/>
      </c>
      <c r="AF484" s="27">
        <f>IFERROR(IF(AE484="","",IF(ROUND(AE484,0)&gt;15,"Subestimacion",IF(ROUND(AE484,0)&lt;-15,"Sobrestimacion","Asertivo"))),"")</f>
        <v/>
      </c>
      <c r="AG484" s="19" t="n"/>
      <c r="AH484" s="19" t="n"/>
      <c r="AI484" s="19" t="n"/>
      <c r="AJ484" s="19" t="n"/>
      <c r="AK484" s="19" t="n"/>
      <c r="AL484" s="19" t="n"/>
      <c r="AM484" s="19" t="n"/>
      <c r="AN484" s="19" t="n"/>
      <c r="AO484" s="19" t="n"/>
      <c r="AP484" s="127">
        <f>IF(A484="","",A484-WEEKDAY(A484,2)+1)</f>
        <v/>
      </c>
      <c r="AQ484" s="127">
        <f>IF(AO484="","",AO484+6)</f>
        <v/>
      </c>
      <c r="AR484" s="19">
        <f>IF(AO484="","","Semana "&amp;TEXT(AO484,"dd-mm-yyyy")&amp;" al "&amp;TEXT(AP484,"dd-mm-yyyy"))</f>
        <v/>
      </c>
      <c r="AS484" s="19">
        <f>IF(A484="","",TEXT(A484,"mmmm yyyy"))</f>
        <v/>
      </c>
      <c r="AT484" s="19">
        <f>IF(A484="","",TEXT(A484,"dddd"))</f>
        <v/>
      </c>
      <c r="AU484" s="19">
        <f>IF(A484="","","CRR-"&amp;TEXT(A484,"yyyymmdd")&amp;"-"&amp;M484&amp;"-"&amp;TEXT(ROW()-3,"0000"))</f>
        <v/>
      </c>
      <c r="AV484" s="19">
        <f>IF(A484="","",IF(OR(B484="",C484="",E484="",F484="",M484="",N484=""),"Revisar campos obligatorios",IF(AND(P484="Atraso primera hora",Q484=""),"Falta justificación atraso primera hora",IF(AND(Z484="No cumple",AA484=""),"Falta justificación recambio &gt;15 min",IF(AND(ISNUMBER(SEARCH("suspend",N484)),OR(AG484="",AH484="")),"Falta causa/motivo suspensión","OK")))))</f>
        <v/>
      </c>
      <c r="AW484" s="19">
        <f>IF(N484="","",IF(ISNUMBER(SEARCH("suspend",N484)),IF(AND(AG484="",AH484=""),"Sin causa/motivo registrado",IF(AG484="",AH484,IF(AH484="",AG484,AG484&amp;": "&amp;AH484))),""))</f>
        <v/>
      </c>
    </row>
    <row r="485" ht="16" customHeight="1" s="151">
      <c r="A485" s="62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20">
        <f>IF(H485&lt;&gt;"",IFERROR(VLOOKUP(IFERROR(LEFT(H485,FIND("-",H485)-1),H485),'Catalogo MINSAL'!A:E,5,FALSE),""),IF(I485&lt;&gt;"",IFERROR(VLOOKUP(IFERROR(LEFT(I485,FIND("-",I485)-1),I485),'Catalogo MINSAL'!A:E,5,FALSE),""),""))</f>
        <v/>
      </c>
      <c r="K485" s="19" t="n"/>
      <c r="L485" s="19" t="n"/>
      <c r="M485" s="19" t="n"/>
      <c r="N485" s="19" t="n"/>
      <c r="O485" s="25" t="n"/>
      <c r="P485" s="27">
        <f>IFERROR(IF(OR(O485="",A485="",M485=""),"",IF(SUMPRODUCT(($A$4:$A$500=A485)*($M$4:$M$500=M485)*($O$4:$O$500&lt;&gt;"")*(MOD($O$4:$O$500,1)&lt;MOD(O485,1)))=0,IF(MOD(O485,1)&lt;=TIME(8,15,0),"Ingreso adecuado primera hora","Atraso primera hora"),"No aplica")),"")</f>
        <v/>
      </c>
      <c r="Q485" s="27" t="n"/>
      <c r="R485" s="25" t="n"/>
      <c r="S485" s="25" t="n"/>
      <c r="T485" s="25" t="n"/>
      <c r="U485" s="25">
        <f>IFERROR(VLOOKUP(M485,'Horario Pabellones'!$A$4:$D$17,2,FALSE),"")</f>
        <v/>
      </c>
      <c r="V485" s="25">
        <f>IFERROR(VLOOKUP(M485,'Horario Pabellones'!$A$4:$D$17,3,FALSE),"")</f>
        <v/>
      </c>
      <c r="W485" s="99">
        <f>IFERROR(VLOOKUP(M485,'Horario Pabellones'!$A$4:$D$17,4,FALSE),"")</f>
        <v/>
      </c>
      <c r="X485" s="89">
        <f>IFERROR(IF(OR(A485="",M485="",W485=""),"",(((_xludf.AGGREGATE(14,6,MOD($S$4:$S$500,1)/(($A$4:$A$500=A485)*($M$4:$M$500=M485)*($R$4:$R$500&lt;&gt;"")*($S$4:$S$500&lt;&gt;"")),1)-_xludf.AGGREGATE(15,6,MOD($R$4:$R$500,1)/(($A$4:$A$500=A485)*($M$4:$M$500=M485)*($R$4:$R$500&lt;&gt;"")*($S$4:$S$500&lt;&gt;"")),1))*1440)/60)/(W485/60)),"")</f>
        <v/>
      </c>
      <c r="Y485" s="26">
        <f>IFERROR(IF(OR(O485="",A485="",M485=""),"",(IF(ISNUMBER(O485),MOD(O485,1),TIMEVALUE(O485))-LOOKUP(2,1/(($A$4:$A$500=A485)*($M$4:$M$500=M485)*($T$4:$T$500&lt;&gt;"")*($T$4:$T$500&lt;IF(ISNUMBER(O485),MOD(O485,1),TIMEVALUE(O485)))),$T$4:$T$500))*1440),"")</f>
        <v/>
      </c>
      <c r="Z485" s="27">
        <f>IFERROR(IF(Y485="","",IF(ROUND(Y485,0)&lt;=15,"Cumple","No cumple")),"")</f>
        <v/>
      </c>
      <c r="AA485" s="27" t="n"/>
      <c r="AB485" s="26">
        <f>IFERROR(IF(OR(O485="",R485=""),"",IF(IF(ISNUMBER(R485),MOD(R485,1),TIMEVALUE(R485))&gt;=IF(ISNUMBER(O485),MOD(O485,1),TIMEVALUE(O485)),(IF(ISNUMBER(R485),MOD(R485,1),TIMEVALUE(R485))-IF(ISNUMBER(O485),MOD(O485,1),TIMEVALUE(O485)))*1440,(IF(ISNUMBER(R485),MOD(R485,1),TIMEVALUE(R485))+1-IF(ISNUMBER(O485),MOD(O485,1),TIMEVALUE(O485)))*1440)),"")</f>
        <v/>
      </c>
      <c r="AC485" s="26">
        <f>IFERROR(IF(OR(R485="",S485=""),"",IF(IF(ISNUMBER(S485),MOD(S485,1),TIMEVALUE(S485))&gt;=IF(ISNUMBER(R485),MOD(R485,1),TIMEVALUE(R485)),(IF(ISNUMBER(S485),MOD(S485,1),TIMEVALUE(S485))-IF(ISNUMBER(R485),MOD(R485,1),TIMEVALUE(R485)))*1440,(IF(ISNUMBER(S485),MOD(S485,1),TIMEVALUE(S485))+1-IF(ISNUMBER(R485),MOD(R485,1),TIMEVALUE(R485)))*1440)),"")</f>
        <v/>
      </c>
      <c r="AD485" s="29" t="n"/>
      <c r="AE485" s="26">
        <f>IFERROR(IF(OR(AC485="",AD485=""),"",AC485-AD485),"")</f>
        <v/>
      </c>
      <c r="AF485" s="27">
        <f>IFERROR(IF(AE485="","",IF(ROUND(AE485,0)&gt;15,"Subestimacion",IF(ROUND(AE485,0)&lt;-15,"Sobrestimacion","Asertivo"))),"")</f>
        <v/>
      </c>
      <c r="AG485" s="19" t="n"/>
      <c r="AH485" s="19" t="n"/>
      <c r="AI485" s="19" t="n"/>
      <c r="AJ485" s="19" t="n"/>
      <c r="AK485" s="19" t="n"/>
      <c r="AL485" s="19" t="n"/>
      <c r="AM485" s="19" t="n"/>
      <c r="AN485" s="19" t="n"/>
      <c r="AO485" s="19" t="n"/>
      <c r="AP485" s="127">
        <f>IF(A485="","",A485-WEEKDAY(A485,2)+1)</f>
        <v/>
      </c>
      <c r="AQ485" s="127">
        <f>IF(AO485="","",AO485+6)</f>
        <v/>
      </c>
      <c r="AR485" s="19">
        <f>IF(AO485="","","Semana "&amp;TEXT(AO485,"dd-mm-yyyy")&amp;" al "&amp;TEXT(AP485,"dd-mm-yyyy"))</f>
        <v/>
      </c>
      <c r="AS485" s="19">
        <f>IF(A485="","",TEXT(A485,"mmmm yyyy"))</f>
        <v/>
      </c>
      <c r="AT485" s="19">
        <f>IF(A485="","",TEXT(A485,"dddd"))</f>
        <v/>
      </c>
      <c r="AU485" s="19">
        <f>IF(A485="","","CRR-"&amp;TEXT(A485,"yyyymmdd")&amp;"-"&amp;M485&amp;"-"&amp;TEXT(ROW()-3,"0000"))</f>
        <v/>
      </c>
      <c r="AV485" s="19">
        <f>IF(A485="","",IF(OR(B485="",C485="",E485="",F485="",M485="",N485=""),"Revisar campos obligatorios",IF(AND(P485="Atraso primera hora",Q485=""),"Falta justificación atraso primera hora",IF(AND(Z485="No cumple",AA485=""),"Falta justificación recambio &gt;15 min",IF(AND(ISNUMBER(SEARCH("suspend",N485)),OR(AG485="",AH485="")),"Falta causa/motivo suspensión","OK")))))</f>
        <v/>
      </c>
      <c r="AW485" s="19">
        <f>IF(N485="","",IF(ISNUMBER(SEARCH("suspend",N485)),IF(AND(AG485="",AH485=""),"Sin causa/motivo registrado",IF(AG485="",AH485,IF(AH485="",AG485,AG485&amp;": "&amp;AH485))),""))</f>
        <v/>
      </c>
    </row>
    <row r="486" ht="16" customHeight="1" s="151">
      <c r="A486" s="62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20">
        <f>IF(H486&lt;&gt;"",IFERROR(VLOOKUP(IFERROR(LEFT(H486,FIND("-",H486)-1),H486),'Catalogo MINSAL'!A:E,5,FALSE),""),IF(I486&lt;&gt;"",IFERROR(VLOOKUP(IFERROR(LEFT(I486,FIND("-",I486)-1),I486),'Catalogo MINSAL'!A:E,5,FALSE),""),""))</f>
        <v/>
      </c>
      <c r="K486" s="19" t="n"/>
      <c r="L486" s="19" t="n"/>
      <c r="M486" s="19" t="n"/>
      <c r="N486" s="19" t="n"/>
      <c r="O486" s="25" t="n"/>
      <c r="P486" s="27">
        <f>IFERROR(IF(OR(O486="",A486="",M486=""),"",IF(SUMPRODUCT(($A$4:$A$500=A486)*($M$4:$M$500=M486)*($O$4:$O$500&lt;&gt;"")*(MOD($O$4:$O$500,1)&lt;MOD(O486,1)))=0,IF(MOD(O486,1)&lt;=TIME(8,15,0),"Ingreso adecuado primera hora","Atraso primera hora"),"No aplica")),"")</f>
        <v/>
      </c>
      <c r="Q486" s="27" t="n"/>
      <c r="R486" s="25" t="n"/>
      <c r="S486" s="25" t="n"/>
      <c r="T486" s="25" t="n"/>
      <c r="U486" s="25">
        <f>IFERROR(VLOOKUP(M486,'Horario Pabellones'!$A$4:$D$17,2,FALSE),"")</f>
        <v/>
      </c>
      <c r="V486" s="25">
        <f>IFERROR(VLOOKUP(M486,'Horario Pabellones'!$A$4:$D$17,3,FALSE),"")</f>
        <v/>
      </c>
      <c r="W486" s="99">
        <f>IFERROR(VLOOKUP(M486,'Horario Pabellones'!$A$4:$D$17,4,FALSE),"")</f>
        <v/>
      </c>
      <c r="X486" s="89">
        <f>IFERROR(IF(OR(A486="",M486="",W486=""),"",(((_xludf.AGGREGATE(14,6,MOD($S$4:$S$500,1)/(($A$4:$A$500=A486)*($M$4:$M$500=M486)*($R$4:$R$500&lt;&gt;"")*($S$4:$S$500&lt;&gt;"")),1)-_xludf.AGGREGATE(15,6,MOD($R$4:$R$500,1)/(($A$4:$A$500=A486)*($M$4:$M$500=M486)*($R$4:$R$500&lt;&gt;"")*($S$4:$S$500&lt;&gt;"")),1))*1440)/60)/(W486/60)),"")</f>
        <v/>
      </c>
      <c r="Y486" s="26">
        <f>IFERROR(IF(OR(O486="",A486="",M486=""),"",(IF(ISNUMBER(O486),MOD(O486,1),TIMEVALUE(O486))-LOOKUP(2,1/(($A$4:$A$500=A486)*($M$4:$M$500=M486)*($T$4:$T$500&lt;&gt;"")*($T$4:$T$500&lt;IF(ISNUMBER(O486),MOD(O486,1),TIMEVALUE(O486)))),$T$4:$T$500))*1440),"")</f>
        <v/>
      </c>
      <c r="Z486" s="27">
        <f>IFERROR(IF(Y486="","",IF(ROUND(Y486,0)&lt;=15,"Cumple","No cumple")),"")</f>
        <v/>
      </c>
      <c r="AA486" s="27" t="n"/>
      <c r="AB486" s="26">
        <f>IFERROR(IF(OR(O486="",R486=""),"",IF(IF(ISNUMBER(R486),MOD(R486,1),TIMEVALUE(R486))&gt;=IF(ISNUMBER(O486),MOD(O486,1),TIMEVALUE(O486)),(IF(ISNUMBER(R486),MOD(R486,1),TIMEVALUE(R486))-IF(ISNUMBER(O486),MOD(O486,1),TIMEVALUE(O486)))*1440,(IF(ISNUMBER(R486),MOD(R486,1),TIMEVALUE(R486))+1-IF(ISNUMBER(O486),MOD(O486,1),TIMEVALUE(O486)))*1440)),"")</f>
        <v/>
      </c>
      <c r="AC486" s="26">
        <f>IFERROR(IF(OR(R486="",S486=""),"",IF(IF(ISNUMBER(S486),MOD(S486,1),TIMEVALUE(S486))&gt;=IF(ISNUMBER(R486),MOD(R486,1),TIMEVALUE(R486)),(IF(ISNUMBER(S486),MOD(S486,1),TIMEVALUE(S486))-IF(ISNUMBER(R486),MOD(R486,1),TIMEVALUE(R486)))*1440,(IF(ISNUMBER(S486),MOD(S486,1),TIMEVALUE(S486))+1-IF(ISNUMBER(R486),MOD(R486,1),TIMEVALUE(R486)))*1440)),"")</f>
        <v/>
      </c>
      <c r="AD486" s="29" t="n"/>
      <c r="AE486" s="26">
        <f>IFERROR(IF(OR(AC486="",AD486=""),"",AC486-AD486),"")</f>
        <v/>
      </c>
      <c r="AF486" s="27">
        <f>IFERROR(IF(AE486="","",IF(ROUND(AE486,0)&gt;15,"Subestimacion",IF(ROUND(AE486,0)&lt;-15,"Sobrestimacion","Asertivo"))),"")</f>
        <v/>
      </c>
      <c r="AG486" s="19" t="n"/>
      <c r="AH486" s="19" t="n"/>
      <c r="AI486" s="19" t="n"/>
      <c r="AJ486" s="19" t="n"/>
      <c r="AK486" s="19" t="n"/>
      <c r="AL486" s="19" t="n"/>
      <c r="AM486" s="19" t="n"/>
      <c r="AN486" s="19" t="n"/>
      <c r="AO486" s="19" t="n"/>
      <c r="AP486" s="127">
        <f>IF(A486="","",A486-WEEKDAY(A486,2)+1)</f>
        <v/>
      </c>
      <c r="AQ486" s="127">
        <f>IF(AO486="","",AO486+6)</f>
        <v/>
      </c>
      <c r="AR486" s="19">
        <f>IF(AO486="","","Semana "&amp;TEXT(AO486,"dd-mm-yyyy")&amp;" al "&amp;TEXT(AP486,"dd-mm-yyyy"))</f>
        <v/>
      </c>
      <c r="AS486" s="19">
        <f>IF(A486="","",TEXT(A486,"mmmm yyyy"))</f>
        <v/>
      </c>
      <c r="AT486" s="19">
        <f>IF(A486="","",TEXT(A486,"dddd"))</f>
        <v/>
      </c>
      <c r="AU486" s="19">
        <f>IF(A486="","","CRR-"&amp;TEXT(A486,"yyyymmdd")&amp;"-"&amp;M486&amp;"-"&amp;TEXT(ROW()-3,"0000"))</f>
        <v/>
      </c>
      <c r="AV486" s="19">
        <f>IF(A486="","",IF(OR(B486="",C486="",E486="",F486="",M486="",N486=""),"Revisar campos obligatorios",IF(AND(P486="Atraso primera hora",Q486=""),"Falta justificación atraso primera hora",IF(AND(Z486="No cumple",AA486=""),"Falta justificación recambio &gt;15 min",IF(AND(ISNUMBER(SEARCH("suspend",N486)),OR(AG486="",AH486="")),"Falta causa/motivo suspensión","OK")))))</f>
        <v/>
      </c>
      <c r="AW486" s="19">
        <f>IF(N486="","",IF(ISNUMBER(SEARCH("suspend",N486)),IF(AND(AG486="",AH486=""),"Sin causa/motivo registrado",IF(AG486="",AH486,IF(AH486="",AG486,AG486&amp;": "&amp;AH486))),""))</f>
        <v/>
      </c>
    </row>
    <row r="487" ht="16" customHeight="1" s="151">
      <c r="A487" s="62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20">
        <f>IF(H487&lt;&gt;"",IFERROR(VLOOKUP(IFERROR(LEFT(H487,FIND("-",H487)-1),H487),'Catalogo MINSAL'!A:E,5,FALSE),""),IF(I487&lt;&gt;"",IFERROR(VLOOKUP(IFERROR(LEFT(I487,FIND("-",I487)-1),I487),'Catalogo MINSAL'!A:E,5,FALSE),""),""))</f>
        <v/>
      </c>
      <c r="K487" s="19" t="n"/>
      <c r="L487" s="19" t="n"/>
      <c r="M487" s="19" t="n"/>
      <c r="N487" s="19" t="n"/>
      <c r="O487" s="25" t="n"/>
      <c r="P487" s="27">
        <f>IFERROR(IF(OR(O487="",A487="",M487=""),"",IF(SUMPRODUCT(($A$4:$A$500=A487)*($M$4:$M$500=M487)*($O$4:$O$500&lt;&gt;"")*(MOD($O$4:$O$500,1)&lt;MOD(O487,1)))=0,IF(MOD(O487,1)&lt;=TIME(8,15,0),"Ingreso adecuado primera hora","Atraso primera hora"),"No aplica")),"")</f>
        <v/>
      </c>
      <c r="Q487" s="27" t="n"/>
      <c r="R487" s="25" t="n"/>
      <c r="S487" s="25" t="n"/>
      <c r="T487" s="25" t="n"/>
      <c r="U487" s="25">
        <f>IFERROR(VLOOKUP(M487,'Horario Pabellones'!$A$4:$D$17,2,FALSE),"")</f>
        <v/>
      </c>
      <c r="V487" s="25">
        <f>IFERROR(VLOOKUP(M487,'Horario Pabellones'!$A$4:$D$17,3,FALSE),"")</f>
        <v/>
      </c>
      <c r="W487" s="99">
        <f>IFERROR(VLOOKUP(M487,'Horario Pabellones'!$A$4:$D$17,4,FALSE),"")</f>
        <v/>
      </c>
      <c r="X487" s="89">
        <f>IFERROR(IF(OR(A487="",M487="",W487=""),"",(((_xludf.AGGREGATE(14,6,MOD($S$4:$S$500,1)/(($A$4:$A$500=A487)*($M$4:$M$500=M487)*($R$4:$R$500&lt;&gt;"")*($S$4:$S$500&lt;&gt;"")),1)-_xludf.AGGREGATE(15,6,MOD($R$4:$R$500,1)/(($A$4:$A$500=A487)*($M$4:$M$500=M487)*($R$4:$R$500&lt;&gt;"")*($S$4:$S$500&lt;&gt;"")),1))*1440)/60)/(W487/60)),"")</f>
        <v/>
      </c>
      <c r="Y487" s="26">
        <f>IFERROR(IF(OR(O487="",A487="",M487=""),"",(IF(ISNUMBER(O487),MOD(O487,1),TIMEVALUE(O487))-LOOKUP(2,1/(($A$4:$A$500=A487)*($M$4:$M$500=M487)*($T$4:$T$500&lt;&gt;"")*($T$4:$T$500&lt;IF(ISNUMBER(O487),MOD(O487,1),TIMEVALUE(O487)))),$T$4:$T$500))*1440),"")</f>
        <v/>
      </c>
      <c r="Z487" s="27">
        <f>IFERROR(IF(Y487="","",IF(ROUND(Y487,0)&lt;=15,"Cumple","No cumple")),"")</f>
        <v/>
      </c>
      <c r="AA487" s="27" t="n"/>
      <c r="AB487" s="26">
        <f>IFERROR(IF(OR(O487="",R487=""),"",IF(IF(ISNUMBER(R487),MOD(R487,1),TIMEVALUE(R487))&gt;=IF(ISNUMBER(O487),MOD(O487,1),TIMEVALUE(O487)),(IF(ISNUMBER(R487),MOD(R487,1),TIMEVALUE(R487))-IF(ISNUMBER(O487),MOD(O487,1),TIMEVALUE(O487)))*1440,(IF(ISNUMBER(R487),MOD(R487,1),TIMEVALUE(R487))+1-IF(ISNUMBER(O487),MOD(O487,1),TIMEVALUE(O487)))*1440)),"")</f>
        <v/>
      </c>
      <c r="AC487" s="26">
        <f>IFERROR(IF(OR(R487="",S487=""),"",IF(IF(ISNUMBER(S487),MOD(S487,1),TIMEVALUE(S487))&gt;=IF(ISNUMBER(R487),MOD(R487,1),TIMEVALUE(R487)),(IF(ISNUMBER(S487),MOD(S487,1),TIMEVALUE(S487))-IF(ISNUMBER(R487),MOD(R487,1),TIMEVALUE(R487)))*1440,(IF(ISNUMBER(S487),MOD(S487,1),TIMEVALUE(S487))+1-IF(ISNUMBER(R487),MOD(R487,1),TIMEVALUE(R487)))*1440)),"")</f>
        <v/>
      </c>
      <c r="AD487" s="29" t="n"/>
      <c r="AE487" s="26">
        <f>IFERROR(IF(OR(AC487="",AD487=""),"",AC487-AD487),"")</f>
        <v/>
      </c>
      <c r="AF487" s="27">
        <f>IFERROR(IF(AE487="","",IF(ROUND(AE487,0)&gt;15,"Subestimacion",IF(ROUND(AE487,0)&lt;-15,"Sobrestimacion","Asertivo"))),"")</f>
        <v/>
      </c>
      <c r="AG487" s="19" t="n"/>
      <c r="AH487" s="19" t="n"/>
      <c r="AI487" s="19" t="n"/>
      <c r="AJ487" s="19" t="n"/>
      <c r="AK487" s="19" t="n"/>
      <c r="AL487" s="19" t="n"/>
      <c r="AM487" s="19" t="n"/>
      <c r="AN487" s="19" t="n"/>
      <c r="AO487" s="19" t="n"/>
      <c r="AP487" s="127">
        <f>IF(A487="","",A487-WEEKDAY(A487,2)+1)</f>
        <v/>
      </c>
      <c r="AQ487" s="127">
        <f>IF(AO487="","",AO487+6)</f>
        <v/>
      </c>
      <c r="AR487" s="19">
        <f>IF(AO487="","","Semana "&amp;TEXT(AO487,"dd-mm-yyyy")&amp;" al "&amp;TEXT(AP487,"dd-mm-yyyy"))</f>
        <v/>
      </c>
      <c r="AS487" s="19">
        <f>IF(A487="","",TEXT(A487,"mmmm yyyy"))</f>
        <v/>
      </c>
      <c r="AT487" s="19">
        <f>IF(A487="","",TEXT(A487,"dddd"))</f>
        <v/>
      </c>
      <c r="AU487" s="19">
        <f>IF(A487="","","CRR-"&amp;TEXT(A487,"yyyymmdd")&amp;"-"&amp;M487&amp;"-"&amp;TEXT(ROW()-3,"0000"))</f>
        <v/>
      </c>
      <c r="AV487" s="19">
        <f>IF(A487="","",IF(OR(B487="",C487="",E487="",F487="",M487="",N487=""),"Revisar campos obligatorios",IF(AND(P487="Atraso primera hora",Q487=""),"Falta justificación atraso primera hora",IF(AND(Z487="No cumple",AA487=""),"Falta justificación recambio &gt;15 min",IF(AND(ISNUMBER(SEARCH("suspend",N487)),OR(AG487="",AH487="")),"Falta causa/motivo suspensión","OK")))))</f>
        <v/>
      </c>
      <c r="AW487" s="19">
        <f>IF(N487="","",IF(ISNUMBER(SEARCH("suspend",N487)),IF(AND(AG487="",AH487=""),"Sin causa/motivo registrado",IF(AG487="",AH487,IF(AH487="",AG487,AG487&amp;": "&amp;AH487))),""))</f>
        <v/>
      </c>
    </row>
    <row r="488" ht="16" customHeight="1" s="151">
      <c r="A488" s="62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20">
        <f>IF(H488&lt;&gt;"",IFERROR(VLOOKUP(IFERROR(LEFT(H488,FIND("-",H488)-1),H488),'Catalogo MINSAL'!A:E,5,FALSE),""),IF(I488&lt;&gt;"",IFERROR(VLOOKUP(IFERROR(LEFT(I488,FIND("-",I488)-1),I488),'Catalogo MINSAL'!A:E,5,FALSE),""),""))</f>
        <v/>
      </c>
      <c r="K488" s="19" t="n"/>
      <c r="L488" s="19" t="n"/>
      <c r="M488" s="19" t="n"/>
      <c r="N488" s="19" t="n"/>
      <c r="O488" s="25" t="n"/>
      <c r="P488" s="27">
        <f>IFERROR(IF(OR(O488="",A488="",M488=""),"",IF(SUMPRODUCT(($A$4:$A$500=A488)*($M$4:$M$500=M488)*($O$4:$O$500&lt;&gt;"")*(MOD($O$4:$O$500,1)&lt;MOD(O488,1)))=0,IF(MOD(O488,1)&lt;=TIME(8,15,0),"Ingreso adecuado primera hora","Atraso primera hora"),"No aplica")),"")</f>
        <v/>
      </c>
      <c r="Q488" s="27" t="n"/>
      <c r="R488" s="25" t="n"/>
      <c r="S488" s="25" t="n"/>
      <c r="T488" s="25" t="n"/>
      <c r="U488" s="25">
        <f>IFERROR(VLOOKUP(M488,'Horario Pabellones'!$A$4:$D$17,2,FALSE),"")</f>
        <v/>
      </c>
      <c r="V488" s="25">
        <f>IFERROR(VLOOKUP(M488,'Horario Pabellones'!$A$4:$D$17,3,FALSE),"")</f>
        <v/>
      </c>
      <c r="W488" s="99">
        <f>IFERROR(VLOOKUP(M488,'Horario Pabellones'!$A$4:$D$17,4,FALSE),"")</f>
        <v/>
      </c>
      <c r="X488" s="89">
        <f>IFERROR(IF(OR(A488="",M488="",W488=""),"",(((_xludf.AGGREGATE(14,6,MOD($S$4:$S$500,1)/(($A$4:$A$500=A488)*($M$4:$M$500=M488)*($R$4:$R$500&lt;&gt;"")*($S$4:$S$500&lt;&gt;"")),1)-_xludf.AGGREGATE(15,6,MOD($R$4:$R$500,1)/(($A$4:$A$500=A488)*($M$4:$M$500=M488)*($R$4:$R$500&lt;&gt;"")*($S$4:$S$500&lt;&gt;"")),1))*1440)/60)/(W488/60)),"")</f>
        <v/>
      </c>
      <c r="Y488" s="26">
        <f>IFERROR(IF(OR(O488="",A488="",M488=""),"",(IF(ISNUMBER(O488),MOD(O488,1),TIMEVALUE(O488))-LOOKUP(2,1/(($A$4:$A$500=A488)*($M$4:$M$500=M488)*($T$4:$T$500&lt;&gt;"")*($T$4:$T$500&lt;IF(ISNUMBER(O488),MOD(O488,1),TIMEVALUE(O488)))),$T$4:$T$500))*1440),"")</f>
        <v/>
      </c>
      <c r="Z488" s="27">
        <f>IFERROR(IF(Y488="","",IF(ROUND(Y488,0)&lt;=15,"Cumple","No cumple")),"")</f>
        <v/>
      </c>
      <c r="AA488" s="27" t="n"/>
      <c r="AB488" s="26">
        <f>IFERROR(IF(OR(O488="",R488=""),"",IF(IF(ISNUMBER(R488),MOD(R488,1),TIMEVALUE(R488))&gt;=IF(ISNUMBER(O488),MOD(O488,1),TIMEVALUE(O488)),(IF(ISNUMBER(R488),MOD(R488,1),TIMEVALUE(R488))-IF(ISNUMBER(O488),MOD(O488,1),TIMEVALUE(O488)))*1440,(IF(ISNUMBER(R488),MOD(R488,1),TIMEVALUE(R488))+1-IF(ISNUMBER(O488),MOD(O488,1),TIMEVALUE(O488)))*1440)),"")</f>
        <v/>
      </c>
      <c r="AC488" s="26">
        <f>IFERROR(IF(OR(R488="",S488=""),"",IF(IF(ISNUMBER(S488),MOD(S488,1),TIMEVALUE(S488))&gt;=IF(ISNUMBER(R488),MOD(R488,1),TIMEVALUE(R488)),(IF(ISNUMBER(S488),MOD(S488,1),TIMEVALUE(S488))-IF(ISNUMBER(R488),MOD(R488,1),TIMEVALUE(R488)))*1440,(IF(ISNUMBER(S488),MOD(S488,1),TIMEVALUE(S488))+1-IF(ISNUMBER(R488),MOD(R488,1),TIMEVALUE(R488)))*1440)),"")</f>
        <v/>
      </c>
      <c r="AD488" s="29" t="n"/>
      <c r="AE488" s="26">
        <f>IFERROR(IF(OR(AC488="",AD488=""),"",AC488-AD488),"")</f>
        <v/>
      </c>
      <c r="AF488" s="27">
        <f>IFERROR(IF(AE488="","",IF(ROUND(AE488,0)&gt;15,"Subestimacion",IF(ROUND(AE488,0)&lt;-15,"Sobrestimacion","Asertivo"))),"")</f>
        <v/>
      </c>
      <c r="AG488" s="19" t="n"/>
      <c r="AH488" s="19" t="n"/>
      <c r="AI488" s="19" t="n"/>
      <c r="AJ488" s="19" t="n"/>
      <c r="AK488" s="19" t="n"/>
      <c r="AL488" s="19" t="n"/>
      <c r="AM488" s="19" t="n"/>
      <c r="AN488" s="19" t="n"/>
      <c r="AO488" s="19" t="n"/>
      <c r="AP488" s="127">
        <f>IF(A488="","",A488-WEEKDAY(A488,2)+1)</f>
        <v/>
      </c>
      <c r="AQ488" s="127">
        <f>IF(AO488="","",AO488+6)</f>
        <v/>
      </c>
      <c r="AR488" s="19">
        <f>IF(AO488="","","Semana "&amp;TEXT(AO488,"dd-mm-yyyy")&amp;" al "&amp;TEXT(AP488,"dd-mm-yyyy"))</f>
        <v/>
      </c>
      <c r="AS488" s="19">
        <f>IF(A488="","",TEXT(A488,"mmmm yyyy"))</f>
        <v/>
      </c>
      <c r="AT488" s="19">
        <f>IF(A488="","",TEXT(A488,"dddd"))</f>
        <v/>
      </c>
      <c r="AU488" s="19">
        <f>IF(A488="","","CRR-"&amp;TEXT(A488,"yyyymmdd")&amp;"-"&amp;M488&amp;"-"&amp;TEXT(ROW()-3,"0000"))</f>
        <v/>
      </c>
      <c r="AV488" s="19">
        <f>IF(A488="","",IF(OR(B488="",C488="",E488="",F488="",M488="",N488=""),"Revisar campos obligatorios",IF(AND(P488="Atraso primera hora",Q488=""),"Falta justificación atraso primera hora",IF(AND(Z488="No cumple",AA488=""),"Falta justificación recambio &gt;15 min",IF(AND(ISNUMBER(SEARCH("suspend",N488)),OR(AG488="",AH488="")),"Falta causa/motivo suspensión","OK")))))</f>
        <v/>
      </c>
      <c r="AW488" s="19">
        <f>IF(N488="","",IF(ISNUMBER(SEARCH("suspend",N488)),IF(AND(AG488="",AH488=""),"Sin causa/motivo registrado",IF(AG488="",AH488,IF(AH488="",AG488,AG488&amp;": "&amp;AH488))),""))</f>
        <v/>
      </c>
    </row>
    <row r="489" ht="16" customHeight="1" s="151">
      <c r="A489" s="62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20">
        <f>IF(H489&lt;&gt;"",IFERROR(VLOOKUP(IFERROR(LEFT(H489,FIND("-",H489)-1),H489),'Catalogo MINSAL'!A:E,5,FALSE),""),IF(I489&lt;&gt;"",IFERROR(VLOOKUP(IFERROR(LEFT(I489,FIND("-",I489)-1),I489),'Catalogo MINSAL'!A:E,5,FALSE),""),""))</f>
        <v/>
      </c>
      <c r="K489" s="19" t="n"/>
      <c r="L489" s="19" t="n"/>
      <c r="M489" s="19" t="n"/>
      <c r="N489" s="19" t="n"/>
      <c r="O489" s="25" t="n"/>
      <c r="P489" s="27">
        <f>IFERROR(IF(OR(O489="",A489="",M489=""),"",IF(SUMPRODUCT(($A$4:$A$500=A489)*($M$4:$M$500=M489)*($O$4:$O$500&lt;&gt;"")*(MOD($O$4:$O$500,1)&lt;MOD(O489,1)))=0,IF(MOD(O489,1)&lt;=TIME(8,15,0),"Ingreso adecuado primera hora","Atraso primera hora"),"No aplica")),"")</f>
        <v/>
      </c>
      <c r="Q489" s="27" t="n"/>
      <c r="R489" s="25" t="n"/>
      <c r="S489" s="25" t="n"/>
      <c r="T489" s="25" t="n"/>
      <c r="U489" s="25">
        <f>IFERROR(VLOOKUP(M489,'Horario Pabellones'!$A$4:$D$17,2,FALSE),"")</f>
        <v/>
      </c>
      <c r="V489" s="25">
        <f>IFERROR(VLOOKUP(M489,'Horario Pabellones'!$A$4:$D$17,3,FALSE),"")</f>
        <v/>
      </c>
      <c r="W489" s="99">
        <f>IFERROR(VLOOKUP(M489,'Horario Pabellones'!$A$4:$D$17,4,FALSE),"")</f>
        <v/>
      </c>
      <c r="X489" s="89">
        <f>IFERROR(IF(OR(A489="",M489="",W489=""),"",(((_xludf.AGGREGATE(14,6,MOD($S$4:$S$500,1)/(($A$4:$A$500=A489)*($M$4:$M$500=M489)*($R$4:$R$500&lt;&gt;"")*($S$4:$S$500&lt;&gt;"")),1)-_xludf.AGGREGATE(15,6,MOD($R$4:$R$500,1)/(($A$4:$A$500=A489)*($M$4:$M$500=M489)*($R$4:$R$500&lt;&gt;"")*($S$4:$S$500&lt;&gt;"")),1))*1440)/60)/(W489/60)),"")</f>
        <v/>
      </c>
      <c r="Y489" s="26">
        <f>IFERROR(IF(OR(O489="",A489="",M489=""),"",(IF(ISNUMBER(O489),MOD(O489,1),TIMEVALUE(O489))-LOOKUP(2,1/(($A$4:$A$500=A489)*($M$4:$M$500=M489)*($T$4:$T$500&lt;&gt;"")*($T$4:$T$500&lt;IF(ISNUMBER(O489),MOD(O489,1),TIMEVALUE(O489)))),$T$4:$T$500))*1440),"")</f>
        <v/>
      </c>
      <c r="Z489" s="27">
        <f>IFERROR(IF(Y489="","",IF(ROUND(Y489,0)&lt;=15,"Cumple","No cumple")),"")</f>
        <v/>
      </c>
      <c r="AA489" s="27" t="n"/>
      <c r="AB489" s="26">
        <f>IFERROR(IF(OR(O489="",R489=""),"",IF(IF(ISNUMBER(R489),MOD(R489,1),TIMEVALUE(R489))&gt;=IF(ISNUMBER(O489),MOD(O489,1),TIMEVALUE(O489)),(IF(ISNUMBER(R489),MOD(R489,1),TIMEVALUE(R489))-IF(ISNUMBER(O489),MOD(O489,1),TIMEVALUE(O489)))*1440,(IF(ISNUMBER(R489),MOD(R489,1),TIMEVALUE(R489))+1-IF(ISNUMBER(O489),MOD(O489,1),TIMEVALUE(O489)))*1440)),"")</f>
        <v/>
      </c>
      <c r="AC489" s="26">
        <f>IFERROR(IF(OR(R489="",S489=""),"",IF(IF(ISNUMBER(S489),MOD(S489,1),TIMEVALUE(S489))&gt;=IF(ISNUMBER(R489),MOD(R489,1),TIMEVALUE(R489)),(IF(ISNUMBER(S489),MOD(S489,1),TIMEVALUE(S489))-IF(ISNUMBER(R489),MOD(R489,1),TIMEVALUE(R489)))*1440,(IF(ISNUMBER(S489),MOD(S489,1),TIMEVALUE(S489))+1-IF(ISNUMBER(R489),MOD(R489,1),TIMEVALUE(R489)))*1440)),"")</f>
        <v/>
      </c>
      <c r="AD489" s="29" t="n"/>
      <c r="AE489" s="26">
        <f>IFERROR(IF(OR(AC489="",AD489=""),"",AC489-AD489),"")</f>
        <v/>
      </c>
      <c r="AF489" s="27">
        <f>IFERROR(IF(AE489="","",IF(ROUND(AE489,0)&gt;15,"Subestimacion",IF(ROUND(AE489,0)&lt;-15,"Sobrestimacion","Asertivo"))),"")</f>
        <v/>
      </c>
      <c r="AG489" s="19" t="n"/>
      <c r="AH489" s="19" t="n"/>
      <c r="AI489" s="19" t="n"/>
      <c r="AJ489" s="19" t="n"/>
      <c r="AK489" s="19" t="n"/>
      <c r="AL489" s="19" t="n"/>
      <c r="AM489" s="19" t="n"/>
      <c r="AN489" s="19" t="n"/>
      <c r="AO489" s="19" t="n"/>
      <c r="AP489" s="127">
        <f>IF(A489="","",A489-WEEKDAY(A489,2)+1)</f>
        <v/>
      </c>
      <c r="AQ489" s="127">
        <f>IF(AO489="","",AO489+6)</f>
        <v/>
      </c>
      <c r="AR489" s="19">
        <f>IF(AO489="","","Semana "&amp;TEXT(AO489,"dd-mm-yyyy")&amp;" al "&amp;TEXT(AP489,"dd-mm-yyyy"))</f>
        <v/>
      </c>
      <c r="AS489" s="19">
        <f>IF(A489="","",TEXT(A489,"mmmm yyyy"))</f>
        <v/>
      </c>
      <c r="AT489" s="19">
        <f>IF(A489="","",TEXT(A489,"dddd"))</f>
        <v/>
      </c>
      <c r="AU489" s="19">
        <f>IF(A489="","","CRR-"&amp;TEXT(A489,"yyyymmdd")&amp;"-"&amp;M489&amp;"-"&amp;TEXT(ROW()-3,"0000"))</f>
        <v/>
      </c>
      <c r="AV489" s="19">
        <f>IF(A489="","",IF(OR(B489="",C489="",E489="",F489="",M489="",N489=""),"Revisar campos obligatorios",IF(AND(P489="Atraso primera hora",Q489=""),"Falta justificación atraso primera hora",IF(AND(Z489="No cumple",AA489=""),"Falta justificación recambio &gt;15 min",IF(AND(ISNUMBER(SEARCH("suspend",N489)),OR(AG489="",AH489="")),"Falta causa/motivo suspensión","OK")))))</f>
        <v/>
      </c>
      <c r="AW489" s="19">
        <f>IF(N489="","",IF(ISNUMBER(SEARCH("suspend",N489)),IF(AND(AG489="",AH489=""),"Sin causa/motivo registrado",IF(AG489="",AH489,IF(AH489="",AG489,AG489&amp;": "&amp;AH489))),""))</f>
        <v/>
      </c>
    </row>
    <row r="490" ht="16" customHeight="1" s="151">
      <c r="A490" s="62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20">
        <f>IF(H490&lt;&gt;"",IFERROR(VLOOKUP(IFERROR(LEFT(H490,FIND("-",H490)-1),H490),'Catalogo MINSAL'!A:E,5,FALSE),""),IF(I490&lt;&gt;"",IFERROR(VLOOKUP(IFERROR(LEFT(I490,FIND("-",I490)-1),I490),'Catalogo MINSAL'!A:E,5,FALSE),""),""))</f>
        <v/>
      </c>
      <c r="K490" s="19" t="n"/>
      <c r="L490" s="19" t="n"/>
      <c r="M490" s="19" t="n"/>
      <c r="N490" s="19" t="n"/>
      <c r="O490" s="25" t="n"/>
      <c r="P490" s="27">
        <f>IFERROR(IF(OR(O490="",A490="",M490=""),"",IF(SUMPRODUCT(($A$4:$A$500=A490)*($M$4:$M$500=M490)*($O$4:$O$500&lt;&gt;"")*(MOD($O$4:$O$500,1)&lt;MOD(O490,1)))=0,IF(MOD(O490,1)&lt;=TIME(8,15,0),"Ingreso adecuado primera hora","Atraso primera hora"),"No aplica")),"")</f>
        <v/>
      </c>
      <c r="Q490" s="27" t="n"/>
      <c r="R490" s="25" t="n"/>
      <c r="S490" s="25" t="n"/>
      <c r="T490" s="25" t="n"/>
      <c r="U490" s="25">
        <f>IFERROR(VLOOKUP(M490,'Horario Pabellones'!$A$4:$D$17,2,FALSE),"")</f>
        <v/>
      </c>
      <c r="V490" s="25">
        <f>IFERROR(VLOOKUP(M490,'Horario Pabellones'!$A$4:$D$17,3,FALSE),"")</f>
        <v/>
      </c>
      <c r="W490" s="99">
        <f>IFERROR(VLOOKUP(M490,'Horario Pabellones'!$A$4:$D$17,4,FALSE),"")</f>
        <v/>
      </c>
      <c r="X490" s="89">
        <f>IFERROR(IF(OR(A490="",M490="",W490=""),"",(((_xludf.AGGREGATE(14,6,MOD($S$4:$S$500,1)/(($A$4:$A$500=A490)*($M$4:$M$500=M490)*($R$4:$R$500&lt;&gt;"")*($S$4:$S$500&lt;&gt;"")),1)-_xludf.AGGREGATE(15,6,MOD($R$4:$R$500,1)/(($A$4:$A$500=A490)*($M$4:$M$500=M490)*($R$4:$R$500&lt;&gt;"")*($S$4:$S$500&lt;&gt;"")),1))*1440)/60)/(W490/60)),"")</f>
        <v/>
      </c>
      <c r="Y490" s="26">
        <f>IFERROR(IF(OR(O490="",A490="",M490=""),"",(IF(ISNUMBER(O490),MOD(O490,1),TIMEVALUE(O490))-LOOKUP(2,1/(($A$4:$A$500=A490)*($M$4:$M$500=M490)*($T$4:$T$500&lt;&gt;"")*($T$4:$T$500&lt;IF(ISNUMBER(O490),MOD(O490,1),TIMEVALUE(O490)))),$T$4:$T$500))*1440),"")</f>
        <v/>
      </c>
      <c r="Z490" s="27">
        <f>IFERROR(IF(Y490="","",IF(ROUND(Y490,0)&lt;=15,"Cumple","No cumple")),"")</f>
        <v/>
      </c>
      <c r="AA490" s="27" t="n"/>
      <c r="AB490" s="26">
        <f>IFERROR(IF(OR(O490="",R490=""),"",IF(IF(ISNUMBER(R490),MOD(R490,1),TIMEVALUE(R490))&gt;=IF(ISNUMBER(O490),MOD(O490,1),TIMEVALUE(O490)),(IF(ISNUMBER(R490),MOD(R490,1),TIMEVALUE(R490))-IF(ISNUMBER(O490),MOD(O490,1),TIMEVALUE(O490)))*1440,(IF(ISNUMBER(R490),MOD(R490,1),TIMEVALUE(R490))+1-IF(ISNUMBER(O490),MOD(O490,1),TIMEVALUE(O490)))*1440)),"")</f>
        <v/>
      </c>
      <c r="AC490" s="26">
        <f>IFERROR(IF(OR(R490="",S490=""),"",IF(IF(ISNUMBER(S490),MOD(S490,1),TIMEVALUE(S490))&gt;=IF(ISNUMBER(R490),MOD(R490,1),TIMEVALUE(R490)),(IF(ISNUMBER(S490),MOD(S490,1),TIMEVALUE(S490))-IF(ISNUMBER(R490),MOD(R490,1),TIMEVALUE(R490)))*1440,(IF(ISNUMBER(S490),MOD(S490,1),TIMEVALUE(S490))+1-IF(ISNUMBER(R490),MOD(R490,1),TIMEVALUE(R490)))*1440)),"")</f>
        <v/>
      </c>
      <c r="AD490" s="29" t="n"/>
      <c r="AE490" s="26">
        <f>IFERROR(IF(OR(AC490="",AD490=""),"",AC490-AD490),"")</f>
        <v/>
      </c>
      <c r="AF490" s="27">
        <f>IFERROR(IF(AE490="","",IF(ROUND(AE490,0)&gt;15,"Subestimacion",IF(ROUND(AE490,0)&lt;-15,"Sobrestimacion","Asertivo"))),"")</f>
        <v/>
      </c>
      <c r="AG490" s="19" t="n"/>
      <c r="AH490" s="19" t="n"/>
      <c r="AI490" s="19" t="n"/>
      <c r="AJ490" s="19" t="n"/>
      <c r="AK490" s="19" t="n"/>
      <c r="AL490" s="19" t="n"/>
      <c r="AM490" s="19" t="n"/>
      <c r="AN490" s="19" t="n"/>
      <c r="AO490" s="19" t="n"/>
      <c r="AP490" s="127">
        <f>IF(A490="","",A490-WEEKDAY(A490,2)+1)</f>
        <v/>
      </c>
      <c r="AQ490" s="127">
        <f>IF(AO490="","",AO490+6)</f>
        <v/>
      </c>
      <c r="AR490" s="19">
        <f>IF(AO490="","","Semana "&amp;TEXT(AO490,"dd-mm-yyyy")&amp;" al "&amp;TEXT(AP490,"dd-mm-yyyy"))</f>
        <v/>
      </c>
      <c r="AS490" s="19">
        <f>IF(A490="","",TEXT(A490,"mmmm yyyy"))</f>
        <v/>
      </c>
      <c r="AT490" s="19">
        <f>IF(A490="","",TEXT(A490,"dddd"))</f>
        <v/>
      </c>
      <c r="AU490" s="19">
        <f>IF(A490="","","CRR-"&amp;TEXT(A490,"yyyymmdd")&amp;"-"&amp;M490&amp;"-"&amp;TEXT(ROW()-3,"0000"))</f>
        <v/>
      </c>
      <c r="AV490" s="19">
        <f>IF(A490="","",IF(OR(B490="",C490="",E490="",F490="",M490="",N490=""),"Revisar campos obligatorios",IF(AND(P490="Atraso primera hora",Q490=""),"Falta justificación atraso primera hora",IF(AND(Z490="No cumple",AA490=""),"Falta justificación recambio &gt;15 min",IF(AND(ISNUMBER(SEARCH("suspend",N490)),OR(AG490="",AH490="")),"Falta causa/motivo suspensión","OK")))))</f>
        <v/>
      </c>
      <c r="AW490" s="19">
        <f>IF(N490="","",IF(ISNUMBER(SEARCH("suspend",N490)),IF(AND(AG490="",AH490=""),"Sin causa/motivo registrado",IF(AG490="",AH490,IF(AH490="",AG490,AG490&amp;": "&amp;AH490))),""))</f>
        <v/>
      </c>
    </row>
    <row r="491" ht="16" customHeight="1" s="151">
      <c r="A491" s="62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20">
        <f>IF(H491&lt;&gt;"",IFERROR(VLOOKUP(IFERROR(LEFT(H491,FIND("-",H491)-1),H491),'Catalogo MINSAL'!A:E,5,FALSE),""),IF(I491&lt;&gt;"",IFERROR(VLOOKUP(IFERROR(LEFT(I491,FIND("-",I491)-1),I491),'Catalogo MINSAL'!A:E,5,FALSE),""),""))</f>
        <v/>
      </c>
      <c r="K491" s="19" t="n"/>
      <c r="L491" s="19" t="n"/>
      <c r="M491" s="19" t="n"/>
      <c r="N491" s="19" t="n"/>
      <c r="O491" s="25" t="n"/>
      <c r="P491" s="27">
        <f>IFERROR(IF(OR(O491="",A491="",M491=""),"",IF(SUMPRODUCT(($A$4:$A$500=A491)*($M$4:$M$500=M491)*($O$4:$O$500&lt;&gt;"")*(MOD($O$4:$O$500,1)&lt;MOD(O491,1)))=0,IF(MOD(O491,1)&lt;=TIME(8,15,0),"Ingreso adecuado primera hora","Atraso primera hora"),"No aplica")),"")</f>
        <v/>
      </c>
      <c r="Q491" s="27" t="n"/>
      <c r="R491" s="25" t="n"/>
      <c r="S491" s="25" t="n"/>
      <c r="T491" s="25" t="n"/>
      <c r="U491" s="25">
        <f>IFERROR(VLOOKUP(M491,'Horario Pabellones'!$A$4:$D$17,2,FALSE),"")</f>
        <v/>
      </c>
      <c r="V491" s="25">
        <f>IFERROR(VLOOKUP(M491,'Horario Pabellones'!$A$4:$D$17,3,FALSE),"")</f>
        <v/>
      </c>
      <c r="W491" s="99">
        <f>IFERROR(VLOOKUP(M491,'Horario Pabellones'!$A$4:$D$17,4,FALSE),"")</f>
        <v/>
      </c>
      <c r="X491" s="89">
        <f>IFERROR(IF(OR(A491="",M491="",W491=""),"",(((_xludf.AGGREGATE(14,6,MOD($S$4:$S$500,1)/(($A$4:$A$500=A491)*($M$4:$M$500=M491)*($R$4:$R$500&lt;&gt;"")*($S$4:$S$500&lt;&gt;"")),1)-_xludf.AGGREGATE(15,6,MOD($R$4:$R$500,1)/(($A$4:$A$500=A491)*($M$4:$M$500=M491)*($R$4:$R$500&lt;&gt;"")*($S$4:$S$500&lt;&gt;"")),1))*1440)/60)/(W491/60)),"")</f>
        <v/>
      </c>
      <c r="Y491" s="26">
        <f>IFERROR(IF(OR(O491="",A491="",M491=""),"",(IF(ISNUMBER(O491),MOD(O491,1),TIMEVALUE(O491))-LOOKUP(2,1/(($A$4:$A$500=A491)*($M$4:$M$500=M491)*($T$4:$T$500&lt;&gt;"")*($T$4:$T$500&lt;IF(ISNUMBER(O491),MOD(O491,1),TIMEVALUE(O491)))),$T$4:$T$500))*1440),"")</f>
        <v/>
      </c>
      <c r="Z491" s="27">
        <f>IFERROR(IF(Y491="","",IF(ROUND(Y491,0)&lt;=15,"Cumple","No cumple")),"")</f>
        <v/>
      </c>
      <c r="AA491" s="27" t="n"/>
      <c r="AB491" s="26">
        <f>IFERROR(IF(OR(O491="",R491=""),"",IF(IF(ISNUMBER(R491),MOD(R491,1),TIMEVALUE(R491))&gt;=IF(ISNUMBER(O491),MOD(O491,1),TIMEVALUE(O491)),(IF(ISNUMBER(R491),MOD(R491,1),TIMEVALUE(R491))-IF(ISNUMBER(O491),MOD(O491,1),TIMEVALUE(O491)))*1440,(IF(ISNUMBER(R491),MOD(R491,1),TIMEVALUE(R491))+1-IF(ISNUMBER(O491),MOD(O491,1),TIMEVALUE(O491)))*1440)),"")</f>
        <v/>
      </c>
      <c r="AC491" s="26">
        <f>IFERROR(IF(OR(R491="",S491=""),"",IF(IF(ISNUMBER(S491),MOD(S491,1),TIMEVALUE(S491))&gt;=IF(ISNUMBER(R491),MOD(R491,1),TIMEVALUE(R491)),(IF(ISNUMBER(S491),MOD(S491,1),TIMEVALUE(S491))-IF(ISNUMBER(R491),MOD(R491,1),TIMEVALUE(R491)))*1440,(IF(ISNUMBER(S491),MOD(S491,1),TIMEVALUE(S491))+1-IF(ISNUMBER(R491),MOD(R491,1),TIMEVALUE(R491)))*1440)),"")</f>
        <v/>
      </c>
      <c r="AD491" s="29" t="n"/>
      <c r="AE491" s="26">
        <f>IFERROR(IF(OR(AC491="",AD491=""),"",AC491-AD491),"")</f>
        <v/>
      </c>
      <c r="AF491" s="27">
        <f>IFERROR(IF(AE491="","",IF(ROUND(AE491,0)&gt;15,"Subestimacion",IF(ROUND(AE491,0)&lt;-15,"Sobrestimacion","Asertivo"))),"")</f>
        <v/>
      </c>
      <c r="AG491" s="19" t="n"/>
      <c r="AH491" s="19" t="n"/>
      <c r="AI491" s="19" t="n"/>
      <c r="AJ491" s="19" t="n"/>
      <c r="AK491" s="19" t="n"/>
      <c r="AL491" s="19" t="n"/>
      <c r="AM491" s="19" t="n"/>
      <c r="AN491" s="19" t="n"/>
      <c r="AO491" s="19" t="n"/>
      <c r="AP491" s="127">
        <f>IF(A491="","",A491-WEEKDAY(A491,2)+1)</f>
        <v/>
      </c>
      <c r="AQ491" s="127">
        <f>IF(AO491="","",AO491+6)</f>
        <v/>
      </c>
      <c r="AR491" s="19">
        <f>IF(AO491="","","Semana "&amp;TEXT(AO491,"dd-mm-yyyy")&amp;" al "&amp;TEXT(AP491,"dd-mm-yyyy"))</f>
        <v/>
      </c>
      <c r="AS491" s="19">
        <f>IF(A491="","",TEXT(A491,"mmmm yyyy"))</f>
        <v/>
      </c>
      <c r="AT491" s="19">
        <f>IF(A491="","",TEXT(A491,"dddd"))</f>
        <v/>
      </c>
      <c r="AU491" s="19">
        <f>IF(A491="","","CRR-"&amp;TEXT(A491,"yyyymmdd")&amp;"-"&amp;M491&amp;"-"&amp;TEXT(ROW()-3,"0000"))</f>
        <v/>
      </c>
      <c r="AV491" s="19">
        <f>IF(A491="","",IF(OR(B491="",C491="",E491="",F491="",M491="",N491=""),"Revisar campos obligatorios",IF(AND(P491="Atraso primera hora",Q491=""),"Falta justificación atraso primera hora",IF(AND(Z491="No cumple",AA491=""),"Falta justificación recambio &gt;15 min",IF(AND(ISNUMBER(SEARCH("suspend",N491)),OR(AG491="",AH491="")),"Falta causa/motivo suspensión","OK")))))</f>
        <v/>
      </c>
      <c r="AW491" s="19">
        <f>IF(N491="","",IF(ISNUMBER(SEARCH("suspend",N491)),IF(AND(AG491="",AH491=""),"Sin causa/motivo registrado",IF(AG491="",AH491,IF(AH491="",AG491,AG491&amp;": "&amp;AH491))),""))</f>
        <v/>
      </c>
    </row>
    <row r="492" ht="16" customHeight="1" s="151">
      <c r="A492" s="62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20">
        <f>IF(H492&lt;&gt;"",IFERROR(VLOOKUP(IFERROR(LEFT(H492,FIND("-",H492)-1),H492),'Catalogo MINSAL'!A:E,5,FALSE),""),IF(I492&lt;&gt;"",IFERROR(VLOOKUP(IFERROR(LEFT(I492,FIND("-",I492)-1),I492),'Catalogo MINSAL'!A:E,5,FALSE),""),""))</f>
        <v/>
      </c>
      <c r="K492" s="19" t="n"/>
      <c r="L492" s="19" t="n"/>
      <c r="M492" s="19" t="n"/>
      <c r="N492" s="19" t="n"/>
      <c r="O492" s="25" t="n"/>
      <c r="P492" s="27">
        <f>IFERROR(IF(OR(O492="",A492="",M492=""),"",IF(SUMPRODUCT(($A$4:$A$500=A492)*($M$4:$M$500=M492)*($O$4:$O$500&lt;&gt;"")*(MOD($O$4:$O$500,1)&lt;MOD(O492,1)))=0,IF(MOD(O492,1)&lt;=TIME(8,15,0),"Ingreso adecuado primera hora","Atraso primera hora"),"No aplica")),"")</f>
        <v/>
      </c>
      <c r="Q492" s="27" t="n"/>
      <c r="R492" s="25" t="n"/>
      <c r="S492" s="25" t="n"/>
      <c r="T492" s="25" t="n"/>
      <c r="U492" s="25">
        <f>IFERROR(VLOOKUP(M492,'Horario Pabellones'!$A$4:$D$17,2,FALSE),"")</f>
        <v/>
      </c>
      <c r="V492" s="25">
        <f>IFERROR(VLOOKUP(M492,'Horario Pabellones'!$A$4:$D$17,3,FALSE),"")</f>
        <v/>
      </c>
      <c r="W492" s="99">
        <f>IFERROR(VLOOKUP(M492,'Horario Pabellones'!$A$4:$D$17,4,FALSE),"")</f>
        <v/>
      </c>
      <c r="X492" s="89">
        <f>IFERROR(IF(OR(A492="",M492="",W492=""),"",(((_xludf.AGGREGATE(14,6,MOD($S$4:$S$500,1)/(($A$4:$A$500=A492)*($M$4:$M$500=M492)*($R$4:$R$500&lt;&gt;"")*($S$4:$S$500&lt;&gt;"")),1)-_xludf.AGGREGATE(15,6,MOD($R$4:$R$500,1)/(($A$4:$A$500=A492)*($M$4:$M$500=M492)*($R$4:$R$500&lt;&gt;"")*($S$4:$S$500&lt;&gt;"")),1))*1440)/60)/(W492/60)),"")</f>
        <v/>
      </c>
      <c r="Y492" s="26">
        <f>IFERROR(IF(OR(O492="",A492="",M492=""),"",(IF(ISNUMBER(O492),MOD(O492,1),TIMEVALUE(O492))-LOOKUP(2,1/(($A$4:$A$500=A492)*($M$4:$M$500=M492)*($T$4:$T$500&lt;&gt;"")*($T$4:$T$500&lt;IF(ISNUMBER(O492),MOD(O492,1),TIMEVALUE(O492)))),$T$4:$T$500))*1440),"")</f>
        <v/>
      </c>
      <c r="Z492" s="27">
        <f>IFERROR(IF(Y492="","",IF(ROUND(Y492,0)&lt;=15,"Cumple","No cumple")),"")</f>
        <v/>
      </c>
      <c r="AA492" s="27" t="n"/>
      <c r="AB492" s="26">
        <f>IFERROR(IF(OR(O492="",R492=""),"",IF(IF(ISNUMBER(R492),MOD(R492,1),TIMEVALUE(R492))&gt;=IF(ISNUMBER(O492),MOD(O492,1),TIMEVALUE(O492)),(IF(ISNUMBER(R492),MOD(R492,1),TIMEVALUE(R492))-IF(ISNUMBER(O492),MOD(O492,1),TIMEVALUE(O492)))*1440,(IF(ISNUMBER(R492),MOD(R492,1),TIMEVALUE(R492))+1-IF(ISNUMBER(O492),MOD(O492,1),TIMEVALUE(O492)))*1440)),"")</f>
        <v/>
      </c>
      <c r="AC492" s="26">
        <f>IFERROR(IF(OR(R492="",S492=""),"",IF(IF(ISNUMBER(S492),MOD(S492,1),TIMEVALUE(S492))&gt;=IF(ISNUMBER(R492),MOD(R492,1),TIMEVALUE(R492)),(IF(ISNUMBER(S492),MOD(S492,1),TIMEVALUE(S492))-IF(ISNUMBER(R492),MOD(R492,1),TIMEVALUE(R492)))*1440,(IF(ISNUMBER(S492),MOD(S492,1),TIMEVALUE(S492))+1-IF(ISNUMBER(R492),MOD(R492,1),TIMEVALUE(R492)))*1440)),"")</f>
        <v/>
      </c>
      <c r="AD492" s="29" t="n"/>
      <c r="AE492" s="26">
        <f>IFERROR(IF(OR(AC492="",AD492=""),"",AC492-AD492),"")</f>
        <v/>
      </c>
      <c r="AF492" s="27">
        <f>IFERROR(IF(AE492="","",IF(ROUND(AE492,0)&gt;15,"Subestimacion",IF(ROUND(AE492,0)&lt;-15,"Sobrestimacion","Asertivo"))),"")</f>
        <v/>
      </c>
      <c r="AG492" s="19" t="n"/>
      <c r="AH492" s="19" t="n"/>
      <c r="AI492" s="19" t="n"/>
      <c r="AJ492" s="19" t="n"/>
      <c r="AK492" s="19" t="n"/>
      <c r="AL492" s="19" t="n"/>
      <c r="AM492" s="19" t="n"/>
      <c r="AN492" s="19" t="n"/>
      <c r="AO492" s="19" t="n"/>
      <c r="AP492" s="127">
        <f>IF(A492="","",A492-WEEKDAY(A492,2)+1)</f>
        <v/>
      </c>
      <c r="AQ492" s="127">
        <f>IF(AO492="","",AO492+6)</f>
        <v/>
      </c>
      <c r="AR492" s="19">
        <f>IF(AO492="","","Semana "&amp;TEXT(AO492,"dd-mm-yyyy")&amp;" al "&amp;TEXT(AP492,"dd-mm-yyyy"))</f>
        <v/>
      </c>
      <c r="AS492" s="19">
        <f>IF(A492="","",TEXT(A492,"mmmm yyyy"))</f>
        <v/>
      </c>
      <c r="AT492" s="19">
        <f>IF(A492="","",TEXT(A492,"dddd"))</f>
        <v/>
      </c>
      <c r="AU492" s="19">
        <f>IF(A492="","","CRR-"&amp;TEXT(A492,"yyyymmdd")&amp;"-"&amp;M492&amp;"-"&amp;TEXT(ROW()-3,"0000"))</f>
        <v/>
      </c>
      <c r="AV492" s="19">
        <f>IF(A492="","",IF(OR(B492="",C492="",E492="",F492="",M492="",N492=""),"Revisar campos obligatorios",IF(AND(P492="Atraso primera hora",Q492=""),"Falta justificación atraso primera hora",IF(AND(Z492="No cumple",AA492=""),"Falta justificación recambio &gt;15 min",IF(AND(ISNUMBER(SEARCH("suspend",N492)),OR(AG492="",AH492="")),"Falta causa/motivo suspensión","OK")))))</f>
        <v/>
      </c>
      <c r="AW492" s="19">
        <f>IF(N492="","",IF(ISNUMBER(SEARCH("suspend",N492)),IF(AND(AG492="",AH492=""),"Sin causa/motivo registrado",IF(AG492="",AH492,IF(AH492="",AG492,AG492&amp;": "&amp;AH492))),""))</f>
        <v/>
      </c>
    </row>
    <row r="493" ht="16" customHeight="1" s="151">
      <c r="A493" s="62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20">
        <f>IF(H493&lt;&gt;"",IFERROR(VLOOKUP(IFERROR(LEFT(H493,FIND("-",H493)-1),H493),'Catalogo MINSAL'!A:E,5,FALSE),""),IF(I493&lt;&gt;"",IFERROR(VLOOKUP(IFERROR(LEFT(I493,FIND("-",I493)-1),I493),'Catalogo MINSAL'!A:E,5,FALSE),""),""))</f>
        <v/>
      </c>
      <c r="K493" s="19" t="n"/>
      <c r="L493" s="19" t="n"/>
      <c r="M493" s="19" t="n"/>
      <c r="N493" s="19" t="n"/>
      <c r="O493" s="25" t="n"/>
      <c r="P493" s="27">
        <f>IFERROR(IF(OR(O493="",A493="",M493=""),"",IF(SUMPRODUCT(($A$4:$A$500=A493)*($M$4:$M$500=M493)*($O$4:$O$500&lt;&gt;"")*(MOD($O$4:$O$500,1)&lt;MOD(O493,1)))=0,IF(MOD(O493,1)&lt;=TIME(8,15,0),"Ingreso adecuado primera hora","Atraso primera hora"),"No aplica")),"")</f>
        <v/>
      </c>
      <c r="Q493" s="27" t="n"/>
      <c r="R493" s="25" t="n"/>
      <c r="S493" s="25" t="n"/>
      <c r="T493" s="25" t="n"/>
      <c r="U493" s="25">
        <f>IFERROR(VLOOKUP(M493,'Horario Pabellones'!$A$4:$D$17,2,FALSE),"")</f>
        <v/>
      </c>
      <c r="V493" s="25">
        <f>IFERROR(VLOOKUP(M493,'Horario Pabellones'!$A$4:$D$17,3,FALSE),"")</f>
        <v/>
      </c>
      <c r="W493" s="99">
        <f>IFERROR(VLOOKUP(M493,'Horario Pabellones'!$A$4:$D$17,4,FALSE),"")</f>
        <v/>
      </c>
      <c r="X493" s="89">
        <f>IFERROR(IF(OR(A493="",M493="",W493=""),"",(((_xludf.AGGREGATE(14,6,MOD($S$4:$S$500,1)/(($A$4:$A$500=A493)*($M$4:$M$500=M493)*($R$4:$R$500&lt;&gt;"")*($S$4:$S$500&lt;&gt;"")),1)-_xludf.AGGREGATE(15,6,MOD($R$4:$R$500,1)/(($A$4:$A$500=A493)*($M$4:$M$500=M493)*($R$4:$R$500&lt;&gt;"")*($S$4:$S$500&lt;&gt;"")),1))*1440)/60)/(W493/60)),"")</f>
        <v/>
      </c>
      <c r="Y493" s="26">
        <f>IFERROR(IF(OR(O493="",A493="",M493=""),"",(IF(ISNUMBER(O493),MOD(O493,1),TIMEVALUE(O493))-LOOKUP(2,1/(($A$4:$A$500=A493)*($M$4:$M$500=M493)*($T$4:$T$500&lt;&gt;"")*($T$4:$T$500&lt;IF(ISNUMBER(O493),MOD(O493,1),TIMEVALUE(O493)))),$T$4:$T$500))*1440),"")</f>
        <v/>
      </c>
      <c r="Z493" s="27">
        <f>IFERROR(IF(Y493="","",IF(ROUND(Y493,0)&lt;=15,"Cumple","No cumple")),"")</f>
        <v/>
      </c>
      <c r="AA493" s="27" t="n"/>
      <c r="AB493" s="26">
        <f>IFERROR(IF(OR(O493="",R493=""),"",IF(IF(ISNUMBER(R493),MOD(R493,1),TIMEVALUE(R493))&gt;=IF(ISNUMBER(O493),MOD(O493,1),TIMEVALUE(O493)),(IF(ISNUMBER(R493),MOD(R493,1),TIMEVALUE(R493))-IF(ISNUMBER(O493),MOD(O493,1),TIMEVALUE(O493)))*1440,(IF(ISNUMBER(R493),MOD(R493,1),TIMEVALUE(R493))+1-IF(ISNUMBER(O493),MOD(O493,1),TIMEVALUE(O493)))*1440)),"")</f>
        <v/>
      </c>
      <c r="AC493" s="26">
        <f>IFERROR(IF(OR(R493="",S493=""),"",IF(IF(ISNUMBER(S493),MOD(S493,1),TIMEVALUE(S493))&gt;=IF(ISNUMBER(R493),MOD(R493,1),TIMEVALUE(R493)),(IF(ISNUMBER(S493),MOD(S493,1),TIMEVALUE(S493))-IF(ISNUMBER(R493),MOD(R493,1),TIMEVALUE(R493)))*1440,(IF(ISNUMBER(S493),MOD(S493,1),TIMEVALUE(S493))+1-IF(ISNUMBER(R493),MOD(R493,1),TIMEVALUE(R493)))*1440)),"")</f>
        <v/>
      </c>
      <c r="AD493" s="29" t="n"/>
      <c r="AE493" s="26">
        <f>IFERROR(IF(OR(AC493="",AD493=""),"",AC493-AD493),"")</f>
        <v/>
      </c>
      <c r="AF493" s="27">
        <f>IFERROR(IF(AE493="","",IF(ROUND(AE493,0)&gt;15,"Subestimacion",IF(ROUND(AE493,0)&lt;-15,"Sobrestimacion","Asertivo"))),"")</f>
        <v/>
      </c>
      <c r="AG493" s="19" t="n"/>
      <c r="AH493" s="19" t="n"/>
      <c r="AI493" s="19" t="n"/>
      <c r="AJ493" s="19" t="n"/>
      <c r="AK493" s="19" t="n"/>
      <c r="AL493" s="19" t="n"/>
      <c r="AM493" s="19" t="n"/>
      <c r="AN493" s="19" t="n"/>
      <c r="AO493" s="19" t="n"/>
      <c r="AP493" s="127">
        <f>IF(A493="","",A493-WEEKDAY(A493,2)+1)</f>
        <v/>
      </c>
      <c r="AQ493" s="127">
        <f>IF(AO493="","",AO493+6)</f>
        <v/>
      </c>
      <c r="AR493" s="19">
        <f>IF(AO493="","","Semana "&amp;TEXT(AO493,"dd-mm-yyyy")&amp;" al "&amp;TEXT(AP493,"dd-mm-yyyy"))</f>
        <v/>
      </c>
      <c r="AS493" s="19">
        <f>IF(A493="","",TEXT(A493,"mmmm yyyy"))</f>
        <v/>
      </c>
      <c r="AT493" s="19">
        <f>IF(A493="","",TEXT(A493,"dddd"))</f>
        <v/>
      </c>
      <c r="AU493" s="19">
        <f>IF(A493="","","CRR-"&amp;TEXT(A493,"yyyymmdd")&amp;"-"&amp;M493&amp;"-"&amp;TEXT(ROW()-3,"0000"))</f>
        <v/>
      </c>
      <c r="AV493" s="19">
        <f>IF(A493="","",IF(OR(B493="",C493="",E493="",F493="",M493="",N493=""),"Revisar campos obligatorios",IF(AND(P493="Atraso primera hora",Q493=""),"Falta justificación atraso primera hora",IF(AND(Z493="No cumple",AA493=""),"Falta justificación recambio &gt;15 min",IF(AND(ISNUMBER(SEARCH("suspend",N493)),OR(AG493="",AH493="")),"Falta causa/motivo suspensión","OK")))))</f>
        <v/>
      </c>
      <c r="AW493" s="19">
        <f>IF(N493="","",IF(ISNUMBER(SEARCH("suspend",N493)),IF(AND(AG493="",AH493=""),"Sin causa/motivo registrado",IF(AG493="",AH493,IF(AH493="",AG493,AG493&amp;": "&amp;AH493))),""))</f>
        <v/>
      </c>
    </row>
    <row r="494" ht="16" customHeight="1" s="151">
      <c r="A494" s="62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20">
        <f>IF(H494&lt;&gt;"",IFERROR(VLOOKUP(IFERROR(LEFT(H494,FIND("-",H494)-1),H494),'Catalogo MINSAL'!A:E,5,FALSE),""),IF(I494&lt;&gt;"",IFERROR(VLOOKUP(IFERROR(LEFT(I494,FIND("-",I494)-1),I494),'Catalogo MINSAL'!A:E,5,FALSE),""),""))</f>
        <v/>
      </c>
      <c r="K494" s="19" t="n"/>
      <c r="L494" s="19" t="n"/>
      <c r="M494" s="19" t="n"/>
      <c r="N494" s="19" t="n"/>
      <c r="O494" s="25" t="n"/>
      <c r="P494" s="27">
        <f>IFERROR(IF(OR(O494="",A494="",M494=""),"",IF(SUMPRODUCT(($A$4:$A$500=A494)*($M$4:$M$500=M494)*($O$4:$O$500&lt;&gt;"")*(MOD($O$4:$O$500,1)&lt;MOD(O494,1)))=0,IF(MOD(O494,1)&lt;=TIME(8,15,0),"Ingreso adecuado primera hora","Atraso primera hora"),"No aplica")),"")</f>
        <v/>
      </c>
      <c r="Q494" s="27" t="n"/>
      <c r="R494" s="25" t="n"/>
      <c r="S494" s="25" t="n"/>
      <c r="T494" s="25" t="n"/>
      <c r="U494" s="25">
        <f>IFERROR(VLOOKUP(M494,'Horario Pabellones'!$A$4:$D$17,2,FALSE),"")</f>
        <v/>
      </c>
      <c r="V494" s="25">
        <f>IFERROR(VLOOKUP(M494,'Horario Pabellones'!$A$4:$D$17,3,FALSE),"")</f>
        <v/>
      </c>
      <c r="W494" s="99">
        <f>IFERROR(VLOOKUP(M494,'Horario Pabellones'!$A$4:$D$17,4,FALSE),"")</f>
        <v/>
      </c>
      <c r="X494" s="89">
        <f>IFERROR(IF(OR(A494="",M494="",W494=""),"",(((_xludf.AGGREGATE(14,6,MOD($S$4:$S$500,1)/(($A$4:$A$500=A494)*($M$4:$M$500=M494)*($R$4:$R$500&lt;&gt;"")*($S$4:$S$500&lt;&gt;"")),1)-_xludf.AGGREGATE(15,6,MOD($R$4:$R$500,1)/(($A$4:$A$500=A494)*($M$4:$M$500=M494)*($R$4:$R$500&lt;&gt;"")*($S$4:$S$500&lt;&gt;"")),1))*1440)/60)/(W494/60)),"")</f>
        <v/>
      </c>
      <c r="Y494" s="26">
        <f>IFERROR(IF(OR(O494="",A494="",M494=""),"",(IF(ISNUMBER(O494),MOD(O494,1),TIMEVALUE(O494))-LOOKUP(2,1/(($A$4:$A$500=A494)*($M$4:$M$500=M494)*($T$4:$T$500&lt;&gt;"")*($T$4:$T$500&lt;IF(ISNUMBER(O494),MOD(O494,1),TIMEVALUE(O494)))),$T$4:$T$500))*1440),"")</f>
        <v/>
      </c>
      <c r="Z494" s="27">
        <f>IFERROR(IF(Y494="","",IF(ROUND(Y494,0)&lt;=15,"Cumple","No cumple")),"")</f>
        <v/>
      </c>
      <c r="AA494" s="27" t="n"/>
      <c r="AB494" s="26">
        <f>IFERROR(IF(OR(O494="",R494=""),"",IF(IF(ISNUMBER(R494),MOD(R494,1),TIMEVALUE(R494))&gt;=IF(ISNUMBER(O494),MOD(O494,1),TIMEVALUE(O494)),(IF(ISNUMBER(R494),MOD(R494,1),TIMEVALUE(R494))-IF(ISNUMBER(O494),MOD(O494,1),TIMEVALUE(O494)))*1440,(IF(ISNUMBER(R494),MOD(R494,1),TIMEVALUE(R494))+1-IF(ISNUMBER(O494),MOD(O494,1),TIMEVALUE(O494)))*1440)),"")</f>
        <v/>
      </c>
      <c r="AC494" s="26">
        <f>IFERROR(IF(OR(R494="",S494=""),"",IF(IF(ISNUMBER(S494),MOD(S494,1),TIMEVALUE(S494))&gt;=IF(ISNUMBER(R494),MOD(R494,1),TIMEVALUE(R494)),(IF(ISNUMBER(S494),MOD(S494,1),TIMEVALUE(S494))-IF(ISNUMBER(R494),MOD(R494,1),TIMEVALUE(R494)))*1440,(IF(ISNUMBER(S494),MOD(S494,1),TIMEVALUE(S494))+1-IF(ISNUMBER(R494),MOD(R494,1),TIMEVALUE(R494)))*1440)),"")</f>
        <v/>
      </c>
      <c r="AD494" s="29" t="n"/>
      <c r="AE494" s="26">
        <f>IFERROR(IF(OR(AC494="",AD494=""),"",AC494-AD494),"")</f>
        <v/>
      </c>
      <c r="AF494" s="27">
        <f>IFERROR(IF(AE494="","",IF(ROUND(AE494,0)&gt;15,"Subestimacion",IF(ROUND(AE494,0)&lt;-15,"Sobrestimacion","Asertivo"))),"")</f>
        <v/>
      </c>
      <c r="AG494" s="19" t="n"/>
      <c r="AH494" s="19" t="n"/>
      <c r="AI494" s="19" t="n"/>
      <c r="AJ494" s="19" t="n"/>
      <c r="AK494" s="19" t="n"/>
      <c r="AL494" s="19" t="n"/>
      <c r="AM494" s="19" t="n"/>
      <c r="AN494" s="19" t="n"/>
      <c r="AO494" s="19" t="n"/>
      <c r="AP494" s="127">
        <f>IF(A494="","",A494-WEEKDAY(A494,2)+1)</f>
        <v/>
      </c>
      <c r="AQ494" s="127">
        <f>IF(AO494="","",AO494+6)</f>
        <v/>
      </c>
      <c r="AR494" s="19">
        <f>IF(AO494="","","Semana "&amp;TEXT(AO494,"dd-mm-yyyy")&amp;" al "&amp;TEXT(AP494,"dd-mm-yyyy"))</f>
        <v/>
      </c>
      <c r="AS494" s="19">
        <f>IF(A494="","",TEXT(A494,"mmmm yyyy"))</f>
        <v/>
      </c>
      <c r="AT494" s="19">
        <f>IF(A494="","",TEXT(A494,"dddd"))</f>
        <v/>
      </c>
      <c r="AU494" s="19">
        <f>IF(A494="","","CRR-"&amp;TEXT(A494,"yyyymmdd")&amp;"-"&amp;M494&amp;"-"&amp;TEXT(ROW()-3,"0000"))</f>
        <v/>
      </c>
      <c r="AV494" s="19">
        <f>IF(A494="","",IF(OR(B494="",C494="",E494="",F494="",M494="",N494=""),"Revisar campos obligatorios",IF(AND(P494="Atraso primera hora",Q494=""),"Falta justificación atraso primera hora",IF(AND(Z494="No cumple",AA494=""),"Falta justificación recambio &gt;15 min",IF(AND(ISNUMBER(SEARCH("suspend",N494)),OR(AG494="",AH494="")),"Falta causa/motivo suspensión","OK")))))</f>
        <v/>
      </c>
      <c r="AW494" s="19">
        <f>IF(N494="","",IF(ISNUMBER(SEARCH("suspend",N494)),IF(AND(AG494="",AH494=""),"Sin causa/motivo registrado",IF(AG494="",AH494,IF(AH494="",AG494,AG494&amp;": "&amp;AH494))),""))</f>
        <v/>
      </c>
    </row>
    <row r="495" ht="16" customHeight="1" s="151">
      <c r="A495" s="62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20">
        <f>IF(H495&lt;&gt;"",IFERROR(VLOOKUP(IFERROR(LEFT(H495,FIND("-",H495)-1),H495),'Catalogo MINSAL'!A:E,5,FALSE),""),IF(I495&lt;&gt;"",IFERROR(VLOOKUP(IFERROR(LEFT(I495,FIND("-",I495)-1),I495),'Catalogo MINSAL'!A:E,5,FALSE),""),""))</f>
        <v/>
      </c>
      <c r="K495" s="19" t="n"/>
      <c r="L495" s="19" t="n"/>
      <c r="M495" s="19" t="n"/>
      <c r="N495" s="19" t="n"/>
      <c r="O495" s="25" t="n"/>
      <c r="P495" s="27">
        <f>IFERROR(IF(OR(O495="",A495="",M495=""),"",IF(SUMPRODUCT(($A$4:$A$500=A495)*($M$4:$M$500=M495)*($O$4:$O$500&lt;&gt;"")*(MOD($O$4:$O$500,1)&lt;MOD(O495,1)))=0,IF(MOD(O495,1)&lt;=TIME(8,15,0),"Ingreso adecuado primera hora","Atraso primera hora"),"No aplica")),"")</f>
        <v/>
      </c>
      <c r="Q495" s="27" t="n"/>
      <c r="R495" s="25" t="n"/>
      <c r="S495" s="25" t="n"/>
      <c r="T495" s="25" t="n"/>
      <c r="U495" s="25">
        <f>IFERROR(VLOOKUP(M495,'Horario Pabellones'!$A$4:$D$17,2,FALSE),"")</f>
        <v/>
      </c>
      <c r="V495" s="25">
        <f>IFERROR(VLOOKUP(M495,'Horario Pabellones'!$A$4:$D$17,3,FALSE),"")</f>
        <v/>
      </c>
      <c r="W495" s="99">
        <f>IFERROR(VLOOKUP(M495,'Horario Pabellones'!$A$4:$D$17,4,FALSE),"")</f>
        <v/>
      </c>
      <c r="X495" s="89">
        <f>IFERROR(IF(OR(A495="",M495="",W495=""),"",(((_xludf.AGGREGATE(14,6,MOD($S$4:$S$500,1)/(($A$4:$A$500=A495)*($M$4:$M$500=M495)*($R$4:$R$500&lt;&gt;"")*($S$4:$S$500&lt;&gt;"")),1)-_xludf.AGGREGATE(15,6,MOD($R$4:$R$500,1)/(($A$4:$A$500=A495)*($M$4:$M$500=M495)*($R$4:$R$500&lt;&gt;"")*($S$4:$S$500&lt;&gt;"")),1))*1440)/60)/(W495/60)),"")</f>
        <v/>
      </c>
      <c r="Y495" s="26">
        <f>IFERROR(IF(OR(O495="",A495="",M495=""),"",(IF(ISNUMBER(O495),MOD(O495,1),TIMEVALUE(O495))-LOOKUP(2,1/(($A$4:$A$500=A495)*($M$4:$M$500=M495)*($T$4:$T$500&lt;&gt;"")*($T$4:$T$500&lt;IF(ISNUMBER(O495),MOD(O495,1),TIMEVALUE(O495)))),$T$4:$T$500))*1440),"")</f>
        <v/>
      </c>
      <c r="Z495" s="27">
        <f>IFERROR(IF(Y495="","",IF(ROUND(Y495,0)&lt;=15,"Cumple","No cumple")),"")</f>
        <v/>
      </c>
      <c r="AA495" s="27" t="n"/>
      <c r="AB495" s="26">
        <f>IFERROR(IF(OR(O495="",R495=""),"",IF(IF(ISNUMBER(R495),MOD(R495,1),TIMEVALUE(R495))&gt;=IF(ISNUMBER(O495),MOD(O495,1),TIMEVALUE(O495)),(IF(ISNUMBER(R495),MOD(R495,1),TIMEVALUE(R495))-IF(ISNUMBER(O495),MOD(O495,1),TIMEVALUE(O495)))*1440,(IF(ISNUMBER(R495),MOD(R495,1),TIMEVALUE(R495))+1-IF(ISNUMBER(O495),MOD(O495,1),TIMEVALUE(O495)))*1440)),"")</f>
        <v/>
      </c>
      <c r="AC495" s="26">
        <f>IFERROR(IF(OR(R495="",S495=""),"",IF(IF(ISNUMBER(S495),MOD(S495,1),TIMEVALUE(S495))&gt;=IF(ISNUMBER(R495),MOD(R495,1),TIMEVALUE(R495)),(IF(ISNUMBER(S495),MOD(S495,1),TIMEVALUE(S495))-IF(ISNUMBER(R495),MOD(R495,1),TIMEVALUE(R495)))*1440,(IF(ISNUMBER(S495),MOD(S495,1),TIMEVALUE(S495))+1-IF(ISNUMBER(R495),MOD(R495,1),TIMEVALUE(R495)))*1440)),"")</f>
        <v/>
      </c>
      <c r="AD495" s="29" t="n"/>
      <c r="AE495" s="26">
        <f>IFERROR(IF(OR(AC495="",AD495=""),"",AC495-AD495),"")</f>
        <v/>
      </c>
      <c r="AF495" s="27">
        <f>IFERROR(IF(AE495="","",IF(ROUND(AE495,0)&gt;15,"Subestimacion",IF(ROUND(AE495,0)&lt;-15,"Sobrestimacion","Asertivo"))),"")</f>
        <v/>
      </c>
      <c r="AG495" s="19" t="n"/>
      <c r="AH495" s="19" t="n"/>
      <c r="AI495" s="19" t="n"/>
      <c r="AJ495" s="19" t="n"/>
      <c r="AK495" s="19" t="n"/>
      <c r="AL495" s="19" t="n"/>
      <c r="AM495" s="19" t="n"/>
      <c r="AN495" s="19" t="n"/>
      <c r="AO495" s="19" t="n"/>
      <c r="AP495" s="127">
        <f>IF(A495="","",A495-WEEKDAY(A495,2)+1)</f>
        <v/>
      </c>
      <c r="AQ495" s="127">
        <f>IF(AO495="","",AO495+6)</f>
        <v/>
      </c>
      <c r="AR495" s="19">
        <f>IF(AO495="","","Semana "&amp;TEXT(AO495,"dd-mm-yyyy")&amp;" al "&amp;TEXT(AP495,"dd-mm-yyyy"))</f>
        <v/>
      </c>
      <c r="AS495" s="19">
        <f>IF(A495="","",TEXT(A495,"mmmm yyyy"))</f>
        <v/>
      </c>
      <c r="AT495" s="19">
        <f>IF(A495="","",TEXT(A495,"dddd"))</f>
        <v/>
      </c>
      <c r="AU495" s="19">
        <f>IF(A495="","","CRR-"&amp;TEXT(A495,"yyyymmdd")&amp;"-"&amp;M495&amp;"-"&amp;TEXT(ROW()-3,"0000"))</f>
        <v/>
      </c>
      <c r="AV495" s="19">
        <f>IF(A495="","",IF(OR(B495="",C495="",E495="",F495="",M495="",N495=""),"Revisar campos obligatorios",IF(AND(P495="Atraso primera hora",Q495=""),"Falta justificación atraso primera hora",IF(AND(Z495="No cumple",AA495=""),"Falta justificación recambio &gt;15 min",IF(AND(ISNUMBER(SEARCH("suspend",N495)),OR(AG495="",AH495="")),"Falta causa/motivo suspensión","OK")))))</f>
        <v/>
      </c>
      <c r="AW495" s="19">
        <f>IF(N495="","",IF(ISNUMBER(SEARCH("suspend",N495)),IF(AND(AG495="",AH495=""),"Sin causa/motivo registrado",IF(AG495="",AH495,IF(AH495="",AG495,AG495&amp;": "&amp;AH495))),""))</f>
        <v/>
      </c>
    </row>
    <row r="496" ht="16" customHeight="1" s="151">
      <c r="A496" s="62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20">
        <f>IF(H496&lt;&gt;"",IFERROR(VLOOKUP(IFERROR(LEFT(H496,FIND("-",H496)-1),H496),'Catalogo MINSAL'!A:E,5,FALSE),""),IF(I496&lt;&gt;"",IFERROR(VLOOKUP(IFERROR(LEFT(I496,FIND("-",I496)-1),I496),'Catalogo MINSAL'!A:E,5,FALSE),""),""))</f>
        <v/>
      </c>
      <c r="K496" s="19" t="n"/>
      <c r="L496" s="19" t="n"/>
      <c r="M496" s="19" t="n"/>
      <c r="N496" s="19" t="n"/>
      <c r="O496" s="25" t="n"/>
      <c r="P496" s="27">
        <f>IFERROR(IF(OR(O496="",A496="",M496=""),"",IF(SUMPRODUCT(($A$4:$A$500=A496)*($M$4:$M$500=M496)*($O$4:$O$500&lt;&gt;"")*(MOD($O$4:$O$500,1)&lt;MOD(O496,1)))=0,IF(MOD(O496,1)&lt;=TIME(8,15,0),"Ingreso adecuado primera hora","Atraso primera hora"),"No aplica")),"")</f>
        <v/>
      </c>
      <c r="Q496" s="27" t="n"/>
      <c r="R496" s="25" t="n"/>
      <c r="S496" s="25" t="n"/>
      <c r="T496" s="25" t="n"/>
      <c r="U496" s="25">
        <f>IFERROR(VLOOKUP(M496,'Horario Pabellones'!$A$4:$D$17,2,FALSE),"")</f>
        <v/>
      </c>
      <c r="V496" s="25">
        <f>IFERROR(VLOOKUP(M496,'Horario Pabellones'!$A$4:$D$17,3,FALSE),"")</f>
        <v/>
      </c>
      <c r="W496" s="99">
        <f>IFERROR(VLOOKUP(M496,'Horario Pabellones'!$A$4:$D$17,4,FALSE),"")</f>
        <v/>
      </c>
      <c r="X496" s="89">
        <f>IFERROR(IF(OR(A496="",M496="",W496=""),"",(((_xludf.AGGREGATE(14,6,MOD($S$4:$S$500,1)/(($A$4:$A$500=A496)*($M$4:$M$500=M496)*($R$4:$R$500&lt;&gt;"")*($S$4:$S$500&lt;&gt;"")),1)-_xludf.AGGREGATE(15,6,MOD($R$4:$R$500,1)/(($A$4:$A$500=A496)*($M$4:$M$500=M496)*($R$4:$R$500&lt;&gt;"")*($S$4:$S$500&lt;&gt;"")),1))*1440)/60)/(W496/60)),"")</f>
        <v/>
      </c>
      <c r="Y496" s="26">
        <f>IFERROR(IF(OR(O496="",A496="",M496=""),"",(IF(ISNUMBER(O496),MOD(O496,1),TIMEVALUE(O496))-LOOKUP(2,1/(($A$4:$A$500=A496)*($M$4:$M$500=M496)*($T$4:$T$500&lt;&gt;"")*($T$4:$T$500&lt;IF(ISNUMBER(O496),MOD(O496,1),TIMEVALUE(O496)))),$T$4:$T$500))*1440),"")</f>
        <v/>
      </c>
      <c r="Z496" s="27">
        <f>IFERROR(IF(Y496="","",IF(ROUND(Y496,0)&lt;=15,"Cumple","No cumple")),"")</f>
        <v/>
      </c>
      <c r="AA496" s="27" t="n"/>
      <c r="AB496" s="26">
        <f>IFERROR(IF(OR(O496="",R496=""),"",IF(IF(ISNUMBER(R496),MOD(R496,1),TIMEVALUE(R496))&gt;=IF(ISNUMBER(O496),MOD(O496,1),TIMEVALUE(O496)),(IF(ISNUMBER(R496),MOD(R496,1),TIMEVALUE(R496))-IF(ISNUMBER(O496),MOD(O496,1),TIMEVALUE(O496)))*1440,(IF(ISNUMBER(R496),MOD(R496,1),TIMEVALUE(R496))+1-IF(ISNUMBER(O496),MOD(O496,1),TIMEVALUE(O496)))*1440)),"")</f>
        <v/>
      </c>
      <c r="AC496" s="26">
        <f>IFERROR(IF(OR(R496="",S496=""),"",IF(IF(ISNUMBER(S496),MOD(S496,1),TIMEVALUE(S496))&gt;=IF(ISNUMBER(R496),MOD(R496,1),TIMEVALUE(R496)),(IF(ISNUMBER(S496),MOD(S496,1),TIMEVALUE(S496))-IF(ISNUMBER(R496),MOD(R496,1),TIMEVALUE(R496)))*1440,(IF(ISNUMBER(S496),MOD(S496,1),TIMEVALUE(S496))+1-IF(ISNUMBER(R496),MOD(R496,1),TIMEVALUE(R496)))*1440)),"")</f>
        <v/>
      </c>
      <c r="AD496" s="29" t="n"/>
      <c r="AE496" s="26">
        <f>IFERROR(IF(OR(AC496="",AD496=""),"",AC496-AD496),"")</f>
        <v/>
      </c>
      <c r="AF496" s="27">
        <f>IFERROR(IF(AE496="","",IF(ROUND(AE496,0)&gt;15,"Subestimacion",IF(ROUND(AE496,0)&lt;-15,"Sobrestimacion","Asertivo"))),"")</f>
        <v/>
      </c>
      <c r="AG496" s="19" t="n"/>
      <c r="AH496" s="19" t="n"/>
      <c r="AI496" s="19" t="n"/>
      <c r="AJ496" s="19" t="n"/>
      <c r="AK496" s="19" t="n"/>
      <c r="AL496" s="19" t="n"/>
      <c r="AM496" s="19" t="n"/>
      <c r="AN496" s="19" t="n"/>
      <c r="AO496" s="19" t="n"/>
      <c r="AP496" s="127">
        <f>IF(A496="","",A496-WEEKDAY(A496,2)+1)</f>
        <v/>
      </c>
      <c r="AQ496" s="127">
        <f>IF(AO496="","",AO496+6)</f>
        <v/>
      </c>
      <c r="AR496" s="19">
        <f>IF(AO496="","","Semana "&amp;TEXT(AO496,"dd-mm-yyyy")&amp;" al "&amp;TEXT(AP496,"dd-mm-yyyy"))</f>
        <v/>
      </c>
      <c r="AS496" s="19">
        <f>IF(A496="","",TEXT(A496,"mmmm yyyy"))</f>
        <v/>
      </c>
      <c r="AT496" s="19">
        <f>IF(A496="","",TEXT(A496,"dddd"))</f>
        <v/>
      </c>
      <c r="AU496" s="19">
        <f>IF(A496="","","CRR-"&amp;TEXT(A496,"yyyymmdd")&amp;"-"&amp;M496&amp;"-"&amp;TEXT(ROW()-3,"0000"))</f>
        <v/>
      </c>
      <c r="AV496" s="19">
        <f>IF(A496="","",IF(OR(B496="",C496="",E496="",F496="",M496="",N496=""),"Revisar campos obligatorios",IF(AND(P496="Atraso primera hora",Q496=""),"Falta justificación atraso primera hora",IF(AND(Z496="No cumple",AA496=""),"Falta justificación recambio &gt;15 min",IF(AND(ISNUMBER(SEARCH("suspend",N496)),OR(AG496="",AH496="")),"Falta causa/motivo suspensión","OK")))))</f>
        <v/>
      </c>
      <c r="AW496" s="19">
        <f>IF(N496="","",IF(ISNUMBER(SEARCH("suspend",N496)),IF(AND(AG496="",AH496=""),"Sin causa/motivo registrado",IF(AG496="",AH496,IF(AH496="",AG496,AG496&amp;": "&amp;AH496))),""))</f>
        <v/>
      </c>
    </row>
    <row r="497" ht="16" customHeight="1" s="151">
      <c r="A497" s="62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20">
        <f>IF(H497&lt;&gt;"",IFERROR(VLOOKUP(IFERROR(LEFT(H497,FIND("-",H497)-1),H497),'Catalogo MINSAL'!A:E,5,FALSE),""),IF(I497&lt;&gt;"",IFERROR(VLOOKUP(IFERROR(LEFT(I497,FIND("-",I497)-1),I497),'Catalogo MINSAL'!A:E,5,FALSE),""),""))</f>
        <v/>
      </c>
      <c r="K497" s="19" t="n"/>
      <c r="L497" s="19" t="n"/>
      <c r="M497" s="19" t="n"/>
      <c r="N497" s="19" t="n"/>
      <c r="O497" s="25" t="n"/>
      <c r="P497" s="27">
        <f>IFERROR(IF(OR(O497="",A497="",M497=""),"",IF(SUMPRODUCT(($A$4:$A$500=A497)*($M$4:$M$500=M497)*($O$4:$O$500&lt;&gt;"")*(MOD($O$4:$O$500,1)&lt;MOD(O497,1)))=0,IF(MOD(O497,1)&lt;=TIME(8,15,0),"Ingreso adecuado primera hora","Atraso primera hora"),"No aplica")),"")</f>
        <v/>
      </c>
      <c r="Q497" s="27" t="n"/>
      <c r="R497" s="25" t="n"/>
      <c r="S497" s="25" t="n"/>
      <c r="T497" s="25" t="n"/>
      <c r="U497" s="25">
        <f>IFERROR(VLOOKUP(M497,'Horario Pabellones'!$A$4:$D$17,2,FALSE),"")</f>
        <v/>
      </c>
      <c r="V497" s="25">
        <f>IFERROR(VLOOKUP(M497,'Horario Pabellones'!$A$4:$D$17,3,FALSE),"")</f>
        <v/>
      </c>
      <c r="W497" s="99">
        <f>IFERROR(VLOOKUP(M497,'Horario Pabellones'!$A$4:$D$17,4,FALSE),"")</f>
        <v/>
      </c>
      <c r="X497" s="89">
        <f>IFERROR(IF(OR(A497="",M497="",W497=""),"",(((_xludf.AGGREGATE(14,6,MOD($S$4:$S$500,1)/(($A$4:$A$500=A497)*($M$4:$M$500=M497)*($R$4:$R$500&lt;&gt;"")*($S$4:$S$500&lt;&gt;"")),1)-_xludf.AGGREGATE(15,6,MOD($R$4:$R$500,1)/(($A$4:$A$500=A497)*($M$4:$M$500=M497)*($R$4:$R$500&lt;&gt;"")*($S$4:$S$500&lt;&gt;"")),1))*1440)/60)/(W497/60)),"")</f>
        <v/>
      </c>
      <c r="Y497" s="26">
        <f>IFERROR(IF(OR(O497="",A497="",M497=""),"",(IF(ISNUMBER(O497),MOD(O497,1),TIMEVALUE(O497))-LOOKUP(2,1/(($A$4:$A$500=A497)*($M$4:$M$500=M497)*($T$4:$T$500&lt;&gt;"")*($T$4:$T$500&lt;IF(ISNUMBER(O497),MOD(O497,1),TIMEVALUE(O497)))),$T$4:$T$500))*1440),"")</f>
        <v/>
      </c>
      <c r="Z497" s="27">
        <f>IFERROR(IF(Y497="","",IF(ROUND(Y497,0)&lt;=15,"Cumple","No cumple")),"")</f>
        <v/>
      </c>
      <c r="AA497" s="27" t="n"/>
      <c r="AB497" s="26">
        <f>IFERROR(IF(OR(O497="",R497=""),"",IF(IF(ISNUMBER(R497),MOD(R497,1),TIMEVALUE(R497))&gt;=IF(ISNUMBER(O497),MOD(O497,1),TIMEVALUE(O497)),(IF(ISNUMBER(R497),MOD(R497,1),TIMEVALUE(R497))-IF(ISNUMBER(O497),MOD(O497,1),TIMEVALUE(O497)))*1440,(IF(ISNUMBER(R497),MOD(R497,1),TIMEVALUE(R497))+1-IF(ISNUMBER(O497),MOD(O497,1),TIMEVALUE(O497)))*1440)),"")</f>
        <v/>
      </c>
      <c r="AC497" s="26">
        <f>IFERROR(IF(OR(R497="",S497=""),"",IF(IF(ISNUMBER(S497),MOD(S497,1),TIMEVALUE(S497))&gt;=IF(ISNUMBER(R497),MOD(R497,1),TIMEVALUE(R497)),(IF(ISNUMBER(S497),MOD(S497,1),TIMEVALUE(S497))-IF(ISNUMBER(R497),MOD(R497,1),TIMEVALUE(R497)))*1440,(IF(ISNUMBER(S497),MOD(S497,1),TIMEVALUE(S497))+1-IF(ISNUMBER(R497),MOD(R497,1),TIMEVALUE(R497)))*1440)),"")</f>
        <v/>
      </c>
      <c r="AD497" s="29" t="n"/>
      <c r="AE497" s="26">
        <f>IFERROR(IF(OR(AC497="",AD497=""),"",AC497-AD497),"")</f>
        <v/>
      </c>
      <c r="AF497" s="27">
        <f>IFERROR(IF(AE497="","",IF(ROUND(AE497,0)&gt;15,"Subestimacion",IF(ROUND(AE497,0)&lt;-15,"Sobrestimacion","Asertivo"))),"")</f>
        <v/>
      </c>
      <c r="AG497" s="19" t="n"/>
      <c r="AH497" s="19" t="n"/>
      <c r="AI497" s="19" t="n"/>
      <c r="AJ497" s="19" t="n"/>
      <c r="AK497" s="19" t="n"/>
      <c r="AL497" s="19" t="n"/>
      <c r="AM497" s="19" t="n"/>
      <c r="AN497" s="19" t="n"/>
      <c r="AO497" s="19" t="n"/>
      <c r="AP497" s="127">
        <f>IF(A497="","",A497-WEEKDAY(A497,2)+1)</f>
        <v/>
      </c>
      <c r="AQ497" s="127">
        <f>IF(AO497="","",AO497+6)</f>
        <v/>
      </c>
      <c r="AR497" s="19">
        <f>IF(AO497="","","Semana "&amp;TEXT(AO497,"dd-mm-yyyy")&amp;" al "&amp;TEXT(AP497,"dd-mm-yyyy"))</f>
        <v/>
      </c>
      <c r="AS497" s="19">
        <f>IF(A497="","",TEXT(A497,"mmmm yyyy"))</f>
        <v/>
      </c>
      <c r="AT497" s="19">
        <f>IF(A497="","",TEXT(A497,"dddd"))</f>
        <v/>
      </c>
      <c r="AU497" s="19">
        <f>IF(A497="","","CRR-"&amp;TEXT(A497,"yyyymmdd")&amp;"-"&amp;M497&amp;"-"&amp;TEXT(ROW()-3,"0000"))</f>
        <v/>
      </c>
      <c r="AV497" s="19">
        <f>IF(A497="","",IF(OR(B497="",C497="",E497="",F497="",M497="",N497=""),"Revisar campos obligatorios",IF(AND(P497="Atraso primera hora",Q497=""),"Falta justificación atraso primera hora",IF(AND(Z497="No cumple",AA497=""),"Falta justificación recambio &gt;15 min",IF(AND(ISNUMBER(SEARCH("suspend",N497)),OR(AG497="",AH497="")),"Falta causa/motivo suspensión","OK")))))</f>
        <v/>
      </c>
      <c r="AW497" s="19">
        <f>IF(N497="","",IF(ISNUMBER(SEARCH("suspend",N497)),IF(AND(AG497="",AH497=""),"Sin causa/motivo registrado",IF(AG497="",AH497,IF(AH497="",AG497,AG497&amp;": "&amp;AH497))),""))</f>
        <v/>
      </c>
    </row>
    <row r="498" ht="16" customHeight="1" s="151">
      <c r="A498" s="62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20">
        <f>IF(H498&lt;&gt;"",IFERROR(VLOOKUP(IFERROR(LEFT(H498,FIND("-",H498)-1),H498),'Catalogo MINSAL'!A:E,5,FALSE),""),IF(I498&lt;&gt;"",IFERROR(VLOOKUP(IFERROR(LEFT(I498,FIND("-",I498)-1),I498),'Catalogo MINSAL'!A:E,5,FALSE),""),""))</f>
        <v/>
      </c>
      <c r="K498" s="19" t="n"/>
      <c r="L498" s="19" t="n"/>
      <c r="M498" s="19" t="n"/>
      <c r="N498" s="19" t="n"/>
      <c r="O498" s="25" t="n"/>
      <c r="P498" s="27">
        <f>IFERROR(IF(OR(O498="",A498="",M498=""),"",IF(SUMPRODUCT(($A$4:$A$500=A498)*($M$4:$M$500=M498)*($O$4:$O$500&lt;&gt;"")*(MOD($O$4:$O$500,1)&lt;MOD(O498,1)))=0,IF(MOD(O498,1)&lt;=TIME(8,15,0),"Ingreso adecuado primera hora","Atraso primera hora"),"No aplica")),"")</f>
        <v/>
      </c>
      <c r="Q498" s="27" t="n"/>
      <c r="R498" s="25" t="n"/>
      <c r="S498" s="25" t="n"/>
      <c r="T498" s="25" t="n"/>
      <c r="U498" s="25">
        <f>IFERROR(VLOOKUP(M498,'Horario Pabellones'!$A$4:$D$17,2,FALSE),"")</f>
        <v/>
      </c>
      <c r="V498" s="25">
        <f>IFERROR(VLOOKUP(M498,'Horario Pabellones'!$A$4:$D$17,3,FALSE),"")</f>
        <v/>
      </c>
      <c r="W498" s="99">
        <f>IFERROR(VLOOKUP(M498,'Horario Pabellones'!$A$4:$D$17,4,FALSE),"")</f>
        <v/>
      </c>
      <c r="X498" s="89">
        <f>IFERROR(IF(OR(A498="",M498="",W498=""),"",(((_xludf.AGGREGATE(14,6,MOD($S$4:$S$500,1)/(($A$4:$A$500=A498)*($M$4:$M$500=M498)*($R$4:$R$500&lt;&gt;"")*($S$4:$S$500&lt;&gt;"")),1)-_xludf.AGGREGATE(15,6,MOD($R$4:$R$500,1)/(($A$4:$A$500=A498)*($M$4:$M$500=M498)*($R$4:$R$500&lt;&gt;"")*($S$4:$S$500&lt;&gt;"")),1))*1440)/60)/(W498/60)),"")</f>
        <v/>
      </c>
      <c r="Y498" s="26">
        <f>IFERROR(IF(OR(O498="",A498="",M498=""),"",(IF(ISNUMBER(O498),MOD(O498,1),TIMEVALUE(O498))-LOOKUP(2,1/(($A$4:$A$500=A498)*($M$4:$M$500=M498)*($T$4:$T$500&lt;&gt;"")*($T$4:$T$500&lt;IF(ISNUMBER(O498),MOD(O498,1),TIMEVALUE(O498)))),$T$4:$T$500))*1440),"")</f>
        <v/>
      </c>
      <c r="Z498" s="27">
        <f>IFERROR(IF(Y498="","",IF(ROUND(Y498,0)&lt;=15,"Cumple","No cumple")),"")</f>
        <v/>
      </c>
      <c r="AA498" s="27" t="n"/>
      <c r="AB498" s="26">
        <f>IFERROR(IF(OR(O498="",R498=""),"",IF(IF(ISNUMBER(R498),MOD(R498,1),TIMEVALUE(R498))&gt;=IF(ISNUMBER(O498),MOD(O498,1),TIMEVALUE(O498)),(IF(ISNUMBER(R498),MOD(R498,1),TIMEVALUE(R498))-IF(ISNUMBER(O498),MOD(O498,1),TIMEVALUE(O498)))*1440,(IF(ISNUMBER(R498),MOD(R498,1),TIMEVALUE(R498))+1-IF(ISNUMBER(O498),MOD(O498,1),TIMEVALUE(O498)))*1440)),"")</f>
        <v/>
      </c>
      <c r="AC498" s="26">
        <f>IFERROR(IF(OR(R498="",S498=""),"",IF(IF(ISNUMBER(S498),MOD(S498,1),TIMEVALUE(S498))&gt;=IF(ISNUMBER(R498),MOD(R498,1),TIMEVALUE(R498)),(IF(ISNUMBER(S498),MOD(S498,1),TIMEVALUE(S498))-IF(ISNUMBER(R498),MOD(R498,1),TIMEVALUE(R498)))*1440,(IF(ISNUMBER(S498),MOD(S498,1),TIMEVALUE(S498))+1-IF(ISNUMBER(R498),MOD(R498,1),TIMEVALUE(R498)))*1440)),"")</f>
        <v/>
      </c>
      <c r="AD498" s="29" t="n"/>
      <c r="AE498" s="26">
        <f>IFERROR(IF(OR(AC498="",AD498=""),"",AC498-AD498),"")</f>
        <v/>
      </c>
      <c r="AF498" s="27">
        <f>IFERROR(IF(AE498="","",IF(ROUND(AE498,0)&gt;15,"Subestimacion",IF(ROUND(AE498,0)&lt;-15,"Sobrestimacion","Asertivo"))),"")</f>
        <v/>
      </c>
      <c r="AG498" s="19" t="n"/>
      <c r="AH498" s="19" t="n"/>
      <c r="AI498" s="19" t="n"/>
      <c r="AJ498" s="19" t="n"/>
      <c r="AK498" s="19" t="n"/>
      <c r="AL498" s="19" t="n"/>
      <c r="AM498" s="19" t="n"/>
      <c r="AN498" s="19" t="n"/>
      <c r="AO498" s="19" t="n"/>
      <c r="AP498" s="127">
        <f>IF(A498="","",A498-WEEKDAY(A498,2)+1)</f>
        <v/>
      </c>
      <c r="AQ498" s="127">
        <f>IF(AO498="","",AO498+6)</f>
        <v/>
      </c>
      <c r="AR498" s="19">
        <f>IF(AO498="","","Semana "&amp;TEXT(AO498,"dd-mm-yyyy")&amp;" al "&amp;TEXT(AP498,"dd-mm-yyyy"))</f>
        <v/>
      </c>
      <c r="AS498" s="19">
        <f>IF(A498="","",TEXT(A498,"mmmm yyyy"))</f>
        <v/>
      </c>
      <c r="AT498" s="19">
        <f>IF(A498="","",TEXT(A498,"dddd"))</f>
        <v/>
      </c>
      <c r="AU498" s="19">
        <f>IF(A498="","","CRR-"&amp;TEXT(A498,"yyyymmdd")&amp;"-"&amp;M498&amp;"-"&amp;TEXT(ROW()-3,"0000"))</f>
        <v/>
      </c>
      <c r="AV498" s="19">
        <f>IF(A498="","",IF(OR(B498="",C498="",E498="",F498="",M498="",N498=""),"Revisar campos obligatorios",IF(AND(P498="Atraso primera hora",Q498=""),"Falta justificación atraso primera hora",IF(AND(Z498="No cumple",AA498=""),"Falta justificación recambio &gt;15 min",IF(AND(ISNUMBER(SEARCH("suspend",N498)),OR(AG498="",AH498="")),"Falta causa/motivo suspensión","OK")))))</f>
        <v/>
      </c>
      <c r="AW498" s="19">
        <f>IF(N498="","",IF(ISNUMBER(SEARCH("suspend",N498)),IF(AND(AG498="",AH498=""),"Sin causa/motivo registrado",IF(AG498="",AH498,IF(AH498="",AG498,AG498&amp;": "&amp;AH498))),""))</f>
        <v/>
      </c>
    </row>
    <row r="499" ht="15" customHeight="1" s="151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27">
        <f>IF(H499&lt;&gt;"",IFERROR(VLOOKUP(IFERROR(LEFT(H499,FIND("-",H499)-1),H499),'Catalogo MINSAL'!A:E,5,FALSE),""),IF(I499&lt;&gt;"",IFERROR(VLOOKUP(IFERROR(LEFT(I499,FIND("-",I499)-1),I499),'Catalogo MINSAL'!A:E,5,FALSE),""),""))</f>
        <v/>
      </c>
      <c r="K499" s="19" t="n"/>
      <c r="L499" s="19" t="n"/>
      <c r="M499" s="19" t="n"/>
      <c r="N499" s="19" t="n"/>
      <c r="O499" s="19" t="n"/>
      <c r="P499" s="27">
        <f>IFERROR(IF(OR(O499="",A499="",M499=""),"",IF(SUMPRODUCT(($A$4:$A$500=A499)*($M$4:$M$500=M499)*($O$4:$O$500&lt;&gt;"")*(MOD($O$4:$O$500,1)&lt;MOD(O499,1)))=0,IF(MOD(O499,1)&lt;=TIME(8,15,0),"Ingreso adecuado primera hora","Atraso primera hora"),"No aplica")),"")</f>
        <v/>
      </c>
      <c r="Q499" s="27" t="n"/>
      <c r="R499" s="19" t="n"/>
      <c r="S499" s="19" t="n"/>
      <c r="T499" s="19" t="n"/>
      <c r="U499" s="25">
        <f>IFERROR(VLOOKUP(M499,'Horario Pabellones'!$A$4:$D$17,2,FALSE),"")</f>
        <v/>
      </c>
      <c r="V499" s="25">
        <f>IFERROR(VLOOKUP(M499,'Horario Pabellones'!$A$4:$D$17,3,FALSE),"")</f>
        <v/>
      </c>
      <c r="W499" s="99">
        <f>IFERROR(VLOOKUP(M499,'Horario Pabellones'!$A$4:$D$17,4,FALSE),"")</f>
        <v/>
      </c>
      <c r="X499" s="89">
        <f>IFERROR(IF(OR(A499="",M499="",W499=""),"",(((_xludf.AGGREGATE(14,6,MOD($S$4:$S$500,1)/(($A$4:$A$500=A499)*($M$4:$M$500=M499)*($R$4:$R$500&lt;&gt;"")*($S$4:$S$500&lt;&gt;"")),1)-_xludf.AGGREGATE(15,6,MOD($R$4:$R$500,1)/(($A$4:$A$500=A499)*($M$4:$M$500=M499)*($R$4:$R$500&lt;&gt;"")*($S$4:$S$500&lt;&gt;"")),1))*1440)/60)/(W499/60)),"")</f>
        <v/>
      </c>
      <c r="Y499" s="26">
        <f>IFERROR(IF(OR(O499="",A499="",M499=""),"",(IF(ISNUMBER(O499),MOD(O499,1),TIMEVALUE(O499))-LOOKUP(2,1/(($A$4:$A$500=A499)*($M$4:$M$500=M499)*($T$4:$T$500&lt;&gt;"")*($T$4:$T$500&lt;IF(ISNUMBER(O499),MOD(O499,1),TIMEVALUE(O499)))),$T$4:$T$500))*1440),"")</f>
        <v/>
      </c>
      <c r="Z499" s="27">
        <f>IFERROR(IF(Y499="","",IF(ROUND(Y499,0)&lt;=15,"Cumple","No cumple")),"")</f>
        <v/>
      </c>
      <c r="AA499" s="27" t="n"/>
      <c r="AB499" s="26">
        <f>IFERROR(IF(OR(O499="",R499=""),"",IF(IF(ISNUMBER(R499),MOD(R499,1),TIMEVALUE(R499))&gt;=IF(ISNUMBER(O499),MOD(O499,1),TIMEVALUE(O499)),(IF(ISNUMBER(R499),MOD(R499,1),TIMEVALUE(R499))-IF(ISNUMBER(O499),MOD(O499,1),TIMEVALUE(O499)))*1440,(IF(ISNUMBER(R499),MOD(R499,1),TIMEVALUE(R499))+1-IF(ISNUMBER(O499),MOD(O499,1),TIMEVALUE(O499)))*1440)),"")</f>
        <v/>
      </c>
      <c r="AC499" s="26">
        <f>IFERROR(IF(OR(R499="",S499=""),"",IF(IF(ISNUMBER(S499),MOD(S499,1),TIMEVALUE(S499))&gt;=IF(ISNUMBER(R499),MOD(R499,1),TIMEVALUE(R499)),(IF(ISNUMBER(S499),MOD(S499,1),TIMEVALUE(S499))-IF(ISNUMBER(R499),MOD(R499,1),TIMEVALUE(R499)))*1440,(IF(ISNUMBER(S499),MOD(S499,1),TIMEVALUE(S499))+1-IF(ISNUMBER(R499),MOD(R499,1),TIMEVALUE(R499)))*1440)),"")</f>
        <v/>
      </c>
      <c r="AD499" s="99" t="n"/>
      <c r="AE499" s="26">
        <f>IFERROR(IF(OR(AC499="",AD499=""),"",AC499-AD499),"")</f>
        <v/>
      </c>
      <c r="AF499" s="27">
        <f>IFERROR(IF(AE499="","",IF(ROUND(AE499,0)&gt;15,"Subestimacion",IF(ROUND(AE499,0)&lt;-15,"Sobrestimacion","Asertivo"))),"")</f>
        <v/>
      </c>
      <c r="AG499" s="19" t="n"/>
      <c r="AH499" s="19" t="n"/>
      <c r="AI499" s="19" t="n"/>
      <c r="AJ499" s="19" t="n"/>
      <c r="AK499" s="19" t="n"/>
      <c r="AL499" s="19" t="n"/>
      <c r="AM499" s="19" t="n"/>
      <c r="AN499" s="19" t="n"/>
      <c r="AO499" s="19" t="n"/>
      <c r="AP499" s="127">
        <f>IF(A499="","",A499-WEEKDAY(A499,2)+1)</f>
        <v/>
      </c>
      <c r="AQ499" s="127">
        <f>IF(AO499="","",AO499+6)</f>
        <v/>
      </c>
      <c r="AR499" s="19">
        <f>IF(AO499="","","Semana "&amp;TEXT(AO499,"dd-mm-yyyy")&amp;" al "&amp;TEXT(AP499,"dd-mm-yyyy"))</f>
        <v/>
      </c>
      <c r="AS499" s="19">
        <f>IF(A499="","",TEXT(A499,"mmmm yyyy"))</f>
        <v/>
      </c>
      <c r="AT499" s="19">
        <f>IF(A499="","",TEXT(A499,"dddd"))</f>
        <v/>
      </c>
      <c r="AU499" s="19">
        <f>IF(A499="","","CRR-"&amp;TEXT(A499,"yyyymmdd")&amp;"-"&amp;M499&amp;"-"&amp;TEXT(ROW()-3,"0000"))</f>
        <v/>
      </c>
      <c r="AV499" s="19">
        <f>IF(A499="","",IF(OR(B499="",C499="",E499="",F499="",M499="",N499=""),"Revisar campos obligatorios",IF(AND(P499="Atraso primera hora",Q499=""),"Falta justificación atraso primera hora",IF(AND(Z499="No cumple",AA499=""),"Falta justificación recambio &gt;15 min",IF(AND(ISNUMBER(SEARCH("suspend",N499)),OR(AG499="",AH499="")),"Falta causa/motivo suspensión","OK")))))</f>
        <v/>
      </c>
      <c r="AW499" s="19">
        <f>IF(N499="","",IF(ISNUMBER(SEARCH("suspend",N499)),IF(AND(AG499="",AH499=""),"Sin causa/motivo registrado",IF(AG499="",AH499,IF(AH499="",AG499,AG499&amp;": "&amp;AH499))),""))</f>
        <v/>
      </c>
    </row>
    <row r="500" ht="15" customHeight="1" s="151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27">
        <f>IF(H500&lt;&gt;"",IFERROR(VLOOKUP(IFERROR(LEFT(H500,FIND("-",H500)-1),H500),'Catalogo MINSAL'!A:E,5,FALSE),""),IF(I500&lt;&gt;"",IFERROR(VLOOKUP(IFERROR(LEFT(I500,FIND("-",I500)-1),I500),'Catalogo MINSAL'!A:E,5,FALSE),""),""))</f>
        <v/>
      </c>
      <c r="K500" s="19" t="n"/>
      <c r="L500" s="19" t="n"/>
      <c r="M500" s="19" t="n"/>
      <c r="N500" s="19" t="n"/>
      <c r="O500" s="19" t="n"/>
      <c r="P500" s="27">
        <f>IFERROR(IF(OR(O500="",A500="",M500=""),"",IF(SUMPRODUCT(($A$4:$A$500=A500)*($M$4:$M$500=M500)*($O$4:$O$500&lt;&gt;"")*(MOD($O$4:$O$500,1)&lt;MOD(O500,1)))=0,IF(MOD(O500,1)&lt;=TIME(8,15,0),"Ingreso adecuado primera hora","Atraso primera hora"),"No aplica")),"")</f>
        <v/>
      </c>
      <c r="Q500" s="27" t="n"/>
      <c r="R500" s="19" t="n"/>
      <c r="S500" s="19" t="n"/>
      <c r="T500" s="19" t="n"/>
      <c r="U500" s="25">
        <f>IFERROR(VLOOKUP(M500,'Horario Pabellones'!$A$4:$D$17,2,FALSE),"")</f>
        <v/>
      </c>
      <c r="V500" s="25">
        <f>IFERROR(VLOOKUP(M500,'Horario Pabellones'!$A$4:$D$17,3,FALSE),"")</f>
        <v/>
      </c>
      <c r="W500" s="99">
        <f>IFERROR(VLOOKUP(M500,'Horario Pabellones'!$A$4:$D$17,4,FALSE),"")</f>
        <v/>
      </c>
      <c r="X500" s="89">
        <f>IFERROR(IF(OR(A500="",M500="",W500=""),"",(((_xludf.AGGREGATE(14,6,MOD($S$4:$S$500,1)/(($A$4:$A$500=A500)*($M$4:$M$500=M500)*($R$4:$R$500&lt;&gt;"")*($S$4:$S$500&lt;&gt;"")),1)-_xludf.AGGREGATE(15,6,MOD($R$4:$R$500,1)/(($A$4:$A$500=A500)*($M$4:$M$500=M500)*($R$4:$R$500&lt;&gt;"")*($S$4:$S$500&lt;&gt;"")),1))*1440)/60)/(W500/60)),"")</f>
        <v/>
      </c>
      <c r="Y500" s="26">
        <f>IFERROR(IF(OR(O500="",A500="",M500=""),"",(IF(ISNUMBER(O500),MOD(O500,1),TIMEVALUE(O500))-LOOKUP(2,1/(($A$4:$A$500=A500)*($M$4:$M$500=M500)*($T$4:$T$500&lt;&gt;"")*($T$4:$T$500&lt;IF(ISNUMBER(O500),MOD(O500,1),TIMEVALUE(O500)))),$T$4:$T$500))*1440),"")</f>
        <v/>
      </c>
      <c r="Z500" s="27">
        <f>IFERROR(IF(Y500="","",IF(ROUND(Y500,0)&lt;=15,"Cumple","No cumple")),"")</f>
        <v/>
      </c>
      <c r="AA500" s="27" t="n"/>
      <c r="AB500" s="26">
        <f>IFERROR(IF(OR(O500="",R500=""),"",IF(IF(ISNUMBER(R500),MOD(R500,1),TIMEVALUE(R500))&gt;=IF(ISNUMBER(O500),MOD(O500,1),TIMEVALUE(O500)),(IF(ISNUMBER(R500),MOD(R500,1),TIMEVALUE(R500))-IF(ISNUMBER(O500),MOD(O500,1),TIMEVALUE(O500)))*1440,(IF(ISNUMBER(R500),MOD(R500,1),TIMEVALUE(R500))+1-IF(ISNUMBER(O500),MOD(O500,1),TIMEVALUE(O500)))*1440)),"")</f>
        <v/>
      </c>
      <c r="AC500" s="26">
        <f>IFERROR(IF(OR(R500="",S500=""),"",IF(IF(ISNUMBER(S500),MOD(S500,1),TIMEVALUE(S500))&gt;=IF(ISNUMBER(R500),MOD(R500,1),TIMEVALUE(R500)),(IF(ISNUMBER(S500),MOD(S500,1),TIMEVALUE(S500))-IF(ISNUMBER(R500),MOD(R500,1),TIMEVALUE(R500)))*1440,(IF(ISNUMBER(S500),MOD(S500,1),TIMEVALUE(S500))+1-IF(ISNUMBER(R500),MOD(R500,1),TIMEVALUE(R500)))*1440)),"")</f>
        <v/>
      </c>
      <c r="AD500" s="99" t="n"/>
      <c r="AE500" s="26">
        <f>IFERROR(IF(OR(AC500="",AD500=""),"",AC500-AD500),"")</f>
        <v/>
      </c>
      <c r="AF500" s="27">
        <f>IFERROR(IF(AE500="","",IF(ROUND(AE500,0)&gt;15,"Subestimacion",IF(ROUND(AE500,0)&lt;-15,"Sobrestimacion","Asertivo"))),"")</f>
        <v/>
      </c>
      <c r="AG500" s="19" t="n"/>
      <c r="AH500" s="19" t="n"/>
      <c r="AI500" s="19" t="n"/>
      <c r="AJ500" s="19" t="n"/>
      <c r="AK500" s="19" t="n"/>
      <c r="AL500" s="19" t="n"/>
      <c r="AM500" s="19" t="n"/>
      <c r="AN500" s="19" t="n"/>
      <c r="AO500" s="19" t="n"/>
      <c r="AP500" s="127">
        <f>IF(A500="","",A500-WEEKDAY(A500,2)+1)</f>
        <v/>
      </c>
      <c r="AQ500" s="127">
        <f>IF(AO500="","",AO500+6)</f>
        <v/>
      </c>
      <c r="AR500" s="19">
        <f>IF(AO500="","","Semana "&amp;TEXT(AO500,"dd-mm-yyyy")&amp;" al "&amp;TEXT(AP500,"dd-mm-yyyy"))</f>
        <v/>
      </c>
      <c r="AS500" s="19">
        <f>IF(A500="","",TEXT(A500,"mmmm yyyy"))</f>
        <v/>
      </c>
      <c r="AT500" s="19">
        <f>IF(A500="","",TEXT(A500,"dddd"))</f>
        <v/>
      </c>
      <c r="AU500" s="19">
        <f>IF(A500="","","CRR-"&amp;TEXT(A500,"yyyymmdd")&amp;"-"&amp;M500&amp;"-"&amp;TEXT(ROW()-3,"0000"))</f>
        <v/>
      </c>
      <c r="AV500" s="19">
        <f>IF(A500="","",IF(OR(B500="",C500="",E500="",F500="",M500="",N500=""),"Revisar campos obligatorios",IF(AND(P500="Atraso primera hora",Q500=""),"Falta justificación atraso primera hora",IF(AND(Z500="No cumple",AA500=""),"Falta justificación recambio &gt;15 min",IF(AND(ISNUMBER(SEARCH("suspend",N500)),OR(AG500="",AH500="")),"Falta causa/motivo suspensión","OK")))))</f>
        <v/>
      </c>
      <c r="AW500" s="19">
        <f>IF(N500="","",IF(ISNUMBER(SEARCH("suspend",N500)),IF(AND(AG500="",AH500=""),"Sin causa/motivo registrado",IF(AG500="",AH500,IF(AH500="",AG500,AG500&amp;": "&amp;AH500))),""))</f>
        <v/>
      </c>
    </row>
  </sheetData>
  <autoFilter ref="A3:AU500"/>
  <mergeCells count="1">
    <mergeCell ref="A1:AK1"/>
  </mergeCells>
  <conditionalFormatting sqref="P4:P500">
    <cfRule type="containsText" priority="8" operator="containsText" dxfId="2" text="Atraso">
      <formula>NOT(ISERROR(SEARCH("Atraso",P4)))</formula>
    </cfRule>
    <cfRule type="containsText" priority="9" operator="containsText" dxfId="0" text="Ingreso adecuado">
      <formula>NOT(ISERROR(SEARCH("Ingreso adecuado",P4)))</formula>
    </cfRule>
  </conditionalFormatting>
  <conditionalFormatting sqref="Z4:Z500">
    <cfRule type="containsText" priority="10" operator="containsText" dxfId="2" text="No cumple">
      <formula>NOT(ISERROR(SEARCH("No cumple",Z4)))</formula>
    </cfRule>
    <cfRule type="containsText" priority="11" operator="containsText" dxfId="0" text="Cumple">
      <formula>NOT(ISERROR(SEARCH("Cumple",Z4)))</formula>
    </cfRule>
  </conditionalFormatting>
  <conditionalFormatting sqref="AF4:AF500">
    <cfRule type="containsText" priority="12" operator="containsText" dxfId="2" text="Subestimacion">
      <formula>NOT(ISERROR(SEARCH("Subestimacion",AF4)))</formula>
    </cfRule>
    <cfRule type="containsText" priority="13" operator="containsText" dxfId="1" text="Sobrestimacion">
      <formula>NOT(ISERROR(SEARCH("Sobrestimacion",AF4)))</formula>
    </cfRule>
    <cfRule type="containsText" priority="14" operator="containsText" dxfId="0" text="Asertivo">
      <formula>NOT(ISERROR(SEARCH("Asertivo",AF4)))</formula>
    </cfRule>
  </conditionalFormatting>
  <dataValidations count="6">
    <dataValidation sqref="N4:N146 N189 N195:N500" showDropDown="0" showInputMessage="0" showErrorMessage="0" allowBlank="1" type="list">
      <formula1>"Atendido,Realizado,Recepcionado,Suspendido,Agendado"</formula1>
    </dataValidation>
    <dataValidation sqref="J4:J500" showDropDown="0" showInputMessage="0" showErrorMessage="0" allowBlank="1" type="list">
      <formula1>"Cirugía Mayor,Cirugía Menor,Procedimiento"</formula1>
    </dataValidation>
    <dataValidation sqref="AJ4:AK500" showDropDown="0" showInputMessage="0" showErrorMessage="0" allowBlank="1" type="list">
      <formula1>"Sí,No,Pendiente"</formula1>
    </dataValidation>
    <dataValidation sqref="O4:O146 O195:O500 R4:T146 R195:R500 S195:S500 T195:T500" showDropDown="0" showInputMessage="0" showErrorMessage="0" allowBlank="1" type="time">
      <formula1>TIME(0,0,0)</formula1>
      <formula2>TIME(23,59,59)</formula2>
    </dataValidation>
    <dataValidation sqref="D4:D146 D195:D500 W4:W500 AD4:AD146 AD189 AD195:AD500" showDropDown="0" showInputMessage="0" showErrorMessage="0" allowBlank="1" type="decimal" operator="greaterThanOrEqual">
      <formula1>0</formula1>
    </dataValidation>
    <dataValidation sqref="M4:M146 M195:M500" showDropDown="0" showInputMessage="0" showErrorMessage="0" allowBlank="1" type="list">
      <formula1>"Quirofano 01,Quirofano 02,Quirofano 03,Quirofano 04,Quirofano 05,Quirofano 06,Quirofano 07,Quirofano 08,Quirofano 09,Quirofano 10,Quirofano 11,Quirofano 12,Quirofano 13,Quirofano 14"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0" workbookViewId="0">
      <pane ySplit="3" topLeftCell="A4" activePane="bottomLeft" state="frozen"/>
      <selection pane="bottomLeft" activeCell="A1" sqref="A1:N1"/>
    </sheetView>
  </sheetViews>
  <sheetFormatPr baseColWidth="10" defaultColWidth="8.83203125" defaultRowHeight="15"/>
  <cols>
    <col width="13" customWidth="1" style="151" min="1" max="1"/>
    <col width="14" customWidth="1" style="151" min="2" max="2"/>
    <col width="18" customWidth="1" style="151" min="3" max="3"/>
    <col width="14" customWidth="1" style="151" min="4" max="4"/>
    <col width="16" customWidth="1" style="151" min="5" max="5"/>
    <col width="18" customWidth="1" style="151" min="6" max="6"/>
    <col width="20" customWidth="1" style="151" min="7" max="7"/>
    <col width="4" customWidth="1" style="151" min="8" max="8"/>
    <col width="13" customWidth="1" style="151" min="9" max="9"/>
    <col width="15" customWidth="1" style="151" min="10" max="10"/>
    <col width="18" customWidth="1" style="151" min="11" max="11"/>
    <col width="20" customWidth="1" style="151" min="12" max="12"/>
    <col width="24" customWidth="1" style="151" min="13" max="13"/>
    <col width="18" customWidth="1" style="151" min="14" max="14"/>
  </cols>
  <sheetData>
    <row r="1" ht="30" customHeight="1" s="151">
      <c r="A1" s="153" t="inlineStr">
        <is>
          <t>Resumen de ocupación diaria y semanal de pabellones</t>
        </is>
      </c>
    </row>
    <row r="2" ht="38" customHeight="1" s="151">
      <c r="A2" s="152" t="inlineStr">
        <is>
          <t>Ocupación diaria (%) = (horas totales ocupadas / horas totales programadas) x 100. Complete en Carga Web Cirugias el inicio y término de funcionamiento; los minutos se calculan automáticamente.</t>
        </is>
      </c>
    </row>
    <row r="3" ht="34" customHeight="1" s="151">
      <c r="A3" s="115" t="inlineStr">
        <is>
          <t>Semana ISO</t>
        </is>
      </c>
      <c r="B3" s="115" t="inlineStr">
        <is>
          <t>Fecha</t>
        </is>
      </c>
      <c r="C3" s="115" t="inlineStr">
        <is>
          <t>Quirofano</t>
        </is>
      </c>
      <c r="D3" s="115" t="inlineStr">
        <is>
          <t>Min usados</t>
        </is>
      </c>
      <c r="E3" s="115" t="inlineStr">
        <is>
          <t>Min disponibles</t>
        </is>
      </c>
      <c r="F3" s="115" t="inlineStr">
        <is>
          <t>Ocupación diaria %</t>
        </is>
      </c>
      <c r="G3" s="115" t="inlineStr">
        <is>
          <t>Estado</t>
        </is>
      </c>
      <c r="I3" s="116" t="inlineStr">
        <is>
          <t>Semana ISO</t>
        </is>
      </c>
      <c r="J3" s="116" t="inlineStr">
        <is>
          <t>Inicio semana</t>
        </is>
      </c>
      <c r="K3" s="116" t="inlineStr">
        <is>
          <t>Min usados semana</t>
        </is>
      </c>
      <c r="L3" s="116" t="inlineStr">
        <is>
          <t>Min disponibles semana</t>
        </is>
      </c>
      <c r="M3" s="116" t="inlineStr">
        <is>
          <t>Promedio ocupación semanal %</t>
        </is>
      </c>
      <c r="N3" s="116" t="inlineStr">
        <is>
          <t>Pabellón-día calculados</t>
        </is>
      </c>
    </row>
    <row r="4" ht="16" customHeight="1" s="151">
      <c r="A4" s="109">
        <f>IF(OR('Carga Web Cirugias'!A4="",'Carga Web Cirugias'!M4=""),"",_xludf.ISOWEEKNUM('Carga Web Cirugias'!A4))</f>
        <v/>
      </c>
      <c r="B4" s="117">
        <f>IF('Carga Web Cirugias'!A4="","",'Carga Web Cirugias'!A4)</f>
        <v/>
      </c>
      <c r="C4" s="109">
        <f>IF('Carga Web Cirugias'!M4="","",'Carga Web Cirugias'!M4)</f>
        <v/>
      </c>
      <c r="D4" s="111">
        <f>IFERROR(IF(OR(B4="",C4="",COUNTIFS($B$4:B4,B4,$C$4:C4,C4)&gt;1),"",(_xludf.AGGREGATE(14,6,MOD('Carga Web Cirugias'!$S$4:$S$500,1)/(('Carga Web Cirugias'!$A$4:$A$500=B4)*('Carga Web Cirugias'!$M$4:$M$500=C4)*('Carga Web Cirugias'!$R$4:$R$500&lt;&gt;"")*('Carga Web Cirugias'!$S$4:$S$500&lt;&gt;"")),1)-_xludf.AGGREGATE(15,6,MOD('Carga Web Cirugias'!$R$4:$R$500,1)/(('Carga Web Cirugias'!$A$4:$A$500=B4)*('Carga Web Cirugias'!$M$4:$M$500=C4)*('Carga Web Cirugias'!$R$4:$R$500&lt;&gt;"")*('Carga Web Cirugias'!$S$4:$S$500&lt;&gt;"")),1))*1440),"")</f>
        <v/>
      </c>
      <c r="E4" s="111">
        <f>IF(OR(B4="",C4="",D4=""),"",VLOOKUP(C4,'Horario Pabellones'!$A$4:$D$17,4,FALSE))</f>
        <v/>
      </c>
      <c r="F4" s="118">
        <f>IFERROR(IF(OR(D4="",E4="",E4=0),"",(D4/60)/(E4/60)),"")</f>
        <v/>
      </c>
      <c r="G4" s="109">
        <f>IF(F4="","",IF(F4&gt;=0.75,"Cumple referencia","Bajo referencia"))</f>
        <v/>
      </c>
      <c r="I4" s="119" t="n">
        <v>1</v>
      </c>
      <c r="J4" s="120">
        <f>IFERROR(_xludf.MINIFS($B$4:$B$500,$A$4:$A$500,I4,$D$4:$D$500,"&gt;0"),"")</f>
        <v/>
      </c>
      <c r="K4" s="121">
        <f>IFERROR(SUMIFS($D$4:$D$500,$A$4:$A$500,I4),"")</f>
        <v/>
      </c>
      <c r="L4" s="121">
        <f>IFERROR(SUMIFS($E$4:$E$500,$A$4:$A$500,I4),"")</f>
        <v/>
      </c>
      <c r="M4" s="122">
        <f>IFERROR(AVERAGEIFS($F$4:$F$500,$A$4:$A$500,I4,$F$4:$F$500,"&gt;=0"),"")</f>
        <v/>
      </c>
      <c r="N4" s="121">
        <f>COUNTIFS($A$4:$A$500,I4,$D$4:$D$500,"&gt;0")</f>
        <v/>
      </c>
    </row>
    <row r="5" ht="16" customHeight="1" s="151">
      <c r="A5" s="112">
        <f>IF(OR('Carga Web Cirugias'!A5="",'Carga Web Cirugias'!M5=""),"",_xludf.ISOWEEKNUM('Carga Web Cirugias'!A5))</f>
        <v/>
      </c>
      <c r="B5" s="123">
        <f>IF('Carga Web Cirugias'!A5="","",'Carga Web Cirugias'!A5)</f>
        <v/>
      </c>
      <c r="C5" s="112">
        <f>IF('Carga Web Cirugias'!M5="","",'Carga Web Cirugias'!M5)</f>
        <v/>
      </c>
      <c r="D5" s="114">
        <f>IFERROR(IF(OR(B5="",C5="",COUNTIFS($B$4:B5,B5,$C$4:C5,C5)&gt;1),"",(_xludf.AGGREGATE(14,6,MOD('Carga Web Cirugias'!$S$4:$S$500,1)/(('Carga Web Cirugias'!$A$4:$A$500=B5)*('Carga Web Cirugias'!$M$4:$M$500=C5)*('Carga Web Cirugias'!$R$4:$R$500&lt;&gt;"")*('Carga Web Cirugias'!$S$4:$S$500&lt;&gt;"")),1)-_xludf.AGGREGATE(15,6,MOD('Carga Web Cirugias'!$R$4:$R$500,1)/(('Carga Web Cirugias'!$A$4:$A$500=B5)*('Carga Web Cirugias'!$M$4:$M$500=C5)*('Carga Web Cirugias'!$R$4:$R$500&lt;&gt;"")*('Carga Web Cirugias'!$S$4:$S$500&lt;&gt;"")),1))*1440),"")</f>
        <v/>
      </c>
      <c r="E5" s="114">
        <f>IF(OR(B5="",C5="",D5=""),"",VLOOKUP(C5,'Horario Pabellones'!$A$4:$D$17,4,FALSE))</f>
        <v/>
      </c>
      <c r="F5" s="124">
        <f>IFERROR(IF(OR(D5="",E5="",E5=0),"",(D5/60)/(E5/60)),"")</f>
        <v/>
      </c>
      <c r="G5" s="112">
        <f>IF(F5="","",IF(F5&gt;=0.75,"Cumple referencia","Bajo referencia"))</f>
        <v/>
      </c>
      <c r="I5" s="112" t="n">
        <v>2</v>
      </c>
      <c r="J5" s="123">
        <f>IFERROR(_xludf.MINIFS($B$4:$B$500,$A$4:$A$500,I5,$D$4:$D$500,"&gt;0"),"")</f>
        <v/>
      </c>
      <c r="K5" s="114">
        <f>IFERROR(SUMIFS($D$4:$D$500,$A$4:$A$500,I5),"")</f>
        <v/>
      </c>
      <c r="L5" s="114">
        <f>IFERROR(SUMIFS($E$4:$E$500,$A$4:$A$500,I5),"")</f>
        <v/>
      </c>
      <c r="M5" s="124">
        <f>IFERROR(AVERAGEIFS($F$4:$F$500,$A$4:$A$500,I5,$F$4:$F$500,"&gt;=0"),"")</f>
        <v/>
      </c>
      <c r="N5" s="114">
        <f>COUNTIFS($A$4:$A$500,I5,$D$4:$D$500,"&gt;0")</f>
        <v/>
      </c>
    </row>
    <row r="6" ht="16" customHeight="1" s="151">
      <c r="A6" s="109">
        <f>IF(OR('Carga Web Cirugias'!A6="",'Carga Web Cirugias'!M6=""),"",_xludf.ISOWEEKNUM('Carga Web Cirugias'!A6))</f>
        <v/>
      </c>
      <c r="B6" s="117">
        <f>IF('Carga Web Cirugias'!A6="","",'Carga Web Cirugias'!A6)</f>
        <v/>
      </c>
      <c r="C6" s="109">
        <f>IF('Carga Web Cirugias'!M6="","",'Carga Web Cirugias'!M6)</f>
        <v/>
      </c>
      <c r="D6" s="111">
        <f>IFERROR(IF(OR(B6="",C6="",COUNTIFS($B$4:B6,B6,$C$4:C6,C6)&gt;1),"",(_xludf.AGGREGATE(14,6,MOD('Carga Web Cirugias'!$S$4:$S$500,1)/(('Carga Web Cirugias'!$A$4:$A$500=B6)*('Carga Web Cirugias'!$M$4:$M$500=C6)*('Carga Web Cirugias'!$R$4:$R$500&lt;&gt;"")*('Carga Web Cirugias'!$S$4:$S$500&lt;&gt;"")),1)-_xludf.AGGREGATE(15,6,MOD('Carga Web Cirugias'!$R$4:$R$500,1)/(('Carga Web Cirugias'!$A$4:$A$500=B6)*('Carga Web Cirugias'!$M$4:$M$500=C6)*('Carga Web Cirugias'!$R$4:$R$500&lt;&gt;"")*('Carga Web Cirugias'!$S$4:$S$500&lt;&gt;"")),1))*1440),"")</f>
        <v/>
      </c>
      <c r="E6" s="111">
        <f>IF(OR(B6="",C6="",D6=""),"",VLOOKUP(C6,'Horario Pabellones'!$A$4:$D$17,4,FALSE))</f>
        <v/>
      </c>
      <c r="F6" s="118">
        <f>IFERROR(IF(OR(D6="",E6="",E6=0),"",(D6/60)/(E6/60)),"")</f>
        <v/>
      </c>
      <c r="G6" s="109">
        <f>IF(F6="","",IF(F6&gt;=0.75,"Cumple referencia","Bajo referencia"))</f>
        <v/>
      </c>
      <c r="I6" s="119" t="n">
        <v>3</v>
      </c>
      <c r="J6" s="120">
        <f>IFERROR(_xludf.MINIFS($B$4:$B$500,$A$4:$A$500,I6,$D$4:$D$500,"&gt;0"),"")</f>
        <v/>
      </c>
      <c r="K6" s="121">
        <f>IFERROR(SUMIFS($D$4:$D$500,$A$4:$A$500,I6),"")</f>
        <v/>
      </c>
      <c r="L6" s="121">
        <f>IFERROR(SUMIFS($E$4:$E$500,$A$4:$A$500,I6),"")</f>
        <v/>
      </c>
      <c r="M6" s="122">
        <f>IFERROR(AVERAGEIFS($F$4:$F$500,$A$4:$A$500,I6,$F$4:$F$500,"&gt;=0"),"")</f>
        <v/>
      </c>
      <c r="N6" s="121">
        <f>COUNTIFS($A$4:$A$500,I6,$D$4:$D$500,"&gt;0")</f>
        <v/>
      </c>
    </row>
    <row r="7" ht="16" customHeight="1" s="151">
      <c r="A7" s="112">
        <f>IF(OR('Carga Web Cirugias'!A7="",'Carga Web Cirugias'!M7=""),"",_xludf.ISOWEEKNUM('Carga Web Cirugias'!A7))</f>
        <v/>
      </c>
      <c r="B7" s="123">
        <f>IF('Carga Web Cirugias'!A7="","",'Carga Web Cirugias'!A7)</f>
        <v/>
      </c>
      <c r="C7" s="112">
        <f>IF('Carga Web Cirugias'!M7="","",'Carga Web Cirugias'!M7)</f>
        <v/>
      </c>
      <c r="D7" s="114">
        <f>IFERROR(IF(OR(B7="",C7="",COUNTIFS($B$4:B7,B7,$C$4:C7,C7)&gt;1),"",(_xludf.AGGREGATE(14,6,MOD('Carga Web Cirugias'!$S$4:$S$500,1)/(('Carga Web Cirugias'!$A$4:$A$500=B7)*('Carga Web Cirugias'!$M$4:$M$500=C7)*('Carga Web Cirugias'!$R$4:$R$500&lt;&gt;"")*('Carga Web Cirugias'!$S$4:$S$500&lt;&gt;"")),1)-_xludf.AGGREGATE(15,6,MOD('Carga Web Cirugias'!$R$4:$R$500,1)/(('Carga Web Cirugias'!$A$4:$A$500=B7)*('Carga Web Cirugias'!$M$4:$M$500=C7)*('Carga Web Cirugias'!$R$4:$R$500&lt;&gt;"")*('Carga Web Cirugias'!$S$4:$S$500&lt;&gt;"")),1))*1440),"")</f>
        <v/>
      </c>
      <c r="E7" s="114">
        <f>IF(OR(B7="",C7="",D7=""),"",VLOOKUP(C7,'Horario Pabellones'!$A$4:$D$17,4,FALSE))</f>
        <v/>
      </c>
      <c r="F7" s="124">
        <f>IFERROR(IF(OR(D7="",E7="",E7=0),"",(D7/60)/(E7/60)),"")</f>
        <v/>
      </c>
      <c r="G7" s="112">
        <f>IF(F7="","",IF(F7&gt;=0.75,"Cumple referencia","Bajo referencia"))</f>
        <v/>
      </c>
      <c r="I7" s="112" t="n">
        <v>4</v>
      </c>
      <c r="J7" s="123">
        <f>IFERROR(_xludf.MINIFS($B$4:$B$500,$A$4:$A$500,I7,$D$4:$D$500,"&gt;0"),"")</f>
        <v/>
      </c>
      <c r="K7" s="114">
        <f>IFERROR(SUMIFS($D$4:$D$500,$A$4:$A$500,I7),"")</f>
        <v/>
      </c>
      <c r="L7" s="114">
        <f>IFERROR(SUMIFS($E$4:$E$500,$A$4:$A$500,I7),"")</f>
        <v/>
      </c>
      <c r="M7" s="124">
        <f>IFERROR(AVERAGEIFS($F$4:$F$500,$A$4:$A$500,I7,$F$4:$F$500,"&gt;=0"),"")</f>
        <v/>
      </c>
      <c r="N7" s="114">
        <f>COUNTIFS($A$4:$A$500,I7,$D$4:$D$500,"&gt;0")</f>
        <v/>
      </c>
    </row>
    <row r="8" ht="16" customHeight="1" s="151">
      <c r="A8" s="109">
        <f>IF(OR('Carga Web Cirugias'!A8="",'Carga Web Cirugias'!M8=""),"",_xludf.ISOWEEKNUM('Carga Web Cirugias'!A8))</f>
        <v/>
      </c>
      <c r="B8" s="117">
        <f>IF('Carga Web Cirugias'!A8="","",'Carga Web Cirugias'!A8)</f>
        <v/>
      </c>
      <c r="C8" s="109">
        <f>IF('Carga Web Cirugias'!M8="","",'Carga Web Cirugias'!M8)</f>
        <v/>
      </c>
      <c r="D8" s="111">
        <f>IFERROR(IF(OR(B8="",C8="",COUNTIFS($B$4:B8,B8,$C$4:C8,C8)&gt;1),"",(_xludf.AGGREGATE(14,6,MOD('Carga Web Cirugias'!$S$4:$S$500,1)/(('Carga Web Cirugias'!$A$4:$A$500=B8)*('Carga Web Cirugias'!$M$4:$M$500=C8)*('Carga Web Cirugias'!$R$4:$R$500&lt;&gt;"")*('Carga Web Cirugias'!$S$4:$S$500&lt;&gt;"")),1)-_xludf.AGGREGATE(15,6,MOD('Carga Web Cirugias'!$R$4:$R$500,1)/(('Carga Web Cirugias'!$A$4:$A$500=B8)*('Carga Web Cirugias'!$M$4:$M$500=C8)*('Carga Web Cirugias'!$R$4:$R$500&lt;&gt;"")*('Carga Web Cirugias'!$S$4:$S$500&lt;&gt;"")),1))*1440),"")</f>
        <v/>
      </c>
      <c r="E8" s="111">
        <f>IF(OR(B8="",C8="",D8=""),"",VLOOKUP(C8,'Horario Pabellones'!$A$4:$D$17,4,FALSE))</f>
        <v/>
      </c>
      <c r="F8" s="118">
        <f>IFERROR(IF(OR(D8="",E8="",E8=0),"",(D8/60)/(E8/60)),"")</f>
        <v/>
      </c>
      <c r="G8" s="109">
        <f>IF(F8="","",IF(F8&gt;=0.75,"Cumple referencia","Bajo referencia"))</f>
        <v/>
      </c>
      <c r="I8" s="119" t="n">
        <v>5</v>
      </c>
      <c r="J8" s="120">
        <f>IFERROR(_xludf.MINIFS($B$4:$B$500,$A$4:$A$500,I8,$D$4:$D$500,"&gt;0"),"")</f>
        <v/>
      </c>
      <c r="K8" s="121">
        <f>IFERROR(SUMIFS($D$4:$D$500,$A$4:$A$500,I8),"")</f>
        <v/>
      </c>
      <c r="L8" s="121">
        <f>IFERROR(SUMIFS($E$4:$E$500,$A$4:$A$500,I8),"")</f>
        <v/>
      </c>
      <c r="M8" s="122">
        <f>IFERROR(AVERAGEIFS($F$4:$F$500,$A$4:$A$500,I8,$F$4:$F$500,"&gt;=0"),"")</f>
        <v/>
      </c>
      <c r="N8" s="121">
        <f>COUNTIFS($A$4:$A$500,I8,$D$4:$D$500,"&gt;0")</f>
        <v/>
      </c>
    </row>
    <row r="9" ht="16" customHeight="1" s="151">
      <c r="A9" s="112">
        <f>IF(OR('Carga Web Cirugias'!A9="",'Carga Web Cirugias'!M9=""),"",_xludf.ISOWEEKNUM('Carga Web Cirugias'!A9))</f>
        <v/>
      </c>
      <c r="B9" s="123">
        <f>IF('Carga Web Cirugias'!A9="","",'Carga Web Cirugias'!A9)</f>
        <v/>
      </c>
      <c r="C9" s="112">
        <f>IF('Carga Web Cirugias'!M9="","",'Carga Web Cirugias'!M9)</f>
        <v/>
      </c>
      <c r="D9" s="114">
        <f>IFERROR(IF(OR(B9="",C9="",COUNTIFS($B$4:B9,B9,$C$4:C9,C9)&gt;1),"",(_xludf.AGGREGATE(14,6,MOD('Carga Web Cirugias'!$S$4:$S$500,1)/(('Carga Web Cirugias'!$A$4:$A$500=B9)*('Carga Web Cirugias'!$M$4:$M$500=C9)*('Carga Web Cirugias'!$R$4:$R$500&lt;&gt;"")*('Carga Web Cirugias'!$S$4:$S$500&lt;&gt;"")),1)-_xludf.AGGREGATE(15,6,MOD('Carga Web Cirugias'!$R$4:$R$500,1)/(('Carga Web Cirugias'!$A$4:$A$500=B9)*('Carga Web Cirugias'!$M$4:$M$500=C9)*('Carga Web Cirugias'!$R$4:$R$500&lt;&gt;"")*('Carga Web Cirugias'!$S$4:$S$500&lt;&gt;"")),1))*1440),"")</f>
        <v/>
      </c>
      <c r="E9" s="114">
        <f>IF(OR(B9="",C9="",D9=""),"",VLOOKUP(C9,'Horario Pabellones'!$A$4:$D$17,4,FALSE))</f>
        <v/>
      </c>
      <c r="F9" s="124">
        <f>IFERROR(IF(OR(D9="",E9="",E9=0),"",(D9/60)/(E9/60)),"")</f>
        <v/>
      </c>
      <c r="G9" s="112">
        <f>IF(F9="","",IF(F9&gt;=0.75,"Cumple referencia","Bajo referencia"))</f>
        <v/>
      </c>
      <c r="I9" s="112" t="n">
        <v>6</v>
      </c>
      <c r="J9" s="123">
        <f>IFERROR(_xludf.MINIFS($B$4:$B$500,$A$4:$A$500,I9,$D$4:$D$500,"&gt;0"),"")</f>
        <v/>
      </c>
      <c r="K9" s="114">
        <f>IFERROR(SUMIFS($D$4:$D$500,$A$4:$A$500,I9),"")</f>
        <v/>
      </c>
      <c r="L9" s="114">
        <f>IFERROR(SUMIFS($E$4:$E$500,$A$4:$A$500,I9),"")</f>
        <v/>
      </c>
      <c r="M9" s="124">
        <f>IFERROR(AVERAGEIFS($F$4:$F$500,$A$4:$A$500,I9,$F$4:$F$500,"&gt;=0"),"")</f>
        <v/>
      </c>
      <c r="N9" s="114">
        <f>COUNTIFS($A$4:$A$500,I9,$D$4:$D$500,"&gt;0")</f>
        <v/>
      </c>
    </row>
    <row r="10" ht="16" customHeight="1" s="151">
      <c r="A10" s="109">
        <f>IF(OR('Carga Web Cirugias'!A10="",'Carga Web Cirugias'!M10=""),"",_xludf.ISOWEEKNUM('Carga Web Cirugias'!A10))</f>
        <v/>
      </c>
      <c r="B10" s="117">
        <f>IF('Carga Web Cirugias'!A10="","",'Carga Web Cirugias'!A10)</f>
        <v/>
      </c>
      <c r="C10" s="109">
        <f>IF('Carga Web Cirugias'!M10="","",'Carga Web Cirugias'!M10)</f>
        <v/>
      </c>
      <c r="D10" s="111">
        <f>IFERROR(IF(OR(B10="",C10="",COUNTIFS($B$4:B10,B10,$C$4:C10,C10)&gt;1),"",(_xludf.AGGREGATE(14,6,MOD('Carga Web Cirugias'!$S$4:$S$500,1)/(('Carga Web Cirugias'!$A$4:$A$500=B10)*('Carga Web Cirugias'!$M$4:$M$500=C10)*('Carga Web Cirugias'!$R$4:$R$500&lt;&gt;"")*('Carga Web Cirugias'!$S$4:$S$500&lt;&gt;"")),1)-_xludf.AGGREGATE(15,6,MOD('Carga Web Cirugias'!$R$4:$R$500,1)/(('Carga Web Cirugias'!$A$4:$A$500=B10)*('Carga Web Cirugias'!$M$4:$M$500=C10)*('Carga Web Cirugias'!$R$4:$R$500&lt;&gt;"")*('Carga Web Cirugias'!$S$4:$S$500&lt;&gt;"")),1))*1440),"")</f>
        <v/>
      </c>
      <c r="E10" s="111">
        <f>IF(OR(B10="",C10="",D10=""),"",VLOOKUP(C10,'Horario Pabellones'!$A$4:$D$17,4,FALSE))</f>
        <v/>
      </c>
      <c r="F10" s="118">
        <f>IFERROR(IF(OR(D10="",E10="",E10=0),"",(D10/60)/(E10/60)),"")</f>
        <v/>
      </c>
      <c r="G10" s="109">
        <f>IF(F10="","",IF(F10&gt;=0.75,"Cumple referencia","Bajo referencia"))</f>
        <v/>
      </c>
      <c r="I10" s="119" t="n">
        <v>7</v>
      </c>
      <c r="J10" s="120">
        <f>IFERROR(_xludf.MINIFS($B$4:$B$500,$A$4:$A$500,I10,$D$4:$D$500,"&gt;0"),"")</f>
        <v/>
      </c>
      <c r="K10" s="121">
        <f>IFERROR(SUMIFS($D$4:$D$500,$A$4:$A$500,I10),"")</f>
        <v/>
      </c>
      <c r="L10" s="121">
        <f>IFERROR(SUMIFS($E$4:$E$500,$A$4:$A$500,I10),"")</f>
        <v/>
      </c>
      <c r="M10" s="122">
        <f>IFERROR(AVERAGEIFS($F$4:$F$500,$A$4:$A$500,I10,$F$4:$F$500,"&gt;=0"),"")</f>
        <v/>
      </c>
      <c r="N10" s="121">
        <f>COUNTIFS($A$4:$A$500,I10,$D$4:$D$500,"&gt;0")</f>
        <v/>
      </c>
    </row>
    <row r="11" ht="16" customHeight="1" s="151">
      <c r="A11" s="112">
        <f>IF(OR('Carga Web Cirugias'!A11="",'Carga Web Cirugias'!M11=""),"",_xludf.ISOWEEKNUM('Carga Web Cirugias'!A11))</f>
        <v/>
      </c>
      <c r="B11" s="123">
        <f>IF('Carga Web Cirugias'!A11="","",'Carga Web Cirugias'!A11)</f>
        <v/>
      </c>
      <c r="C11" s="112">
        <f>IF('Carga Web Cirugias'!M11="","",'Carga Web Cirugias'!M11)</f>
        <v/>
      </c>
      <c r="D11" s="114">
        <f>IFERROR(IF(OR(B11="",C11="",COUNTIFS($B$4:B11,B11,$C$4:C11,C11)&gt;1),"",(_xludf.AGGREGATE(14,6,MOD('Carga Web Cirugias'!$S$4:$S$500,1)/(('Carga Web Cirugias'!$A$4:$A$500=B11)*('Carga Web Cirugias'!$M$4:$M$500=C11)*('Carga Web Cirugias'!$R$4:$R$500&lt;&gt;"")*('Carga Web Cirugias'!$S$4:$S$500&lt;&gt;"")),1)-_xludf.AGGREGATE(15,6,MOD('Carga Web Cirugias'!$R$4:$R$500,1)/(('Carga Web Cirugias'!$A$4:$A$500=B11)*('Carga Web Cirugias'!$M$4:$M$500=C11)*('Carga Web Cirugias'!$R$4:$R$500&lt;&gt;"")*('Carga Web Cirugias'!$S$4:$S$500&lt;&gt;"")),1))*1440),"")</f>
        <v/>
      </c>
      <c r="E11" s="114">
        <f>IF(OR(B11="",C11="",D11=""),"",VLOOKUP(C11,'Horario Pabellones'!$A$4:$D$17,4,FALSE))</f>
        <v/>
      </c>
      <c r="F11" s="124">
        <f>IFERROR(IF(OR(D11="",E11="",E11=0),"",(D11/60)/(E11/60)),"")</f>
        <v/>
      </c>
      <c r="G11" s="112">
        <f>IF(F11="","",IF(F11&gt;=0.75,"Cumple referencia","Bajo referencia"))</f>
        <v/>
      </c>
      <c r="I11" s="112" t="n">
        <v>8</v>
      </c>
      <c r="J11" s="123">
        <f>IFERROR(_xludf.MINIFS($B$4:$B$500,$A$4:$A$500,I11,$D$4:$D$500,"&gt;0"),"")</f>
        <v/>
      </c>
      <c r="K11" s="114">
        <f>IFERROR(SUMIFS($D$4:$D$500,$A$4:$A$500,I11),"")</f>
        <v/>
      </c>
      <c r="L11" s="114">
        <f>IFERROR(SUMIFS($E$4:$E$500,$A$4:$A$500,I11),"")</f>
        <v/>
      </c>
      <c r="M11" s="124">
        <f>IFERROR(AVERAGEIFS($F$4:$F$500,$A$4:$A$500,I11,$F$4:$F$500,"&gt;=0"),"")</f>
        <v/>
      </c>
      <c r="N11" s="114">
        <f>COUNTIFS($A$4:$A$500,I11,$D$4:$D$500,"&gt;0")</f>
        <v/>
      </c>
    </row>
    <row r="12" ht="16" customHeight="1" s="151">
      <c r="A12" s="109">
        <f>IF(OR('Carga Web Cirugias'!A12="",'Carga Web Cirugias'!M12=""),"",_xludf.ISOWEEKNUM('Carga Web Cirugias'!A12))</f>
        <v/>
      </c>
      <c r="B12" s="117">
        <f>IF('Carga Web Cirugias'!A12="","",'Carga Web Cirugias'!A12)</f>
        <v/>
      </c>
      <c r="C12" s="109">
        <f>IF('Carga Web Cirugias'!M12="","",'Carga Web Cirugias'!M12)</f>
        <v/>
      </c>
      <c r="D12" s="111">
        <f>IFERROR(IF(OR(B12="",C12="",COUNTIFS($B$4:B12,B12,$C$4:C12,C12)&gt;1),"",(_xludf.AGGREGATE(14,6,MOD('Carga Web Cirugias'!$S$4:$S$500,1)/(('Carga Web Cirugias'!$A$4:$A$500=B12)*('Carga Web Cirugias'!$M$4:$M$500=C12)*('Carga Web Cirugias'!$R$4:$R$500&lt;&gt;"")*('Carga Web Cirugias'!$S$4:$S$500&lt;&gt;"")),1)-_xludf.AGGREGATE(15,6,MOD('Carga Web Cirugias'!$R$4:$R$500,1)/(('Carga Web Cirugias'!$A$4:$A$500=B12)*('Carga Web Cirugias'!$M$4:$M$500=C12)*('Carga Web Cirugias'!$R$4:$R$500&lt;&gt;"")*('Carga Web Cirugias'!$S$4:$S$500&lt;&gt;"")),1))*1440),"")</f>
        <v/>
      </c>
      <c r="E12" s="111">
        <f>IF(OR(B12="",C12="",D12=""),"",VLOOKUP(C12,'Horario Pabellones'!$A$4:$D$17,4,FALSE))</f>
        <v/>
      </c>
      <c r="F12" s="118">
        <f>IFERROR(IF(OR(D12="",E12="",E12=0),"",(D12/60)/(E12/60)),"")</f>
        <v/>
      </c>
      <c r="G12" s="109">
        <f>IF(F12="","",IF(F12&gt;=0.75,"Cumple referencia","Bajo referencia"))</f>
        <v/>
      </c>
      <c r="I12" s="119" t="n">
        <v>9</v>
      </c>
      <c r="J12" s="120">
        <f>IFERROR(_xludf.MINIFS($B$4:$B$500,$A$4:$A$500,I12,$D$4:$D$500,"&gt;0"),"")</f>
        <v/>
      </c>
      <c r="K12" s="121">
        <f>IFERROR(SUMIFS($D$4:$D$500,$A$4:$A$500,I12),"")</f>
        <v/>
      </c>
      <c r="L12" s="121">
        <f>IFERROR(SUMIFS($E$4:$E$500,$A$4:$A$500,I12),"")</f>
        <v/>
      </c>
      <c r="M12" s="122">
        <f>IFERROR(AVERAGEIFS($F$4:$F$500,$A$4:$A$500,I12,$F$4:$F$500,"&gt;=0"),"")</f>
        <v/>
      </c>
      <c r="N12" s="121">
        <f>COUNTIFS($A$4:$A$500,I12,$D$4:$D$500,"&gt;0")</f>
        <v/>
      </c>
    </row>
    <row r="13" ht="16" customHeight="1" s="151">
      <c r="A13" s="112">
        <f>IF(OR('Carga Web Cirugias'!A13="",'Carga Web Cirugias'!M13=""),"",_xludf.ISOWEEKNUM('Carga Web Cirugias'!A13))</f>
        <v/>
      </c>
      <c r="B13" s="123">
        <f>IF('Carga Web Cirugias'!A13="","",'Carga Web Cirugias'!A13)</f>
        <v/>
      </c>
      <c r="C13" s="112">
        <f>IF('Carga Web Cirugias'!M13="","",'Carga Web Cirugias'!M13)</f>
        <v/>
      </c>
      <c r="D13" s="114">
        <f>IFERROR(IF(OR(B13="",C13="",COUNTIFS($B$4:B13,B13,$C$4:C13,C13)&gt;1),"",(_xludf.AGGREGATE(14,6,MOD('Carga Web Cirugias'!$S$4:$S$500,1)/(('Carga Web Cirugias'!$A$4:$A$500=B13)*('Carga Web Cirugias'!$M$4:$M$500=C13)*('Carga Web Cirugias'!$R$4:$R$500&lt;&gt;"")*('Carga Web Cirugias'!$S$4:$S$500&lt;&gt;"")),1)-_xludf.AGGREGATE(15,6,MOD('Carga Web Cirugias'!$R$4:$R$500,1)/(('Carga Web Cirugias'!$A$4:$A$500=B13)*('Carga Web Cirugias'!$M$4:$M$500=C13)*('Carga Web Cirugias'!$R$4:$R$500&lt;&gt;"")*('Carga Web Cirugias'!$S$4:$S$500&lt;&gt;"")),1))*1440),"")</f>
        <v/>
      </c>
      <c r="E13" s="114">
        <f>IF(OR(B13="",C13="",D13=""),"",VLOOKUP(C13,'Horario Pabellones'!$A$4:$D$17,4,FALSE))</f>
        <v/>
      </c>
      <c r="F13" s="124">
        <f>IFERROR(IF(OR(D13="",E13="",E13=0),"",(D13/60)/(E13/60)),"")</f>
        <v/>
      </c>
      <c r="G13" s="112">
        <f>IF(F13="","",IF(F13&gt;=0.75,"Cumple referencia","Bajo referencia"))</f>
        <v/>
      </c>
      <c r="I13" s="112" t="n">
        <v>10</v>
      </c>
      <c r="J13" s="123">
        <f>IFERROR(_xludf.MINIFS($B$4:$B$500,$A$4:$A$500,I13,$D$4:$D$500,"&gt;0"),"")</f>
        <v/>
      </c>
      <c r="K13" s="114">
        <f>IFERROR(SUMIFS($D$4:$D$500,$A$4:$A$500,I13),"")</f>
        <v/>
      </c>
      <c r="L13" s="114">
        <f>IFERROR(SUMIFS($E$4:$E$500,$A$4:$A$500,I13),"")</f>
        <v/>
      </c>
      <c r="M13" s="124">
        <f>IFERROR(AVERAGEIFS($F$4:$F$500,$A$4:$A$500,I13,$F$4:$F$500,"&gt;=0"),"")</f>
        <v/>
      </c>
      <c r="N13" s="114">
        <f>COUNTIFS($A$4:$A$500,I13,$D$4:$D$500,"&gt;0")</f>
        <v/>
      </c>
    </row>
    <row r="14" ht="16" customHeight="1" s="151">
      <c r="A14" s="109">
        <f>IF(OR('Carga Web Cirugias'!A14="",'Carga Web Cirugias'!M14=""),"",_xludf.ISOWEEKNUM('Carga Web Cirugias'!A14))</f>
        <v/>
      </c>
      <c r="B14" s="117">
        <f>IF('Carga Web Cirugias'!A14="","",'Carga Web Cirugias'!A14)</f>
        <v/>
      </c>
      <c r="C14" s="109">
        <f>IF('Carga Web Cirugias'!M14="","",'Carga Web Cirugias'!M14)</f>
        <v/>
      </c>
      <c r="D14" s="111">
        <f>IFERROR(IF(OR(B14="",C14="",COUNTIFS($B$4:B14,B14,$C$4:C14,C14)&gt;1),"",(_xludf.AGGREGATE(14,6,MOD('Carga Web Cirugias'!$S$4:$S$500,1)/(('Carga Web Cirugias'!$A$4:$A$500=B14)*('Carga Web Cirugias'!$M$4:$M$500=C14)*('Carga Web Cirugias'!$R$4:$R$500&lt;&gt;"")*('Carga Web Cirugias'!$S$4:$S$500&lt;&gt;"")),1)-_xludf.AGGREGATE(15,6,MOD('Carga Web Cirugias'!$R$4:$R$500,1)/(('Carga Web Cirugias'!$A$4:$A$500=B14)*('Carga Web Cirugias'!$M$4:$M$500=C14)*('Carga Web Cirugias'!$R$4:$R$500&lt;&gt;"")*('Carga Web Cirugias'!$S$4:$S$500&lt;&gt;"")),1))*1440),"")</f>
        <v/>
      </c>
      <c r="E14" s="111">
        <f>IF(OR(B14="",C14="",D14=""),"",VLOOKUP(C14,'Horario Pabellones'!$A$4:$D$17,4,FALSE))</f>
        <v/>
      </c>
      <c r="F14" s="118">
        <f>IFERROR(IF(OR(D14="",E14="",E14=0),"",(D14/60)/(E14/60)),"")</f>
        <v/>
      </c>
      <c r="G14" s="109">
        <f>IF(F14="","",IF(F14&gt;=0.75,"Cumple referencia","Bajo referencia"))</f>
        <v/>
      </c>
      <c r="I14" s="119" t="n">
        <v>11</v>
      </c>
      <c r="J14" s="120">
        <f>IFERROR(_xludf.MINIFS($B$4:$B$500,$A$4:$A$500,I14,$D$4:$D$500,"&gt;0"),"")</f>
        <v/>
      </c>
      <c r="K14" s="121">
        <f>IFERROR(SUMIFS($D$4:$D$500,$A$4:$A$500,I14),"")</f>
        <v/>
      </c>
      <c r="L14" s="121">
        <f>IFERROR(SUMIFS($E$4:$E$500,$A$4:$A$500,I14),"")</f>
        <v/>
      </c>
      <c r="M14" s="122">
        <f>IFERROR(AVERAGEIFS($F$4:$F$500,$A$4:$A$500,I14,$F$4:$F$500,"&gt;=0"),"")</f>
        <v/>
      </c>
      <c r="N14" s="121">
        <f>COUNTIFS($A$4:$A$500,I14,$D$4:$D$500,"&gt;0")</f>
        <v/>
      </c>
    </row>
    <row r="15" ht="16" customHeight="1" s="151">
      <c r="A15" s="112">
        <f>IF(OR('Carga Web Cirugias'!A15="",'Carga Web Cirugias'!M15=""),"",_xludf.ISOWEEKNUM('Carga Web Cirugias'!A15))</f>
        <v/>
      </c>
      <c r="B15" s="123">
        <f>IF('Carga Web Cirugias'!A15="","",'Carga Web Cirugias'!A15)</f>
        <v/>
      </c>
      <c r="C15" s="112">
        <f>IF('Carga Web Cirugias'!M15="","",'Carga Web Cirugias'!M15)</f>
        <v/>
      </c>
      <c r="D15" s="114">
        <f>IFERROR(IF(OR(B15="",C15="",COUNTIFS($B$4:B15,B15,$C$4:C15,C15)&gt;1),"",(_xludf.AGGREGATE(14,6,MOD('Carga Web Cirugias'!$S$4:$S$500,1)/(('Carga Web Cirugias'!$A$4:$A$500=B15)*('Carga Web Cirugias'!$M$4:$M$500=C15)*('Carga Web Cirugias'!$R$4:$R$500&lt;&gt;"")*('Carga Web Cirugias'!$S$4:$S$500&lt;&gt;"")),1)-_xludf.AGGREGATE(15,6,MOD('Carga Web Cirugias'!$R$4:$R$500,1)/(('Carga Web Cirugias'!$A$4:$A$500=B15)*('Carga Web Cirugias'!$M$4:$M$500=C15)*('Carga Web Cirugias'!$R$4:$R$500&lt;&gt;"")*('Carga Web Cirugias'!$S$4:$S$500&lt;&gt;"")),1))*1440),"")</f>
        <v/>
      </c>
      <c r="E15" s="114">
        <f>IF(OR(B15="",C15="",D15=""),"",VLOOKUP(C15,'Horario Pabellones'!$A$4:$D$17,4,FALSE))</f>
        <v/>
      </c>
      <c r="F15" s="124">
        <f>IFERROR(IF(OR(D15="",E15="",E15=0),"",(D15/60)/(E15/60)),"")</f>
        <v/>
      </c>
      <c r="G15" s="112">
        <f>IF(F15="","",IF(F15&gt;=0.75,"Cumple referencia","Bajo referencia"))</f>
        <v/>
      </c>
      <c r="I15" s="112" t="n">
        <v>12</v>
      </c>
      <c r="J15" s="123">
        <f>IFERROR(_xludf.MINIFS($B$4:$B$500,$A$4:$A$500,I15,$D$4:$D$500,"&gt;0"),"")</f>
        <v/>
      </c>
      <c r="K15" s="114">
        <f>IFERROR(SUMIFS($D$4:$D$500,$A$4:$A$500,I15),"")</f>
        <v/>
      </c>
      <c r="L15" s="114">
        <f>IFERROR(SUMIFS($E$4:$E$500,$A$4:$A$500,I15),"")</f>
        <v/>
      </c>
      <c r="M15" s="124">
        <f>IFERROR(AVERAGEIFS($F$4:$F$500,$A$4:$A$500,I15,$F$4:$F$500,"&gt;=0"),"")</f>
        <v/>
      </c>
      <c r="N15" s="114">
        <f>COUNTIFS($A$4:$A$500,I15,$D$4:$D$500,"&gt;0")</f>
        <v/>
      </c>
    </row>
    <row r="16" ht="16" customHeight="1" s="151">
      <c r="A16" s="109">
        <f>IF(OR('Carga Web Cirugias'!A16="",'Carga Web Cirugias'!M16=""),"",_xludf.ISOWEEKNUM('Carga Web Cirugias'!A16))</f>
        <v/>
      </c>
      <c r="B16" s="117">
        <f>IF('Carga Web Cirugias'!A16="","",'Carga Web Cirugias'!A16)</f>
        <v/>
      </c>
      <c r="C16" s="109">
        <f>IF('Carga Web Cirugias'!M16="","",'Carga Web Cirugias'!M16)</f>
        <v/>
      </c>
      <c r="D16" s="111">
        <f>IFERROR(IF(OR(B16="",C16="",COUNTIFS($B$4:B16,B16,$C$4:C16,C16)&gt;1),"",(_xludf.AGGREGATE(14,6,MOD('Carga Web Cirugias'!$S$4:$S$500,1)/(('Carga Web Cirugias'!$A$4:$A$500=B16)*('Carga Web Cirugias'!$M$4:$M$500=C16)*('Carga Web Cirugias'!$R$4:$R$500&lt;&gt;"")*('Carga Web Cirugias'!$S$4:$S$500&lt;&gt;"")),1)-_xludf.AGGREGATE(15,6,MOD('Carga Web Cirugias'!$R$4:$R$500,1)/(('Carga Web Cirugias'!$A$4:$A$500=B16)*('Carga Web Cirugias'!$M$4:$M$500=C16)*('Carga Web Cirugias'!$R$4:$R$500&lt;&gt;"")*('Carga Web Cirugias'!$S$4:$S$500&lt;&gt;"")),1))*1440),"")</f>
        <v/>
      </c>
      <c r="E16" s="111">
        <f>IF(OR(B16="",C16="",D16=""),"",VLOOKUP(C16,'Horario Pabellones'!$A$4:$D$17,4,FALSE))</f>
        <v/>
      </c>
      <c r="F16" s="118">
        <f>IFERROR(IF(OR(D16="",E16="",E16=0),"",(D16/60)/(E16/60)),"")</f>
        <v/>
      </c>
      <c r="G16" s="109">
        <f>IF(F16="","",IF(F16&gt;=0.75,"Cumple referencia","Bajo referencia"))</f>
        <v/>
      </c>
      <c r="I16" s="119" t="n">
        <v>13</v>
      </c>
      <c r="J16" s="120">
        <f>IFERROR(_xludf.MINIFS($B$4:$B$500,$A$4:$A$500,I16,$D$4:$D$500,"&gt;0"),"")</f>
        <v/>
      </c>
      <c r="K16" s="121">
        <f>IFERROR(SUMIFS($D$4:$D$500,$A$4:$A$500,I16),"")</f>
        <v/>
      </c>
      <c r="L16" s="121">
        <f>IFERROR(SUMIFS($E$4:$E$500,$A$4:$A$500,I16),"")</f>
        <v/>
      </c>
      <c r="M16" s="122">
        <f>IFERROR(AVERAGEIFS($F$4:$F$500,$A$4:$A$500,I16,$F$4:$F$500,"&gt;=0"),"")</f>
        <v/>
      </c>
      <c r="N16" s="121">
        <f>COUNTIFS($A$4:$A$500,I16,$D$4:$D$500,"&gt;0")</f>
        <v/>
      </c>
    </row>
    <row r="17" ht="16" customHeight="1" s="151">
      <c r="A17" s="112">
        <f>IF(OR('Carga Web Cirugias'!A17="",'Carga Web Cirugias'!M17=""),"",_xludf.ISOWEEKNUM('Carga Web Cirugias'!A17))</f>
        <v/>
      </c>
      <c r="B17" s="123">
        <f>IF('Carga Web Cirugias'!A17="","",'Carga Web Cirugias'!A17)</f>
        <v/>
      </c>
      <c r="C17" s="112">
        <f>IF('Carga Web Cirugias'!M17="","",'Carga Web Cirugias'!M17)</f>
        <v/>
      </c>
      <c r="D17" s="114">
        <f>IFERROR(IF(OR(B17="",C17="",COUNTIFS($B$4:B17,B17,$C$4:C17,C17)&gt;1),"",(_xludf.AGGREGATE(14,6,MOD('Carga Web Cirugias'!$S$4:$S$500,1)/(('Carga Web Cirugias'!$A$4:$A$500=B17)*('Carga Web Cirugias'!$M$4:$M$500=C17)*('Carga Web Cirugias'!$R$4:$R$500&lt;&gt;"")*('Carga Web Cirugias'!$S$4:$S$500&lt;&gt;"")),1)-_xludf.AGGREGATE(15,6,MOD('Carga Web Cirugias'!$R$4:$R$500,1)/(('Carga Web Cirugias'!$A$4:$A$500=B17)*('Carga Web Cirugias'!$M$4:$M$500=C17)*('Carga Web Cirugias'!$R$4:$R$500&lt;&gt;"")*('Carga Web Cirugias'!$S$4:$S$500&lt;&gt;"")),1))*1440),"")</f>
        <v/>
      </c>
      <c r="E17" s="114">
        <f>IF(OR(B17="",C17="",D17=""),"",VLOOKUP(C17,'Horario Pabellones'!$A$4:$D$17,4,FALSE))</f>
        <v/>
      </c>
      <c r="F17" s="124">
        <f>IFERROR(IF(OR(D17="",E17="",E17=0),"",(D17/60)/(E17/60)),"")</f>
        <v/>
      </c>
      <c r="G17" s="112">
        <f>IF(F17="","",IF(F17&gt;=0.75,"Cumple referencia","Bajo referencia"))</f>
        <v/>
      </c>
      <c r="I17" s="112" t="n">
        <v>14</v>
      </c>
      <c r="J17" s="123">
        <f>IFERROR(_xludf.MINIFS($B$4:$B$500,$A$4:$A$500,I17,$D$4:$D$500,"&gt;0"),"")</f>
        <v/>
      </c>
      <c r="K17" s="114">
        <f>IFERROR(SUMIFS($D$4:$D$500,$A$4:$A$500,I17),"")</f>
        <v/>
      </c>
      <c r="L17" s="114">
        <f>IFERROR(SUMIFS($E$4:$E$500,$A$4:$A$500,I17),"")</f>
        <v/>
      </c>
      <c r="M17" s="124">
        <f>IFERROR(AVERAGEIFS($F$4:$F$500,$A$4:$A$500,I17,$F$4:$F$500,"&gt;=0"),"")</f>
        <v/>
      </c>
      <c r="N17" s="114">
        <f>COUNTIFS($A$4:$A$500,I17,$D$4:$D$500,"&gt;0")</f>
        <v/>
      </c>
    </row>
    <row r="18" ht="16" customHeight="1" s="151">
      <c r="A18" s="109">
        <f>IF(OR('Carga Web Cirugias'!A18="",'Carga Web Cirugias'!M18=""),"",_xludf.ISOWEEKNUM('Carga Web Cirugias'!A18))</f>
        <v/>
      </c>
      <c r="B18" s="117">
        <f>IF('Carga Web Cirugias'!A18="","",'Carga Web Cirugias'!A18)</f>
        <v/>
      </c>
      <c r="C18" s="109">
        <f>IF('Carga Web Cirugias'!M18="","",'Carga Web Cirugias'!M18)</f>
        <v/>
      </c>
      <c r="D18" s="111">
        <f>IFERROR(IF(OR(B18="",C18="",COUNTIFS($B$4:B18,B18,$C$4:C18,C18)&gt;1),"",(_xludf.AGGREGATE(14,6,MOD('Carga Web Cirugias'!$S$4:$S$500,1)/(('Carga Web Cirugias'!$A$4:$A$500=B18)*('Carga Web Cirugias'!$M$4:$M$500=C18)*('Carga Web Cirugias'!$R$4:$R$500&lt;&gt;"")*('Carga Web Cirugias'!$S$4:$S$500&lt;&gt;"")),1)-_xludf.AGGREGATE(15,6,MOD('Carga Web Cirugias'!$R$4:$R$500,1)/(('Carga Web Cirugias'!$A$4:$A$500=B18)*('Carga Web Cirugias'!$M$4:$M$500=C18)*('Carga Web Cirugias'!$R$4:$R$500&lt;&gt;"")*('Carga Web Cirugias'!$S$4:$S$500&lt;&gt;"")),1))*1440),"")</f>
        <v/>
      </c>
      <c r="E18" s="111">
        <f>IF(OR(B18="",C18="",D18=""),"",VLOOKUP(C18,'Horario Pabellones'!$A$4:$D$17,4,FALSE))</f>
        <v/>
      </c>
      <c r="F18" s="118">
        <f>IFERROR(IF(OR(D18="",E18="",E18=0),"",(D18/60)/(E18/60)),"")</f>
        <v/>
      </c>
      <c r="G18" s="109">
        <f>IF(F18="","",IF(F18&gt;=0.75,"Cumple referencia","Bajo referencia"))</f>
        <v/>
      </c>
      <c r="I18" s="119" t="n">
        <v>15</v>
      </c>
      <c r="J18" s="120">
        <f>IFERROR(_xludf.MINIFS($B$4:$B$500,$A$4:$A$500,I18,$D$4:$D$500,"&gt;0"),"")</f>
        <v/>
      </c>
      <c r="K18" s="121">
        <f>IFERROR(SUMIFS($D$4:$D$500,$A$4:$A$500,I18),"")</f>
        <v/>
      </c>
      <c r="L18" s="121">
        <f>IFERROR(SUMIFS($E$4:$E$500,$A$4:$A$500,I18),"")</f>
        <v/>
      </c>
      <c r="M18" s="122">
        <f>IFERROR(AVERAGEIFS($F$4:$F$500,$A$4:$A$500,I18,$F$4:$F$500,"&gt;=0"),"")</f>
        <v/>
      </c>
      <c r="N18" s="121">
        <f>COUNTIFS($A$4:$A$500,I18,$D$4:$D$500,"&gt;0")</f>
        <v/>
      </c>
    </row>
    <row r="19" ht="16" customHeight="1" s="151">
      <c r="A19" s="112">
        <f>IF(OR('Carga Web Cirugias'!A19="",'Carga Web Cirugias'!M19=""),"",_xludf.ISOWEEKNUM('Carga Web Cirugias'!A19))</f>
        <v/>
      </c>
      <c r="B19" s="123">
        <f>IF('Carga Web Cirugias'!A19="","",'Carga Web Cirugias'!A19)</f>
        <v/>
      </c>
      <c r="C19" s="112">
        <f>IF('Carga Web Cirugias'!M19="","",'Carga Web Cirugias'!M19)</f>
        <v/>
      </c>
      <c r="D19" s="114">
        <f>IFERROR(IF(OR(B19="",C19="",COUNTIFS($B$4:B19,B19,$C$4:C19,C19)&gt;1),"",(_xludf.AGGREGATE(14,6,MOD('Carga Web Cirugias'!$S$4:$S$500,1)/(('Carga Web Cirugias'!$A$4:$A$500=B19)*('Carga Web Cirugias'!$M$4:$M$500=C19)*('Carga Web Cirugias'!$R$4:$R$500&lt;&gt;"")*('Carga Web Cirugias'!$S$4:$S$500&lt;&gt;"")),1)-_xludf.AGGREGATE(15,6,MOD('Carga Web Cirugias'!$R$4:$R$500,1)/(('Carga Web Cirugias'!$A$4:$A$500=B19)*('Carga Web Cirugias'!$M$4:$M$500=C19)*('Carga Web Cirugias'!$R$4:$R$500&lt;&gt;"")*('Carga Web Cirugias'!$S$4:$S$500&lt;&gt;"")),1))*1440),"")</f>
        <v/>
      </c>
      <c r="E19" s="114">
        <f>IF(OR(B19="",C19="",D19=""),"",VLOOKUP(C19,'Horario Pabellones'!$A$4:$D$17,4,FALSE))</f>
        <v/>
      </c>
      <c r="F19" s="124">
        <f>IFERROR(IF(OR(D19="",E19="",E19=0),"",(D19/60)/(E19/60)),"")</f>
        <v/>
      </c>
      <c r="G19" s="112">
        <f>IF(F19="","",IF(F19&gt;=0.75,"Cumple referencia","Bajo referencia"))</f>
        <v/>
      </c>
      <c r="I19" s="112" t="n">
        <v>16</v>
      </c>
      <c r="J19" s="123">
        <f>IFERROR(_xludf.MINIFS($B$4:$B$500,$A$4:$A$500,I19,$D$4:$D$500,"&gt;0"),"")</f>
        <v/>
      </c>
      <c r="K19" s="114">
        <f>IFERROR(SUMIFS($D$4:$D$500,$A$4:$A$500,I19),"")</f>
        <v/>
      </c>
      <c r="L19" s="114">
        <f>IFERROR(SUMIFS($E$4:$E$500,$A$4:$A$500,I19),"")</f>
        <v/>
      </c>
      <c r="M19" s="124">
        <f>IFERROR(AVERAGEIFS($F$4:$F$500,$A$4:$A$500,I19,$F$4:$F$500,"&gt;=0"),"")</f>
        <v/>
      </c>
      <c r="N19" s="114">
        <f>COUNTIFS($A$4:$A$500,I19,$D$4:$D$500,"&gt;0")</f>
        <v/>
      </c>
    </row>
    <row r="20" ht="16" customHeight="1" s="151">
      <c r="A20" s="109">
        <f>IF(OR('Carga Web Cirugias'!A20="",'Carga Web Cirugias'!M20=""),"",_xludf.ISOWEEKNUM('Carga Web Cirugias'!A20))</f>
        <v/>
      </c>
      <c r="B20" s="117">
        <f>IF('Carga Web Cirugias'!A20="","",'Carga Web Cirugias'!A20)</f>
        <v/>
      </c>
      <c r="C20" s="109">
        <f>IF('Carga Web Cirugias'!M20="","",'Carga Web Cirugias'!M20)</f>
        <v/>
      </c>
      <c r="D20" s="111">
        <f>IFERROR(IF(OR(B20="",C20="",COUNTIFS($B$4:B20,B20,$C$4:C20,C20)&gt;1),"",(_xludf.AGGREGATE(14,6,MOD('Carga Web Cirugias'!$S$4:$S$500,1)/(('Carga Web Cirugias'!$A$4:$A$500=B20)*('Carga Web Cirugias'!$M$4:$M$500=C20)*('Carga Web Cirugias'!$R$4:$R$500&lt;&gt;"")*('Carga Web Cirugias'!$S$4:$S$500&lt;&gt;"")),1)-_xludf.AGGREGATE(15,6,MOD('Carga Web Cirugias'!$R$4:$R$500,1)/(('Carga Web Cirugias'!$A$4:$A$500=B20)*('Carga Web Cirugias'!$M$4:$M$500=C20)*('Carga Web Cirugias'!$R$4:$R$500&lt;&gt;"")*('Carga Web Cirugias'!$S$4:$S$500&lt;&gt;"")),1))*1440),"")</f>
        <v/>
      </c>
      <c r="E20" s="111">
        <f>IF(OR(B20="",C20="",D20=""),"",VLOOKUP(C20,'Horario Pabellones'!$A$4:$D$17,4,FALSE))</f>
        <v/>
      </c>
      <c r="F20" s="118">
        <f>IFERROR(IF(OR(D20="",E20="",E20=0),"",(D20/60)/(E20/60)),"")</f>
        <v/>
      </c>
      <c r="G20" s="109">
        <f>IF(F20="","",IF(F20&gt;=0.75,"Cumple referencia","Bajo referencia"))</f>
        <v/>
      </c>
      <c r="I20" s="119" t="n">
        <v>17</v>
      </c>
      <c r="J20" s="120">
        <f>IFERROR(_xludf.MINIFS($B$4:$B$500,$A$4:$A$500,I20,$D$4:$D$500,"&gt;0"),"")</f>
        <v/>
      </c>
      <c r="K20" s="121">
        <f>IFERROR(SUMIFS($D$4:$D$500,$A$4:$A$500,I20),"")</f>
        <v/>
      </c>
      <c r="L20" s="121">
        <f>IFERROR(SUMIFS($E$4:$E$500,$A$4:$A$500,I20),"")</f>
        <v/>
      </c>
      <c r="M20" s="122">
        <f>IFERROR(AVERAGEIFS($F$4:$F$500,$A$4:$A$500,I20,$F$4:$F$500,"&gt;=0"),"")</f>
        <v/>
      </c>
      <c r="N20" s="121">
        <f>COUNTIFS($A$4:$A$500,I20,$D$4:$D$500,"&gt;0")</f>
        <v/>
      </c>
    </row>
    <row r="21" ht="16" customHeight="1" s="151">
      <c r="A21" s="112">
        <f>IF(OR('Carga Web Cirugias'!A21="",'Carga Web Cirugias'!M21=""),"",_xludf.ISOWEEKNUM('Carga Web Cirugias'!A21))</f>
        <v/>
      </c>
      <c r="B21" s="123">
        <f>IF('Carga Web Cirugias'!A21="","",'Carga Web Cirugias'!A21)</f>
        <v/>
      </c>
      <c r="C21" s="112">
        <f>IF('Carga Web Cirugias'!M21="","",'Carga Web Cirugias'!M21)</f>
        <v/>
      </c>
      <c r="D21" s="114">
        <f>IFERROR(IF(OR(B21="",C21="",COUNTIFS($B$4:B21,B21,$C$4:C21,C21)&gt;1),"",(_xludf.AGGREGATE(14,6,MOD('Carga Web Cirugias'!$S$4:$S$500,1)/(('Carga Web Cirugias'!$A$4:$A$500=B21)*('Carga Web Cirugias'!$M$4:$M$500=C21)*('Carga Web Cirugias'!$R$4:$R$500&lt;&gt;"")*('Carga Web Cirugias'!$S$4:$S$500&lt;&gt;"")),1)-_xludf.AGGREGATE(15,6,MOD('Carga Web Cirugias'!$R$4:$R$500,1)/(('Carga Web Cirugias'!$A$4:$A$500=B21)*('Carga Web Cirugias'!$M$4:$M$500=C21)*('Carga Web Cirugias'!$R$4:$R$500&lt;&gt;"")*('Carga Web Cirugias'!$S$4:$S$500&lt;&gt;"")),1))*1440),"")</f>
        <v/>
      </c>
      <c r="E21" s="114">
        <f>IF(OR(B21="",C21="",D21=""),"",VLOOKUP(C21,'Horario Pabellones'!$A$4:$D$17,4,FALSE))</f>
        <v/>
      </c>
      <c r="F21" s="124">
        <f>IFERROR(IF(OR(D21="",E21="",E21=0),"",(D21/60)/(E21/60)),"")</f>
        <v/>
      </c>
      <c r="G21" s="112">
        <f>IF(F21="","",IF(F21&gt;=0.75,"Cumple referencia","Bajo referencia"))</f>
        <v/>
      </c>
      <c r="I21" s="112" t="n">
        <v>18</v>
      </c>
      <c r="J21" s="123">
        <f>IFERROR(_xludf.MINIFS($B$4:$B$500,$A$4:$A$500,I21,$D$4:$D$500,"&gt;0"),"")</f>
        <v/>
      </c>
      <c r="K21" s="114">
        <f>IFERROR(SUMIFS($D$4:$D$500,$A$4:$A$500,I21),"")</f>
        <v/>
      </c>
      <c r="L21" s="114">
        <f>IFERROR(SUMIFS($E$4:$E$500,$A$4:$A$500,I21),"")</f>
        <v/>
      </c>
      <c r="M21" s="124">
        <f>IFERROR(AVERAGEIFS($F$4:$F$500,$A$4:$A$500,I21,$F$4:$F$500,"&gt;=0"),"")</f>
        <v/>
      </c>
      <c r="N21" s="114">
        <f>COUNTIFS($A$4:$A$500,I21,$D$4:$D$500,"&gt;0")</f>
        <v/>
      </c>
    </row>
    <row r="22" ht="16" customHeight="1" s="151">
      <c r="A22" s="109">
        <f>IF(OR('Carga Web Cirugias'!A22="",'Carga Web Cirugias'!M22=""),"",_xludf.ISOWEEKNUM('Carga Web Cirugias'!A22))</f>
        <v/>
      </c>
      <c r="B22" s="117">
        <f>IF('Carga Web Cirugias'!A22="","",'Carga Web Cirugias'!A22)</f>
        <v/>
      </c>
      <c r="C22" s="109">
        <f>IF('Carga Web Cirugias'!M22="","",'Carga Web Cirugias'!M22)</f>
        <v/>
      </c>
      <c r="D22" s="111">
        <f>IFERROR(IF(OR(B22="",C22="",COUNTIFS($B$4:B22,B22,$C$4:C22,C22)&gt;1),"",(_xludf.AGGREGATE(14,6,MOD('Carga Web Cirugias'!$S$4:$S$500,1)/(('Carga Web Cirugias'!$A$4:$A$500=B22)*('Carga Web Cirugias'!$M$4:$M$500=C22)*('Carga Web Cirugias'!$R$4:$R$500&lt;&gt;"")*('Carga Web Cirugias'!$S$4:$S$500&lt;&gt;"")),1)-_xludf.AGGREGATE(15,6,MOD('Carga Web Cirugias'!$R$4:$R$500,1)/(('Carga Web Cirugias'!$A$4:$A$500=B22)*('Carga Web Cirugias'!$M$4:$M$500=C22)*('Carga Web Cirugias'!$R$4:$R$500&lt;&gt;"")*('Carga Web Cirugias'!$S$4:$S$500&lt;&gt;"")),1))*1440),"")</f>
        <v/>
      </c>
      <c r="E22" s="111">
        <f>IF(OR(B22="",C22="",D22=""),"",VLOOKUP(C22,'Horario Pabellones'!$A$4:$D$17,4,FALSE))</f>
        <v/>
      </c>
      <c r="F22" s="118">
        <f>IFERROR(IF(OR(D22="",E22="",E22=0),"",(D22/60)/(E22/60)),"")</f>
        <v/>
      </c>
      <c r="G22" s="109">
        <f>IF(F22="","",IF(F22&gt;=0.75,"Cumple referencia","Bajo referencia"))</f>
        <v/>
      </c>
      <c r="I22" s="119" t="n">
        <v>19</v>
      </c>
      <c r="J22" s="120">
        <f>IFERROR(_xludf.MINIFS($B$4:$B$500,$A$4:$A$500,I22,$D$4:$D$500,"&gt;0"),"")</f>
        <v/>
      </c>
      <c r="K22" s="121">
        <f>IFERROR(SUMIFS($D$4:$D$500,$A$4:$A$500,I22),"")</f>
        <v/>
      </c>
      <c r="L22" s="121">
        <f>IFERROR(SUMIFS($E$4:$E$500,$A$4:$A$500,I22),"")</f>
        <v/>
      </c>
      <c r="M22" s="122">
        <f>IFERROR(AVERAGEIFS($F$4:$F$500,$A$4:$A$500,I22,$F$4:$F$500,"&gt;=0"),"")</f>
        <v/>
      </c>
      <c r="N22" s="121">
        <f>COUNTIFS($A$4:$A$500,I22,$D$4:$D$500,"&gt;0")</f>
        <v/>
      </c>
    </row>
    <row r="23" ht="16" customHeight="1" s="151">
      <c r="A23" s="112">
        <f>IF(OR('Carga Web Cirugias'!A23="",'Carga Web Cirugias'!M23=""),"",_xludf.ISOWEEKNUM('Carga Web Cirugias'!A23))</f>
        <v/>
      </c>
      <c r="B23" s="123">
        <f>IF('Carga Web Cirugias'!A23="","",'Carga Web Cirugias'!A23)</f>
        <v/>
      </c>
      <c r="C23" s="112">
        <f>IF('Carga Web Cirugias'!M23="","",'Carga Web Cirugias'!M23)</f>
        <v/>
      </c>
      <c r="D23" s="114">
        <f>IFERROR(IF(OR(B23="",C23="",COUNTIFS($B$4:B23,B23,$C$4:C23,C23)&gt;1),"",(_xludf.AGGREGATE(14,6,MOD('Carga Web Cirugias'!$S$4:$S$500,1)/(('Carga Web Cirugias'!$A$4:$A$500=B23)*('Carga Web Cirugias'!$M$4:$M$500=C23)*('Carga Web Cirugias'!$R$4:$R$500&lt;&gt;"")*('Carga Web Cirugias'!$S$4:$S$500&lt;&gt;"")),1)-_xludf.AGGREGATE(15,6,MOD('Carga Web Cirugias'!$R$4:$R$500,1)/(('Carga Web Cirugias'!$A$4:$A$500=B23)*('Carga Web Cirugias'!$M$4:$M$500=C23)*('Carga Web Cirugias'!$R$4:$R$500&lt;&gt;"")*('Carga Web Cirugias'!$S$4:$S$500&lt;&gt;"")),1))*1440),"")</f>
        <v/>
      </c>
      <c r="E23" s="114">
        <f>IF(OR(B23="",C23="",D23=""),"",VLOOKUP(C23,'Horario Pabellones'!$A$4:$D$17,4,FALSE))</f>
        <v/>
      </c>
      <c r="F23" s="124">
        <f>IFERROR(IF(OR(D23="",E23="",E23=0),"",(D23/60)/(E23/60)),"")</f>
        <v/>
      </c>
      <c r="G23" s="112">
        <f>IF(F23="","",IF(F23&gt;=0.75,"Cumple referencia","Bajo referencia"))</f>
        <v/>
      </c>
      <c r="I23" s="112" t="n">
        <v>20</v>
      </c>
      <c r="J23" s="123">
        <f>IFERROR(_xludf.MINIFS($B$4:$B$500,$A$4:$A$500,I23,$D$4:$D$500,"&gt;0"),"")</f>
        <v/>
      </c>
      <c r="K23" s="114">
        <f>IFERROR(SUMIFS($D$4:$D$500,$A$4:$A$500,I23),"")</f>
        <v/>
      </c>
      <c r="L23" s="114">
        <f>IFERROR(SUMIFS($E$4:$E$500,$A$4:$A$500,I23),"")</f>
        <v/>
      </c>
      <c r="M23" s="124">
        <f>IFERROR(AVERAGEIFS($F$4:$F$500,$A$4:$A$500,I23,$F$4:$F$500,"&gt;=0"),"")</f>
        <v/>
      </c>
      <c r="N23" s="114">
        <f>COUNTIFS($A$4:$A$500,I23,$D$4:$D$500,"&gt;0")</f>
        <v/>
      </c>
    </row>
    <row r="24" ht="16" customHeight="1" s="151">
      <c r="A24" s="109">
        <f>IF(OR('Carga Web Cirugias'!A24="",'Carga Web Cirugias'!M24=""),"",_xludf.ISOWEEKNUM('Carga Web Cirugias'!A24))</f>
        <v/>
      </c>
      <c r="B24" s="117">
        <f>IF('Carga Web Cirugias'!A24="","",'Carga Web Cirugias'!A24)</f>
        <v/>
      </c>
      <c r="C24" s="109">
        <f>IF('Carga Web Cirugias'!M24="","",'Carga Web Cirugias'!M24)</f>
        <v/>
      </c>
      <c r="D24" s="111">
        <f>IFERROR(IF(OR(B24="",C24="",COUNTIFS($B$4:B24,B24,$C$4:C24,C24)&gt;1),"",(_xludf.AGGREGATE(14,6,MOD('Carga Web Cirugias'!$S$4:$S$500,1)/(('Carga Web Cirugias'!$A$4:$A$500=B24)*('Carga Web Cirugias'!$M$4:$M$500=C24)*('Carga Web Cirugias'!$R$4:$R$500&lt;&gt;"")*('Carga Web Cirugias'!$S$4:$S$500&lt;&gt;"")),1)-_xludf.AGGREGATE(15,6,MOD('Carga Web Cirugias'!$R$4:$R$500,1)/(('Carga Web Cirugias'!$A$4:$A$500=B24)*('Carga Web Cirugias'!$M$4:$M$500=C24)*('Carga Web Cirugias'!$R$4:$R$500&lt;&gt;"")*('Carga Web Cirugias'!$S$4:$S$500&lt;&gt;"")),1))*1440),"")</f>
        <v/>
      </c>
      <c r="E24" s="111">
        <f>IF(OR(B24="",C24="",D24=""),"",VLOOKUP(C24,'Horario Pabellones'!$A$4:$D$17,4,FALSE))</f>
        <v/>
      </c>
      <c r="F24" s="118">
        <f>IFERROR(IF(OR(D24="",E24="",E24=0),"",(D24/60)/(E24/60)),"")</f>
        <v/>
      </c>
      <c r="G24" s="109">
        <f>IF(F24="","",IF(F24&gt;=0.75,"Cumple referencia","Bajo referencia"))</f>
        <v/>
      </c>
      <c r="I24" s="119" t="n">
        <v>21</v>
      </c>
      <c r="J24" s="120">
        <f>IFERROR(_xludf.MINIFS($B$4:$B$500,$A$4:$A$500,I24,$D$4:$D$500,"&gt;0"),"")</f>
        <v/>
      </c>
      <c r="K24" s="121">
        <f>IFERROR(SUMIFS($D$4:$D$500,$A$4:$A$500,I24),"")</f>
        <v/>
      </c>
      <c r="L24" s="121">
        <f>IFERROR(SUMIFS($E$4:$E$500,$A$4:$A$500,I24),"")</f>
        <v/>
      </c>
      <c r="M24" s="122">
        <f>IFERROR(AVERAGEIFS($F$4:$F$500,$A$4:$A$500,I24,$F$4:$F$500,"&gt;=0"),"")</f>
        <v/>
      </c>
      <c r="N24" s="121">
        <f>COUNTIFS($A$4:$A$500,I24,$D$4:$D$500,"&gt;0")</f>
        <v/>
      </c>
    </row>
    <row r="25" ht="16" customHeight="1" s="151">
      <c r="A25" s="112">
        <f>IF(OR('Carga Web Cirugias'!A25="",'Carga Web Cirugias'!M25=""),"",_xludf.ISOWEEKNUM('Carga Web Cirugias'!A25))</f>
        <v/>
      </c>
      <c r="B25" s="123">
        <f>IF('Carga Web Cirugias'!A25="","",'Carga Web Cirugias'!A25)</f>
        <v/>
      </c>
      <c r="C25" s="112">
        <f>IF('Carga Web Cirugias'!M25="","",'Carga Web Cirugias'!M25)</f>
        <v/>
      </c>
      <c r="D25" s="114">
        <f>IFERROR(IF(OR(B25="",C25="",COUNTIFS($B$4:B25,B25,$C$4:C25,C25)&gt;1),"",(_xludf.AGGREGATE(14,6,MOD('Carga Web Cirugias'!$S$4:$S$500,1)/(('Carga Web Cirugias'!$A$4:$A$500=B25)*('Carga Web Cirugias'!$M$4:$M$500=C25)*('Carga Web Cirugias'!$R$4:$R$500&lt;&gt;"")*('Carga Web Cirugias'!$S$4:$S$500&lt;&gt;"")),1)-_xludf.AGGREGATE(15,6,MOD('Carga Web Cirugias'!$R$4:$R$500,1)/(('Carga Web Cirugias'!$A$4:$A$500=B25)*('Carga Web Cirugias'!$M$4:$M$500=C25)*('Carga Web Cirugias'!$R$4:$R$500&lt;&gt;"")*('Carga Web Cirugias'!$S$4:$S$500&lt;&gt;"")),1))*1440),"")</f>
        <v/>
      </c>
      <c r="E25" s="114">
        <f>IF(OR(B25="",C25="",D25=""),"",VLOOKUP(C25,'Horario Pabellones'!$A$4:$D$17,4,FALSE))</f>
        <v/>
      </c>
      <c r="F25" s="124">
        <f>IFERROR(IF(OR(D25="",E25="",E25=0),"",(D25/60)/(E25/60)),"")</f>
        <v/>
      </c>
      <c r="G25" s="112">
        <f>IF(F25="","",IF(F25&gt;=0.75,"Cumple referencia","Bajo referencia"))</f>
        <v/>
      </c>
      <c r="I25" s="112" t="n">
        <v>22</v>
      </c>
      <c r="J25" s="123">
        <f>IFERROR(_xludf.MINIFS($B$4:$B$500,$A$4:$A$500,I25,$D$4:$D$500,"&gt;0"),"")</f>
        <v/>
      </c>
      <c r="K25" s="114">
        <f>IFERROR(SUMIFS($D$4:$D$500,$A$4:$A$500,I25),"")</f>
        <v/>
      </c>
      <c r="L25" s="114">
        <f>IFERROR(SUMIFS($E$4:$E$500,$A$4:$A$500,I25),"")</f>
        <v/>
      </c>
      <c r="M25" s="124">
        <f>IFERROR(AVERAGEIFS($F$4:$F$500,$A$4:$A$500,I25,$F$4:$F$500,"&gt;=0"),"")</f>
        <v/>
      </c>
      <c r="N25" s="114">
        <f>COUNTIFS($A$4:$A$500,I25,$D$4:$D$500,"&gt;0")</f>
        <v/>
      </c>
    </row>
    <row r="26" ht="16" customHeight="1" s="151">
      <c r="A26" s="109">
        <f>IF(OR('Carga Web Cirugias'!A26="",'Carga Web Cirugias'!M26=""),"",_xludf.ISOWEEKNUM('Carga Web Cirugias'!A26))</f>
        <v/>
      </c>
      <c r="B26" s="117">
        <f>IF('Carga Web Cirugias'!A26="","",'Carga Web Cirugias'!A26)</f>
        <v/>
      </c>
      <c r="C26" s="109">
        <f>IF('Carga Web Cirugias'!M26="","",'Carga Web Cirugias'!M26)</f>
        <v/>
      </c>
      <c r="D26" s="111">
        <f>IFERROR(IF(OR(B26="",C26="",COUNTIFS($B$4:B26,B26,$C$4:C26,C26)&gt;1),"",(_xludf.AGGREGATE(14,6,MOD('Carga Web Cirugias'!$S$4:$S$500,1)/(('Carga Web Cirugias'!$A$4:$A$500=B26)*('Carga Web Cirugias'!$M$4:$M$500=C26)*('Carga Web Cirugias'!$R$4:$R$500&lt;&gt;"")*('Carga Web Cirugias'!$S$4:$S$500&lt;&gt;"")),1)-_xludf.AGGREGATE(15,6,MOD('Carga Web Cirugias'!$R$4:$R$500,1)/(('Carga Web Cirugias'!$A$4:$A$500=B26)*('Carga Web Cirugias'!$M$4:$M$500=C26)*('Carga Web Cirugias'!$R$4:$R$500&lt;&gt;"")*('Carga Web Cirugias'!$S$4:$S$500&lt;&gt;"")),1))*1440),"")</f>
        <v/>
      </c>
      <c r="E26" s="111">
        <f>IF(OR(B26="",C26="",D26=""),"",VLOOKUP(C26,'Horario Pabellones'!$A$4:$D$17,4,FALSE))</f>
        <v/>
      </c>
      <c r="F26" s="118">
        <f>IFERROR(IF(OR(D26="",E26="",E26=0),"",(D26/60)/(E26/60)),"")</f>
        <v/>
      </c>
      <c r="G26" s="109">
        <f>IF(F26="","",IF(F26&gt;=0.75,"Cumple referencia","Bajo referencia"))</f>
        <v/>
      </c>
      <c r="I26" s="119" t="n">
        <v>23</v>
      </c>
      <c r="J26" s="120">
        <f>IFERROR(_xludf.MINIFS($B$4:$B$500,$A$4:$A$500,I26,$D$4:$D$500,"&gt;0"),"")</f>
        <v/>
      </c>
      <c r="K26" s="121">
        <f>IFERROR(SUMIFS($D$4:$D$500,$A$4:$A$500,I26),"")</f>
        <v/>
      </c>
      <c r="L26" s="121">
        <f>IFERROR(SUMIFS($E$4:$E$500,$A$4:$A$500,I26),"")</f>
        <v/>
      </c>
      <c r="M26" s="122">
        <f>IFERROR(AVERAGEIFS($F$4:$F$500,$A$4:$A$500,I26,$F$4:$F$500,"&gt;=0"),"")</f>
        <v/>
      </c>
      <c r="N26" s="121">
        <f>COUNTIFS($A$4:$A$500,I26,$D$4:$D$500,"&gt;0")</f>
        <v/>
      </c>
    </row>
    <row r="27" ht="16" customHeight="1" s="151">
      <c r="A27" s="112">
        <f>IF(OR('Carga Web Cirugias'!A27="",'Carga Web Cirugias'!M27=""),"",_xludf.ISOWEEKNUM('Carga Web Cirugias'!A27))</f>
        <v/>
      </c>
      <c r="B27" s="123">
        <f>IF('Carga Web Cirugias'!A27="","",'Carga Web Cirugias'!A27)</f>
        <v/>
      </c>
      <c r="C27" s="112">
        <f>IF('Carga Web Cirugias'!M27="","",'Carga Web Cirugias'!M27)</f>
        <v/>
      </c>
      <c r="D27" s="114">
        <f>IFERROR(IF(OR(B27="",C27="",COUNTIFS($B$4:B27,B27,$C$4:C27,C27)&gt;1),"",(_xludf.AGGREGATE(14,6,MOD('Carga Web Cirugias'!$S$4:$S$500,1)/(('Carga Web Cirugias'!$A$4:$A$500=B27)*('Carga Web Cirugias'!$M$4:$M$500=C27)*('Carga Web Cirugias'!$R$4:$R$500&lt;&gt;"")*('Carga Web Cirugias'!$S$4:$S$500&lt;&gt;"")),1)-_xludf.AGGREGATE(15,6,MOD('Carga Web Cirugias'!$R$4:$R$500,1)/(('Carga Web Cirugias'!$A$4:$A$500=B27)*('Carga Web Cirugias'!$M$4:$M$500=C27)*('Carga Web Cirugias'!$R$4:$R$500&lt;&gt;"")*('Carga Web Cirugias'!$S$4:$S$500&lt;&gt;"")),1))*1440),"")</f>
        <v/>
      </c>
      <c r="E27" s="114">
        <f>IF(OR(B27="",C27="",D27=""),"",VLOOKUP(C27,'Horario Pabellones'!$A$4:$D$17,4,FALSE))</f>
        <v/>
      </c>
      <c r="F27" s="124">
        <f>IFERROR(IF(OR(D27="",E27="",E27=0),"",(D27/60)/(E27/60)),"")</f>
        <v/>
      </c>
      <c r="G27" s="112">
        <f>IF(F27="","",IF(F27&gt;=0.75,"Cumple referencia","Bajo referencia"))</f>
        <v/>
      </c>
      <c r="I27" s="112" t="n">
        <v>24</v>
      </c>
      <c r="J27" s="123">
        <f>IFERROR(_xludf.MINIFS($B$4:$B$500,$A$4:$A$500,I27,$D$4:$D$500,"&gt;0"),"")</f>
        <v/>
      </c>
      <c r="K27" s="114">
        <f>IFERROR(SUMIFS($D$4:$D$500,$A$4:$A$500,I27),"")</f>
        <v/>
      </c>
      <c r="L27" s="114">
        <f>IFERROR(SUMIFS($E$4:$E$500,$A$4:$A$500,I27),"")</f>
        <v/>
      </c>
      <c r="M27" s="124">
        <f>IFERROR(AVERAGEIFS($F$4:$F$500,$A$4:$A$500,I27,$F$4:$F$500,"&gt;=0"),"")</f>
        <v/>
      </c>
      <c r="N27" s="114">
        <f>COUNTIFS($A$4:$A$500,I27,$D$4:$D$500,"&gt;0")</f>
        <v/>
      </c>
    </row>
    <row r="28" ht="16" customHeight="1" s="151">
      <c r="A28" s="109">
        <f>IF(OR('Carga Web Cirugias'!A28="",'Carga Web Cirugias'!M28=""),"",_xludf.ISOWEEKNUM('Carga Web Cirugias'!A28))</f>
        <v/>
      </c>
      <c r="B28" s="117">
        <f>IF('Carga Web Cirugias'!A28="","",'Carga Web Cirugias'!A28)</f>
        <v/>
      </c>
      <c r="C28" s="109">
        <f>IF('Carga Web Cirugias'!M28="","",'Carga Web Cirugias'!M28)</f>
        <v/>
      </c>
      <c r="D28" s="111">
        <f>IFERROR(IF(OR(B28="",C28="",COUNTIFS($B$4:B28,B28,$C$4:C28,C28)&gt;1),"",(_xludf.AGGREGATE(14,6,MOD('Carga Web Cirugias'!$S$4:$S$500,1)/(('Carga Web Cirugias'!$A$4:$A$500=B28)*('Carga Web Cirugias'!$M$4:$M$500=C28)*('Carga Web Cirugias'!$R$4:$R$500&lt;&gt;"")*('Carga Web Cirugias'!$S$4:$S$500&lt;&gt;"")),1)-_xludf.AGGREGATE(15,6,MOD('Carga Web Cirugias'!$R$4:$R$500,1)/(('Carga Web Cirugias'!$A$4:$A$500=B28)*('Carga Web Cirugias'!$M$4:$M$500=C28)*('Carga Web Cirugias'!$R$4:$R$500&lt;&gt;"")*('Carga Web Cirugias'!$S$4:$S$500&lt;&gt;"")),1))*1440),"")</f>
        <v/>
      </c>
      <c r="E28" s="111">
        <f>IF(OR(B28="",C28="",D28=""),"",VLOOKUP(C28,'Horario Pabellones'!$A$4:$D$17,4,FALSE))</f>
        <v/>
      </c>
      <c r="F28" s="118">
        <f>IFERROR(IF(OR(D28="",E28="",E28=0),"",(D28/60)/(E28/60)),"")</f>
        <v/>
      </c>
      <c r="G28" s="109">
        <f>IF(F28="","",IF(F28&gt;=0.75,"Cumple referencia","Bajo referencia"))</f>
        <v/>
      </c>
      <c r="I28" s="119" t="n">
        <v>25</v>
      </c>
      <c r="J28" s="120">
        <f>IFERROR(_xludf.MINIFS($B$4:$B$500,$A$4:$A$500,I28,$D$4:$D$500,"&gt;0"),"")</f>
        <v/>
      </c>
      <c r="K28" s="121">
        <f>IFERROR(SUMIFS($D$4:$D$500,$A$4:$A$500,I28),"")</f>
        <v/>
      </c>
      <c r="L28" s="121">
        <f>IFERROR(SUMIFS($E$4:$E$500,$A$4:$A$500,I28),"")</f>
        <v/>
      </c>
      <c r="M28" s="122">
        <f>IFERROR(AVERAGEIFS($F$4:$F$500,$A$4:$A$500,I28,$F$4:$F$500,"&gt;=0"),"")</f>
        <v/>
      </c>
      <c r="N28" s="121">
        <f>COUNTIFS($A$4:$A$500,I28,$D$4:$D$500,"&gt;0")</f>
        <v/>
      </c>
    </row>
    <row r="29" ht="16" customHeight="1" s="151">
      <c r="A29" s="112">
        <f>IF(OR('Carga Web Cirugias'!A29="",'Carga Web Cirugias'!M29=""),"",_xludf.ISOWEEKNUM('Carga Web Cirugias'!A29))</f>
        <v/>
      </c>
      <c r="B29" s="123">
        <f>IF('Carga Web Cirugias'!A29="","",'Carga Web Cirugias'!A29)</f>
        <v/>
      </c>
      <c r="C29" s="112">
        <f>IF('Carga Web Cirugias'!M29="","",'Carga Web Cirugias'!M29)</f>
        <v/>
      </c>
      <c r="D29" s="114">
        <f>IFERROR(IF(OR(B29="",C29="",COUNTIFS($B$4:B29,B29,$C$4:C29,C29)&gt;1),"",(_xludf.AGGREGATE(14,6,MOD('Carga Web Cirugias'!$S$4:$S$500,1)/(('Carga Web Cirugias'!$A$4:$A$500=B29)*('Carga Web Cirugias'!$M$4:$M$500=C29)*('Carga Web Cirugias'!$R$4:$R$500&lt;&gt;"")*('Carga Web Cirugias'!$S$4:$S$500&lt;&gt;"")),1)-_xludf.AGGREGATE(15,6,MOD('Carga Web Cirugias'!$R$4:$R$500,1)/(('Carga Web Cirugias'!$A$4:$A$500=B29)*('Carga Web Cirugias'!$M$4:$M$500=C29)*('Carga Web Cirugias'!$R$4:$R$500&lt;&gt;"")*('Carga Web Cirugias'!$S$4:$S$500&lt;&gt;"")),1))*1440),"")</f>
        <v/>
      </c>
      <c r="E29" s="114">
        <f>IF(OR(B29="",C29="",D29=""),"",VLOOKUP(C29,'Horario Pabellones'!$A$4:$D$17,4,FALSE))</f>
        <v/>
      </c>
      <c r="F29" s="124">
        <f>IFERROR(IF(OR(D29="",E29="",E29=0),"",(D29/60)/(E29/60)),"")</f>
        <v/>
      </c>
      <c r="G29" s="112">
        <f>IF(F29="","",IF(F29&gt;=0.75,"Cumple referencia","Bajo referencia"))</f>
        <v/>
      </c>
      <c r="I29" s="112" t="n">
        <v>26</v>
      </c>
      <c r="J29" s="123">
        <f>IFERROR(_xludf.MINIFS($B$4:$B$500,$A$4:$A$500,I29,$D$4:$D$500,"&gt;0"),"")</f>
        <v/>
      </c>
      <c r="K29" s="114">
        <f>IFERROR(SUMIFS($D$4:$D$500,$A$4:$A$500,I29),"")</f>
        <v/>
      </c>
      <c r="L29" s="114">
        <f>IFERROR(SUMIFS($E$4:$E$500,$A$4:$A$500,I29),"")</f>
        <v/>
      </c>
      <c r="M29" s="124">
        <f>IFERROR(AVERAGEIFS($F$4:$F$500,$A$4:$A$500,I29,$F$4:$F$500,"&gt;=0"),"")</f>
        <v/>
      </c>
      <c r="N29" s="114">
        <f>COUNTIFS($A$4:$A$500,I29,$D$4:$D$500,"&gt;0")</f>
        <v/>
      </c>
    </row>
    <row r="30" ht="16" customHeight="1" s="151">
      <c r="A30" s="109">
        <f>IF(OR('Carga Web Cirugias'!A30="",'Carga Web Cirugias'!M30=""),"",_xludf.ISOWEEKNUM('Carga Web Cirugias'!A30))</f>
        <v/>
      </c>
      <c r="B30" s="117">
        <f>IF('Carga Web Cirugias'!A30="","",'Carga Web Cirugias'!A30)</f>
        <v/>
      </c>
      <c r="C30" s="109">
        <f>IF('Carga Web Cirugias'!M30="","",'Carga Web Cirugias'!M30)</f>
        <v/>
      </c>
      <c r="D30" s="111">
        <f>IFERROR(IF(OR(B30="",C30="",COUNTIFS($B$4:B30,B30,$C$4:C30,C30)&gt;1),"",(_xludf.AGGREGATE(14,6,MOD('Carga Web Cirugias'!$S$4:$S$500,1)/(('Carga Web Cirugias'!$A$4:$A$500=B30)*('Carga Web Cirugias'!$M$4:$M$500=C30)*('Carga Web Cirugias'!$R$4:$R$500&lt;&gt;"")*('Carga Web Cirugias'!$S$4:$S$500&lt;&gt;"")),1)-_xludf.AGGREGATE(15,6,MOD('Carga Web Cirugias'!$R$4:$R$500,1)/(('Carga Web Cirugias'!$A$4:$A$500=B30)*('Carga Web Cirugias'!$M$4:$M$500=C30)*('Carga Web Cirugias'!$R$4:$R$500&lt;&gt;"")*('Carga Web Cirugias'!$S$4:$S$500&lt;&gt;"")),1))*1440),"")</f>
        <v/>
      </c>
      <c r="E30" s="111">
        <f>IF(OR(B30="",C30="",D30=""),"",VLOOKUP(C30,'Horario Pabellones'!$A$4:$D$17,4,FALSE))</f>
        <v/>
      </c>
      <c r="F30" s="118">
        <f>IFERROR(IF(OR(D30="",E30="",E30=0),"",(D30/60)/(E30/60)),"")</f>
        <v/>
      </c>
      <c r="G30" s="109">
        <f>IF(F30="","",IF(F30&gt;=0.75,"Cumple referencia","Bajo referencia"))</f>
        <v/>
      </c>
      <c r="I30" s="119" t="n">
        <v>27</v>
      </c>
      <c r="J30" s="120">
        <f>IFERROR(_xludf.MINIFS($B$4:$B$500,$A$4:$A$500,I30,$D$4:$D$500,"&gt;0"),"")</f>
        <v/>
      </c>
      <c r="K30" s="121">
        <f>IFERROR(SUMIFS($D$4:$D$500,$A$4:$A$500,I30),"")</f>
        <v/>
      </c>
      <c r="L30" s="121">
        <f>IFERROR(SUMIFS($E$4:$E$500,$A$4:$A$500,I30),"")</f>
        <v/>
      </c>
      <c r="M30" s="122">
        <f>IFERROR(AVERAGEIFS($F$4:$F$500,$A$4:$A$500,I30,$F$4:$F$500,"&gt;=0"),"")</f>
        <v/>
      </c>
      <c r="N30" s="121">
        <f>COUNTIFS($A$4:$A$500,I30,$D$4:$D$500,"&gt;0")</f>
        <v/>
      </c>
    </row>
    <row r="31" ht="16" customHeight="1" s="151">
      <c r="A31" s="112">
        <f>IF(OR('Carga Web Cirugias'!A31="",'Carga Web Cirugias'!M31=""),"",_xludf.ISOWEEKNUM('Carga Web Cirugias'!A31))</f>
        <v/>
      </c>
      <c r="B31" s="123">
        <f>IF('Carga Web Cirugias'!A31="","",'Carga Web Cirugias'!A31)</f>
        <v/>
      </c>
      <c r="C31" s="112">
        <f>IF('Carga Web Cirugias'!M31="","",'Carga Web Cirugias'!M31)</f>
        <v/>
      </c>
      <c r="D31" s="114">
        <f>IFERROR(IF(OR(B31="",C31="",COUNTIFS($B$4:B31,B31,$C$4:C31,C31)&gt;1),"",(_xludf.AGGREGATE(14,6,MOD('Carga Web Cirugias'!$S$4:$S$500,1)/(('Carga Web Cirugias'!$A$4:$A$500=B31)*('Carga Web Cirugias'!$M$4:$M$500=C31)*('Carga Web Cirugias'!$R$4:$R$500&lt;&gt;"")*('Carga Web Cirugias'!$S$4:$S$500&lt;&gt;"")),1)-_xludf.AGGREGATE(15,6,MOD('Carga Web Cirugias'!$R$4:$R$500,1)/(('Carga Web Cirugias'!$A$4:$A$500=B31)*('Carga Web Cirugias'!$M$4:$M$500=C31)*('Carga Web Cirugias'!$R$4:$R$500&lt;&gt;"")*('Carga Web Cirugias'!$S$4:$S$500&lt;&gt;"")),1))*1440),"")</f>
        <v/>
      </c>
      <c r="E31" s="114">
        <f>IF(OR(B31="",C31="",D31=""),"",VLOOKUP(C31,'Horario Pabellones'!$A$4:$D$17,4,FALSE))</f>
        <v/>
      </c>
      <c r="F31" s="124">
        <f>IFERROR(IF(OR(D31="",E31="",E31=0),"",(D31/60)/(E31/60)),"")</f>
        <v/>
      </c>
      <c r="G31" s="112">
        <f>IF(F31="","",IF(F31&gt;=0.75,"Cumple referencia","Bajo referencia"))</f>
        <v/>
      </c>
      <c r="I31" s="112" t="n">
        <v>28</v>
      </c>
      <c r="J31" s="123">
        <f>IFERROR(_xludf.MINIFS($B$4:$B$500,$A$4:$A$500,I31,$D$4:$D$500,"&gt;0"),"")</f>
        <v/>
      </c>
      <c r="K31" s="114">
        <f>IFERROR(SUMIFS($D$4:$D$500,$A$4:$A$500,I31),"")</f>
        <v/>
      </c>
      <c r="L31" s="114">
        <f>IFERROR(SUMIFS($E$4:$E$500,$A$4:$A$500,I31),"")</f>
        <v/>
      </c>
      <c r="M31" s="124">
        <f>IFERROR(AVERAGEIFS($F$4:$F$500,$A$4:$A$500,I31,$F$4:$F$500,"&gt;=0"),"")</f>
        <v/>
      </c>
      <c r="N31" s="114">
        <f>COUNTIFS($A$4:$A$500,I31,$D$4:$D$500,"&gt;0")</f>
        <v/>
      </c>
    </row>
    <row r="32" ht="16" customHeight="1" s="151">
      <c r="A32" s="109">
        <f>IF(OR('Carga Web Cirugias'!A32="",'Carga Web Cirugias'!M32=""),"",_xludf.ISOWEEKNUM('Carga Web Cirugias'!A32))</f>
        <v/>
      </c>
      <c r="B32" s="117">
        <f>IF('Carga Web Cirugias'!A32="","",'Carga Web Cirugias'!A32)</f>
        <v/>
      </c>
      <c r="C32" s="109">
        <f>IF('Carga Web Cirugias'!M32="","",'Carga Web Cirugias'!M32)</f>
        <v/>
      </c>
      <c r="D32" s="111">
        <f>IFERROR(IF(OR(B32="",C32="",COUNTIFS($B$4:B32,B32,$C$4:C32,C32)&gt;1),"",(_xludf.AGGREGATE(14,6,MOD('Carga Web Cirugias'!$S$4:$S$500,1)/(('Carga Web Cirugias'!$A$4:$A$500=B32)*('Carga Web Cirugias'!$M$4:$M$500=C32)*('Carga Web Cirugias'!$R$4:$R$500&lt;&gt;"")*('Carga Web Cirugias'!$S$4:$S$500&lt;&gt;"")),1)-_xludf.AGGREGATE(15,6,MOD('Carga Web Cirugias'!$R$4:$R$500,1)/(('Carga Web Cirugias'!$A$4:$A$500=B32)*('Carga Web Cirugias'!$M$4:$M$500=C32)*('Carga Web Cirugias'!$R$4:$R$500&lt;&gt;"")*('Carga Web Cirugias'!$S$4:$S$500&lt;&gt;"")),1))*1440),"")</f>
        <v/>
      </c>
      <c r="E32" s="111">
        <f>IF(OR(B32="",C32="",D32=""),"",VLOOKUP(C32,'Horario Pabellones'!$A$4:$D$17,4,FALSE))</f>
        <v/>
      </c>
      <c r="F32" s="118">
        <f>IFERROR(IF(OR(D32="",E32="",E32=0),"",(D32/60)/(E32/60)),"")</f>
        <v/>
      </c>
      <c r="G32" s="109">
        <f>IF(F32="","",IF(F32&gt;=0.75,"Cumple referencia","Bajo referencia"))</f>
        <v/>
      </c>
      <c r="I32" s="119" t="n">
        <v>29</v>
      </c>
      <c r="J32" s="120">
        <f>IFERROR(_xludf.MINIFS($B$4:$B$500,$A$4:$A$500,I32,$D$4:$D$500,"&gt;0"),"")</f>
        <v/>
      </c>
      <c r="K32" s="121">
        <f>IFERROR(SUMIFS($D$4:$D$500,$A$4:$A$500,I32),"")</f>
        <v/>
      </c>
      <c r="L32" s="121">
        <f>IFERROR(SUMIFS($E$4:$E$500,$A$4:$A$500,I32),"")</f>
        <v/>
      </c>
      <c r="M32" s="122">
        <f>IFERROR(AVERAGEIFS($F$4:$F$500,$A$4:$A$500,I32,$F$4:$F$500,"&gt;=0"),"")</f>
        <v/>
      </c>
      <c r="N32" s="121">
        <f>COUNTIFS($A$4:$A$500,I32,$D$4:$D$500,"&gt;0")</f>
        <v/>
      </c>
    </row>
    <row r="33" ht="16" customHeight="1" s="151">
      <c r="A33" s="112">
        <f>IF(OR('Carga Web Cirugias'!A33="",'Carga Web Cirugias'!M33=""),"",_xludf.ISOWEEKNUM('Carga Web Cirugias'!A33))</f>
        <v/>
      </c>
      <c r="B33" s="123">
        <f>IF('Carga Web Cirugias'!A33="","",'Carga Web Cirugias'!A33)</f>
        <v/>
      </c>
      <c r="C33" s="112">
        <f>IF('Carga Web Cirugias'!M33="","",'Carga Web Cirugias'!M33)</f>
        <v/>
      </c>
      <c r="D33" s="114">
        <f>IFERROR(IF(OR(B33="",C33="",COUNTIFS($B$4:B33,B33,$C$4:C33,C33)&gt;1),"",(_xludf.AGGREGATE(14,6,MOD('Carga Web Cirugias'!$S$4:$S$500,1)/(('Carga Web Cirugias'!$A$4:$A$500=B33)*('Carga Web Cirugias'!$M$4:$M$500=C33)*('Carga Web Cirugias'!$R$4:$R$500&lt;&gt;"")*('Carga Web Cirugias'!$S$4:$S$500&lt;&gt;"")),1)-_xludf.AGGREGATE(15,6,MOD('Carga Web Cirugias'!$R$4:$R$500,1)/(('Carga Web Cirugias'!$A$4:$A$500=B33)*('Carga Web Cirugias'!$M$4:$M$500=C33)*('Carga Web Cirugias'!$R$4:$R$500&lt;&gt;"")*('Carga Web Cirugias'!$S$4:$S$500&lt;&gt;"")),1))*1440),"")</f>
        <v/>
      </c>
      <c r="E33" s="114">
        <f>IF(OR(B33="",C33="",D33=""),"",VLOOKUP(C33,'Horario Pabellones'!$A$4:$D$17,4,FALSE))</f>
        <v/>
      </c>
      <c r="F33" s="124">
        <f>IFERROR(IF(OR(D33="",E33="",E33=0),"",(D33/60)/(E33/60)),"")</f>
        <v/>
      </c>
      <c r="G33" s="112">
        <f>IF(F33="","",IF(F33&gt;=0.75,"Cumple referencia","Bajo referencia"))</f>
        <v/>
      </c>
      <c r="I33" s="112" t="n">
        <v>30</v>
      </c>
      <c r="J33" s="123">
        <f>IFERROR(_xludf.MINIFS($B$4:$B$500,$A$4:$A$500,I33,$D$4:$D$500,"&gt;0"),"")</f>
        <v/>
      </c>
      <c r="K33" s="114">
        <f>IFERROR(SUMIFS($D$4:$D$500,$A$4:$A$500,I33),"")</f>
        <v/>
      </c>
      <c r="L33" s="114">
        <f>IFERROR(SUMIFS($E$4:$E$500,$A$4:$A$500,I33),"")</f>
        <v/>
      </c>
      <c r="M33" s="124">
        <f>IFERROR(AVERAGEIFS($F$4:$F$500,$A$4:$A$500,I33,$F$4:$F$500,"&gt;=0"),"")</f>
        <v/>
      </c>
      <c r="N33" s="114">
        <f>COUNTIFS($A$4:$A$500,I33,$D$4:$D$500,"&gt;0")</f>
        <v/>
      </c>
    </row>
    <row r="34" ht="16" customHeight="1" s="151">
      <c r="A34" s="109">
        <f>IF(OR('Carga Web Cirugias'!A34="",'Carga Web Cirugias'!M34=""),"",_xludf.ISOWEEKNUM('Carga Web Cirugias'!A34))</f>
        <v/>
      </c>
      <c r="B34" s="117">
        <f>IF('Carga Web Cirugias'!A34="","",'Carga Web Cirugias'!A34)</f>
        <v/>
      </c>
      <c r="C34" s="109">
        <f>IF('Carga Web Cirugias'!M34="","",'Carga Web Cirugias'!M34)</f>
        <v/>
      </c>
      <c r="D34" s="111">
        <f>IFERROR(IF(OR(B34="",C34="",COUNTIFS($B$4:B34,B34,$C$4:C34,C34)&gt;1),"",(_xludf.AGGREGATE(14,6,MOD('Carga Web Cirugias'!$S$4:$S$500,1)/(('Carga Web Cirugias'!$A$4:$A$500=B34)*('Carga Web Cirugias'!$M$4:$M$500=C34)*('Carga Web Cirugias'!$R$4:$R$500&lt;&gt;"")*('Carga Web Cirugias'!$S$4:$S$500&lt;&gt;"")),1)-_xludf.AGGREGATE(15,6,MOD('Carga Web Cirugias'!$R$4:$R$500,1)/(('Carga Web Cirugias'!$A$4:$A$500=B34)*('Carga Web Cirugias'!$M$4:$M$500=C34)*('Carga Web Cirugias'!$R$4:$R$500&lt;&gt;"")*('Carga Web Cirugias'!$S$4:$S$500&lt;&gt;"")),1))*1440),"")</f>
        <v/>
      </c>
      <c r="E34" s="111">
        <f>IF(OR(B34="",C34="",D34=""),"",VLOOKUP(C34,'Horario Pabellones'!$A$4:$D$17,4,FALSE))</f>
        <v/>
      </c>
      <c r="F34" s="118">
        <f>IFERROR(IF(OR(D34="",E34="",E34=0),"",(D34/60)/(E34/60)),"")</f>
        <v/>
      </c>
      <c r="G34" s="109">
        <f>IF(F34="","",IF(F34&gt;=0.75,"Cumple referencia","Bajo referencia"))</f>
        <v/>
      </c>
      <c r="I34" s="119" t="n">
        <v>31</v>
      </c>
      <c r="J34" s="120">
        <f>IFERROR(_xludf.MINIFS($B$4:$B$500,$A$4:$A$500,I34,$D$4:$D$500,"&gt;0"),"")</f>
        <v/>
      </c>
      <c r="K34" s="121">
        <f>IFERROR(SUMIFS($D$4:$D$500,$A$4:$A$500,I34),"")</f>
        <v/>
      </c>
      <c r="L34" s="121">
        <f>IFERROR(SUMIFS($E$4:$E$500,$A$4:$A$500,I34),"")</f>
        <v/>
      </c>
      <c r="M34" s="122">
        <f>IFERROR(AVERAGEIFS($F$4:$F$500,$A$4:$A$500,I34,$F$4:$F$500,"&gt;=0"),"")</f>
        <v/>
      </c>
      <c r="N34" s="121">
        <f>COUNTIFS($A$4:$A$500,I34,$D$4:$D$500,"&gt;0")</f>
        <v/>
      </c>
    </row>
    <row r="35" ht="16" customHeight="1" s="151">
      <c r="A35" s="112">
        <f>IF(OR('Carga Web Cirugias'!A35="",'Carga Web Cirugias'!M35=""),"",_xludf.ISOWEEKNUM('Carga Web Cirugias'!A35))</f>
        <v/>
      </c>
      <c r="B35" s="123">
        <f>IF('Carga Web Cirugias'!A35="","",'Carga Web Cirugias'!A35)</f>
        <v/>
      </c>
      <c r="C35" s="112">
        <f>IF('Carga Web Cirugias'!M35="","",'Carga Web Cirugias'!M35)</f>
        <v/>
      </c>
      <c r="D35" s="114">
        <f>IFERROR(IF(OR(B35="",C35="",COUNTIFS($B$4:B35,B35,$C$4:C35,C35)&gt;1),"",(_xludf.AGGREGATE(14,6,MOD('Carga Web Cirugias'!$S$4:$S$500,1)/(('Carga Web Cirugias'!$A$4:$A$500=B35)*('Carga Web Cirugias'!$M$4:$M$500=C35)*('Carga Web Cirugias'!$R$4:$R$500&lt;&gt;"")*('Carga Web Cirugias'!$S$4:$S$500&lt;&gt;"")),1)-_xludf.AGGREGATE(15,6,MOD('Carga Web Cirugias'!$R$4:$R$500,1)/(('Carga Web Cirugias'!$A$4:$A$500=B35)*('Carga Web Cirugias'!$M$4:$M$500=C35)*('Carga Web Cirugias'!$R$4:$R$500&lt;&gt;"")*('Carga Web Cirugias'!$S$4:$S$500&lt;&gt;"")),1))*1440),"")</f>
        <v/>
      </c>
      <c r="E35" s="114">
        <f>IF(OR(B35="",C35="",D35=""),"",VLOOKUP(C35,'Horario Pabellones'!$A$4:$D$17,4,FALSE))</f>
        <v/>
      </c>
      <c r="F35" s="124">
        <f>IFERROR(IF(OR(D35="",E35="",E35=0),"",(D35/60)/(E35/60)),"")</f>
        <v/>
      </c>
      <c r="G35" s="112">
        <f>IF(F35="","",IF(F35&gt;=0.75,"Cumple referencia","Bajo referencia"))</f>
        <v/>
      </c>
      <c r="I35" s="112" t="n">
        <v>32</v>
      </c>
      <c r="J35" s="123">
        <f>IFERROR(_xludf.MINIFS($B$4:$B$500,$A$4:$A$500,I35,$D$4:$D$500,"&gt;0"),"")</f>
        <v/>
      </c>
      <c r="K35" s="114">
        <f>IFERROR(SUMIFS($D$4:$D$500,$A$4:$A$500,I35),"")</f>
        <v/>
      </c>
      <c r="L35" s="114">
        <f>IFERROR(SUMIFS($E$4:$E$500,$A$4:$A$500,I35),"")</f>
        <v/>
      </c>
      <c r="M35" s="124">
        <f>IFERROR(AVERAGEIFS($F$4:$F$500,$A$4:$A$500,I35,$F$4:$F$500,"&gt;=0"),"")</f>
        <v/>
      </c>
      <c r="N35" s="114">
        <f>COUNTIFS($A$4:$A$500,I35,$D$4:$D$500,"&gt;0")</f>
        <v/>
      </c>
    </row>
    <row r="36" ht="16" customHeight="1" s="151">
      <c r="A36" s="109">
        <f>IF(OR('Carga Web Cirugias'!A36="",'Carga Web Cirugias'!M36=""),"",_xludf.ISOWEEKNUM('Carga Web Cirugias'!A36))</f>
        <v/>
      </c>
      <c r="B36" s="117">
        <f>IF('Carga Web Cirugias'!A36="","",'Carga Web Cirugias'!A36)</f>
        <v/>
      </c>
      <c r="C36" s="109">
        <f>IF('Carga Web Cirugias'!M36="","",'Carga Web Cirugias'!M36)</f>
        <v/>
      </c>
      <c r="D36" s="111">
        <f>IFERROR(IF(OR(B36="",C36="",COUNTIFS($B$4:B36,B36,$C$4:C36,C36)&gt;1),"",(_xludf.AGGREGATE(14,6,MOD('Carga Web Cirugias'!$S$4:$S$500,1)/(('Carga Web Cirugias'!$A$4:$A$500=B36)*('Carga Web Cirugias'!$M$4:$M$500=C36)*('Carga Web Cirugias'!$R$4:$R$500&lt;&gt;"")*('Carga Web Cirugias'!$S$4:$S$500&lt;&gt;"")),1)-_xludf.AGGREGATE(15,6,MOD('Carga Web Cirugias'!$R$4:$R$500,1)/(('Carga Web Cirugias'!$A$4:$A$500=B36)*('Carga Web Cirugias'!$M$4:$M$500=C36)*('Carga Web Cirugias'!$R$4:$R$500&lt;&gt;"")*('Carga Web Cirugias'!$S$4:$S$500&lt;&gt;"")),1))*1440),"")</f>
        <v/>
      </c>
      <c r="E36" s="111">
        <f>IF(OR(B36="",C36="",D36=""),"",VLOOKUP(C36,'Horario Pabellones'!$A$4:$D$17,4,FALSE))</f>
        <v/>
      </c>
      <c r="F36" s="118">
        <f>IFERROR(IF(OR(D36="",E36="",E36=0),"",(D36/60)/(E36/60)),"")</f>
        <v/>
      </c>
      <c r="G36" s="109">
        <f>IF(F36="","",IF(F36&gt;=0.75,"Cumple referencia","Bajo referencia"))</f>
        <v/>
      </c>
      <c r="I36" s="119" t="n">
        <v>33</v>
      </c>
      <c r="J36" s="120">
        <f>IFERROR(_xludf.MINIFS($B$4:$B$500,$A$4:$A$500,I36,$D$4:$D$500,"&gt;0"),"")</f>
        <v/>
      </c>
      <c r="K36" s="121">
        <f>IFERROR(SUMIFS($D$4:$D$500,$A$4:$A$500,I36),"")</f>
        <v/>
      </c>
      <c r="L36" s="121">
        <f>IFERROR(SUMIFS($E$4:$E$500,$A$4:$A$500,I36),"")</f>
        <v/>
      </c>
      <c r="M36" s="122">
        <f>IFERROR(AVERAGEIFS($F$4:$F$500,$A$4:$A$500,I36,$F$4:$F$500,"&gt;=0"),"")</f>
        <v/>
      </c>
      <c r="N36" s="121">
        <f>COUNTIFS($A$4:$A$500,I36,$D$4:$D$500,"&gt;0")</f>
        <v/>
      </c>
    </row>
    <row r="37" ht="16" customHeight="1" s="151">
      <c r="A37" s="112">
        <f>IF(OR('Carga Web Cirugias'!A37="",'Carga Web Cirugias'!M37=""),"",_xludf.ISOWEEKNUM('Carga Web Cirugias'!A37))</f>
        <v/>
      </c>
      <c r="B37" s="123">
        <f>IF('Carga Web Cirugias'!A37="","",'Carga Web Cirugias'!A37)</f>
        <v/>
      </c>
      <c r="C37" s="112">
        <f>IF('Carga Web Cirugias'!M37="","",'Carga Web Cirugias'!M37)</f>
        <v/>
      </c>
      <c r="D37" s="114">
        <f>IFERROR(IF(OR(B37="",C37="",COUNTIFS($B$4:B37,B37,$C$4:C37,C37)&gt;1),"",(_xludf.AGGREGATE(14,6,MOD('Carga Web Cirugias'!$S$4:$S$500,1)/(('Carga Web Cirugias'!$A$4:$A$500=B37)*('Carga Web Cirugias'!$M$4:$M$500=C37)*('Carga Web Cirugias'!$R$4:$R$500&lt;&gt;"")*('Carga Web Cirugias'!$S$4:$S$500&lt;&gt;"")),1)-_xludf.AGGREGATE(15,6,MOD('Carga Web Cirugias'!$R$4:$R$500,1)/(('Carga Web Cirugias'!$A$4:$A$500=B37)*('Carga Web Cirugias'!$M$4:$M$500=C37)*('Carga Web Cirugias'!$R$4:$R$500&lt;&gt;"")*('Carga Web Cirugias'!$S$4:$S$500&lt;&gt;"")),1))*1440),"")</f>
        <v/>
      </c>
      <c r="E37" s="114">
        <f>IF(OR(B37="",C37="",D37=""),"",VLOOKUP(C37,'Horario Pabellones'!$A$4:$D$17,4,FALSE))</f>
        <v/>
      </c>
      <c r="F37" s="124">
        <f>IFERROR(IF(OR(D37="",E37="",E37=0),"",(D37/60)/(E37/60)),"")</f>
        <v/>
      </c>
      <c r="G37" s="112">
        <f>IF(F37="","",IF(F37&gt;=0.75,"Cumple referencia","Bajo referencia"))</f>
        <v/>
      </c>
      <c r="I37" s="112" t="n">
        <v>34</v>
      </c>
      <c r="J37" s="123">
        <f>IFERROR(_xludf.MINIFS($B$4:$B$500,$A$4:$A$500,I37,$D$4:$D$500,"&gt;0"),"")</f>
        <v/>
      </c>
      <c r="K37" s="114">
        <f>IFERROR(SUMIFS($D$4:$D$500,$A$4:$A$500,I37),"")</f>
        <v/>
      </c>
      <c r="L37" s="114">
        <f>IFERROR(SUMIFS($E$4:$E$500,$A$4:$A$500,I37),"")</f>
        <v/>
      </c>
      <c r="M37" s="124">
        <f>IFERROR(AVERAGEIFS($F$4:$F$500,$A$4:$A$500,I37,$F$4:$F$500,"&gt;=0"),"")</f>
        <v/>
      </c>
      <c r="N37" s="114">
        <f>COUNTIFS($A$4:$A$500,I37,$D$4:$D$500,"&gt;0")</f>
        <v/>
      </c>
    </row>
    <row r="38" ht="16" customHeight="1" s="151">
      <c r="A38" s="109">
        <f>IF(OR('Carga Web Cirugias'!A38="",'Carga Web Cirugias'!M38=""),"",_xludf.ISOWEEKNUM('Carga Web Cirugias'!A38))</f>
        <v/>
      </c>
      <c r="B38" s="117">
        <f>IF('Carga Web Cirugias'!A38="","",'Carga Web Cirugias'!A38)</f>
        <v/>
      </c>
      <c r="C38" s="109">
        <f>IF('Carga Web Cirugias'!M38="","",'Carga Web Cirugias'!M38)</f>
        <v/>
      </c>
      <c r="D38" s="111">
        <f>IFERROR(IF(OR(B38="",C38="",COUNTIFS($B$4:B38,B38,$C$4:C38,C38)&gt;1),"",(_xludf.AGGREGATE(14,6,MOD('Carga Web Cirugias'!$S$4:$S$500,1)/(('Carga Web Cirugias'!$A$4:$A$500=B38)*('Carga Web Cirugias'!$M$4:$M$500=C38)*('Carga Web Cirugias'!$R$4:$R$500&lt;&gt;"")*('Carga Web Cirugias'!$S$4:$S$500&lt;&gt;"")),1)-_xludf.AGGREGATE(15,6,MOD('Carga Web Cirugias'!$R$4:$R$500,1)/(('Carga Web Cirugias'!$A$4:$A$500=B38)*('Carga Web Cirugias'!$M$4:$M$500=C38)*('Carga Web Cirugias'!$R$4:$R$500&lt;&gt;"")*('Carga Web Cirugias'!$S$4:$S$500&lt;&gt;"")),1))*1440),"")</f>
        <v/>
      </c>
      <c r="E38" s="111">
        <f>IF(OR(B38="",C38="",D38=""),"",VLOOKUP(C38,'Horario Pabellones'!$A$4:$D$17,4,FALSE))</f>
        <v/>
      </c>
      <c r="F38" s="118">
        <f>IFERROR(IF(OR(D38="",E38="",E38=0),"",(D38/60)/(E38/60)),"")</f>
        <v/>
      </c>
      <c r="G38" s="109">
        <f>IF(F38="","",IF(F38&gt;=0.75,"Cumple referencia","Bajo referencia"))</f>
        <v/>
      </c>
      <c r="I38" s="119" t="n">
        <v>35</v>
      </c>
      <c r="J38" s="120">
        <f>IFERROR(_xludf.MINIFS($B$4:$B$500,$A$4:$A$500,I38,$D$4:$D$500,"&gt;0"),"")</f>
        <v/>
      </c>
      <c r="K38" s="121">
        <f>IFERROR(SUMIFS($D$4:$D$500,$A$4:$A$500,I38),"")</f>
        <v/>
      </c>
      <c r="L38" s="121">
        <f>IFERROR(SUMIFS($E$4:$E$500,$A$4:$A$500,I38),"")</f>
        <v/>
      </c>
      <c r="M38" s="122">
        <f>IFERROR(AVERAGEIFS($F$4:$F$500,$A$4:$A$500,I38,$F$4:$F$500,"&gt;=0"),"")</f>
        <v/>
      </c>
      <c r="N38" s="121">
        <f>COUNTIFS($A$4:$A$500,I38,$D$4:$D$500,"&gt;0")</f>
        <v/>
      </c>
    </row>
    <row r="39" ht="16" customHeight="1" s="151">
      <c r="A39" s="112">
        <f>IF(OR('Carga Web Cirugias'!A39="",'Carga Web Cirugias'!M39=""),"",_xludf.ISOWEEKNUM('Carga Web Cirugias'!A39))</f>
        <v/>
      </c>
      <c r="B39" s="123">
        <f>IF('Carga Web Cirugias'!A39="","",'Carga Web Cirugias'!A39)</f>
        <v/>
      </c>
      <c r="C39" s="112">
        <f>IF('Carga Web Cirugias'!M39="","",'Carga Web Cirugias'!M39)</f>
        <v/>
      </c>
      <c r="D39" s="114">
        <f>IFERROR(IF(OR(B39="",C39="",COUNTIFS($B$4:B39,B39,$C$4:C39,C39)&gt;1),"",(_xludf.AGGREGATE(14,6,MOD('Carga Web Cirugias'!$S$4:$S$500,1)/(('Carga Web Cirugias'!$A$4:$A$500=B39)*('Carga Web Cirugias'!$M$4:$M$500=C39)*('Carga Web Cirugias'!$R$4:$R$500&lt;&gt;"")*('Carga Web Cirugias'!$S$4:$S$500&lt;&gt;"")),1)-_xludf.AGGREGATE(15,6,MOD('Carga Web Cirugias'!$R$4:$R$500,1)/(('Carga Web Cirugias'!$A$4:$A$500=B39)*('Carga Web Cirugias'!$M$4:$M$500=C39)*('Carga Web Cirugias'!$R$4:$R$500&lt;&gt;"")*('Carga Web Cirugias'!$S$4:$S$500&lt;&gt;"")),1))*1440),"")</f>
        <v/>
      </c>
      <c r="E39" s="114">
        <f>IF(OR(B39="",C39="",D39=""),"",VLOOKUP(C39,'Horario Pabellones'!$A$4:$D$17,4,FALSE))</f>
        <v/>
      </c>
      <c r="F39" s="124">
        <f>IFERROR(IF(OR(D39="",E39="",E39=0),"",(D39/60)/(E39/60)),"")</f>
        <v/>
      </c>
      <c r="G39" s="112">
        <f>IF(F39="","",IF(F39&gt;=0.75,"Cumple referencia","Bajo referencia"))</f>
        <v/>
      </c>
      <c r="I39" s="112" t="n">
        <v>36</v>
      </c>
      <c r="J39" s="123">
        <f>IFERROR(_xludf.MINIFS($B$4:$B$500,$A$4:$A$500,I39,$D$4:$D$500,"&gt;0"),"")</f>
        <v/>
      </c>
      <c r="K39" s="114">
        <f>IFERROR(SUMIFS($D$4:$D$500,$A$4:$A$500,I39),"")</f>
        <v/>
      </c>
      <c r="L39" s="114">
        <f>IFERROR(SUMIFS($E$4:$E$500,$A$4:$A$500,I39),"")</f>
        <v/>
      </c>
      <c r="M39" s="124">
        <f>IFERROR(AVERAGEIFS($F$4:$F$500,$A$4:$A$500,I39,$F$4:$F$500,"&gt;=0"),"")</f>
        <v/>
      </c>
      <c r="N39" s="114">
        <f>COUNTIFS($A$4:$A$500,I39,$D$4:$D$500,"&gt;0")</f>
        <v/>
      </c>
    </row>
    <row r="40" ht="16" customHeight="1" s="151">
      <c r="A40" s="109">
        <f>IF(OR('Carga Web Cirugias'!A40="",'Carga Web Cirugias'!M40=""),"",_xludf.ISOWEEKNUM('Carga Web Cirugias'!A40))</f>
        <v/>
      </c>
      <c r="B40" s="117">
        <f>IF('Carga Web Cirugias'!A40="","",'Carga Web Cirugias'!A40)</f>
        <v/>
      </c>
      <c r="C40" s="109">
        <f>IF('Carga Web Cirugias'!M40="","",'Carga Web Cirugias'!M40)</f>
        <v/>
      </c>
      <c r="D40" s="111">
        <f>IFERROR(IF(OR(B40="",C40="",COUNTIFS($B$4:B40,B40,$C$4:C40,C40)&gt;1),"",(_xludf.AGGREGATE(14,6,MOD('Carga Web Cirugias'!$S$4:$S$500,1)/(('Carga Web Cirugias'!$A$4:$A$500=B40)*('Carga Web Cirugias'!$M$4:$M$500=C40)*('Carga Web Cirugias'!$R$4:$R$500&lt;&gt;"")*('Carga Web Cirugias'!$S$4:$S$500&lt;&gt;"")),1)-_xludf.AGGREGATE(15,6,MOD('Carga Web Cirugias'!$R$4:$R$500,1)/(('Carga Web Cirugias'!$A$4:$A$500=B40)*('Carga Web Cirugias'!$M$4:$M$500=C40)*('Carga Web Cirugias'!$R$4:$R$500&lt;&gt;"")*('Carga Web Cirugias'!$S$4:$S$500&lt;&gt;"")),1))*1440),"")</f>
        <v/>
      </c>
      <c r="E40" s="111">
        <f>IF(OR(B40="",C40="",D40=""),"",VLOOKUP(C40,'Horario Pabellones'!$A$4:$D$17,4,FALSE))</f>
        <v/>
      </c>
      <c r="F40" s="118">
        <f>IFERROR(IF(OR(D40="",E40="",E40=0),"",(D40/60)/(E40/60)),"")</f>
        <v/>
      </c>
      <c r="G40" s="109">
        <f>IF(F40="","",IF(F40&gt;=0.75,"Cumple referencia","Bajo referencia"))</f>
        <v/>
      </c>
      <c r="I40" s="119" t="n">
        <v>37</v>
      </c>
      <c r="J40" s="120">
        <f>IFERROR(_xludf.MINIFS($B$4:$B$500,$A$4:$A$500,I40,$D$4:$D$500,"&gt;0"),"")</f>
        <v/>
      </c>
      <c r="K40" s="121">
        <f>IFERROR(SUMIFS($D$4:$D$500,$A$4:$A$500,I40),"")</f>
        <v/>
      </c>
      <c r="L40" s="121">
        <f>IFERROR(SUMIFS($E$4:$E$500,$A$4:$A$500,I40),"")</f>
        <v/>
      </c>
      <c r="M40" s="122">
        <f>IFERROR(AVERAGEIFS($F$4:$F$500,$A$4:$A$500,I40,$F$4:$F$500,"&gt;=0"),"")</f>
        <v/>
      </c>
      <c r="N40" s="121">
        <f>COUNTIFS($A$4:$A$500,I40,$D$4:$D$500,"&gt;0")</f>
        <v/>
      </c>
    </row>
    <row r="41" ht="16" customHeight="1" s="151">
      <c r="A41" s="112">
        <f>IF(OR('Carga Web Cirugias'!A41="",'Carga Web Cirugias'!M41=""),"",_xludf.ISOWEEKNUM('Carga Web Cirugias'!A41))</f>
        <v/>
      </c>
      <c r="B41" s="123">
        <f>IF('Carga Web Cirugias'!A41="","",'Carga Web Cirugias'!A41)</f>
        <v/>
      </c>
      <c r="C41" s="112">
        <f>IF('Carga Web Cirugias'!M41="","",'Carga Web Cirugias'!M41)</f>
        <v/>
      </c>
      <c r="D41" s="114">
        <f>IFERROR(IF(OR(B41="",C41="",COUNTIFS($B$4:B41,B41,$C$4:C41,C41)&gt;1),"",(_xludf.AGGREGATE(14,6,MOD('Carga Web Cirugias'!$S$4:$S$500,1)/(('Carga Web Cirugias'!$A$4:$A$500=B41)*('Carga Web Cirugias'!$M$4:$M$500=C41)*('Carga Web Cirugias'!$R$4:$R$500&lt;&gt;"")*('Carga Web Cirugias'!$S$4:$S$500&lt;&gt;"")),1)-_xludf.AGGREGATE(15,6,MOD('Carga Web Cirugias'!$R$4:$R$500,1)/(('Carga Web Cirugias'!$A$4:$A$500=B41)*('Carga Web Cirugias'!$M$4:$M$500=C41)*('Carga Web Cirugias'!$R$4:$R$500&lt;&gt;"")*('Carga Web Cirugias'!$S$4:$S$500&lt;&gt;"")),1))*1440),"")</f>
        <v/>
      </c>
      <c r="E41" s="114">
        <f>IF(OR(B41="",C41="",D41=""),"",VLOOKUP(C41,'Horario Pabellones'!$A$4:$D$17,4,FALSE))</f>
        <v/>
      </c>
      <c r="F41" s="124">
        <f>IFERROR(IF(OR(D41="",E41="",E41=0),"",(D41/60)/(E41/60)),"")</f>
        <v/>
      </c>
      <c r="G41" s="112">
        <f>IF(F41="","",IF(F41&gt;=0.75,"Cumple referencia","Bajo referencia"))</f>
        <v/>
      </c>
      <c r="I41" s="112" t="n">
        <v>38</v>
      </c>
      <c r="J41" s="123">
        <f>IFERROR(_xludf.MINIFS($B$4:$B$500,$A$4:$A$500,I41,$D$4:$D$500,"&gt;0"),"")</f>
        <v/>
      </c>
      <c r="K41" s="114">
        <f>IFERROR(SUMIFS($D$4:$D$500,$A$4:$A$500,I41),"")</f>
        <v/>
      </c>
      <c r="L41" s="114">
        <f>IFERROR(SUMIFS($E$4:$E$500,$A$4:$A$500,I41),"")</f>
        <v/>
      </c>
      <c r="M41" s="124">
        <f>IFERROR(AVERAGEIFS($F$4:$F$500,$A$4:$A$500,I41,$F$4:$F$500,"&gt;=0"),"")</f>
        <v/>
      </c>
      <c r="N41" s="114">
        <f>COUNTIFS($A$4:$A$500,I41,$D$4:$D$500,"&gt;0")</f>
        <v/>
      </c>
    </row>
    <row r="42" ht="16" customHeight="1" s="151">
      <c r="A42" s="109">
        <f>IF(OR('Carga Web Cirugias'!A42="",'Carga Web Cirugias'!M42=""),"",_xludf.ISOWEEKNUM('Carga Web Cirugias'!A42))</f>
        <v/>
      </c>
      <c r="B42" s="117">
        <f>IF('Carga Web Cirugias'!A42="","",'Carga Web Cirugias'!A42)</f>
        <v/>
      </c>
      <c r="C42" s="109">
        <f>IF('Carga Web Cirugias'!M42="","",'Carga Web Cirugias'!M42)</f>
        <v/>
      </c>
      <c r="D42" s="111">
        <f>IFERROR(IF(OR(B42="",C42="",COUNTIFS($B$4:B42,B42,$C$4:C42,C42)&gt;1),"",(_xludf.AGGREGATE(14,6,MOD('Carga Web Cirugias'!$S$4:$S$500,1)/(('Carga Web Cirugias'!$A$4:$A$500=B42)*('Carga Web Cirugias'!$M$4:$M$500=C42)*('Carga Web Cirugias'!$R$4:$R$500&lt;&gt;"")*('Carga Web Cirugias'!$S$4:$S$500&lt;&gt;"")),1)-_xludf.AGGREGATE(15,6,MOD('Carga Web Cirugias'!$R$4:$R$500,1)/(('Carga Web Cirugias'!$A$4:$A$500=B42)*('Carga Web Cirugias'!$M$4:$M$500=C42)*('Carga Web Cirugias'!$R$4:$R$500&lt;&gt;"")*('Carga Web Cirugias'!$S$4:$S$500&lt;&gt;"")),1))*1440),"")</f>
        <v/>
      </c>
      <c r="E42" s="111">
        <f>IF(OR(B42="",C42="",D42=""),"",VLOOKUP(C42,'Horario Pabellones'!$A$4:$D$17,4,FALSE))</f>
        <v/>
      </c>
      <c r="F42" s="118">
        <f>IFERROR(IF(OR(D42="",E42="",E42=0),"",(D42/60)/(E42/60)),"")</f>
        <v/>
      </c>
      <c r="G42" s="109">
        <f>IF(F42="","",IF(F42&gt;=0.75,"Cumple referencia","Bajo referencia"))</f>
        <v/>
      </c>
      <c r="I42" s="119" t="n">
        <v>39</v>
      </c>
      <c r="J42" s="120">
        <f>IFERROR(_xludf.MINIFS($B$4:$B$500,$A$4:$A$500,I42,$D$4:$D$500,"&gt;0"),"")</f>
        <v/>
      </c>
      <c r="K42" s="121">
        <f>IFERROR(SUMIFS($D$4:$D$500,$A$4:$A$500,I42),"")</f>
        <v/>
      </c>
      <c r="L42" s="121">
        <f>IFERROR(SUMIFS($E$4:$E$500,$A$4:$A$500,I42),"")</f>
        <v/>
      </c>
      <c r="M42" s="122">
        <f>IFERROR(AVERAGEIFS($F$4:$F$500,$A$4:$A$500,I42,$F$4:$F$500,"&gt;=0"),"")</f>
        <v/>
      </c>
      <c r="N42" s="121">
        <f>COUNTIFS($A$4:$A$500,I42,$D$4:$D$500,"&gt;0")</f>
        <v/>
      </c>
    </row>
    <row r="43" ht="16" customHeight="1" s="151">
      <c r="A43" s="112">
        <f>IF(OR('Carga Web Cirugias'!A43="",'Carga Web Cirugias'!M43=""),"",_xludf.ISOWEEKNUM('Carga Web Cirugias'!A43))</f>
        <v/>
      </c>
      <c r="B43" s="123">
        <f>IF('Carga Web Cirugias'!A43="","",'Carga Web Cirugias'!A43)</f>
        <v/>
      </c>
      <c r="C43" s="112">
        <f>IF('Carga Web Cirugias'!M43="","",'Carga Web Cirugias'!M43)</f>
        <v/>
      </c>
      <c r="D43" s="114">
        <f>IFERROR(IF(OR(B43="",C43="",COUNTIFS($B$4:B43,B43,$C$4:C43,C43)&gt;1),"",(_xludf.AGGREGATE(14,6,MOD('Carga Web Cirugias'!$S$4:$S$500,1)/(('Carga Web Cirugias'!$A$4:$A$500=B43)*('Carga Web Cirugias'!$M$4:$M$500=C43)*('Carga Web Cirugias'!$R$4:$R$500&lt;&gt;"")*('Carga Web Cirugias'!$S$4:$S$500&lt;&gt;"")),1)-_xludf.AGGREGATE(15,6,MOD('Carga Web Cirugias'!$R$4:$R$500,1)/(('Carga Web Cirugias'!$A$4:$A$500=B43)*('Carga Web Cirugias'!$M$4:$M$500=C43)*('Carga Web Cirugias'!$R$4:$R$500&lt;&gt;"")*('Carga Web Cirugias'!$S$4:$S$500&lt;&gt;"")),1))*1440),"")</f>
        <v/>
      </c>
      <c r="E43" s="114">
        <f>IF(OR(B43="",C43="",D43=""),"",VLOOKUP(C43,'Horario Pabellones'!$A$4:$D$17,4,FALSE))</f>
        <v/>
      </c>
      <c r="F43" s="124">
        <f>IFERROR(IF(OR(D43="",E43="",E43=0),"",(D43/60)/(E43/60)),"")</f>
        <v/>
      </c>
      <c r="G43" s="112">
        <f>IF(F43="","",IF(F43&gt;=0.75,"Cumple referencia","Bajo referencia"))</f>
        <v/>
      </c>
      <c r="I43" s="112" t="n">
        <v>40</v>
      </c>
      <c r="J43" s="123">
        <f>IFERROR(_xludf.MINIFS($B$4:$B$500,$A$4:$A$500,I43,$D$4:$D$500,"&gt;0"),"")</f>
        <v/>
      </c>
      <c r="K43" s="114">
        <f>IFERROR(SUMIFS($D$4:$D$500,$A$4:$A$500,I43),"")</f>
        <v/>
      </c>
      <c r="L43" s="114">
        <f>IFERROR(SUMIFS($E$4:$E$500,$A$4:$A$500,I43),"")</f>
        <v/>
      </c>
      <c r="M43" s="124">
        <f>IFERROR(AVERAGEIFS($F$4:$F$500,$A$4:$A$500,I43,$F$4:$F$500,"&gt;=0"),"")</f>
        <v/>
      </c>
      <c r="N43" s="114">
        <f>COUNTIFS($A$4:$A$500,I43,$D$4:$D$500,"&gt;0")</f>
        <v/>
      </c>
    </row>
    <row r="44" ht="16" customHeight="1" s="151">
      <c r="A44" s="109">
        <f>IF(OR('Carga Web Cirugias'!A44="",'Carga Web Cirugias'!M44=""),"",_xludf.ISOWEEKNUM('Carga Web Cirugias'!A44))</f>
        <v/>
      </c>
      <c r="B44" s="117">
        <f>IF('Carga Web Cirugias'!A44="","",'Carga Web Cirugias'!A44)</f>
        <v/>
      </c>
      <c r="C44" s="109">
        <f>IF('Carga Web Cirugias'!M44="","",'Carga Web Cirugias'!M44)</f>
        <v/>
      </c>
      <c r="D44" s="111">
        <f>IFERROR(IF(OR(B44="",C44="",COUNTIFS($B$4:B44,B44,$C$4:C44,C44)&gt;1),"",(_xludf.AGGREGATE(14,6,MOD('Carga Web Cirugias'!$S$4:$S$500,1)/(('Carga Web Cirugias'!$A$4:$A$500=B44)*('Carga Web Cirugias'!$M$4:$M$500=C44)*('Carga Web Cirugias'!$R$4:$R$500&lt;&gt;"")*('Carga Web Cirugias'!$S$4:$S$500&lt;&gt;"")),1)-_xludf.AGGREGATE(15,6,MOD('Carga Web Cirugias'!$R$4:$R$500,1)/(('Carga Web Cirugias'!$A$4:$A$500=B44)*('Carga Web Cirugias'!$M$4:$M$500=C44)*('Carga Web Cirugias'!$R$4:$R$500&lt;&gt;"")*('Carga Web Cirugias'!$S$4:$S$500&lt;&gt;"")),1))*1440),"")</f>
        <v/>
      </c>
      <c r="E44" s="111">
        <f>IF(OR(B44="",C44="",D44=""),"",VLOOKUP(C44,'Horario Pabellones'!$A$4:$D$17,4,FALSE))</f>
        <v/>
      </c>
      <c r="F44" s="118">
        <f>IFERROR(IF(OR(D44="",E44="",E44=0),"",(D44/60)/(E44/60)),"")</f>
        <v/>
      </c>
      <c r="G44" s="109">
        <f>IF(F44="","",IF(F44&gt;=0.75,"Cumple referencia","Bajo referencia"))</f>
        <v/>
      </c>
      <c r="I44" s="119" t="n">
        <v>41</v>
      </c>
      <c r="J44" s="120">
        <f>IFERROR(_xludf.MINIFS($B$4:$B$500,$A$4:$A$500,I44,$D$4:$D$500,"&gt;0"),"")</f>
        <v/>
      </c>
      <c r="K44" s="121">
        <f>IFERROR(SUMIFS($D$4:$D$500,$A$4:$A$500,I44),"")</f>
        <v/>
      </c>
      <c r="L44" s="121">
        <f>IFERROR(SUMIFS($E$4:$E$500,$A$4:$A$500,I44),"")</f>
        <v/>
      </c>
      <c r="M44" s="122">
        <f>IFERROR(AVERAGEIFS($F$4:$F$500,$A$4:$A$500,I44,$F$4:$F$500,"&gt;=0"),"")</f>
        <v/>
      </c>
      <c r="N44" s="121">
        <f>COUNTIFS($A$4:$A$500,I44,$D$4:$D$500,"&gt;0")</f>
        <v/>
      </c>
    </row>
    <row r="45" ht="16" customHeight="1" s="151">
      <c r="A45" s="112">
        <f>IF(OR('Carga Web Cirugias'!A45="",'Carga Web Cirugias'!M45=""),"",_xludf.ISOWEEKNUM('Carga Web Cirugias'!A45))</f>
        <v/>
      </c>
      <c r="B45" s="123">
        <f>IF('Carga Web Cirugias'!A45="","",'Carga Web Cirugias'!A45)</f>
        <v/>
      </c>
      <c r="C45" s="112">
        <f>IF('Carga Web Cirugias'!M45="","",'Carga Web Cirugias'!M45)</f>
        <v/>
      </c>
      <c r="D45" s="114">
        <f>IFERROR(IF(OR(B45="",C45="",COUNTIFS($B$4:B45,B45,$C$4:C45,C45)&gt;1),"",(_xludf.AGGREGATE(14,6,MOD('Carga Web Cirugias'!$S$4:$S$500,1)/(('Carga Web Cirugias'!$A$4:$A$500=B45)*('Carga Web Cirugias'!$M$4:$M$500=C45)*('Carga Web Cirugias'!$R$4:$R$500&lt;&gt;"")*('Carga Web Cirugias'!$S$4:$S$500&lt;&gt;"")),1)-_xludf.AGGREGATE(15,6,MOD('Carga Web Cirugias'!$R$4:$R$500,1)/(('Carga Web Cirugias'!$A$4:$A$500=B45)*('Carga Web Cirugias'!$M$4:$M$500=C45)*('Carga Web Cirugias'!$R$4:$R$500&lt;&gt;"")*('Carga Web Cirugias'!$S$4:$S$500&lt;&gt;"")),1))*1440),"")</f>
        <v/>
      </c>
      <c r="E45" s="114">
        <f>IF(OR(B45="",C45="",D45=""),"",VLOOKUP(C45,'Horario Pabellones'!$A$4:$D$17,4,FALSE))</f>
        <v/>
      </c>
      <c r="F45" s="124">
        <f>IFERROR(IF(OR(D45="",E45="",E45=0),"",(D45/60)/(E45/60)),"")</f>
        <v/>
      </c>
      <c r="G45" s="112">
        <f>IF(F45="","",IF(F45&gt;=0.75,"Cumple referencia","Bajo referencia"))</f>
        <v/>
      </c>
      <c r="I45" s="112" t="n">
        <v>42</v>
      </c>
      <c r="J45" s="123">
        <f>IFERROR(_xludf.MINIFS($B$4:$B$500,$A$4:$A$500,I45,$D$4:$D$500,"&gt;0"),"")</f>
        <v/>
      </c>
      <c r="K45" s="114">
        <f>IFERROR(SUMIFS($D$4:$D$500,$A$4:$A$500,I45),"")</f>
        <v/>
      </c>
      <c r="L45" s="114">
        <f>IFERROR(SUMIFS($E$4:$E$500,$A$4:$A$500,I45),"")</f>
        <v/>
      </c>
      <c r="M45" s="124">
        <f>IFERROR(AVERAGEIFS($F$4:$F$500,$A$4:$A$500,I45,$F$4:$F$500,"&gt;=0"),"")</f>
        <v/>
      </c>
      <c r="N45" s="114">
        <f>COUNTIFS($A$4:$A$500,I45,$D$4:$D$500,"&gt;0")</f>
        <v/>
      </c>
    </row>
    <row r="46" ht="16" customHeight="1" s="151">
      <c r="A46" s="109">
        <f>IF(OR('Carga Web Cirugias'!A46="",'Carga Web Cirugias'!M46=""),"",_xludf.ISOWEEKNUM('Carga Web Cirugias'!A46))</f>
        <v/>
      </c>
      <c r="B46" s="117">
        <f>IF('Carga Web Cirugias'!A46="","",'Carga Web Cirugias'!A46)</f>
        <v/>
      </c>
      <c r="C46" s="109">
        <f>IF('Carga Web Cirugias'!M46="","",'Carga Web Cirugias'!M46)</f>
        <v/>
      </c>
      <c r="D46" s="111">
        <f>IFERROR(IF(OR(B46="",C46="",COUNTIFS($B$4:B46,B46,$C$4:C46,C46)&gt;1),"",(_xludf.AGGREGATE(14,6,MOD('Carga Web Cirugias'!$S$4:$S$500,1)/(('Carga Web Cirugias'!$A$4:$A$500=B46)*('Carga Web Cirugias'!$M$4:$M$500=C46)*('Carga Web Cirugias'!$R$4:$R$500&lt;&gt;"")*('Carga Web Cirugias'!$S$4:$S$500&lt;&gt;"")),1)-_xludf.AGGREGATE(15,6,MOD('Carga Web Cirugias'!$R$4:$R$500,1)/(('Carga Web Cirugias'!$A$4:$A$500=B46)*('Carga Web Cirugias'!$M$4:$M$500=C46)*('Carga Web Cirugias'!$R$4:$R$500&lt;&gt;"")*('Carga Web Cirugias'!$S$4:$S$500&lt;&gt;"")),1))*1440),"")</f>
        <v/>
      </c>
      <c r="E46" s="111">
        <f>IF(OR(B46="",C46="",D46=""),"",VLOOKUP(C46,'Horario Pabellones'!$A$4:$D$17,4,FALSE))</f>
        <v/>
      </c>
      <c r="F46" s="118">
        <f>IFERROR(IF(OR(D46="",E46="",E46=0),"",(D46/60)/(E46/60)),"")</f>
        <v/>
      </c>
      <c r="G46" s="109">
        <f>IF(F46="","",IF(F46&gt;=0.75,"Cumple referencia","Bajo referencia"))</f>
        <v/>
      </c>
      <c r="I46" s="119" t="n">
        <v>43</v>
      </c>
      <c r="J46" s="120">
        <f>IFERROR(_xludf.MINIFS($B$4:$B$500,$A$4:$A$500,I46,$D$4:$D$500,"&gt;0"),"")</f>
        <v/>
      </c>
      <c r="K46" s="121">
        <f>IFERROR(SUMIFS($D$4:$D$500,$A$4:$A$500,I46),"")</f>
        <v/>
      </c>
      <c r="L46" s="121">
        <f>IFERROR(SUMIFS($E$4:$E$500,$A$4:$A$500,I46),"")</f>
        <v/>
      </c>
      <c r="M46" s="122">
        <f>IFERROR(AVERAGEIFS($F$4:$F$500,$A$4:$A$500,I46,$F$4:$F$500,"&gt;=0"),"")</f>
        <v/>
      </c>
      <c r="N46" s="121">
        <f>COUNTIFS($A$4:$A$500,I46,$D$4:$D$500,"&gt;0")</f>
        <v/>
      </c>
    </row>
    <row r="47" ht="16" customHeight="1" s="151">
      <c r="A47" s="112">
        <f>IF(OR('Carga Web Cirugias'!A47="",'Carga Web Cirugias'!M47=""),"",_xludf.ISOWEEKNUM('Carga Web Cirugias'!A47))</f>
        <v/>
      </c>
      <c r="B47" s="123">
        <f>IF('Carga Web Cirugias'!A47="","",'Carga Web Cirugias'!A47)</f>
        <v/>
      </c>
      <c r="C47" s="112">
        <f>IF('Carga Web Cirugias'!M47="","",'Carga Web Cirugias'!M47)</f>
        <v/>
      </c>
      <c r="D47" s="114">
        <f>IFERROR(IF(OR(B47="",C47="",COUNTIFS($B$4:B47,B47,$C$4:C47,C47)&gt;1),"",(_xludf.AGGREGATE(14,6,MOD('Carga Web Cirugias'!$S$4:$S$500,1)/(('Carga Web Cirugias'!$A$4:$A$500=B47)*('Carga Web Cirugias'!$M$4:$M$500=C47)*('Carga Web Cirugias'!$R$4:$R$500&lt;&gt;"")*('Carga Web Cirugias'!$S$4:$S$500&lt;&gt;"")),1)-_xludf.AGGREGATE(15,6,MOD('Carga Web Cirugias'!$R$4:$R$500,1)/(('Carga Web Cirugias'!$A$4:$A$500=B47)*('Carga Web Cirugias'!$M$4:$M$500=C47)*('Carga Web Cirugias'!$R$4:$R$500&lt;&gt;"")*('Carga Web Cirugias'!$S$4:$S$500&lt;&gt;"")),1))*1440),"")</f>
        <v/>
      </c>
      <c r="E47" s="114">
        <f>IF(OR(B47="",C47="",D47=""),"",VLOOKUP(C47,'Horario Pabellones'!$A$4:$D$17,4,FALSE))</f>
        <v/>
      </c>
      <c r="F47" s="124">
        <f>IFERROR(IF(OR(D47="",E47="",E47=0),"",(D47/60)/(E47/60)),"")</f>
        <v/>
      </c>
      <c r="G47" s="112">
        <f>IF(F47="","",IF(F47&gt;=0.75,"Cumple referencia","Bajo referencia"))</f>
        <v/>
      </c>
      <c r="I47" s="112" t="n">
        <v>44</v>
      </c>
      <c r="J47" s="123">
        <f>IFERROR(_xludf.MINIFS($B$4:$B$500,$A$4:$A$500,I47,$D$4:$D$500,"&gt;0"),"")</f>
        <v/>
      </c>
      <c r="K47" s="114">
        <f>IFERROR(SUMIFS($D$4:$D$500,$A$4:$A$500,I47),"")</f>
        <v/>
      </c>
      <c r="L47" s="114">
        <f>IFERROR(SUMIFS($E$4:$E$500,$A$4:$A$500,I47),"")</f>
        <v/>
      </c>
      <c r="M47" s="124">
        <f>IFERROR(AVERAGEIFS($F$4:$F$500,$A$4:$A$500,I47,$F$4:$F$500,"&gt;=0"),"")</f>
        <v/>
      </c>
      <c r="N47" s="114">
        <f>COUNTIFS($A$4:$A$500,I47,$D$4:$D$500,"&gt;0")</f>
        <v/>
      </c>
    </row>
    <row r="48" ht="16" customHeight="1" s="151">
      <c r="A48" s="109">
        <f>IF(OR('Carga Web Cirugias'!A48="",'Carga Web Cirugias'!M48=""),"",_xludf.ISOWEEKNUM('Carga Web Cirugias'!A48))</f>
        <v/>
      </c>
      <c r="B48" s="117">
        <f>IF('Carga Web Cirugias'!A48="","",'Carga Web Cirugias'!A48)</f>
        <v/>
      </c>
      <c r="C48" s="109">
        <f>IF('Carga Web Cirugias'!M48="","",'Carga Web Cirugias'!M48)</f>
        <v/>
      </c>
      <c r="D48" s="111">
        <f>IFERROR(IF(OR(B48="",C48="",COUNTIFS($B$4:B48,B48,$C$4:C48,C48)&gt;1),"",(_xludf.AGGREGATE(14,6,MOD('Carga Web Cirugias'!$S$4:$S$500,1)/(('Carga Web Cirugias'!$A$4:$A$500=B48)*('Carga Web Cirugias'!$M$4:$M$500=C48)*('Carga Web Cirugias'!$R$4:$R$500&lt;&gt;"")*('Carga Web Cirugias'!$S$4:$S$500&lt;&gt;"")),1)-_xludf.AGGREGATE(15,6,MOD('Carga Web Cirugias'!$R$4:$R$500,1)/(('Carga Web Cirugias'!$A$4:$A$500=B48)*('Carga Web Cirugias'!$M$4:$M$500=C48)*('Carga Web Cirugias'!$R$4:$R$500&lt;&gt;"")*('Carga Web Cirugias'!$S$4:$S$500&lt;&gt;"")),1))*1440),"")</f>
        <v/>
      </c>
      <c r="E48" s="111">
        <f>IF(OR(B48="",C48="",D48=""),"",VLOOKUP(C48,'Horario Pabellones'!$A$4:$D$17,4,FALSE))</f>
        <v/>
      </c>
      <c r="F48" s="118">
        <f>IFERROR(IF(OR(D48="",E48="",E48=0),"",(D48/60)/(E48/60)),"")</f>
        <v/>
      </c>
      <c r="G48" s="109">
        <f>IF(F48="","",IF(F48&gt;=0.75,"Cumple referencia","Bajo referencia"))</f>
        <v/>
      </c>
      <c r="I48" s="119" t="n">
        <v>45</v>
      </c>
      <c r="J48" s="120">
        <f>IFERROR(_xludf.MINIFS($B$4:$B$500,$A$4:$A$500,I48,$D$4:$D$500,"&gt;0"),"")</f>
        <v/>
      </c>
      <c r="K48" s="121">
        <f>IFERROR(SUMIFS($D$4:$D$500,$A$4:$A$500,I48),"")</f>
        <v/>
      </c>
      <c r="L48" s="121">
        <f>IFERROR(SUMIFS($E$4:$E$500,$A$4:$A$500,I48),"")</f>
        <v/>
      </c>
      <c r="M48" s="122">
        <f>IFERROR(AVERAGEIFS($F$4:$F$500,$A$4:$A$500,I48,$F$4:$F$500,"&gt;=0"),"")</f>
        <v/>
      </c>
      <c r="N48" s="121">
        <f>COUNTIFS($A$4:$A$500,I48,$D$4:$D$500,"&gt;0")</f>
        <v/>
      </c>
    </row>
    <row r="49" ht="16" customHeight="1" s="151">
      <c r="A49" s="112">
        <f>IF(OR('Carga Web Cirugias'!A49="",'Carga Web Cirugias'!M49=""),"",_xludf.ISOWEEKNUM('Carga Web Cirugias'!A49))</f>
        <v/>
      </c>
      <c r="B49" s="123">
        <f>IF('Carga Web Cirugias'!A49="","",'Carga Web Cirugias'!A49)</f>
        <v/>
      </c>
      <c r="C49" s="112">
        <f>IF('Carga Web Cirugias'!M49="","",'Carga Web Cirugias'!M49)</f>
        <v/>
      </c>
      <c r="D49" s="114">
        <f>IFERROR(IF(OR(B49="",C49="",COUNTIFS($B$4:B49,B49,$C$4:C49,C49)&gt;1),"",(_xludf.AGGREGATE(14,6,MOD('Carga Web Cirugias'!$S$4:$S$500,1)/(('Carga Web Cirugias'!$A$4:$A$500=B49)*('Carga Web Cirugias'!$M$4:$M$500=C49)*('Carga Web Cirugias'!$R$4:$R$500&lt;&gt;"")*('Carga Web Cirugias'!$S$4:$S$500&lt;&gt;"")),1)-_xludf.AGGREGATE(15,6,MOD('Carga Web Cirugias'!$R$4:$R$500,1)/(('Carga Web Cirugias'!$A$4:$A$500=B49)*('Carga Web Cirugias'!$M$4:$M$500=C49)*('Carga Web Cirugias'!$R$4:$R$500&lt;&gt;"")*('Carga Web Cirugias'!$S$4:$S$500&lt;&gt;"")),1))*1440),"")</f>
        <v/>
      </c>
      <c r="E49" s="114">
        <f>IF(OR(B49="",C49="",D49=""),"",VLOOKUP(C49,'Horario Pabellones'!$A$4:$D$17,4,FALSE))</f>
        <v/>
      </c>
      <c r="F49" s="124">
        <f>IFERROR(IF(OR(D49="",E49="",E49=0),"",(D49/60)/(E49/60)),"")</f>
        <v/>
      </c>
      <c r="G49" s="112">
        <f>IF(F49="","",IF(F49&gt;=0.75,"Cumple referencia","Bajo referencia"))</f>
        <v/>
      </c>
      <c r="I49" s="112" t="n">
        <v>46</v>
      </c>
      <c r="J49" s="123">
        <f>IFERROR(_xludf.MINIFS($B$4:$B$500,$A$4:$A$500,I49,$D$4:$D$500,"&gt;0"),"")</f>
        <v/>
      </c>
      <c r="K49" s="114">
        <f>IFERROR(SUMIFS($D$4:$D$500,$A$4:$A$500,I49),"")</f>
        <v/>
      </c>
      <c r="L49" s="114">
        <f>IFERROR(SUMIFS($E$4:$E$500,$A$4:$A$500,I49),"")</f>
        <v/>
      </c>
      <c r="M49" s="124">
        <f>IFERROR(AVERAGEIFS($F$4:$F$500,$A$4:$A$500,I49,$F$4:$F$500,"&gt;=0"),"")</f>
        <v/>
      </c>
      <c r="N49" s="114">
        <f>COUNTIFS($A$4:$A$500,I49,$D$4:$D$500,"&gt;0")</f>
        <v/>
      </c>
    </row>
    <row r="50" ht="16" customHeight="1" s="151">
      <c r="A50" s="109">
        <f>IF(OR('Carga Web Cirugias'!A50="",'Carga Web Cirugias'!M50=""),"",_xludf.ISOWEEKNUM('Carga Web Cirugias'!A50))</f>
        <v/>
      </c>
      <c r="B50" s="117">
        <f>IF('Carga Web Cirugias'!A50="","",'Carga Web Cirugias'!A50)</f>
        <v/>
      </c>
      <c r="C50" s="109">
        <f>IF('Carga Web Cirugias'!M50="","",'Carga Web Cirugias'!M50)</f>
        <v/>
      </c>
      <c r="D50" s="111">
        <f>IFERROR(IF(OR(B50="",C50="",COUNTIFS($B$4:B50,B50,$C$4:C50,C50)&gt;1),"",(_xludf.AGGREGATE(14,6,MOD('Carga Web Cirugias'!$S$4:$S$500,1)/(('Carga Web Cirugias'!$A$4:$A$500=B50)*('Carga Web Cirugias'!$M$4:$M$500=C50)*('Carga Web Cirugias'!$R$4:$R$500&lt;&gt;"")*('Carga Web Cirugias'!$S$4:$S$500&lt;&gt;"")),1)-_xludf.AGGREGATE(15,6,MOD('Carga Web Cirugias'!$R$4:$R$500,1)/(('Carga Web Cirugias'!$A$4:$A$500=B50)*('Carga Web Cirugias'!$M$4:$M$500=C50)*('Carga Web Cirugias'!$R$4:$R$500&lt;&gt;"")*('Carga Web Cirugias'!$S$4:$S$500&lt;&gt;"")),1))*1440),"")</f>
        <v/>
      </c>
      <c r="E50" s="111">
        <f>IF(OR(B50="",C50="",D50=""),"",VLOOKUP(C50,'Horario Pabellones'!$A$4:$D$17,4,FALSE))</f>
        <v/>
      </c>
      <c r="F50" s="118">
        <f>IFERROR(IF(OR(D50="",E50="",E50=0),"",(D50/60)/(E50/60)),"")</f>
        <v/>
      </c>
      <c r="G50" s="109">
        <f>IF(F50="","",IF(F50&gt;=0.75,"Cumple referencia","Bajo referencia"))</f>
        <v/>
      </c>
      <c r="I50" s="119" t="n">
        <v>47</v>
      </c>
      <c r="J50" s="120">
        <f>IFERROR(_xludf.MINIFS($B$4:$B$500,$A$4:$A$500,I50,$D$4:$D$500,"&gt;0"),"")</f>
        <v/>
      </c>
      <c r="K50" s="121">
        <f>IFERROR(SUMIFS($D$4:$D$500,$A$4:$A$500,I50),"")</f>
        <v/>
      </c>
      <c r="L50" s="121">
        <f>IFERROR(SUMIFS($E$4:$E$500,$A$4:$A$500,I50),"")</f>
        <v/>
      </c>
      <c r="M50" s="122">
        <f>IFERROR(AVERAGEIFS($F$4:$F$500,$A$4:$A$500,I50,$F$4:$F$500,"&gt;=0"),"")</f>
        <v/>
      </c>
      <c r="N50" s="121">
        <f>COUNTIFS($A$4:$A$500,I50,$D$4:$D$500,"&gt;0")</f>
        <v/>
      </c>
    </row>
    <row r="51" ht="16" customHeight="1" s="151">
      <c r="A51" s="112">
        <f>IF(OR('Carga Web Cirugias'!A51="",'Carga Web Cirugias'!M51=""),"",_xludf.ISOWEEKNUM('Carga Web Cirugias'!A51))</f>
        <v/>
      </c>
      <c r="B51" s="123">
        <f>IF('Carga Web Cirugias'!A51="","",'Carga Web Cirugias'!A51)</f>
        <v/>
      </c>
      <c r="C51" s="112">
        <f>IF('Carga Web Cirugias'!M51="","",'Carga Web Cirugias'!M51)</f>
        <v/>
      </c>
      <c r="D51" s="114">
        <f>IFERROR(IF(OR(B51="",C51="",COUNTIFS($B$4:B51,B51,$C$4:C51,C51)&gt;1),"",(_xludf.AGGREGATE(14,6,MOD('Carga Web Cirugias'!$S$4:$S$500,1)/(('Carga Web Cirugias'!$A$4:$A$500=B51)*('Carga Web Cirugias'!$M$4:$M$500=C51)*('Carga Web Cirugias'!$R$4:$R$500&lt;&gt;"")*('Carga Web Cirugias'!$S$4:$S$500&lt;&gt;"")),1)-_xludf.AGGREGATE(15,6,MOD('Carga Web Cirugias'!$R$4:$R$500,1)/(('Carga Web Cirugias'!$A$4:$A$500=B51)*('Carga Web Cirugias'!$M$4:$M$500=C51)*('Carga Web Cirugias'!$R$4:$R$500&lt;&gt;"")*('Carga Web Cirugias'!$S$4:$S$500&lt;&gt;"")),1))*1440),"")</f>
        <v/>
      </c>
      <c r="E51" s="114">
        <f>IF(OR(B51="",C51="",D51=""),"",VLOOKUP(C51,'Horario Pabellones'!$A$4:$D$17,4,FALSE))</f>
        <v/>
      </c>
      <c r="F51" s="124">
        <f>IFERROR(IF(OR(D51="",E51="",E51=0),"",(D51/60)/(E51/60)),"")</f>
        <v/>
      </c>
      <c r="G51" s="112">
        <f>IF(F51="","",IF(F51&gt;=0.75,"Cumple referencia","Bajo referencia"))</f>
        <v/>
      </c>
      <c r="I51" s="112" t="n">
        <v>48</v>
      </c>
      <c r="J51" s="123">
        <f>IFERROR(_xludf.MINIFS($B$4:$B$500,$A$4:$A$500,I51,$D$4:$D$500,"&gt;0"),"")</f>
        <v/>
      </c>
      <c r="K51" s="114">
        <f>IFERROR(SUMIFS($D$4:$D$500,$A$4:$A$500,I51),"")</f>
        <v/>
      </c>
      <c r="L51" s="114">
        <f>IFERROR(SUMIFS($E$4:$E$500,$A$4:$A$500,I51),"")</f>
        <v/>
      </c>
      <c r="M51" s="124">
        <f>IFERROR(AVERAGEIFS($F$4:$F$500,$A$4:$A$500,I51,$F$4:$F$500,"&gt;=0"),"")</f>
        <v/>
      </c>
      <c r="N51" s="114">
        <f>COUNTIFS($A$4:$A$500,I51,$D$4:$D$500,"&gt;0")</f>
        <v/>
      </c>
    </row>
    <row r="52" ht="16" customHeight="1" s="151">
      <c r="A52" s="109">
        <f>IF(OR('Carga Web Cirugias'!A52="",'Carga Web Cirugias'!M52=""),"",_xludf.ISOWEEKNUM('Carga Web Cirugias'!A52))</f>
        <v/>
      </c>
      <c r="B52" s="117">
        <f>IF('Carga Web Cirugias'!A52="","",'Carga Web Cirugias'!A52)</f>
        <v/>
      </c>
      <c r="C52" s="109">
        <f>IF('Carga Web Cirugias'!M52="","",'Carga Web Cirugias'!M52)</f>
        <v/>
      </c>
      <c r="D52" s="111">
        <f>IFERROR(IF(OR(B52="",C52="",COUNTIFS($B$4:B52,B52,$C$4:C52,C52)&gt;1),"",(_xludf.AGGREGATE(14,6,MOD('Carga Web Cirugias'!$S$4:$S$500,1)/(('Carga Web Cirugias'!$A$4:$A$500=B52)*('Carga Web Cirugias'!$M$4:$M$500=C52)*('Carga Web Cirugias'!$R$4:$R$500&lt;&gt;"")*('Carga Web Cirugias'!$S$4:$S$500&lt;&gt;"")),1)-_xludf.AGGREGATE(15,6,MOD('Carga Web Cirugias'!$R$4:$R$500,1)/(('Carga Web Cirugias'!$A$4:$A$500=B52)*('Carga Web Cirugias'!$M$4:$M$500=C52)*('Carga Web Cirugias'!$R$4:$R$500&lt;&gt;"")*('Carga Web Cirugias'!$S$4:$S$500&lt;&gt;"")),1))*1440),"")</f>
        <v/>
      </c>
      <c r="E52" s="111">
        <f>IF(OR(B52="",C52="",D52=""),"",VLOOKUP(C52,'Horario Pabellones'!$A$4:$D$17,4,FALSE))</f>
        <v/>
      </c>
      <c r="F52" s="118">
        <f>IFERROR(IF(OR(D52="",E52="",E52=0),"",(D52/60)/(E52/60)),"")</f>
        <v/>
      </c>
      <c r="G52" s="109">
        <f>IF(F52="","",IF(F52&gt;=0.75,"Cumple referencia","Bajo referencia"))</f>
        <v/>
      </c>
      <c r="I52" s="119" t="n">
        <v>49</v>
      </c>
      <c r="J52" s="120">
        <f>IFERROR(_xludf.MINIFS($B$4:$B$500,$A$4:$A$500,I52,$D$4:$D$500,"&gt;0"),"")</f>
        <v/>
      </c>
      <c r="K52" s="121">
        <f>IFERROR(SUMIFS($D$4:$D$500,$A$4:$A$500,I52),"")</f>
        <v/>
      </c>
      <c r="L52" s="121">
        <f>IFERROR(SUMIFS($E$4:$E$500,$A$4:$A$500,I52),"")</f>
        <v/>
      </c>
      <c r="M52" s="122">
        <f>IFERROR(AVERAGEIFS($F$4:$F$500,$A$4:$A$500,I52,$F$4:$F$500,"&gt;=0"),"")</f>
        <v/>
      </c>
      <c r="N52" s="121">
        <f>COUNTIFS($A$4:$A$500,I52,$D$4:$D$500,"&gt;0")</f>
        <v/>
      </c>
    </row>
    <row r="53" ht="16" customHeight="1" s="151">
      <c r="A53" s="112">
        <f>IF(OR('Carga Web Cirugias'!A53="",'Carga Web Cirugias'!M53=""),"",_xludf.ISOWEEKNUM('Carga Web Cirugias'!A53))</f>
        <v/>
      </c>
      <c r="B53" s="123">
        <f>IF('Carga Web Cirugias'!A53="","",'Carga Web Cirugias'!A53)</f>
        <v/>
      </c>
      <c r="C53" s="112">
        <f>IF('Carga Web Cirugias'!M53="","",'Carga Web Cirugias'!M53)</f>
        <v/>
      </c>
      <c r="D53" s="114">
        <f>IFERROR(IF(OR(B53="",C53="",COUNTIFS($B$4:B53,B53,$C$4:C53,C53)&gt;1),"",(_xludf.AGGREGATE(14,6,MOD('Carga Web Cirugias'!$S$4:$S$500,1)/(('Carga Web Cirugias'!$A$4:$A$500=B53)*('Carga Web Cirugias'!$M$4:$M$500=C53)*('Carga Web Cirugias'!$R$4:$R$500&lt;&gt;"")*('Carga Web Cirugias'!$S$4:$S$500&lt;&gt;"")),1)-_xludf.AGGREGATE(15,6,MOD('Carga Web Cirugias'!$R$4:$R$500,1)/(('Carga Web Cirugias'!$A$4:$A$500=B53)*('Carga Web Cirugias'!$M$4:$M$500=C53)*('Carga Web Cirugias'!$R$4:$R$500&lt;&gt;"")*('Carga Web Cirugias'!$S$4:$S$500&lt;&gt;"")),1))*1440),"")</f>
        <v/>
      </c>
      <c r="E53" s="114">
        <f>IF(OR(B53="",C53="",D53=""),"",VLOOKUP(C53,'Horario Pabellones'!$A$4:$D$17,4,FALSE))</f>
        <v/>
      </c>
      <c r="F53" s="124">
        <f>IFERROR(IF(OR(D53="",E53="",E53=0),"",(D53/60)/(E53/60)),"")</f>
        <v/>
      </c>
      <c r="G53" s="112">
        <f>IF(F53="","",IF(F53&gt;=0.75,"Cumple referencia","Bajo referencia"))</f>
        <v/>
      </c>
      <c r="I53" s="112" t="n">
        <v>50</v>
      </c>
      <c r="J53" s="123">
        <f>IFERROR(_xludf.MINIFS($B$4:$B$500,$A$4:$A$500,I53,$D$4:$D$500,"&gt;0"),"")</f>
        <v/>
      </c>
      <c r="K53" s="114">
        <f>IFERROR(SUMIFS($D$4:$D$500,$A$4:$A$500,I53),"")</f>
        <v/>
      </c>
      <c r="L53" s="114">
        <f>IFERROR(SUMIFS($E$4:$E$500,$A$4:$A$500,I53),"")</f>
        <v/>
      </c>
      <c r="M53" s="124">
        <f>IFERROR(AVERAGEIFS($F$4:$F$500,$A$4:$A$500,I53,$F$4:$F$500,"&gt;=0"),"")</f>
        <v/>
      </c>
      <c r="N53" s="114">
        <f>COUNTIFS($A$4:$A$500,I53,$D$4:$D$500,"&gt;0")</f>
        <v/>
      </c>
    </row>
    <row r="54" ht="16" customHeight="1" s="151">
      <c r="A54" s="109">
        <f>IF(OR('Carga Web Cirugias'!A54="",'Carga Web Cirugias'!M54=""),"",_xludf.ISOWEEKNUM('Carga Web Cirugias'!A54))</f>
        <v/>
      </c>
      <c r="B54" s="117">
        <f>IF('Carga Web Cirugias'!A54="","",'Carga Web Cirugias'!A54)</f>
        <v/>
      </c>
      <c r="C54" s="109">
        <f>IF('Carga Web Cirugias'!M54="","",'Carga Web Cirugias'!M54)</f>
        <v/>
      </c>
      <c r="D54" s="111">
        <f>IFERROR(IF(OR(B54="",C54="",COUNTIFS($B$4:B54,B54,$C$4:C54,C54)&gt;1),"",(_xludf.AGGREGATE(14,6,MOD('Carga Web Cirugias'!$S$4:$S$500,1)/(('Carga Web Cirugias'!$A$4:$A$500=B54)*('Carga Web Cirugias'!$M$4:$M$500=C54)*('Carga Web Cirugias'!$R$4:$R$500&lt;&gt;"")*('Carga Web Cirugias'!$S$4:$S$500&lt;&gt;"")),1)-_xludf.AGGREGATE(15,6,MOD('Carga Web Cirugias'!$R$4:$R$500,1)/(('Carga Web Cirugias'!$A$4:$A$500=B54)*('Carga Web Cirugias'!$M$4:$M$500=C54)*('Carga Web Cirugias'!$R$4:$R$500&lt;&gt;"")*('Carga Web Cirugias'!$S$4:$S$500&lt;&gt;"")),1))*1440),"")</f>
        <v/>
      </c>
      <c r="E54" s="111">
        <f>IF(OR(B54="",C54="",D54=""),"",VLOOKUP(C54,'Horario Pabellones'!$A$4:$D$17,4,FALSE))</f>
        <v/>
      </c>
      <c r="F54" s="118">
        <f>IFERROR(IF(OR(D54="",E54="",E54=0),"",(D54/60)/(E54/60)),"")</f>
        <v/>
      </c>
      <c r="G54" s="109">
        <f>IF(F54="","",IF(F54&gt;=0.75,"Cumple referencia","Bajo referencia"))</f>
        <v/>
      </c>
      <c r="I54" s="119" t="n">
        <v>51</v>
      </c>
      <c r="J54" s="120">
        <f>IFERROR(_xludf.MINIFS($B$4:$B$500,$A$4:$A$500,I54,$D$4:$D$500,"&gt;0"),"")</f>
        <v/>
      </c>
      <c r="K54" s="121">
        <f>IFERROR(SUMIFS($D$4:$D$500,$A$4:$A$500,I54),"")</f>
        <v/>
      </c>
      <c r="L54" s="121">
        <f>IFERROR(SUMIFS($E$4:$E$500,$A$4:$A$500,I54),"")</f>
        <v/>
      </c>
      <c r="M54" s="122">
        <f>IFERROR(AVERAGEIFS($F$4:$F$500,$A$4:$A$500,I54,$F$4:$F$500,"&gt;=0"),"")</f>
        <v/>
      </c>
      <c r="N54" s="121">
        <f>COUNTIFS($A$4:$A$500,I54,$D$4:$D$500,"&gt;0")</f>
        <v/>
      </c>
    </row>
    <row r="55" ht="16" customHeight="1" s="151">
      <c r="A55" s="112">
        <f>IF(OR('Carga Web Cirugias'!A55="",'Carga Web Cirugias'!M55=""),"",_xludf.ISOWEEKNUM('Carga Web Cirugias'!A55))</f>
        <v/>
      </c>
      <c r="B55" s="123">
        <f>IF('Carga Web Cirugias'!A55="","",'Carga Web Cirugias'!A55)</f>
        <v/>
      </c>
      <c r="C55" s="112">
        <f>IF('Carga Web Cirugias'!M55="","",'Carga Web Cirugias'!M55)</f>
        <v/>
      </c>
      <c r="D55" s="114">
        <f>IFERROR(IF(OR(B55="",C55="",COUNTIFS($B$4:B55,B55,$C$4:C55,C55)&gt;1),"",(_xludf.AGGREGATE(14,6,MOD('Carga Web Cirugias'!$S$4:$S$500,1)/(('Carga Web Cirugias'!$A$4:$A$500=B55)*('Carga Web Cirugias'!$M$4:$M$500=C55)*('Carga Web Cirugias'!$R$4:$R$500&lt;&gt;"")*('Carga Web Cirugias'!$S$4:$S$500&lt;&gt;"")),1)-_xludf.AGGREGATE(15,6,MOD('Carga Web Cirugias'!$R$4:$R$500,1)/(('Carga Web Cirugias'!$A$4:$A$500=B55)*('Carga Web Cirugias'!$M$4:$M$500=C55)*('Carga Web Cirugias'!$R$4:$R$500&lt;&gt;"")*('Carga Web Cirugias'!$S$4:$S$500&lt;&gt;"")),1))*1440),"")</f>
        <v/>
      </c>
      <c r="E55" s="114">
        <f>IF(OR(B55="",C55="",D55=""),"",VLOOKUP(C55,'Horario Pabellones'!$A$4:$D$17,4,FALSE))</f>
        <v/>
      </c>
      <c r="F55" s="124">
        <f>IFERROR(IF(OR(D55="",E55="",E55=0),"",(D55/60)/(E55/60)),"")</f>
        <v/>
      </c>
      <c r="G55" s="112">
        <f>IF(F55="","",IF(F55&gt;=0.75,"Cumple referencia","Bajo referencia"))</f>
        <v/>
      </c>
      <c r="I55" s="112" t="n">
        <v>52</v>
      </c>
      <c r="J55" s="123">
        <f>IFERROR(_xludf.MINIFS($B$4:$B$500,$A$4:$A$500,I55,$D$4:$D$500,"&gt;0"),"")</f>
        <v/>
      </c>
      <c r="K55" s="114">
        <f>IFERROR(SUMIFS($D$4:$D$500,$A$4:$A$500,I55),"")</f>
        <v/>
      </c>
      <c r="L55" s="114">
        <f>IFERROR(SUMIFS($E$4:$E$500,$A$4:$A$500,I55),"")</f>
        <v/>
      </c>
      <c r="M55" s="124">
        <f>IFERROR(AVERAGEIFS($F$4:$F$500,$A$4:$A$500,I55,$F$4:$F$500,"&gt;=0"),"")</f>
        <v/>
      </c>
      <c r="N55" s="114">
        <f>COUNTIFS($A$4:$A$500,I55,$D$4:$D$500,"&gt;0")</f>
        <v/>
      </c>
    </row>
    <row r="56" ht="16" customHeight="1" s="151">
      <c r="A56" s="109">
        <f>IF(OR('Carga Web Cirugias'!A56="",'Carga Web Cirugias'!M56=""),"",_xludf.ISOWEEKNUM('Carga Web Cirugias'!A56))</f>
        <v/>
      </c>
      <c r="B56" s="117">
        <f>IF('Carga Web Cirugias'!A56="","",'Carga Web Cirugias'!A56)</f>
        <v/>
      </c>
      <c r="C56" s="109">
        <f>IF('Carga Web Cirugias'!M56="","",'Carga Web Cirugias'!M56)</f>
        <v/>
      </c>
      <c r="D56" s="111">
        <f>IFERROR(IF(OR(B56="",C56="",COUNTIFS($B$4:B56,B56,$C$4:C56,C56)&gt;1),"",(_xludf.AGGREGATE(14,6,MOD('Carga Web Cirugias'!$S$4:$S$500,1)/(('Carga Web Cirugias'!$A$4:$A$500=B56)*('Carga Web Cirugias'!$M$4:$M$500=C56)*('Carga Web Cirugias'!$R$4:$R$500&lt;&gt;"")*('Carga Web Cirugias'!$S$4:$S$500&lt;&gt;"")),1)-_xludf.AGGREGATE(15,6,MOD('Carga Web Cirugias'!$R$4:$R$500,1)/(('Carga Web Cirugias'!$A$4:$A$500=B56)*('Carga Web Cirugias'!$M$4:$M$500=C56)*('Carga Web Cirugias'!$R$4:$R$500&lt;&gt;"")*('Carga Web Cirugias'!$S$4:$S$500&lt;&gt;"")),1))*1440),"")</f>
        <v/>
      </c>
      <c r="E56" s="111">
        <f>IF(OR(B56="",C56="",D56=""),"",VLOOKUP(C56,'Horario Pabellones'!$A$4:$D$17,4,FALSE))</f>
        <v/>
      </c>
      <c r="F56" s="118">
        <f>IFERROR(IF(OR(D56="",E56="",E56=0),"",(D56/60)/(E56/60)),"")</f>
        <v/>
      </c>
      <c r="G56" s="109">
        <f>IF(F56="","",IF(F56&gt;=0.75,"Cumple referencia","Bajo referencia"))</f>
        <v/>
      </c>
      <c r="I56" s="119" t="n">
        <v>53</v>
      </c>
      <c r="J56" s="120">
        <f>IFERROR(_xludf.MINIFS($B$4:$B$500,$A$4:$A$500,I56,$D$4:$D$500,"&gt;0"),"")</f>
        <v/>
      </c>
      <c r="K56" s="121">
        <f>IFERROR(SUMIFS($D$4:$D$500,$A$4:$A$500,I56),"")</f>
        <v/>
      </c>
      <c r="L56" s="121">
        <f>IFERROR(SUMIFS($E$4:$E$500,$A$4:$A$500,I56),"")</f>
        <v/>
      </c>
      <c r="M56" s="122">
        <f>IFERROR(AVERAGEIFS($F$4:$F$500,$A$4:$A$500,I56,$F$4:$F$500,"&gt;=0"),"")</f>
        <v/>
      </c>
      <c r="N56" s="121">
        <f>COUNTIFS($A$4:$A$500,I56,$D$4:$D$500,"&gt;0")</f>
        <v/>
      </c>
    </row>
    <row r="57" ht="16" customHeight="1" s="151">
      <c r="A57" s="112">
        <f>IF(OR('Carga Web Cirugias'!A57="",'Carga Web Cirugias'!M57=""),"",_xludf.ISOWEEKNUM('Carga Web Cirugias'!A57))</f>
        <v/>
      </c>
      <c r="B57" s="123">
        <f>IF('Carga Web Cirugias'!A57="","",'Carga Web Cirugias'!A57)</f>
        <v/>
      </c>
      <c r="C57" s="112">
        <f>IF('Carga Web Cirugias'!M57="","",'Carga Web Cirugias'!M57)</f>
        <v/>
      </c>
      <c r="D57" s="114">
        <f>IFERROR(IF(OR(B57="",C57="",COUNTIFS($B$4:B57,B57,$C$4:C57,C57)&gt;1),"",(_xludf.AGGREGATE(14,6,MOD('Carga Web Cirugias'!$S$4:$S$500,1)/(('Carga Web Cirugias'!$A$4:$A$500=B57)*('Carga Web Cirugias'!$M$4:$M$500=C57)*('Carga Web Cirugias'!$R$4:$R$500&lt;&gt;"")*('Carga Web Cirugias'!$S$4:$S$500&lt;&gt;"")),1)-_xludf.AGGREGATE(15,6,MOD('Carga Web Cirugias'!$R$4:$R$500,1)/(('Carga Web Cirugias'!$A$4:$A$500=B57)*('Carga Web Cirugias'!$M$4:$M$500=C57)*('Carga Web Cirugias'!$R$4:$R$500&lt;&gt;"")*('Carga Web Cirugias'!$S$4:$S$500&lt;&gt;"")),1))*1440),"")</f>
        <v/>
      </c>
      <c r="E57" s="114">
        <f>IF(OR(B57="",C57="",D57=""),"",VLOOKUP(C57,'Horario Pabellones'!$A$4:$D$17,4,FALSE))</f>
        <v/>
      </c>
      <c r="F57" s="124">
        <f>IFERROR(IF(OR(D57="",E57="",E57=0),"",(D57/60)/(E57/60)),"")</f>
        <v/>
      </c>
      <c r="G57" s="112">
        <f>IF(F57="","",IF(F57&gt;=0.75,"Cumple referencia","Bajo referencia"))</f>
        <v/>
      </c>
      <c r="J57" s="94" t="n"/>
      <c r="K57" s="95" t="n"/>
      <c r="L57" s="95" t="n"/>
      <c r="M57" s="96" t="n"/>
      <c r="N57" s="95" t="n"/>
    </row>
    <row r="58" ht="16" customHeight="1" s="151">
      <c r="A58" s="109">
        <f>IF(OR('Carga Web Cirugias'!A58="",'Carga Web Cirugias'!M58=""),"",_xludf.ISOWEEKNUM('Carga Web Cirugias'!A58))</f>
        <v/>
      </c>
      <c r="B58" s="117">
        <f>IF('Carga Web Cirugias'!A58="","",'Carga Web Cirugias'!A58)</f>
        <v/>
      </c>
      <c r="C58" s="109">
        <f>IF('Carga Web Cirugias'!M58="","",'Carga Web Cirugias'!M58)</f>
        <v/>
      </c>
      <c r="D58" s="111">
        <f>IFERROR(IF(OR(B58="",C58="",COUNTIFS($B$4:B58,B58,$C$4:C58,C58)&gt;1),"",(_xludf.AGGREGATE(14,6,MOD('Carga Web Cirugias'!$S$4:$S$500,1)/(('Carga Web Cirugias'!$A$4:$A$500=B58)*('Carga Web Cirugias'!$M$4:$M$500=C58)*('Carga Web Cirugias'!$R$4:$R$500&lt;&gt;"")*('Carga Web Cirugias'!$S$4:$S$500&lt;&gt;"")),1)-_xludf.AGGREGATE(15,6,MOD('Carga Web Cirugias'!$R$4:$R$500,1)/(('Carga Web Cirugias'!$A$4:$A$500=B58)*('Carga Web Cirugias'!$M$4:$M$500=C58)*('Carga Web Cirugias'!$R$4:$R$500&lt;&gt;"")*('Carga Web Cirugias'!$S$4:$S$500&lt;&gt;"")),1))*1440),"")</f>
        <v/>
      </c>
      <c r="E58" s="111">
        <f>IF(OR(B58="",C58="",D58=""),"",VLOOKUP(C58,'Horario Pabellones'!$A$4:$D$17,4,FALSE))</f>
        <v/>
      </c>
      <c r="F58" s="118">
        <f>IFERROR(IF(OR(D58="",E58="",E58=0),"",(D58/60)/(E58/60)),"")</f>
        <v/>
      </c>
      <c r="G58" s="109">
        <f>IF(F58="","",IF(F58&gt;=0.75,"Cumple referencia","Bajo referencia"))</f>
        <v/>
      </c>
      <c r="J58" s="94" t="n"/>
      <c r="K58" s="95" t="n"/>
      <c r="L58" s="95" t="n"/>
      <c r="M58" s="96" t="n"/>
      <c r="N58" s="95" t="n"/>
    </row>
    <row r="59" ht="16" customHeight="1" s="151">
      <c r="A59" s="112">
        <f>IF(OR('Carga Web Cirugias'!A59="",'Carga Web Cirugias'!M59=""),"",_xludf.ISOWEEKNUM('Carga Web Cirugias'!A59))</f>
        <v/>
      </c>
      <c r="B59" s="123">
        <f>IF('Carga Web Cirugias'!A59="","",'Carga Web Cirugias'!A59)</f>
        <v/>
      </c>
      <c r="C59" s="112">
        <f>IF('Carga Web Cirugias'!M59="","",'Carga Web Cirugias'!M59)</f>
        <v/>
      </c>
      <c r="D59" s="114">
        <f>IFERROR(IF(OR(B59="",C59="",COUNTIFS($B$4:B59,B59,$C$4:C59,C59)&gt;1),"",(_xludf.AGGREGATE(14,6,MOD('Carga Web Cirugias'!$S$4:$S$500,1)/(('Carga Web Cirugias'!$A$4:$A$500=B59)*('Carga Web Cirugias'!$M$4:$M$500=C59)*('Carga Web Cirugias'!$R$4:$R$500&lt;&gt;"")*('Carga Web Cirugias'!$S$4:$S$500&lt;&gt;"")),1)-_xludf.AGGREGATE(15,6,MOD('Carga Web Cirugias'!$R$4:$R$500,1)/(('Carga Web Cirugias'!$A$4:$A$500=B59)*('Carga Web Cirugias'!$M$4:$M$500=C59)*('Carga Web Cirugias'!$R$4:$R$500&lt;&gt;"")*('Carga Web Cirugias'!$S$4:$S$500&lt;&gt;"")),1))*1440),"")</f>
        <v/>
      </c>
      <c r="E59" s="114">
        <f>IF(OR(B59="",C59="",D59=""),"",VLOOKUP(C59,'Horario Pabellones'!$A$4:$D$17,4,FALSE))</f>
        <v/>
      </c>
      <c r="F59" s="124">
        <f>IFERROR(IF(OR(D59="",E59="",E59=0),"",(D59/60)/(E59/60)),"")</f>
        <v/>
      </c>
      <c r="G59" s="112">
        <f>IF(F59="","",IF(F59&gt;=0.75,"Cumple referencia","Bajo referencia"))</f>
        <v/>
      </c>
      <c r="J59" s="94" t="n"/>
      <c r="K59" s="95" t="n"/>
      <c r="L59" s="95" t="n"/>
      <c r="M59" s="96" t="n"/>
      <c r="N59" s="95" t="n"/>
    </row>
    <row r="60" ht="16" customHeight="1" s="151">
      <c r="A60" s="109">
        <f>IF(OR('Carga Web Cirugias'!A60="",'Carga Web Cirugias'!M60=""),"",_xludf.ISOWEEKNUM('Carga Web Cirugias'!A60))</f>
        <v/>
      </c>
      <c r="B60" s="117">
        <f>IF('Carga Web Cirugias'!A60="","",'Carga Web Cirugias'!A60)</f>
        <v/>
      </c>
      <c r="C60" s="109">
        <f>IF('Carga Web Cirugias'!M60="","",'Carga Web Cirugias'!M60)</f>
        <v/>
      </c>
      <c r="D60" s="111">
        <f>IFERROR(IF(OR(B60="",C60="",COUNTIFS($B$4:B60,B60,$C$4:C60,C60)&gt;1),"",(_xludf.AGGREGATE(14,6,MOD('Carga Web Cirugias'!$S$4:$S$500,1)/(('Carga Web Cirugias'!$A$4:$A$500=B60)*('Carga Web Cirugias'!$M$4:$M$500=C60)*('Carga Web Cirugias'!$R$4:$R$500&lt;&gt;"")*('Carga Web Cirugias'!$S$4:$S$500&lt;&gt;"")),1)-_xludf.AGGREGATE(15,6,MOD('Carga Web Cirugias'!$R$4:$R$500,1)/(('Carga Web Cirugias'!$A$4:$A$500=B60)*('Carga Web Cirugias'!$M$4:$M$500=C60)*('Carga Web Cirugias'!$R$4:$R$500&lt;&gt;"")*('Carga Web Cirugias'!$S$4:$S$500&lt;&gt;"")),1))*1440),"")</f>
        <v/>
      </c>
      <c r="E60" s="111">
        <f>IF(OR(B60="",C60="",D60=""),"",VLOOKUP(C60,'Horario Pabellones'!$A$4:$D$17,4,FALSE))</f>
        <v/>
      </c>
      <c r="F60" s="118">
        <f>IFERROR(IF(OR(D60="",E60="",E60=0),"",(D60/60)/(E60/60)),"")</f>
        <v/>
      </c>
      <c r="G60" s="109">
        <f>IF(F60="","",IF(F60&gt;=0.75,"Cumple referencia","Bajo referencia"))</f>
        <v/>
      </c>
      <c r="J60" s="94" t="n"/>
      <c r="K60" s="95" t="n"/>
      <c r="L60" s="95" t="n"/>
      <c r="M60" s="96" t="n"/>
      <c r="N60" s="95" t="n"/>
    </row>
    <row r="61" ht="16" customHeight="1" s="151">
      <c r="A61" s="112">
        <f>IF(OR('Carga Web Cirugias'!A61="",'Carga Web Cirugias'!M61=""),"",_xludf.ISOWEEKNUM('Carga Web Cirugias'!A61))</f>
        <v/>
      </c>
      <c r="B61" s="123">
        <f>IF('Carga Web Cirugias'!A61="","",'Carga Web Cirugias'!A61)</f>
        <v/>
      </c>
      <c r="C61" s="112">
        <f>IF('Carga Web Cirugias'!M61="","",'Carga Web Cirugias'!M61)</f>
        <v/>
      </c>
      <c r="D61" s="114">
        <f>IFERROR(IF(OR(B61="",C61="",COUNTIFS($B$4:B61,B61,$C$4:C61,C61)&gt;1),"",(_xludf.AGGREGATE(14,6,MOD('Carga Web Cirugias'!$S$4:$S$500,1)/(('Carga Web Cirugias'!$A$4:$A$500=B61)*('Carga Web Cirugias'!$M$4:$M$500=C61)*('Carga Web Cirugias'!$R$4:$R$500&lt;&gt;"")*('Carga Web Cirugias'!$S$4:$S$500&lt;&gt;"")),1)-_xludf.AGGREGATE(15,6,MOD('Carga Web Cirugias'!$R$4:$R$500,1)/(('Carga Web Cirugias'!$A$4:$A$500=B61)*('Carga Web Cirugias'!$M$4:$M$500=C61)*('Carga Web Cirugias'!$R$4:$R$500&lt;&gt;"")*('Carga Web Cirugias'!$S$4:$S$500&lt;&gt;"")),1))*1440),"")</f>
        <v/>
      </c>
      <c r="E61" s="114">
        <f>IF(OR(B61="",C61="",D61=""),"",VLOOKUP(C61,'Horario Pabellones'!$A$4:$D$17,4,FALSE))</f>
        <v/>
      </c>
      <c r="F61" s="124">
        <f>IFERROR(IF(OR(D61="",E61="",E61=0),"",(D61/60)/(E61/60)),"")</f>
        <v/>
      </c>
      <c r="G61" s="112">
        <f>IF(F61="","",IF(F61&gt;=0.75,"Cumple referencia","Bajo referencia"))</f>
        <v/>
      </c>
      <c r="J61" s="94" t="n"/>
      <c r="K61" s="95" t="n"/>
      <c r="L61" s="95" t="n"/>
      <c r="M61" s="96" t="n"/>
      <c r="N61" s="95" t="n"/>
    </row>
    <row r="62" ht="16" customHeight="1" s="151">
      <c r="A62" s="109">
        <f>IF(OR('Carga Web Cirugias'!A62="",'Carga Web Cirugias'!M62=""),"",_xludf.ISOWEEKNUM('Carga Web Cirugias'!A62))</f>
        <v/>
      </c>
      <c r="B62" s="117">
        <f>IF('Carga Web Cirugias'!A62="","",'Carga Web Cirugias'!A62)</f>
        <v/>
      </c>
      <c r="C62" s="109">
        <f>IF('Carga Web Cirugias'!M62="","",'Carga Web Cirugias'!M62)</f>
        <v/>
      </c>
      <c r="D62" s="111">
        <f>IFERROR(IF(OR(B62="",C62="",COUNTIFS($B$4:B62,B62,$C$4:C62,C62)&gt;1),"",(_xludf.AGGREGATE(14,6,MOD('Carga Web Cirugias'!$S$4:$S$500,1)/(('Carga Web Cirugias'!$A$4:$A$500=B62)*('Carga Web Cirugias'!$M$4:$M$500=C62)*('Carga Web Cirugias'!$R$4:$R$500&lt;&gt;"")*('Carga Web Cirugias'!$S$4:$S$500&lt;&gt;"")),1)-_xludf.AGGREGATE(15,6,MOD('Carga Web Cirugias'!$R$4:$R$500,1)/(('Carga Web Cirugias'!$A$4:$A$500=B62)*('Carga Web Cirugias'!$M$4:$M$500=C62)*('Carga Web Cirugias'!$R$4:$R$500&lt;&gt;"")*('Carga Web Cirugias'!$S$4:$S$500&lt;&gt;"")),1))*1440),"")</f>
        <v/>
      </c>
      <c r="E62" s="111">
        <f>IF(OR(B62="",C62="",D62=""),"",VLOOKUP(C62,'Horario Pabellones'!$A$4:$D$17,4,FALSE))</f>
        <v/>
      </c>
      <c r="F62" s="118">
        <f>IFERROR(IF(OR(D62="",E62="",E62=0),"",(D62/60)/(E62/60)),"")</f>
        <v/>
      </c>
      <c r="G62" s="109">
        <f>IF(F62="","",IF(F62&gt;=0.75,"Cumple referencia","Bajo referencia"))</f>
        <v/>
      </c>
      <c r="J62" s="94" t="n"/>
      <c r="K62" s="95" t="n"/>
      <c r="L62" s="95" t="n"/>
      <c r="M62" s="96" t="n"/>
      <c r="N62" s="95" t="n"/>
    </row>
    <row r="63" ht="16" customHeight="1" s="151">
      <c r="A63" s="112">
        <f>IF(OR('Carga Web Cirugias'!A63="",'Carga Web Cirugias'!M63=""),"",_xludf.ISOWEEKNUM('Carga Web Cirugias'!A63))</f>
        <v/>
      </c>
      <c r="B63" s="123">
        <f>IF('Carga Web Cirugias'!A63="","",'Carga Web Cirugias'!A63)</f>
        <v/>
      </c>
      <c r="C63" s="112">
        <f>IF('Carga Web Cirugias'!M63="","",'Carga Web Cirugias'!M63)</f>
        <v/>
      </c>
      <c r="D63" s="114">
        <f>IFERROR(IF(OR(B63="",C63="",COUNTIFS($B$4:B63,B63,$C$4:C63,C63)&gt;1),"",(_xludf.AGGREGATE(14,6,MOD('Carga Web Cirugias'!$S$4:$S$500,1)/(('Carga Web Cirugias'!$A$4:$A$500=B63)*('Carga Web Cirugias'!$M$4:$M$500=C63)*('Carga Web Cirugias'!$R$4:$R$500&lt;&gt;"")*('Carga Web Cirugias'!$S$4:$S$500&lt;&gt;"")),1)-_xludf.AGGREGATE(15,6,MOD('Carga Web Cirugias'!$R$4:$R$500,1)/(('Carga Web Cirugias'!$A$4:$A$500=B63)*('Carga Web Cirugias'!$M$4:$M$500=C63)*('Carga Web Cirugias'!$R$4:$R$500&lt;&gt;"")*('Carga Web Cirugias'!$S$4:$S$500&lt;&gt;"")),1))*1440),"")</f>
        <v/>
      </c>
      <c r="E63" s="114">
        <f>IF(OR(B63="",C63="",D63=""),"",VLOOKUP(C63,'Horario Pabellones'!$A$4:$D$17,4,FALSE))</f>
        <v/>
      </c>
      <c r="F63" s="124">
        <f>IFERROR(IF(OR(D63="",E63="",E63=0),"",(D63/60)/(E63/60)),"")</f>
        <v/>
      </c>
      <c r="G63" s="112">
        <f>IF(F63="","",IF(F63&gt;=0.75,"Cumple referencia","Bajo referencia"))</f>
        <v/>
      </c>
      <c r="J63" s="94" t="n"/>
      <c r="K63" s="95" t="n"/>
      <c r="L63" s="95" t="n"/>
      <c r="M63" s="96" t="n"/>
      <c r="N63" s="95" t="n"/>
    </row>
    <row r="64" ht="16" customHeight="1" s="151">
      <c r="A64" s="109">
        <f>IF(OR('Carga Web Cirugias'!A64="",'Carga Web Cirugias'!M64=""),"",_xludf.ISOWEEKNUM('Carga Web Cirugias'!A64))</f>
        <v/>
      </c>
      <c r="B64" s="117">
        <f>IF('Carga Web Cirugias'!A64="","",'Carga Web Cirugias'!A64)</f>
        <v/>
      </c>
      <c r="C64" s="109">
        <f>IF('Carga Web Cirugias'!M64="","",'Carga Web Cirugias'!M64)</f>
        <v/>
      </c>
      <c r="D64" s="111">
        <f>IFERROR(IF(OR(B64="",C64="",COUNTIFS($B$4:B64,B64,$C$4:C64,C64)&gt;1),"",(_xludf.AGGREGATE(14,6,MOD('Carga Web Cirugias'!$S$4:$S$500,1)/(('Carga Web Cirugias'!$A$4:$A$500=B64)*('Carga Web Cirugias'!$M$4:$M$500=C64)*('Carga Web Cirugias'!$R$4:$R$500&lt;&gt;"")*('Carga Web Cirugias'!$S$4:$S$500&lt;&gt;"")),1)-_xludf.AGGREGATE(15,6,MOD('Carga Web Cirugias'!$R$4:$R$500,1)/(('Carga Web Cirugias'!$A$4:$A$500=B64)*('Carga Web Cirugias'!$M$4:$M$500=C64)*('Carga Web Cirugias'!$R$4:$R$500&lt;&gt;"")*('Carga Web Cirugias'!$S$4:$S$500&lt;&gt;"")),1))*1440),"")</f>
        <v/>
      </c>
      <c r="E64" s="111">
        <f>IF(OR(B64="",C64="",D64=""),"",VLOOKUP(C64,'Horario Pabellones'!$A$4:$D$17,4,FALSE))</f>
        <v/>
      </c>
      <c r="F64" s="118">
        <f>IFERROR(IF(OR(D64="",E64="",E64=0),"",(D64/60)/(E64/60)),"")</f>
        <v/>
      </c>
      <c r="G64" s="109">
        <f>IF(F64="","",IF(F64&gt;=0.75,"Cumple referencia","Bajo referencia"))</f>
        <v/>
      </c>
      <c r="J64" s="94" t="n"/>
      <c r="K64" s="95" t="n"/>
      <c r="L64" s="95" t="n"/>
      <c r="M64" s="96" t="n"/>
      <c r="N64" s="95" t="n"/>
    </row>
    <row r="65" ht="16" customHeight="1" s="151">
      <c r="A65" s="112">
        <f>IF(OR('Carga Web Cirugias'!A65="",'Carga Web Cirugias'!M65=""),"",_xludf.ISOWEEKNUM('Carga Web Cirugias'!A65))</f>
        <v/>
      </c>
      <c r="B65" s="123">
        <f>IF('Carga Web Cirugias'!A65="","",'Carga Web Cirugias'!A65)</f>
        <v/>
      </c>
      <c r="C65" s="112">
        <f>IF('Carga Web Cirugias'!M65="","",'Carga Web Cirugias'!M65)</f>
        <v/>
      </c>
      <c r="D65" s="114">
        <f>IFERROR(IF(OR(B65="",C65="",COUNTIFS($B$4:B65,B65,$C$4:C65,C65)&gt;1),"",(_xludf.AGGREGATE(14,6,MOD('Carga Web Cirugias'!$S$4:$S$500,1)/(('Carga Web Cirugias'!$A$4:$A$500=B65)*('Carga Web Cirugias'!$M$4:$M$500=C65)*('Carga Web Cirugias'!$R$4:$R$500&lt;&gt;"")*('Carga Web Cirugias'!$S$4:$S$500&lt;&gt;"")),1)-_xludf.AGGREGATE(15,6,MOD('Carga Web Cirugias'!$R$4:$R$500,1)/(('Carga Web Cirugias'!$A$4:$A$500=B65)*('Carga Web Cirugias'!$M$4:$M$500=C65)*('Carga Web Cirugias'!$R$4:$R$500&lt;&gt;"")*('Carga Web Cirugias'!$S$4:$S$500&lt;&gt;"")),1))*1440),"")</f>
        <v/>
      </c>
      <c r="E65" s="114">
        <f>IF(OR(B65="",C65="",D65=""),"",VLOOKUP(C65,'Horario Pabellones'!$A$4:$D$17,4,FALSE))</f>
        <v/>
      </c>
      <c r="F65" s="124">
        <f>IFERROR(IF(OR(D65="",E65="",E65=0),"",(D65/60)/(E65/60)),"")</f>
        <v/>
      </c>
      <c r="G65" s="112">
        <f>IF(F65="","",IF(F65&gt;=0.75,"Cumple referencia","Bajo referencia"))</f>
        <v/>
      </c>
      <c r="J65" s="94" t="n"/>
      <c r="K65" s="95" t="n"/>
      <c r="L65" s="95" t="n"/>
      <c r="M65" s="96" t="n"/>
      <c r="N65" s="95" t="n"/>
    </row>
    <row r="66" ht="16" customHeight="1" s="151">
      <c r="A66" s="109">
        <f>IF(OR('Carga Web Cirugias'!A66="",'Carga Web Cirugias'!M66=""),"",_xludf.ISOWEEKNUM('Carga Web Cirugias'!A66))</f>
        <v/>
      </c>
      <c r="B66" s="117">
        <f>IF('Carga Web Cirugias'!A66="","",'Carga Web Cirugias'!A66)</f>
        <v/>
      </c>
      <c r="C66" s="109">
        <f>IF('Carga Web Cirugias'!M66="","",'Carga Web Cirugias'!M66)</f>
        <v/>
      </c>
      <c r="D66" s="111">
        <f>IFERROR(IF(OR(B66="",C66="",COUNTIFS($B$4:B66,B66,$C$4:C66,C66)&gt;1),"",(_xludf.AGGREGATE(14,6,MOD('Carga Web Cirugias'!$S$4:$S$500,1)/(('Carga Web Cirugias'!$A$4:$A$500=B66)*('Carga Web Cirugias'!$M$4:$M$500=C66)*('Carga Web Cirugias'!$R$4:$R$500&lt;&gt;"")*('Carga Web Cirugias'!$S$4:$S$500&lt;&gt;"")),1)-_xludf.AGGREGATE(15,6,MOD('Carga Web Cirugias'!$R$4:$R$500,1)/(('Carga Web Cirugias'!$A$4:$A$500=B66)*('Carga Web Cirugias'!$M$4:$M$500=C66)*('Carga Web Cirugias'!$R$4:$R$500&lt;&gt;"")*('Carga Web Cirugias'!$S$4:$S$500&lt;&gt;"")),1))*1440),"")</f>
        <v/>
      </c>
      <c r="E66" s="111">
        <f>IF(OR(B66="",C66="",D66=""),"",VLOOKUP(C66,'Horario Pabellones'!$A$4:$D$17,4,FALSE))</f>
        <v/>
      </c>
      <c r="F66" s="118">
        <f>IFERROR(IF(OR(D66="",E66="",E66=0),"",(D66/60)/(E66/60)),"")</f>
        <v/>
      </c>
      <c r="G66" s="109">
        <f>IF(F66="","",IF(F66&gt;=0.75,"Cumple referencia","Bajo referencia"))</f>
        <v/>
      </c>
      <c r="J66" s="94" t="n"/>
      <c r="K66" s="95" t="n"/>
      <c r="L66" s="95" t="n"/>
      <c r="M66" s="96" t="n"/>
      <c r="N66" s="95" t="n"/>
    </row>
    <row r="67" ht="16" customHeight="1" s="151">
      <c r="A67" s="112">
        <f>IF(OR('Carga Web Cirugias'!A67="",'Carga Web Cirugias'!M67=""),"",_xludf.ISOWEEKNUM('Carga Web Cirugias'!A67))</f>
        <v/>
      </c>
      <c r="B67" s="123">
        <f>IF('Carga Web Cirugias'!A67="","",'Carga Web Cirugias'!A67)</f>
        <v/>
      </c>
      <c r="C67" s="112">
        <f>IF('Carga Web Cirugias'!M67="","",'Carga Web Cirugias'!M67)</f>
        <v/>
      </c>
      <c r="D67" s="114">
        <f>IFERROR(IF(OR(B67="",C67="",COUNTIFS($B$4:B67,B67,$C$4:C67,C67)&gt;1),"",(_xludf.AGGREGATE(14,6,MOD('Carga Web Cirugias'!$S$4:$S$500,1)/(('Carga Web Cirugias'!$A$4:$A$500=B67)*('Carga Web Cirugias'!$M$4:$M$500=C67)*('Carga Web Cirugias'!$R$4:$R$500&lt;&gt;"")*('Carga Web Cirugias'!$S$4:$S$500&lt;&gt;"")),1)-_xludf.AGGREGATE(15,6,MOD('Carga Web Cirugias'!$R$4:$R$500,1)/(('Carga Web Cirugias'!$A$4:$A$500=B67)*('Carga Web Cirugias'!$M$4:$M$500=C67)*('Carga Web Cirugias'!$R$4:$R$500&lt;&gt;"")*('Carga Web Cirugias'!$S$4:$S$500&lt;&gt;"")),1))*1440),"")</f>
        <v/>
      </c>
      <c r="E67" s="114">
        <f>IF(OR(B67="",C67="",D67=""),"",VLOOKUP(C67,'Horario Pabellones'!$A$4:$D$17,4,FALSE))</f>
        <v/>
      </c>
      <c r="F67" s="124">
        <f>IFERROR(IF(OR(D67="",E67="",E67=0),"",(D67/60)/(E67/60)),"")</f>
        <v/>
      </c>
      <c r="G67" s="112">
        <f>IF(F67="","",IF(F67&gt;=0.75,"Cumple referencia","Bajo referencia"))</f>
        <v/>
      </c>
      <c r="J67" s="94" t="n"/>
      <c r="K67" s="95" t="n"/>
      <c r="L67" s="95" t="n"/>
      <c r="M67" s="96" t="n"/>
      <c r="N67" s="95" t="n"/>
    </row>
    <row r="68" ht="16" customHeight="1" s="151">
      <c r="A68" s="109">
        <f>IF(OR('Carga Web Cirugias'!A68="",'Carga Web Cirugias'!M68=""),"",_xludf.ISOWEEKNUM('Carga Web Cirugias'!A68))</f>
        <v/>
      </c>
      <c r="B68" s="117">
        <f>IF('Carga Web Cirugias'!A68="","",'Carga Web Cirugias'!A68)</f>
        <v/>
      </c>
      <c r="C68" s="109">
        <f>IF('Carga Web Cirugias'!M68="","",'Carga Web Cirugias'!M68)</f>
        <v/>
      </c>
      <c r="D68" s="111">
        <f>IFERROR(IF(OR(B68="",C68="",COUNTIFS($B$4:B68,B68,$C$4:C68,C68)&gt;1),"",(_xludf.AGGREGATE(14,6,MOD('Carga Web Cirugias'!$S$4:$S$500,1)/(('Carga Web Cirugias'!$A$4:$A$500=B68)*('Carga Web Cirugias'!$M$4:$M$500=C68)*('Carga Web Cirugias'!$R$4:$R$500&lt;&gt;"")*('Carga Web Cirugias'!$S$4:$S$500&lt;&gt;"")),1)-_xludf.AGGREGATE(15,6,MOD('Carga Web Cirugias'!$R$4:$R$500,1)/(('Carga Web Cirugias'!$A$4:$A$500=B68)*('Carga Web Cirugias'!$M$4:$M$500=C68)*('Carga Web Cirugias'!$R$4:$R$500&lt;&gt;"")*('Carga Web Cirugias'!$S$4:$S$500&lt;&gt;"")),1))*1440),"")</f>
        <v/>
      </c>
      <c r="E68" s="111">
        <f>IF(OR(B68="",C68="",D68=""),"",VLOOKUP(C68,'Horario Pabellones'!$A$4:$D$17,4,FALSE))</f>
        <v/>
      </c>
      <c r="F68" s="118">
        <f>IFERROR(IF(OR(D68="",E68="",E68=0),"",(D68/60)/(E68/60)),"")</f>
        <v/>
      </c>
      <c r="G68" s="109">
        <f>IF(F68="","",IF(F68&gt;=0.75,"Cumple referencia","Bajo referencia"))</f>
        <v/>
      </c>
      <c r="J68" s="94" t="n"/>
      <c r="K68" s="95" t="n"/>
      <c r="L68" s="95" t="n"/>
      <c r="M68" s="96" t="n"/>
      <c r="N68" s="95" t="n"/>
    </row>
    <row r="69" ht="16" customHeight="1" s="151">
      <c r="A69" s="112">
        <f>IF(OR('Carga Web Cirugias'!A69="",'Carga Web Cirugias'!M69=""),"",_xludf.ISOWEEKNUM('Carga Web Cirugias'!A69))</f>
        <v/>
      </c>
      <c r="B69" s="123">
        <f>IF('Carga Web Cirugias'!A69="","",'Carga Web Cirugias'!A69)</f>
        <v/>
      </c>
      <c r="C69" s="112">
        <f>IF('Carga Web Cirugias'!M69="","",'Carga Web Cirugias'!M69)</f>
        <v/>
      </c>
      <c r="D69" s="114">
        <f>IFERROR(IF(OR(B69="",C69="",COUNTIFS($B$4:B69,B69,$C$4:C69,C69)&gt;1),"",(_xludf.AGGREGATE(14,6,MOD('Carga Web Cirugias'!$S$4:$S$500,1)/(('Carga Web Cirugias'!$A$4:$A$500=B69)*('Carga Web Cirugias'!$M$4:$M$500=C69)*('Carga Web Cirugias'!$R$4:$R$500&lt;&gt;"")*('Carga Web Cirugias'!$S$4:$S$500&lt;&gt;"")),1)-_xludf.AGGREGATE(15,6,MOD('Carga Web Cirugias'!$R$4:$R$500,1)/(('Carga Web Cirugias'!$A$4:$A$500=B69)*('Carga Web Cirugias'!$M$4:$M$500=C69)*('Carga Web Cirugias'!$R$4:$R$500&lt;&gt;"")*('Carga Web Cirugias'!$S$4:$S$500&lt;&gt;"")),1))*1440),"")</f>
        <v/>
      </c>
      <c r="E69" s="114">
        <f>IF(OR(B69="",C69="",D69=""),"",VLOOKUP(C69,'Horario Pabellones'!$A$4:$D$17,4,FALSE))</f>
        <v/>
      </c>
      <c r="F69" s="124">
        <f>IFERROR(IF(OR(D69="",E69="",E69=0),"",(D69/60)/(E69/60)),"")</f>
        <v/>
      </c>
      <c r="G69" s="112">
        <f>IF(F69="","",IF(F69&gt;=0.75,"Cumple referencia","Bajo referencia"))</f>
        <v/>
      </c>
      <c r="J69" s="94" t="n"/>
      <c r="K69" s="95" t="n"/>
      <c r="L69" s="95" t="n"/>
      <c r="M69" s="96" t="n"/>
      <c r="N69" s="95" t="n"/>
    </row>
    <row r="70" ht="16" customHeight="1" s="151">
      <c r="A70" s="109">
        <f>IF(OR('Carga Web Cirugias'!A70="",'Carga Web Cirugias'!M70=""),"",_xludf.ISOWEEKNUM('Carga Web Cirugias'!A70))</f>
        <v/>
      </c>
      <c r="B70" s="117">
        <f>IF('Carga Web Cirugias'!A70="","",'Carga Web Cirugias'!A70)</f>
        <v/>
      </c>
      <c r="C70" s="109">
        <f>IF('Carga Web Cirugias'!M70="","",'Carga Web Cirugias'!M70)</f>
        <v/>
      </c>
      <c r="D70" s="111">
        <f>IFERROR(IF(OR(B70="",C70="",COUNTIFS($B$4:B70,B70,$C$4:C70,C70)&gt;1),"",(_xludf.AGGREGATE(14,6,MOD('Carga Web Cirugias'!$S$4:$S$500,1)/(('Carga Web Cirugias'!$A$4:$A$500=B70)*('Carga Web Cirugias'!$M$4:$M$500=C70)*('Carga Web Cirugias'!$R$4:$R$500&lt;&gt;"")*('Carga Web Cirugias'!$S$4:$S$500&lt;&gt;"")),1)-_xludf.AGGREGATE(15,6,MOD('Carga Web Cirugias'!$R$4:$R$500,1)/(('Carga Web Cirugias'!$A$4:$A$500=B70)*('Carga Web Cirugias'!$M$4:$M$500=C70)*('Carga Web Cirugias'!$R$4:$R$500&lt;&gt;"")*('Carga Web Cirugias'!$S$4:$S$500&lt;&gt;"")),1))*1440),"")</f>
        <v/>
      </c>
      <c r="E70" s="111">
        <f>IF(OR(B70="",C70="",D70=""),"",VLOOKUP(C70,'Horario Pabellones'!$A$4:$D$17,4,FALSE))</f>
        <v/>
      </c>
      <c r="F70" s="118">
        <f>IFERROR(IF(OR(D70="",E70="",E70=0),"",(D70/60)/(E70/60)),"")</f>
        <v/>
      </c>
      <c r="G70" s="109">
        <f>IF(F70="","",IF(F70&gt;=0.75,"Cumple referencia","Bajo referencia"))</f>
        <v/>
      </c>
      <c r="J70" s="94" t="n"/>
      <c r="K70" s="95" t="n"/>
      <c r="L70" s="95" t="n"/>
      <c r="M70" s="96" t="n"/>
      <c r="N70" s="95" t="n"/>
    </row>
    <row r="71" ht="16" customHeight="1" s="151">
      <c r="A71" s="112">
        <f>IF(OR('Carga Web Cirugias'!A71="",'Carga Web Cirugias'!M71=""),"",_xludf.ISOWEEKNUM('Carga Web Cirugias'!A71))</f>
        <v/>
      </c>
      <c r="B71" s="123">
        <f>IF('Carga Web Cirugias'!A71="","",'Carga Web Cirugias'!A71)</f>
        <v/>
      </c>
      <c r="C71" s="112">
        <f>IF('Carga Web Cirugias'!M71="","",'Carga Web Cirugias'!M71)</f>
        <v/>
      </c>
      <c r="D71" s="114">
        <f>IFERROR(IF(OR(B71="",C71="",COUNTIFS($B$4:B71,B71,$C$4:C71,C71)&gt;1),"",(_xludf.AGGREGATE(14,6,MOD('Carga Web Cirugias'!$S$4:$S$500,1)/(('Carga Web Cirugias'!$A$4:$A$500=B71)*('Carga Web Cirugias'!$M$4:$M$500=C71)*('Carga Web Cirugias'!$R$4:$R$500&lt;&gt;"")*('Carga Web Cirugias'!$S$4:$S$500&lt;&gt;"")),1)-_xludf.AGGREGATE(15,6,MOD('Carga Web Cirugias'!$R$4:$R$500,1)/(('Carga Web Cirugias'!$A$4:$A$500=B71)*('Carga Web Cirugias'!$M$4:$M$500=C71)*('Carga Web Cirugias'!$R$4:$R$500&lt;&gt;"")*('Carga Web Cirugias'!$S$4:$S$500&lt;&gt;"")),1))*1440),"")</f>
        <v/>
      </c>
      <c r="E71" s="114">
        <f>IF(OR(B71="",C71="",D71=""),"",VLOOKUP(C71,'Horario Pabellones'!$A$4:$D$17,4,FALSE))</f>
        <v/>
      </c>
      <c r="F71" s="124">
        <f>IFERROR(IF(OR(D71="",E71="",E71=0),"",(D71/60)/(E71/60)),"")</f>
        <v/>
      </c>
      <c r="G71" s="112">
        <f>IF(F71="","",IF(F71&gt;=0.75,"Cumple referencia","Bajo referencia"))</f>
        <v/>
      </c>
      <c r="J71" s="94" t="n"/>
      <c r="K71" s="95" t="n"/>
      <c r="L71" s="95" t="n"/>
      <c r="M71" s="96" t="n"/>
      <c r="N71" s="95" t="n"/>
    </row>
    <row r="72" ht="16" customHeight="1" s="151">
      <c r="A72" s="109">
        <f>IF(OR('Carga Web Cirugias'!A72="",'Carga Web Cirugias'!M72=""),"",_xludf.ISOWEEKNUM('Carga Web Cirugias'!A72))</f>
        <v/>
      </c>
      <c r="B72" s="117">
        <f>IF('Carga Web Cirugias'!A72="","",'Carga Web Cirugias'!A72)</f>
        <v/>
      </c>
      <c r="C72" s="109">
        <f>IF('Carga Web Cirugias'!M72="","",'Carga Web Cirugias'!M72)</f>
        <v/>
      </c>
      <c r="D72" s="111">
        <f>IFERROR(IF(OR(B72="",C72="",COUNTIFS($B$4:B72,B72,$C$4:C72,C72)&gt;1),"",(_xludf.AGGREGATE(14,6,MOD('Carga Web Cirugias'!$S$4:$S$500,1)/(('Carga Web Cirugias'!$A$4:$A$500=B72)*('Carga Web Cirugias'!$M$4:$M$500=C72)*('Carga Web Cirugias'!$R$4:$R$500&lt;&gt;"")*('Carga Web Cirugias'!$S$4:$S$500&lt;&gt;"")),1)-_xludf.AGGREGATE(15,6,MOD('Carga Web Cirugias'!$R$4:$R$500,1)/(('Carga Web Cirugias'!$A$4:$A$500=B72)*('Carga Web Cirugias'!$M$4:$M$500=C72)*('Carga Web Cirugias'!$R$4:$R$500&lt;&gt;"")*('Carga Web Cirugias'!$S$4:$S$500&lt;&gt;"")),1))*1440),"")</f>
        <v/>
      </c>
      <c r="E72" s="111">
        <f>IF(OR(B72="",C72="",D72=""),"",VLOOKUP(C72,'Horario Pabellones'!$A$4:$D$17,4,FALSE))</f>
        <v/>
      </c>
      <c r="F72" s="118">
        <f>IFERROR(IF(OR(D72="",E72="",E72=0),"",(D72/60)/(E72/60)),"")</f>
        <v/>
      </c>
      <c r="G72" s="109">
        <f>IF(F72="","",IF(F72&gt;=0.75,"Cumple referencia","Bajo referencia"))</f>
        <v/>
      </c>
      <c r="J72" s="94" t="n"/>
      <c r="K72" s="95" t="n"/>
      <c r="L72" s="95" t="n"/>
      <c r="M72" s="96" t="n"/>
      <c r="N72" s="95" t="n"/>
    </row>
    <row r="73" ht="16" customHeight="1" s="151">
      <c r="A73" s="112">
        <f>IF(OR('Carga Web Cirugias'!A73="",'Carga Web Cirugias'!M73=""),"",_xludf.ISOWEEKNUM('Carga Web Cirugias'!A73))</f>
        <v/>
      </c>
      <c r="B73" s="123">
        <f>IF('Carga Web Cirugias'!A73="","",'Carga Web Cirugias'!A73)</f>
        <v/>
      </c>
      <c r="C73" s="112">
        <f>IF('Carga Web Cirugias'!M73="","",'Carga Web Cirugias'!M73)</f>
        <v/>
      </c>
      <c r="D73" s="114">
        <f>IFERROR(IF(OR(B73="",C73="",COUNTIFS($B$4:B73,B73,$C$4:C73,C73)&gt;1),"",(_xludf.AGGREGATE(14,6,MOD('Carga Web Cirugias'!$S$4:$S$500,1)/(('Carga Web Cirugias'!$A$4:$A$500=B73)*('Carga Web Cirugias'!$M$4:$M$500=C73)*('Carga Web Cirugias'!$R$4:$R$500&lt;&gt;"")*('Carga Web Cirugias'!$S$4:$S$500&lt;&gt;"")),1)-_xludf.AGGREGATE(15,6,MOD('Carga Web Cirugias'!$R$4:$R$500,1)/(('Carga Web Cirugias'!$A$4:$A$500=B73)*('Carga Web Cirugias'!$M$4:$M$500=C73)*('Carga Web Cirugias'!$R$4:$R$500&lt;&gt;"")*('Carga Web Cirugias'!$S$4:$S$500&lt;&gt;"")),1))*1440),"")</f>
        <v/>
      </c>
      <c r="E73" s="114">
        <f>IF(OR(B73="",C73="",D73=""),"",VLOOKUP(C73,'Horario Pabellones'!$A$4:$D$17,4,FALSE))</f>
        <v/>
      </c>
      <c r="F73" s="124">
        <f>IFERROR(IF(OR(D73="",E73="",E73=0),"",(D73/60)/(E73/60)),"")</f>
        <v/>
      </c>
      <c r="G73" s="112">
        <f>IF(F73="","",IF(F73&gt;=0.75,"Cumple referencia","Bajo referencia"))</f>
        <v/>
      </c>
      <c r="J73" s="94" t="n"/>
      <c r="K73" s="95" t="n"/>
      <c r="L73" s="95" t="n"/>
      <c r="M73" s="96" t="n"/>
      <c r="N73" s="95" t="n"/>
    </row>
    <row r="74" ht="16" customHeight="1" s="151">
      <c r="A74" s="109">
        <f>IF(OR('Carga Web Cirugias'!A74="",'Carga Web Cirugias'!M74=""),"",_xludf.ISOWEEKNUM('Carga Web Cirugias'!A74))</f>
        <v/>
      </c>
      <c r="B74" s="117">
        <f>IF('Carga Web Cirugias'!A74="","",'Carga Web Cirugias'!A74)</f>
        <v/>
      </c>
      <c r="C74" s="109">
        <f>IF('Carga Web Cirugias'!M74="","",'Carga Web Cirugias'!M74)</f>
        <v/>
      </c>
      <c r="D74" s="111">
        <f>IFERROR(IF(OR(B74="",C74="",COUNTIFS($B$4:B74,B74,$C$4:C74,C74)&gt;1),"",(_xludf.AGGREGATE(14,6,MOD('Carga Web Cirugias'!$S$4:$S$500,1)/(('Carga Web Cirugias'!$A$4:$A$500=B74)*('Carga Web Cirugias'!$M$4:$M$500=C74)*('Carga Web Cirugias'!$R$4:$R$500&lt;&gt;"")*('Carga Web Cirugias'!$S$4:$S$500&lt;&gt;"")),1)-_xludf.AGGREGATE(15,6,MOD('Carga Web Cirugias'!$R$4:$R$500,1)/(('Carga Web Cirugias'!$A$4:$A$500=B74)*('Carga Web Cirugias'!$M$4:$M$500=C74)*('Carga Web Cirugias'!$R$4:$R$500&lt;&gt;"")*('Carga Web Cirugias'!$S$4:$S$500&lt;&gt;"")),1))*1440),"")</f>
        <v/>
      </c>
      <c r="E74" s="111">
        <f>IF(OR(B74="",C74="",D74=""),"",VLOOKUP(C74,'Horario Pabellones'!$A$4:$D$17,4,FALSE))</f>
        <v/>
      </c>
      <c r="F74" s="118">
        <f>IFERROR(IF(OR(D74="",E74="",E74=0),"",(D74/60)/(E74/60)),"")</f>
        <v/>
      </c>
      <c r="G74" s="109">
        <f>IF(F74="","",IF(F74&gt;=0.75,"Cumple referencia","Bajo referencia"))</f>
        <v/>
      </c>
      <c r="J74" s="94" t="n"/>
      <c r="K74" s="95" t="n"/>
      <c r="L74" s="95" t="n"/>
      <c r="M74" s="96" t="n"/>
      <c r="N74" s="95" t="n"/>
    </row>
    <row r="75" ht="16" customHeight="1" s="151">
      <c r="A75" s="112">
        <f>IF(OR('Carga Web Cirugias'!A75="",'Carga Web Cirugias'!M75=""),"",_xludf.ISOWEEKNUM('Carga Web Cirugias'!A75))</f>
        <v/>
      </c>
      <c r="B75" s="123">
        <f>IF('Carga Web Cirugias'!A75="","",'Carga Web Cirugias'!A75)</f>
        <v/>
      </c>
      <c r="C75" s="112">
        <f>IF('Carga Web Cirugias'!M75="","",'Carga Web Cirugias'!M75)</f>
        <v/>
      </c>
      <c r="D75" s="114">
        <f>IFERROR(IF(OR(B75="",C75="",COUNTIFS($B$4:B75,B75,$C$4:C75,C75)&gt;1),"",(_xludf.AGGREGATE(14,6,MOD('Carga Web Cirugias'!$S$4:$S$500,1)/(('Carga Web Cirugias'!$A$4:$A$500=B75)*('Carga Web Cirugias'!$M$4:$M$500=C75)*('Carga Web Cirugias'!$R$4:$R$500&lt;&gt;"")*('Carga Web Cirugias'!$S$4:$S$500&lt;&gt;"")),1)-_xludf.AGGREGATE(15,6,MOD('Carga Web Cirugias'!$R$4:$R$500,1)/(('Carga Web Cirugias'!$A$4:$A$500=B75)*('Carga Web Cirugias'!$M$4:$M$500=C75)*('Carga Web Cirugias'!$R$4:$R$500&lt;&gt;"")*('Carga Web Cirugias'!$S$4:$S$500&lt;&gt;"")),1))*1440),"")</f>
        <v/>
      </c>
      <c r="E75" s="114">
        <f>IF(OR(B75="",C75="",D75=""),"",VLOOKUP(C75,'Horario Pabellones'!$A$4:$D$17,4,FALSE))</f>
        <v/>
      </c>
      <c r="F75" s="124">
        <f>IFERROR(IF(OR(D75="",E75="",E75=0),"",(D75/60)/(E75/60)),"")</f>
        <v/>
      </c>
      <c r="G75" s="112">
        <f>IF(F75="","",IF(F75&gt;=0.75,"Cumple referencia","Bajo referencia"))</f>
        <v/>
      </c>
      <c r="J75" s="94" t="n"/>
      <c r="K75" s="95" t="n"/>
      <c r="L75" s="95" t="n"/>
      <c r="M75" s="96" t="n"/>
      <c r="N75" s="95" t="n"/>
    </row>
    <row r="76" ht="16" customHeight="1" s="151">
      <c r="A76" s="109">
        <f>IF(OR('Carga Web Cirugias'!A76="",'Carga Web Cirugias'!M76=""),"",_xludf.ISOWEEKNUM('Carga Web Cirugias'!A76))</f>
        <v/>
      </c>
      <c r="B76" s="117">
        <f>IF('Carga Web Cirugias'!A76="","",'Carga Web Cirugias'!A76)</f>
        <v/>
      </c>
      <c r="C76" s="109">
        <f>IF('Carga Web Cirugias'!M76="","",'Carga Web Cirugias'!M76)</f>
        <v/>
      </c>
      <c r="D76" s="111">
        <f>IFERROR(IF(OR(B76="",C76="",COUNTIFS($B$4:B76,B76,$C$4:C76,C76)&gt;1),"",(_xludf.AGGREGATE(14,6,MOD('Carga Web Cirugias'!$S$4:$S$500,1)/(('Carga Web Cirugias'!$A$4:$A$500=B76)*('Carga Web Cirugias'!$M$4:$M$500=C76)*('Carga Web Cirugias'!$R$4:$R$500&lt;&gt;"")*('Carga Web Cirugias'!$S$4:$S$500&lt;&gt;"")),1)-_xludf.AGGREGATE(15,6,MOD('Carga Web Cirugias'!$R$4:$R$500,1)/(('Carga Web Cirugias'!$A$4:$A$500=B76)*('Carga Web Cirugias'!$M$4:$M$500=C76)*('Carga Web Cirugias'!$R$4:$R$500&lt;&gt;"")*('Carga Web Cirugias'!$S$4:$S$500&lt;&gt;"")),1))*1440),"")</f>
        <v/>
      </c>
      <c r="E76" s="111">
        <f>IF(OR(B76="",C76="",D76=""),"",VLOOKUP(C76,'Horario Pabellones'!$A$4:$D$17,4,FALSE))</f>
        <v/>
      </c>
      <c r="F76" s="118">
        <f>IFERROR(IF(OR(D76="",E76="",E76=0),"",(D76/60)/(E76/60)),"")</f>
        <v/>
      </c>
      <c r="G76" s="109">
        <f>IF(F76="","",IF(F76&gt;=0.75,"Cumple referencia","Bajo referencia"))</f>
        <v/>
      </c>
      <c r="J76" s="94" t="n"/>
      <c r="K76" s="95" t="n"/>
      <c r="L76" s="95" t="n"/>
      <c r="M76" s="96" t="n"/>
      <c r="N76" s="95" t="n"/>
    </row>
    <row r="77" ht="16" customHeight="1" s="151">
      <c r="A77" s="112">
        <f>IF(OR('Carga Web Cirugias'!A77="",'Carga Web Cirugias'!M77=""),"",_xludf.ISOWEEKNUM('Carga Web Cirugias'!A77))</f>
        <v/>
      </c>
      <c r="B77" s="123">
        <f>IF('Carga Web Cirugias'!A77="","",'Carga Web Cirugias'!A77)</f>
        <v/>
      </c>
      <c r="C77" s="112">
        <f>IF('Carga Web Cirugias'!M77="","",'Carga Web Cirugias'!M77)</f>
        <v/>
      </c>
      <c r="D77" s="114">
        <f>IFERROR(IF(OR(B77="",C77="",COUNTIFS($B$4:B77,B77,$C$4:C77,C77)&gt;1),"",(_xludf.AGGREGATE(14,6,MOD('Carga Web Cirugias'!$S$4:$S$500,1)/(('Carga Web Cirugias'!$A$4:$A$500=B77)*('Carga Web Cirugias'!$M$4:$M$500=C77)*('Carga Web Cirugias'!$R$4:$R$500&lt;&gt;"")*('Carga Web Cirugias'!$S$4:$S$500&lt;&gt;"")),1)-_xludf.AGGREGATE(15,6,MOD('Carga Web Cirugias'!$R$4:$R$500,1)/(('Carga Web Cirugias'!$A$4:$A$500=B77)*('Carga Web Cirugias'!$M$4:$M$500=C77)*('Carga Web Cirugias'!$R$4:$R$500&lt;&gt;"")*('Carga Web Cirugias'!$S$4:$S$500&lt;&gt;"")),1))*1440),"")</f>
        <v/>
      </c>
      <c r="E77" s="114">
        <f>IF(OR(B77="",C77="",D77=""),"",VLOOKUP(C77,'Horario Pabellones'!$A$4:$D$17,4,FALSE))</f>
        <v/>
      </c>
      <c r="F77" s="124">
        <f>IFERROR(IF(OR(D77="",E77="",E77=0),"",(D77/60)/(E77/60)),"")</f>
        <v/>
      </c>
      <c r="G77" s="112">
        <f>IF(F77="","",IF(F77&gt;=0.75,"Cumple referencia","Bajo referencia"))</f>
        <v/>
      </c>
      <c r="J77" s="94" t="n"/>
      <c r="K77" s="95" t="n"/>
      <c r="L77" s="95" t="n"/>
      <c r="M77" s="96" t="n"/>
      <c r="N77" s="95" t="n"/>
    </row>
    <row r="78" ht="16" customHeight="1" s="151">
      <c r="A78" s="109">
        <f>IF(OR('Carga Web Cirugias'!A78="",'Carga Web Cirugias'!M78=""),"",_xludf.ISOWEEKNUM('Carga Web Cirugias'!A78))</f>
        <v/>
      </c>
      <c r="B78" s="117">
        <f>IF('Carga Web Cirugias'!A78="","",'Carga Web Cirugias'!A78)</f>
        <v/>
      </c>
      <c r="C78" s="109">
        <f>IF('Carga Web Cirugias'!M78="","",'Carga Web Cirugias'!M78)</f>
        <v/>
      </c>
      <c r="D78" s="111">
        <f>IFERROR(IF(OR(B78="",C78="",COUNTIFS($B$4:B78,B78,$C$4:C78,C78)&gt;1),"",(_xludf.AGGREGATE(14,6,MOD('Carga Web Cirugias'!$S$4:$S$500,1)/(('Carga Web Cirugias'!$A$4:$A$500=B78)*('Carga Web Cirugias'!$M$4:$M$500=C78)*('Carga Web Cirugias'!$R$4:$R$500&lt;&gt;"")*('Carga Web Cirugias'!$S$4:$S$500&lt;&gt;"")),1)-_xludf.AGGREGATE(15,6,MOD('Carga Web Cirugias'!$R$4:$R$500,1)/(('Carga Web Cirugias'!$A$4:$A$500=B78)*('Carga Web Cirugias'!$M$4:$M$500=C78)*('Carga Web Cirugias'!$R$4:$R$500&lt;&gt;"")*('Carga Web Cirugias'!$S$4:$S$500&lt;&gt;"")),1))*1440),"")</f>
        <v/>
      </c>
      <c r="E78" s="111">
        <f>IF(OR(B78="",C78="",D78=""),"",VLOOKUP(C78,'Horario Pabellones'!$A$4:$D$17,4,FALSE))</f>
        <v/>
      </c>
      <c r="F78" s="118">
        <f>IFERROR(IF(OR(D78="",E78="",E78=0),"",(D78/60)/(E78/60)),"")</f>
        <v/>
      </c>
      <c r="G78" s="109">
        <f>IF(F78="","",IF(F78&gt;=0.75,"Cumple referencia","Bajo referencia"))</f>
        <v/>
      </c>
      <c r="J78" s="94" t="n"/>
      <c r="K78" s="95" t="n"/>
      <c r="L78" s="95" t="n"/>
      <c r="M78" s="96" t="n"/>
      <c r="N78" s="95" t="n"/>
    </row>
    <row r="79" ht="16" customHeight="1" s="151">
      <c r="A79" s="112">
        <f>IF(OR('Carga Web Cirugias'!A79="",'Carga Web Cirugias'!M79=""),"",_xludf.ISOWEEKNUM('Carga Web Cirugias'!A79))</f>
        <v/>
      </c>
      <c r="B79" s="123">
        <f>IF('Carga Web Cirugias'!A79="","",'Carga Web Cirugias'!A79)</f>
        <v/>
      </c>
      <c r="C79" s="112">
        <f>IF('Carga Web Cirugias'!M79="","",'Carga Web Cirugias'!M79)</f>
        <v/>
      </c>
      <c r="D79" s="114">
        <f>IFERROR(IF(OR(B79="",C79="",COUNTIFS($B$4:B79,B79,$C$4:C79,C79)&gt;1),"",(_xludf.AGGREGATE(14,6,MOD('Carga Web Cirugias'!$S$4:$S$500,1)/(('Carga Web Cirugias'!$A$4:$A$500=B79)*('Carga Web Cirugias'!$M$4:$M$500=C79)*('Carga Web Cirugias'!$R$4:$R$500&lt;&gt;"")*('Carga Web Cirugias'!$S$4:$S$500&lt;&gt;"")),1)-_xludf.AGGREGATE(15,6,MOD('Carga Web Cirugias'!$R$4:$R$500,1)/(('Carga Web Cirugias'!$A$4:$A$500=B79)*('Carga Web Cirugias'!$M$4:$M$500=C79)*('Carga Web Cirugias'!$R$4:$R$500&lt;&gt;"")*('Carga Web Cirugias'!$S$4:$S$500&lt;&gt;"")),1))*1440),"")</f>
        <v/>
      </c>
      <c r="E79" s="114">
        <f>IF(OR(B79="",C79="",D79=""),"",VLOOKUP(C79,'Horario Pabellones'!$A$4:$D$17,4,FALSE))</f>
        <v/>
      </c>
      <c r="F79" s="124">
        <f>IFERROR(IF(OR(D79="",E79="",E79=0),"",(D79/60)/(E79/60)),"")</f>
        <v/>
      </c>
      <c r="G79" s="112">
        <f>IF(F79="","",IF(F79&gt;=0.75,"Cumple referencia","Bajo referencia"))</f>
        <v/>
      </c>
      <c r="J79" s="94" t="n"/>
      <c r="K79" s="95" t="n"/>
      <c r="L79" s="95" t="n"/>
      <c r="M79" s="96" t="n"/>
      <c r="N79" s="95" t="n"/>
    </row>
    <row r="80" ht="16" customHeight="1" s="151">
      <c r="A80" s="109">
        <f>IF(OR('Carga Web Cirugias'!A80="",'Carga Web Cirugias'!M80=""),"",_xludf.ISOWEEKNUM('Carga Web Cirugias'!A80))</f>
        <v/>
      </c>
      <c r="B80" s="117">
        <f>IF('Carga Web Cirugias'!A80="","",'Carga Web Cirugias'!A80)</f>
        <v/>
      </c>
      <c r="C80" s="109">
        <f>IF('Carga Web Cirugias'!M80="","",'Carga Web Cirugias'!M80)</f>
        <v/>
      </c>
      <c r="D80" s="111">
        <f>IFERROR(IF(OR(B80="",C80="",COUNTIFS($B$4:B80,B80,$C$4:C80,C80)&gt;1),"",(_xludf.AGGREGATE(14,6,MOD('Carga Web Cirugias'!$S$4:$S$500,1)/(('Carga Web Cirugias'!$A$4:$A$500=B80)*('Carga Web Cirugias'!$M$4:$M$500=C80)*('Carga Web Cirugias'!$R$4:$R$500&lt;&gt;"")*('Carga Web Cirugias'!$S$4:$S$500&lt;&gt;"")),1)-_xludf.AGGREGATE(15,6,MOD('Carga Web Cirugias'!$R$4:$R$500,1)/(('Carga Web Cirugias'!$A$4:$A$500=B80)*('Carga Web Cirugias'!$M$4:$M$500=C80)*('Carga Web Cirugias'!$R$4:$R$500&lt;&gt;"")*('Carga Web Cirugias'!$S$4:$S$500&lt;&gt;"")),1))*1440),"")</f>
        <v/>
      </c>
      <c r="E80" s="111">
        <f>IF(OR(B80="",C80="",D80=""),"",VLOOKUP(C80,'Horario Pabellones'!$A$4:$D$17,4,FALSE))</f>
        <v/>
      </c>
      <c r="F80" s="118">
        <f>IFERROR(IF(OR(D80="",E80="",E80=0),"",(D80/60)/(E80/60)),"")</f>
        <v/>
      </c>
      <c r="G80" s="109">
        <f>IF(F80="","",IF(F80&gt;=0.75,"Cumple referencia","Bajo referencia"))</f>
        <v/>
      </c>
      <c r="J80" s="94" t="n"/>
      <c r="K80" s="95" t="n"/>
      <c r="L80" s="95" t="n"/>
      <c r="M80" s="96" t="n"/>
      <c r="N80" s="95" t="n"/>
    </row>
    <row r="81" ht="16" customHeight="1" s="151">
      <c r="A81" s="112">
        <f>IF(OR('Carga Web Cirugias'!A81="",'Carga Web Cirugias'!M81=""),"",_xludf.ISOWEEKNUM('Carga Web Cirugias'!A81))</f>
        <v/>
      </c>
      <c r="B81" s="123">
        <f>IF('Carga Web Cirugias'!A81="","",'Carga Web Cirugias'!A81)</f>
        <v/>
      </c>
      <c r="C81" s="112">
        <f>IF('Carga Web Cirugias'!M81="","",'Carga Web Cirugias'!M81)</f>
        <v/>
      </c>
      <c r="D81" s="114">
        <f>IFERROR(IF(OR(B81="",C81="",COUNTIFS($B$4:B81,B81,$C$4:C81,C81)&gt;1),"",(_xludf.AGGREGATE(14,6,MOD('Carga Web Cirugias'!$S$4:$S$500,1)/(('Carga Web Cirugias'!$A$4:$A$500=B81)*('Carga Web Cirugias'!$M$4:$M$500=C81)*('Carga Web Cirugias'!$R$4:$R$500&lt;&gt;"")*('Carga Web Cirugias'!$S$4:$S$500&lt;&gt;"")),1)-_xludf.AGGREGATE(15,6,MOD('Carga Web Cirugias'!$R$4:$R$500,1)/(('Carga Web Cirugias'!$A$4:$A$500=B81)*('Carga Web Cirugias'!$M$4:$M$500=C81)*('Carga Web Cirugias'!$R$4:$R$500&lt;&gt;"")*('Carga Web Cirugias'!$S$4:$S$500&lt;&gt;"")),1))*1440),"")</f>
        <v/>
      </c>
      <c r="E81" s="114">
        <f>IF(OR(B81="",C81="",D81=""),"",VLOOKUP(C81,'Horario Pabellones'!$A$4:$D$17,4,FALSE))</f>
        <v/>
      </c>
      <c r="F81" s="124">
        <f>IFERROR(IF(OR(D81="",E81="",E81=0),"",(D81/60)/(E81/60)),"")</f>
        <v/>
      </c>
      <c r="G81" s="112">
        <f>IF(F81="","",IF(F81&gt;=0.75,"Cumple referencia","Bajo referencia"))</f>
        <v/>
      </c>
      <c r="J81" s="94" t="n"/>
      <c r="K81" s="95" t="n"/>
      <c r="L81" s="95" t="n"/>
      <c r="M81" s="96" t="n"/>
      <c r="N81" s="95" t="n"/>
    </row>
    <row r="82" ht="16" customHeight="1" s="151">
      <c r="A82" s="109">
        <f>IF(OR('Carga Web Cirugias'!A82="",'Carga Web Cirugias'!M82=""),"",_xludf.ISOWEEKNUM('Carga Web Cirugias'!A82))</f>
        <v/>
      </c>
      <c r="B82" s="117">
        <f>IF('Carga Web Cirugias'!A82="","",'Carga Web Cirugias'!A82)</f>
        <v/>
      </c>
      <c r="C82" s="109">
        <f>IF('Carga Web Cirugias'!M82="","",'Carga Web Cirugias'!M82)</f>
        <v/>
      </c>
      <c r="D82" s="111">
        <f>IFERROR(IF(OR(B82="",C82="",COUNTIFS($B$4:B82,B82,$C$4:C82,C82)&gt;1),"",(_xludf.AGGREGATE(14,6,MOD('Carga Web Cirugias'!$S$4:$S$500,1)/(('Carga Web Cirugias'!$A$4:$A$500=B82)*('Carga Web Cirugias'!$M$4:$M$500=C82)*('Carga Web Cirugias'!$R$4:$R$500&lt;&gt;"")*('Carga Web Cirugias'!$S$4:$S$500&lt;&gt;"")),1)-_xludf.AGGREGATE(15,6,MOD('Carga Web Cirugias'!$R$4:$R$500,1)/(('Carga Web Cirugias'!$A$4:$A$500=B82)*('Carga Web Cirugias'!$M$4:$M$500=C82)*('Carga Web Cirugias'!$R$4:$R$500&lt;&gt;"")*('Carga Web Cirugias'!$S$4:$S$500&lt;&gt;"")),1))*1440),"")</f>
        <v/>
      </c>
      <c r="E82" s="111">
        <f>IF(OR(B82="",C82="",D82=""),"",VLOOKUP(C82,'Horario Pabellones'!$A$4:$D$17,4,FALSE))</f>
        <v/>
      </c>
      <c r="F82" s="118">
        <f>IFERROR(IF(OR(D82="",E82="",E82=0),"",(D82/60)/(E82/60)),"")</f>
        <v/>
      </c>
      <c r="G82" s="109">
        <f>IF(F82="","",IF(F82&gt;=0.75,"Cumple referencia","Bajo referencia"))</f>
        <v/>
      </c>
      <c r="J82" s="94" t="n"/>
      <c r="K82" s="95" t="n"/>
      <c r="L82" s="95" t="n"/>
      <c r="M82" s="96" t="n"/>
      <c r="N82" s="95" t="n"/>
    </row>
    <row r="83" ht="16" customHeight="1" s="151">
      <c r="A83" s="112">
        <f>IF(OR('Carga Web Cirugias'!A83="",'Carga Web Cirugias'!M83=""),"",_xludf.ISOWEEKNUM('Carga Web Cirugias'!A83))</f>
        <v/>
      </c>
      <c r="B83" s="123">
        <f>IF('Carga Web Cirugias'!A83="","",'Carga Web Cirugias'!A83)</f>
        <v/>
      </c>
      <c r="C83" s="112">
        <f>IF('Carga Web Cirugias'!M83="","",'Carga Web Cirugias'!M83)</f>
        <v/>
      </c>
      <c r="D83" s="114">
        <f>IFERROR(IF(OR(B83="",C83="",COUNTIFS($B$4:B83,B83,$C$4:C83,C83)&gt;1),"",(_xludf.AGGREGATE(14,6,MOD('Carga Web Cirugias'!$S$4:$S$500,1)/(('Carga Web Cirugias'!$A$4:$A$500=B83)*('Carga Web Cirugias'!$M$4:$M$500=C83)*('Carga Web Cirugias'!$R$4:$R$500&lt;&gt;"")*('Carga Web Cirugias'!$S$4:$S$500&lt;&gt;"")),1)-_xludf.AGGREGATE(15,6,MOD('Carga Web Cirugias'!$R$4:$R$500,1)/(('Carga Web Cirugias'!$A$4:$A$500=B83)*('Carga Web Cirugias'!$M$4:$M$500=C83)*('Carga Web Cirugias'!$R$4:$R$500&lt;&gt;"")*('Carga Web Cirugias'!$S$4:$S$500&lt;&gt;"")),1))*1440),"")</f>
        <v/>
      </c>
      <c r="E83" s="114">
        <f>IF(OR(B83="",C83="",D83=""),"",VLOOKUP(C83,'Horario Pabellones'!$A$4:$D$17,4,FALSE))</f>
        <v/>
      </c>
      <c r="F83" s="124">
        <f>IFERROR(IF(OR(D83="",E83="",E83=0),"",(D83/60)/(E83/60)),"")</f>
        <v/>
      </c>
      <c r="G83" s="112">
        <f>IF(F83="","",IF(F83&gt;=0.75,"Cumple referencia","Bajo referencia"))</f>
        <v/>
      </c>
      <c r="J83" s="94" t="n"/>
      <c r="K83" s="95" t="n"/>
      <c r="L83" s="95" t="n"/>
      <c r="M83" s="96" t="n"/>
      <c r="N83" s="95" t="n"/>
    </row>
    <row r="84" ht="16" customHeight="1" s="151">
      <c r="A84" s="109">
        <f>IF(OR('Carga Web Cirugias'!A84="",'Carga Web Cirugias'!M84=""),"",_xludf.ISOWEEKNUM('Carga Web Cirugias'!A84))</f>
        <v/>
      </c>
      <c r="B84" s="117">
        <f>IF('Carga Web Cirugias'!A84="","",'Carga Web Cirugias'!A84)</f>
        <v/>
      </c>
      <c r="C84" s="109">
        <f>IF('Carga Web Cirugias'!M84="","",'Carga Web Cirugias'!M84)</f>
        <v/>
      </c>
      <c r="D84" s="111">
        <f>IFERROR(IF(OR(B84="",C84="",COUNTIFS($B$4:B84,B84,$C$4:C84,C84)&gt;1),"",(_xludf.AGGREGATE(14,6,MOD('Carga Web Cirugias'!$S$4:$S$500,1)/(('Carga Web Cirugias'!$A$4:$A$500=B84)*('Carga Web Cirugias'!$M$4:$M$500=C84)*('Carga Web Cirugias'!$R$4:$R$500&lt;&gt;"")*('Carga Web Cirugias'!$S$4:$S$500&lt;&gt;"")),1)-_xludf.AGGREGATE(15,6,MOD('Carga Web Cirugias'!$R$4:$R$500,1)/(('Carga Web Cirugias'!$A$4:$A$500=B84)*('Carga Web Cirugias'!$M$4:$M$500=C84)*('Carga Web Cirugias'!$R$4:$R$500&lt;&gt;"")*('Carga Web Cirugias'!$S$4:$S$500&lt;&gt;"")),1))*1440),"")</f>
        <v/>
      </c>
      <c r="E84" s="111">
        <f>IF(OR(B84="",C84="",D84=""),"",VLOOKUP(C84,'Horario Pabellones'!$A$4:$D$17,4,FALSE))</f>
        <v/>
      </c>
      <c r="F84" s="118">
        <f>IFERROR(IF(OR(D84="",E84="",E84=0),"",(D84/60)/(E84/60)),"")</f>
        <v/>
      </c>
      <c r="G84" s="109">
        <f>IF(F84="","",IF(F84&gt;=0.75,"Cumple referencia","Bajo referencia"))</f>
        <v/>
      </c>
      <c r="J84" s="94" t="n"/>
      <c r="K84" s="95" t="n"/>
      <c r="L84" s="95" t="n"/>
      <c r="M84" s="96" t="n"/>
      <c r="N84" s="95" t="n"/>
    </row>
    <row r="85" ht="16" customHeight="1" s="151">
      <c r="A85" s="112">
        <f>IF(OR('Carga Web Cirugias'!A85="",'Carga Web Cirugias'!M85=""),"",_xludf.ISOWEEKNUM('Carga Web Cirugias'!A85))</f>
        <v/>
      </c>
      <c r="B85" s="123">
        <f>IF('Carga Web Cirugias'!A85="","",'Carga Web Cirugias'!A85)</f>
        <v/>
      </c>
      <c r="C85" s="112">
        <f>IF('Carga Web Cirugias'!M85="","",'Carga Web Cirugias'!M85)</f>
        <v/>
      </c>
      <c r="D85" s="114">
        <f>IFERROR(IF(OR(B85="",C85="",COUNTIFS($B$4:B85,B85,$C$4:C85,C85)&gt;1),"",(_xludf.AGGREGATE(14,6,MOD('Carga Web Cirugias'!$S$4:$S$500,1)/(('Carga Web Cirugias'!$A$4:$A$500=B85)*('Carga Web Cirugias'!$M$4:$M$500=C85)*('Carga Web Cirugias'!$R$4:$R$500&lt;&gt;"")*('Carga Web Cirugias'!$S$4:$S$500&lt;&gt;"")),1)-_xludf.AGGREGATE(15,6,MOD('Carga Web Cirugias'!$R$4:$R$500,1)/(('Carga Web Cirugias'!$A$4:$A$500=B85)*('Carga Web Cirugias'!$M$4:$M$500=C85)*('Carga Web Cirugias'!$R$4:$R$500&lt;&gt;"")*('Carga Web Cirugias'!$S$4:$S$500&lt;&gt;"")),1))*1440),"")</f>
        <v/>
      </c>
      <c r="E85" s="114">
        <f>IF(OR(B85="",C85="",D85=""),"",VLOOKUP(C85,'Horario Pabellones'!$A$4:$D$17,4,FALSE))</f>
        <v/>
      </c>
      <c r="F85" s="124">
        <f>IFERROR(IF(OR(D85="",E85="",E85=0),"",(D85/60)/(E85/60)),"")</f>
        <v/>
      </c>
      <c r="G85" s="112">
        <f>IF(F85="","",IF(F85&gt;=0.75,"Cumple referencia","Bajo referencia"))</f>
        <v/>
      </c>
      <c r="J85" s="94" t="n"/>
      <c r="K85" s="95" t="n"/>
      <c r="L85" s="95" t="n"/>
      <c r="M85" s="96" t="n"/>
      <c r="N85" s="95" t="n"/>
    </row>
    <row r="86" ht="16" customHeight="1" s="151">
      <c r="A86" s="109">
        <f>IF(OR('Carga Web Cirugias'!A86="",'Carga Web Cirugias'!M86=""),"",_xludf.ISOWEEKNUM('Carga Web Cirugias'!A86))</f>
        <v/>
      </c>
      <c r="B86" s="117">
        <f>IF('Carga Web Cirugias'!A86="","",'Carga Web Cirugias'!A86)</f>
        <v/>
      </c>
      <c r="C86" s="109">
        <f>IF('Carga Web Cirugias'!M86="","",'Carga Web Cirugias'!M86)</f>
        <v/>
      </c>
      <c r="D86" s="111">
        <f>IFERROR(IF(OR(B86="",C86="",COUNTIFS($B$4:B86,B86,$C$4:C86,C86)&gt;1),"",(_xludf.AGGREGATE(14,6,MOD('Carga Web Cirugias'!$S$4:$S$500,1)/(('Carga Web Cirugias'!$A$4:$A$500=B86)*('Carga Web Cirugias'!$M$4:$M$500=C86)*('Carga Web Cirugias'!$R$4:$R$500&lt;&gt;"")*('Carga Web Cirugias'!$S$4:$S$500&lt;&gt;"")),1)-_xludf.AGGREGATE(15,6,MOD('Carga Web Cirugias'!$R$4:$R$500,1)/(('Carga Web Cirugias'!$A$4:$A$500=B86)*('Carga Web Cirugias'!$M$4:$M$500=C86)*('Carga Web Cirugias'!$R$4:$R$500&lt;&gt;"")*('Carga Web Cirugias'!$S$4:$S$500&lt;&gt;"")),1))*1440),"")</f>
        <v/>
      </c>
      <c r="E86" s="111">
        <f>IF(OR(B86="",C86="",D86=""),"",VLOOKUP(C86,'Horario Pabellones'!$A$4:$D$17,4,FALSE))</f>
        <v/>
      </c>
      <c r="F86" s="118">
        <f>IFERROR(IF(OR(D86="",E86="",E86=0),"",(D86/60)/(E86/60)),"")</f>
        <v/>
      </c>
      <c r="G86" s="109">
        <f>IF(F86="","",IF(F86&gt;=0.75,"Cumple referencia","Bajo referencia"))</f>
        <v/>
      </c>
      <c r="J86" s="94" t="n"/>
      <c r="K86" s="95" t="n"/>
      <c r="L86" s="95" t="n"/>
      <c r="M86" s="96" t="n"/>
      <c r="N86" s="95" t="n"/>
    </row>
    <row r="87" ht="16" customHeight="1" s="151">
      <c r="A87" s="112">
        <f>IF(OR('Carga Web Cirugias'!A87="",'Carga Web Cirugias'!M87=""),"",_xludf.ISOWEEKNUM('Carga Web Cirugias'!A87))</f>
        <v/>
      </c>
      <c r="B87" s="123">
        <f>IF('Carga Web Cirugias'!A87="","",'Carga Web Cirugias'!A87)</f>
        <v/>
      </c>
      <c r="C87" s="112">
        <f>IF('Carga Web Cirugias'!M87="","",'Carga Web Cirugias'!M87)</f>
        <v/>
      </c>
      <c r="D87" s="114">
        <f>IFERROR(IF(OR(B87="",C87="",COUNTIFS($B$4:B87,B87,$C$4:C87,C87)&gt;1),"",(_xludf.AGGREGATE(14,6,MOD('Carga Web Cirugias'!$S$4:$S$500,1)/(('Carga Web Cirugias'!$A$4:$A$500=B87)*('Carga Web Cirugias'!$M$4:$M$500=C87)*('Carga Web Cirugias'!$R$4:$R$500&lt;&gt;"")*('Carga Web Cirugias'!$S$4:$S$500&lt;&gt;"")),1)-_xludf.AGGREGATE(15,6,MOD('Carga Web Cirugias'!$R$4:$R$500,1)/(('Carga Web Cirugias'!$A$4:$A$500=B87)*('Carga Web Cirugias'!$M$4:$M$500=C87)*('Carga Web Cirugias'!$R$4:$R$500&lt;&gt;"")*('Carga Web Cirugias'!$S$4:$S$500&lt;&gt;"")),1))*1440),"")</f>
        <v/>
      </c>
      <c r="E87" s="114">
        <f>IF(OR(B87="",C87="",D87=""),"",VLOOKUP(C87,'Horario Pabellones'!$A$4:$D$17,4,FALSE))</f>
        <v/>
      </c>
      <c r="F87" s="124">
        <f>IFERROR(IF(OR(D87="",E87="",E87=0),"",(D87/60)/(E87/60)),"")</f>
        <v/>
      </c>
      <c r="G87" s="112">
        <f>IF(F87="","",IF(F87&gt;=0.75,"Cumple referencia","Bajo referencia"))</f>
        <v/>
      </c>
      <c r="J87" s="94" t="n"/>
      <c r="K87" s="95" t="n"/>
      <c r="L87" s="95" t="n"/>
      <c r="M87" s="96" t="n"/>
      <c r="N87" s="95" t="n"/>
    </row>
    <row r="88" ht="16" customHeight="1" s="151">
      <c r="A88" s="109">
        <f>IF(OR('Carga Web Cirugias'!A88="",'Carga Web Cirugias'!M88=""),"",_xludf.ISOWEEKNUM('Carga Web Cirugias'!A88))</f>
        <v/>
      </c>
      <c r="B88" s="117">
        <f>IF('Carga Web Cirugias'!A88="","",'Carga Web Cirugias'!A88)</f>
        <v/>
      </c>
      <c r="C88" s="109">
        <f>IF('Carga Web Cirugias'!M88="","",'Carga Web Cirugias'!M88)</f>
        <v/>
      </c>
      <c r="D88" s="111">
        <f>IFERROR(IF(OR(B88="",C88="",COUNTIFS($B$4:B88,B88,$C$4:C88,C88)&gt;1),"",(_xludf.AGGREGATE(14,6,MOD('Carga Web Cirugias'!$S$4:$S$500,1)/(('Carga Web Cirugias'!$A$4:$A$500=B88)*('Carga Web Cirugias'!$M$4:$M$500=C88)*('Carga Web Cirugias'!$R$4:$R$500&lt;&gt;"")*('Carga Web Cirugias'!$S$4:$S$500&lt;&gt;"")),1)-_xludf.AGGREGATE(15,6,MOD('Carga Web Cirugias'!$R$4:$R$500,1)/(('Carga Web Cirugias'!$A$4:$A$500=B88)*('Carga Web Cirugias'!$M$4:$M$500=C88)*('Carga Web Cirugias'!$R$4:$R$500&lt;&gt;"")*('Carga Web Cirugias'!$S$4:$S$500&lt;&gt;"")),1))*1440),"")</f>
        <v/>
      </c>
      <c r="E88" s="111">
        <f>IF(OR(B88="",C88="",D88=""),"",VLOOKUP(C88,'Horario Pabellones'!$A$4:$D$17,4,FALSE))</f>
        <v/>
      </c>
      <c r="F88" s="118">
        <f>IFERROR(IF(OR(D88="",E88="",E88=0),"",(D88/60)/(E88/60)),"")</f>
        <v/>
      </c>
      <c r="G88" s="109">
        <f>IF(F88="","",IF(F88&gt;=0.75,"Cumple referencia","Bajo referencia"))</f>
        <v/>
      </c>
      <c r="J88" s="94" t="n"/>
      <c r="K88" s="95" t="n"/>
      <c r="L88" s="95" t="n"/>
      <c r="M88" s="96" t="n"/>
      <c r="N88" s="95" t="n"/>
    </row>
    <row r="89" ht="16" customHeight="1" s="151">
      <c r="A89" s="112">
        <f>IF(OR('Carga Web Cirugias'!A89="",'Carga Web Cirugias'!M89=""),"",_xludf.ISOWEEKNUM('Carga Web Cirugias'!A89))</f>
        <v/>
      </c>
      <c r="B89" s="123">
        <f>IF('Carga Web Cirugias'!A89="","",'Carga Web Cirugias'!A89)</f>
        <v/>
      </c>
      <c r="C89" s="112">
        <f>IF('Carga Web Cirugias'!M89="","",'Carga Web Cirugias'!M89)</f>
        <v/>
      </c>
      <c r="D89" s="114">
        <f>IFERROR(IF(OR(B89="",C89="",COUNTIFS($B$4:B89,B89,$C$4:C89,C89)&gt;1),"",(_xludf.AGGREGATE(14,6,MOD('Carga Web Cirugias'!$S$4:$S$500,1)/(('Carga Web Cirugias'!$A$4:$A$500=B89)*('Carga Web Cirugias'!$M$4:$M$500=C89)*('Carga Web Cirugias'!$R$4:$R$500&lt;&gt;"")*('Carga Web Cirugias'!$S$4:$S$500&lt;&gt;"")),1)-_xludf.AGGREGATE(15,6,MOD('Carga Web Cirugias'!$R$4:$R$500,1)/(('Carga Web Cirugias'!$A$4:$A$500=B89)*('Carga Web Cirugias'!$M$4:$M$500=C89)*('Carga Web Cirugias'!$R$4:$R$500&lt;&gt;"")*('Carga Web Cirugias'!$S$4:$S$500&lt;&gt;"")),1))*1440),"")</f>
        <v/>
      </c>
      <c r="E89" s="114">
        <f>IF(OR(B89="",C89="",D89=""),"",VLOOKUP(C89,'Horario Pabellones'!$A$4:$D$17,4,FALSE))</f>
        <v/>
      </c>
      <c r="F89" s="124">
        <f>IFERROR(IF(OR(D89="",E89="",E89=0),"",(D89/60)/(E89/60)),"")</f>
        <v/>
      </c>
      <c r="G89" s="112">
        <f>IF(F89="","",IF(F89&gt;=0.75,"Cumple referencia","Bajo referencia"))</f>
        <v/>
      </c>
      <c r="J89" s="94" t="n"/>
      <c r="K89" s="95" t="n"/>
      <c r="L89" s="95" t="n"/>
      <c r="M89" s="96" t="n"/>
      <c r="N89" s="95" t="n"/>
    </row>
    <row r="90" ht="16" customHeight="1" s="151">
      <c r="A90" s="109">
        <f>IF(OR('Carga Web Cirugias'!A90="",'Carga Web Cirugias'!M90=""),"",_xludf.ISOWEEKNUM('Carga Web Cirugias'!A90))</f>
        <v/>
      </c>
      <c r="B90" s="117">
        <f>IF('Carga Web Cirugias'!A90="","",'Carga Web Cirugias'!A90)</f>
        <v/>
      </c>
      <c r="C90" s="109">
        <f>IF('Carga Web Cirugias'!M90="","",'Carga Web Cirugias'!M90)</f>
        <v/>
      </c>
      <c r="D90" s="111">
        <f>IFERROR(IF(OR(B90="",C90="",COUNTIFS($B$4:B90,B90,$C$4:C90,C90)&gt;1),"",(_xludf.AGGREGATE(14,6,MOD('Carga Web Cirugias'!$S$4:$S$500,1)/(('Carga Web Cirugias'!$A$4:$A$500=B90)*('Carga Web Cirugias'!$M$4:$M$500=C90)*('Carga Web Cirugias'!$R$4:$R$500&lt;&gt;"")*('Carga Web Cirugias'!$S$4:$S$500&lt;&gt;"")),1)-_xludf.AGGREGATE(15,6,MOD('Carga Web Cirugias'!$R$4:$R$500,1)/(('Carga Web Cirugias'!$A$4:$A$500=B90)*('Carga Web Cirugias'!$M$4:$M$500=C90)*('Carga Web Cirugias'!$R$4:$R$500&lt;&gt;"")*('Carga Web Cirugias'!$S$4:$S$500&lt;&gt;"")),1))*1440),"")</f>
        <v/>
      </c>
      <c r="E90" s="111">
        <f>IF(OR(B90="",C90="",D90=""),"",VLOOKUP(C90,'Horario Pabellones'!$A$4:$D$17,4,FALSE))</f>
        <v/>
      </c>
      <c r="F90" s="118">
        <f>IFERROR(IF(OR(D90="",E90="",E90=0),"",(D90/60)/(E90/60)),"")</f>
        <v/>
      </c>
      <c r="G90" s="109">
        <f>IF(F90="","",IF(F90&gt;=0.75,"Cumple referencia","Bajo referencia"))</f>
        <v/>
      </c>
      <c r="J90" s="94" t="n"/>
      <c r="K90" s="95" t="n"/>
      <c r="L90" s="95" t="n"/>
      <c r="M90" s="96" t="n"/>
      <c r="N90" s="95" t="n"/>
    </row>
    <row r="91" ht="16" customHeight="1" s="151">
      <c r="A91" s="112">
        <f>IF(OR('Carga Web Cirugias'!A91="",'Carga Web Cirugias'!M91=""),"",_xludf.ISOWEEKNUM('Carga Web Cirugias'!A91))</f>
        <v/>
      </c>
      <c r="B91" s="123">
        <f>IF('Carga Web Cirugias'!A91="","",'Carga Web Cirugias'!A91)</f>
        <v/>
      </c>
      <c r="C91" s="112">
        <f>IF('Carga Web Cirugias'!M91="","",'Carga Web Cirugias'!M91)</f>
        <v/>
      </c>
      <c r="D91" s="114">
        <f>IFERROR(IF(OR(B91="",C91="",COUNTIFS($B$4:B91,B91,$C$4:C91,C91)&gt;1),"",(_xludf.AGGREGATE(14,6,MOD('Carga Web Cirugias'!$S$4:$S$500,1)/(('Carga Web Cirugias'!$A$4:$A$500=B91)*('Carga Web Cirugias'!$M$4:$M$500=C91)*('Carga Web Cirugias'!$R$4:$R$500&lt;&gt;"")*('Carga Web Cirugias'!$S$4:$S$500&lt;&gt;"")),1)-_xludf.AGGREGATE(15,6,MOD('Carga Web Cirugias'!$R$4:$R$500,1)/(('Carga Web Cirugias'!$A$4:$A$500=B91)*('Carga Web Cirugias'!$M$4:$M$500=C91)*('Carga Web Cirugias'!$R$4:$R$500&lt;&gt;"")*('Carga Web Cirugias'!$S$4:$S$500&lt;&gt;"")),1))*1440),"")</f>
        <v/>
      </c>
      <c r="E91" s="114">
        <f>IF(OR(B91="",C91="",D91=""),"",VLOOKUP(C91,'Horario Pabellones'!$A$4:$D$17,4,FALSE))</f>
        <v/>
      </c>
      <c r="F91" s="124">
        <f>IFERROR(IF(OR(D91="",E91="",E91=0),"",(D91/60)/(E91/60)),"")</f>
        <v/>
      </c>
      <c r="G91" s="112">
        <f>IF(F91="","",IF(F91&gt;=0.75,"Cumple referencia","Bajo referencia"))</f>
        <v/>
      </c>
      <c r="J91" s="94" t="n"/>
      <c r="K91" s="95" t="n"/>
      <c r="L91" s="95" t="n"/>
      <c r="M91" s="96" t="n"/>
      <c r="N91" s="95" t="n"/>
    </row>
    <row r="92" ht="16" customHeight="1" s="151">
      <c r="A92" s="109">
        <f>IF(OR('Carga Web Cirugias'!A92="",'Carga Web Cirugias'!M92=""),"",_xludf.ISOWEEKNUM('Carga Web Cirugias'!A92))</f>
        <v/>
      </c>
      <c r="B92" s="117">
        <f>IF('Carga Web Cirugias'!A92="","",'Carga Web Cirugias'!A92)</f>
        <v/>
      </c>
      <c r="C92" s="109">
        <f>IF('Carga Web Cirugias'!M92="","",'Carga Web Cirugias'!M92)</f>
        <v/>
      </c>
      <c r="D92" s="111">
        <f>IFERROR(IF(OR(B92="",C92="",COUNTIFS($B$4:B92,B92,$C$4:C92,C92)&gt;1),"",(_xludf.AGGREGATE(14,6,MOD('Carga Web Cirugias'!$S$4:$S$500,1)/(('Carga Web Cirugias'!$A$4:$A$500=B92)*('Carga Web Cirugias'!$M$4:$M$500=C92)*('Carga Web Cirugias'!$R$4:$R$500&lt;&gt;"")*('Carga Web Cirugias'!$S$4:$S$500&lt;&gt;"")),1)-_xludf.AGGREGATE(15,6,MOD('Carga Web Cirugias'!$R$4:$R$500,1)/(('Carga Web Cirugias'!$A$4:$A$500=B92)*('Carga Web Cirugias'!$M$4:$M$500=C92)*('Carga Web Cirugias'!$R$4:$R$500&lt;&gt;"")*('Carga Web Cirugias'!$S$4:$S$500&lt;&gt;"")),1))*1440),"")</f>
        <v/>
      </c>
      <c r="E92" s="111">
        <f>IF(OR(B92="",C92="",D92=""),"",VLOOKUP(C92,'Horario Pabellones'!$A$4:$D$17,4,FALSE))</f>
        <v/>
      </c>
      <c r="F92" s="118">
        <f>IFERROR(IF(OR(D92="",E92="",E92=0),"",(D92/60)/(E92/60)),"")</f>
        <v/>
      </c>
      <c r="G92" s="109">
        <f>IF(F92="","",IF(F92&gt;=0.75,"Cumple referencia","Bajo referencia"))</f>
        <v/>
      </c>
      <c r="J92" s="94" t="n"/>
      <c r="K92" s="95" t="n"/>
      <c r="L92" s="95" t="n"/>
      <c r="M92" s="96" t="n"/>
      <c r="N92" s="95" t="n"/>
    </row>
    <row r="93" ht="16" customHeight="1" s="151">
      <c r="A93" s="112">
        <f>IF(OR('Carga Web Cirugias'!A93="",'Carga Web Cirugias'!M93=""),"",_xludf.ISOWEEKNUM('Carga Web Cirugias'!A93))</f>
        <v/>
      </c>
      <c r="B93" s="123">
        <f>IF('Carga Web Cirugias'!A93="","",'Carga Web Cirugias'!A93)</f>
        <v/>
      </c>
      <c r="C93" s="112">
        <f>IF('Carga Web Cirugias'!M93="","",'Carga Web Cirugias'!M93)</f>
        <v/>
      </c>
      <c r="D93" s="114">
        <f>IFERROR(IF(OR(B93="",C93="",COUNTIFS($B$4:B93,B93,$C$4:C93,C93)&gt;1),"",(_xludf.AGGREGATE(14,6,MOD('Carga Web Cirugias'!$S$4:$S$500,1)/(('Carga Web Cirugias'!$A$4:$A$500=B93)*('Carga Web Cirugias'!$M$4:$M$500=C93)*('Carga Web Cirugias'!$R$4:$R$500&lt;&gt;"")*('Carga Web Cirugias'!$S$4:$S$500&lt;&gt;"")),1)-_xludf.AGGREGATE(15,6,MOD('Carga Web Cirugias'!$R$4:$R$500,1)/(('Carga Web Cirugias'!$A$4:$A$500=B93)*('Carga Web Cirugias'!$M$4:$M$500=C93)*('Carga Web Cirugias'!$R$4:$R$500&lt;&gt;"")*('Carga Web Cirugias'!$S$4:$S$500&lt;&gt;"")),1))*1440),"")</f>
        <v/>
      </c>
      <c r="E93" s="114">
        <f>IF(OR(B93="",C93="",D93=""),"",VLOOKUP(C93,'Horario Pabellones'!$A$4:$D$17,4,FALSE))</f>
        <v/>
      </c>
      <c r="F93" s="124">
        <f>IFERROR(IF(OR(D93="",E93="",E93=0),"",(D93/60)/(E93/60)),"")</f>
        <v/>
      </c>
      <c r="G93" s="112">
        <f>IF(F93="","",IF(F93&gt;=0.75,"Cumple referencia","Bajo referencia"))</f>
        <v/>
      </c>
      <c r="J93" s="94" t="n"/>
      <c r="K93" s="95" t="n"/>
      <c r="L93" s="95" t="n"/>
      <c r="M93" s="96" t="n"/>
      <c r="N93" s="95" t="n"/>
    </row>
    <row r="94" ht="16" customHeight="1" s="151">
      <c r="A94" s="109">
        <f>IF(OR('Carga Web Cirugias'!A94="",'Carga Web Cirugias'!M94=""),"",_xludf.ISOWEEKNUM('Carga Web Cirugias'!A94))</f>
        <v/>
      </c>
      <c r="B94" s="117">
        <f>IF('Carga Web Cirugias'!A94="","",'Carga Web Cirugias'!A94)</f>
        <v/>
      </c>
      <c r="C94" s="109">
        <f>IF('Carga Web Cirugias'!M94="","",'Carga Web Cirugias'!M94)</f>
        <v/>
      </c>
      <c r="D94" s="111">
        <f>IFERROR(IF(OR(B94="",C94="",COUNTIFS($B$4:B94,B94,$C$4:C94,C94)&gt;1),"",(_xludf.AGGREGATE(14,6,MOD('Carga Web Cirugias'!$S$4:$S$500,1)/(('Carga Web Cirugias'!$A$4:$A$500=B94)*('Carga Web Cirugias'!$M$4:$M$500=C94)*('Carga Web Cirugias'!$R$4:$R$500&lt;&gt;"")*('Carga Web Cirugias'!$S$4:$S$500&lt;&gt;"")),1)-_xludf.AGGREGATE(15,6,MOD('Carga Web Cirugias'!$R$4:$R$500,1)/(('Carga Web Cirugias'!$A$4:$A$500=B94)*('Carga Web Cirugias'!$M$4:$M$500=C94)*('Carga Web Cirugias'!$R$4:$R$500&lt;&gt;"")*('Carga Web Cirugias'!$S$4:$S$500&lt;&gt;"")),1))*1440),"")</f>
        <v/>
      </c>
      <c r="E94" s="111">
        <f>IF(OR(B94="",C94="",D94=""),"",VLOOKUP(C94,'Horario Pabellones'!$A$4:$D$17,4,FALSE))</f>
        <v/>
      </c>
      <c r="F94" s="118">
        <f>IFERROR(IF(OR(D94="",E94="",E94=0),"",(D94/60)/(E94/60)),"")</f>
        <v/>
      </c>
      <c r="G94" s="109">
        <f>IF(F94="","",IF(F94&gt;=0.75,"Cumple referencia","Bajo referencia"))</f>
        <v/>
      </c>
      <c r="J94" s="94" t="n"/>
      <c r="K94" s="95" t="n"/>
      <c r="L94" s="95" t="n"/>
      <c r="M94" s="96" t="n"/>
      <c r="N94" s="95" t="n"/>
    </row>
    <row r="95" ht="16" customHeight="1" s="151">
      <c r="A95" s="112">
        <f>IF(OR('Carga Web Cirugias'!A95="",'Carga Web Cirugias'!M95=""),"",_xludf.ISOWEEKNUM('Carga Web Cirugias'!A95))</f>
        <v/>
      </c>
      <c r="B95" s="123">
        <f>IF('Carga Web Cirugias'!A95="","",'Carga Web Cirugias'!A95)</f>
        <v/>
      </c>
      <c r="C95" s="112">
        <f>IF('Carga Web Cirugias'!M95="","",'Carga Web Cirugias'!M95)</f>
        <v/>
      </c>
      <c r="D95" s="114">
        <f>IFERROR(IF(OR(B95="",C95="",COUNTIFS($B$4:B95,B95,$C$4:C95,C95)&gt;1),"",(_xludf.AGGREGATE(14,6,MOD('Carga Web Cirugias'!$S$4:$S$500,1)/(('Carga Web Cirugias'!$A$4:$A$500=B95)*('Carga Web Cirugias'!$M$4:$M$500=C95)*('Carga Web Cirugias'!$R$4:$R$500&lt;&gt;"")*('Carga Web Cirugias'!$S$4:$S$500&lt;&gt;"")),1)-_xludf.AGGREGATE(15,6,MOD('Carga Web Cirugias'!$R$4:$R$500,1)/(('Carga Web Cirugias'!$A$4:$A$500=B95)*('Carga Web Cirugias'!$M$4:$M$500=C95)*('Carga Web Cirugias'!$R$4:$R$500&lt;&gt;"")*('Carga Web Cirugias'!$S$4:$S$500&lt;&gt;"")),1))*1440),"")</f>
        <v/>
      </c>
      <c r="E95" s="114">
        <f>IF(OR(B95="",C95="",D95=""),"",VLOOKUP(C95,'Horario Pabellones'!$A$4:$D$17,4,FALSE))</f>
        <v/>
      </c>
      <c r="F95" s="124">
        <f>IFERROR(IF(OR(D95="",E95="",E95=0),"",(D95/60)/(E95/60)),"")</f>
        <v/>
      </c>
      <c r="G95" s="112">
        <f>IF(F95="","",IF(F95&gt;=0.75,"Cumple referencia","Bajo referencia"))</f>
        <v/>
      </c>
      <c r="J95" s="94" t="n"/>
      <c r="K95" s="95" t="n"/>
      <c r="L95" s="95" t="n"/>
      <c r="M95" s="96" t="n"/>
      <c r="N95" s="95" t="n"/>
    </row>
    <row r="96" ht="16" customHeight="1" s="151">
      <c r="A96" s="109">
        <f>IF(OR('Carga Web Cirugias'!A96="",'Carga Web Cirugias'!M96=""),"",_xludf.ISOWEEKNUM('Carga Web Cirugias'!A96))</f>
        <v/>
      </c>
      <c r="B96" s="117">
        <f>IF('Carga Web Cirugias'!A96="","",'Carga Web Cirugias'!A96)</f>
        <v/>
      </c>
      <c r="C96" s="109">
        <f>IF('Carga Web Cirugias'!M96="","",'Carga Web Cirugias'!M96)</f>
        <v/>
      </c>
      <c r="D96" s="111">
        <f>IFERROR(IF(OR(B96="",C96="",COUNTIFS($B$4:B96,B96,$C$4:C96,C96)&gt;1),"",(_xludf.AGGREGATE(14,6,MOD('Carga Web Cirugias'!$S$4:$S$500,1)/(('Carga Web Cirugias'!$A$4:$A$500=B96)*('Carga Web Cirugias'!$M$4:$M$500=C96)*('Carga Web Cirugias'!$R$4:$R$500&lt;&gt;"")*('Carga Web Cirugias'!$S$4:$S$500&lt;&gt;"")),1)-_xludf.AGGREGATE(15,6,MOD('Carga Web Cirugias'!$R$4:$R$500,1)/(('Carga Web Cirugias'!$A$4:$A$500=B96)*('Carga Web Cirugias'!$M$4:$M$500=C96)*('Carga Web Cirugias'!$R$4:$R$500&lt;&gt;"")*('Carga Web Cirugias'!$S$4:$S$500&lt;&gt;"")),1))*1440),"")</f>
        <v/>
      </c>
      <c r="E96" s="111">
        <f>IF(OR(B96="",C96="",D96=""),"",VLOOKUP(C96,'Horario Pabellones'!$A$4:$D$17,4,FALSE))</f>
        <v/>
      </c>
      <c r="F96" s="118">
        <f>IFERROR(IF(OR(D96="",E96="",E96=0),"",(D96/60)/(E96/60)),"")</f>
        <v/>
      </c>
      <c r="G96" s="109">
        <f>IF(F96="","",IF(F96&gt;=0.75,"Cumple referencia","Bajo referencia"))</f>
        <v/>
      </c>
      <c r="J96" s="94" t="n"/>
      <c r="K96" s="95" t="n"/>
      <c r="L96" s="95" t="n"/>
      <c r="M96" s="96" t="n"/>
      <c r="N96" s="95" t="n"/>
    </row>
    <row r="97" ht="16" customHeight="1" s="151">
      <c r="A97" s="112">
        <f>IF(OR('Carga Web Cirugias'!A97="",'Carga Web Cirugias'!M97=""),"",_xludf.ISOWEEKNUM('Carga Web Cirugias'!A97))</f>
        <v/>
      </c>
      <c r="B97" s="123">
        <f>IF('Carga Web Cirugias'!A97="","",'Carga Web Cirugias'!A97)</f>
        <v/>
      </c>
      <c r="C97" s="112">
        <f>IF('Carga Web Cirugias'!M97="","",'Carga Web Cirugias'!M97)</f>
        <v/>
      </c>
      <c r="D97" s="114">
        <f>IFERROR(IF(OR(B97="",C97="",COUNTIFS($B$4:B97,B97,$C$4:C97,C97)&gt;1),"",(_xludf.AGGREGATE(14,6,MOD('Carga Web Cirugias'!$S$4:$S$500,1)/(('Carga Web Cirugias'!$A$4:$A$500=B97)*('Carga Web Cirugias'!$M$4:$M$500=C97)*('Carga Web Cirugias'!$R$4:$R$500&lt;&gt;"")*('Carga Web Cirugias'!$S$4:$S$500&lt;&gt;"")),1)-_xludf.AGGREGATE(15,6,MOD('Carga Web Cirugias'!$R$4:$R$500,1)/(('Carga Web Cirugias'!$A$4:$A$500=B97)*('Carga Web Cirugias'!$M$4:$M$500=C97)*('Carga Web Cirugias'!$R$4:$R$500&lt;&gt;"")*('Carga Web Cirugias'!$S$4:$S$500&lt;&gt;"")),1))*1440),"")</f>
        <v/>
      </c>
      <c r="E97" s="114">
        <f>IF(OR(B97="",C97="",D97=""),"",VLOOKUP(C97,'Horario Pabellones'!$A$4:$D$17,4,FALSE))</f>
        <v/>
      </c>
      <c r="F97" s="124">
        <f>IFERROR(IF(OR(D97="",E97="",E97=0),"",(D97/60)/(E97/60)),"")</f>
        <v/>
      </c>
      <c r="G97" s="112">
        <f>IF(F97="","",IF(F97&gt;=0.75,"Cumple referencia","Bajo referencia"))</f>
        <v/>
      </c>
      <c r="J97" s="94" t="n"/>
      <c r="K97" s="95" t="n"/>
      <c r="L97" s="95" t="n"/>
      <c r="M97" s="96" t="n"/>
      <c r="N97" s="95" t="n"/>
    </row>
    <row r="98" ht="16" customHeight="1" s="151">
      <c r="A98" s="109">
        <f>IF(OR('Carga Web Cirugias'!A98="",'Carga Web Cirugias'!M98=""),"",_xludf.ISOWEEKNUM('Carga Web Cirugias'!A98))</f>
        <v/>
      </c>
      <c r="B98" s="117">
        <f>IF('Carga Web Cirugias'!A98="","",'Carga Web Cirugias'!A98)</f>
        <v/>
      </c>
      <c r="C98" s="109">
        <f>IF('Carga Web Cirugias'!M98="","",'Carga Web Cirugias'!M98)</f>
        <v/>
      </c>
      <c r="D98" s="111">
        <f>IFERROR(IF(OR(B98="",C98="",COUNTIFS($B$4:B98,B98,$C$4:C98,C98)&gt;1),"",(_xludf.AGGREGATE(14,6,MOD('Carga Web Cirugias'!$S$4:$S$500,1)/(('Carga Web Cirugias'!$A$4:$A$500=B98)*('Carga Web Cirugias'!$M$4:$M$500=C98)*('Carga Web Cirugias'!$R$4:$R$500&lt;&gt;"")*('Carga Web Cirugias'!$S$4:$S$500&lt;&gt;"")),1)-_xludf.AGGREGATE(15,6,MOD('Carga Web Cirugias'!$R$4:$R$500,1)/(('Carga Web Cirugias'!$A$4:$A$500=B98)*('Carga Web Cirugias'!$M$4:$M$500=C98)*('Carga Web Cirugias'!$R$4:$R$500&lt;&gt;"")*('Carga Web Cirugias'!$S$4:$S$500&lt;&gt;"")),1))*1440),"")</f>
        <v/>
      </c>
      <c r="E98" s="111">
        <f>IF(OR(B98="",C98="",D98=""),"",VLOOKUP(C98,'Horario Pabellones'!$A$4:$D$17,4,FALSE))</f>
        <v/>
      </c>
      <c r="F98" s="118">
        <f>IFERROR(IF(OR(D98="",E98="",E98=0),"",(D98/60)/(E98/60)),"")</f>
        <v/>
      </c>
      <c r="G98" s="109">
        <f>IF(F98="","",IF(F98&gt;=0.75,"Cumple referencia","Bajo referencia"))</f>
        <v/>
      </c>
      <c r="J98" s="94" t="n"/>
      <c r="K98" s="95" t="n"/>
      <c r="L98" s="95" t="n"/>
      <c r="M98" s="96" t="n"/>
      <c r="N98" s="95" t="n"/>
    </row>
    <row r="99" ht="16" customHeight="1" s="151">
      <c r="A99" s="112">
        <f>IF(OR('Carga Web Cirugias'!A99="",'Carga Web Cirugias'!M99=""),"",_xludf.ISOWEEKNUM('Carga Web Cirugias'!A99))</f>
        <v/>
      </c>
      <c r="B99" s="123">
        <f>IF('Carga Web Cirugias'!A99="","",'Carga Web Cirugias'!A99)</f>
        <v/>
      </c>
      <c r="C99" s="112">
        <f>IF('Carga Web Cirugias'!M99="","",'Carga Web Cirugias'!M99)</f>
        <v/>
      </c>
      <c r="D99" s="114">
        <f>IFERROR(IF(OR(B99="",C99="",COUNTIFS($B$4:B99,B99,$C$4:C99,C99)&gt;1),"",(_xludf.AGGREGATE(14,6,MOD('Carga Web Cirugias'!$S$4:$S$500,1)/(('Carga Web Cirugias'!$A$4:$A$500=B99)*('Carga Web Cirugias'!$M$4:$M$500=C99)*('Carga Web Cirugias'!$R$4:$R$500&lt;&gt;"")*('Carga Web Cirugias'!$S$4:$S$500&lt;&gt;"")),1)-_xludf.AGGREGATE(15,6,MOD('Carga Web Cirugias'!$R$4:$R$500,1)/(('Carga Web Cirugias'!$A$4:$A$500=B99)*('Carga Web Cirugias'!$M$4:$M$500=C99)*('Carga Web Cirugias'!$R$4:$R$500&lt;&gt;"")*('Carga Web Cirugias'!$S$4:$S$500&lt;&gt;"")),1))*1440),"")</f>
        <v/>
      </c>
      <c r="E99" s="114">
        <f>IF(OR(B99="",C99="",D99=""),"",VLOOKUP(C99,'Horario Pabellones'!$A$4:$D$17,4,FALSE))</f>
        <v/>
      </c>
      <c r="F99" s="124">
        <f>IFERROR(IF(OR(D99="",E99="",E99=0),"",(D99/60)/(E99/60)),"")</f>
        <v/>
      </c>
      <c r="G99" s="112">
        <f>IF(F99="","",IF(F99&gt;=0.75,"Cumple referencia","Bajo referencia"))</f>
        <v/>
      </c>
      <c r="J99" s="94" t="n"/>
      <c r="K99" s="95" t="n"/>
      <c r="L99" s="95" t="n"/>
      <c r="M99" s="96" t="n"/>
      <c r="N99" s="95" t="n"/>
    </row>
    <row r="100" ht="16" customHeight="1" s="151">
      <c r="A100" s="109">
        <f>IF(OR('Carga Web Cirugias'!A100="",'Carga Web Cirugias'!M100=""),"",_xludf.ISOWEEKNUM('Carga Web Cirugias'!A100))</f>
        <v/>
      </c>
      <c r="B100" s="117">
        <f>IF('Carga Web Cirugias'!A100="","",'Carga Web Cirugias'!A100)</f>
        <v/>
      </c>
      <c r="C100" s="109">
        <f>IF('Carga Web Cirugias'!M100="","",'Carga Web Cirugias'!M100)</f>
        <v/>
      </c>
      <c r="D100" s="111">
        <f>IFERROR(IF(OR(B100="",C100="",COUNTIFS($B$4:B100,B100,$C$4:C100,C100)&gt;1),"",(_xludf.AGGREGATE(14,6,MOD('Carga Web Cirugias'!$S$4:$S$500,1)/(('Carga Web Cirugias'!$A$4:$A$500=B100)*('Carga Web Cirugias'!$M$4:$M$500=C100)*('Carga Web Cirugias'!$R$4:$R$500&lt;&gt;"")*('Carga Web Cirugias'!$S$4:$S$500&lt;&gt;"")),1)-_xludf.AGGREGATE(15,6,MOD('Carga Web Cirugias'!$R$4:$R$500,1)/(('Carga Web Cirugias'!$A$4:$A$500=B100)*('Carga Web Cirugias'!$M$4:$M$500=C100)*('Carga Web Cirugias'!$R$4:$R$500&lt;&gt;"")*('Carga Web Cirugias'!$S$4:$S$500&lt;&gt;"")),1))*1440),"")</f>
        <v/>
      </c>
      <c r="E100" s="111">
        <f>IF(OR(B100="",C100="",D100=""),"",VLOOKUP(C100,'Horario Pabellones'!$A$4:$D$17,4,FALSE))</f>
        <v/>
      </c>
      <c r="F100" s="118">
        <f>IFERROR(IF(OR(D100="",E100="",E100=0),"",(D100/60)/(E100/60)),"")</f>
        <v/>
      </c>
      <c r="G100" s="109">
        <f>IF(F100="","",IF(F100&gt;=0.75,"Cumple referencia","Bajo referencia"))</f>
        <v/>
      </c>
      <c r="J100" s="94" t="n"/>
      <c r="K100" s="95" t="n"/>
      <c r="L100" s="95" t="n"/>
      <c r="M100" s="96" t="n"/>
      <c r="N100" s="95" t="n"/>
    </row>
    <row r="101" ht="16" customHeight="1" s="151">
      <c r="A101" s="112">
        <f>IF(OR('Carga Web Cirugias'!A101="",'Carga Web Cirugias'!M101=""),"",_xludf.ISOWEEKNUM('Carga Web Cirugias'!A101))</f>
        <v/>
      </c>
      <c r="B101" s="123">
        <f>IF('Carga Web Cirugias'!A101="","",'Carga Web Cirugias'!A101)</f>
        <v/>
      </c>
      <c r="C101" s="112">
        <f>IF('Carga Web Cirugias'!M101="","",'Carga Web Cirugias'!M101)</f>
        <v/>
      </c>
      <c r="D101" s="114">
        <f>IFERROR(IF(OR(B101="",C101="",COUNTIFS($B$4:B101,B101,$C$4:C101,C101)&gt;1),"",(_xludf.AGGREGATE(14,6,MOD('Carga Web Cirugias'!$S$4:$S$500,1)/(('Carga Web Cirugias'!$A$4:$A$500=B101)*('Carga Web Cirugias'!$M$4:$M$500=C101)*('Carga Web Cirugias'!$R$4:$R$500&lt;&gt;"")*('Carga Web Cirugias'!$S$4:$S$500&lt;&gt;"")),1)-_xludf.AGGREGATE(15,6,MOD('Carga Web Cirugias'!$R$4:$R$500,1)/(('Carga Web Cirugias'!$A$4:$A$500=B101)*('Carga Web Cirugias'!$M$4:$M$500=C101)*('Carga Web Cirugias'!$R$4:$R$500&lt;&gt;"")*('Carga Web Cirugias'!$S$4:$S$500&lt;&gt;"")),1))*1440),"")</f>
        <v/>
      </c>
      <c r="E101" s="114">
        <f>IF(OR(B101="",C101="",D101=""),"",VLOOKUP(C101,'Horario Pabellones'!$A$4:$D$17,4,FALSE))</f>
        <v/>
      </c>
      <c r="F101" s="124">
        <f>IFERROR(IF(OR(D101="",E101="",E101=0),"",(D101/60)/(E101/60)),"")</f>
        <v/>
      </c>
      <c r="G101" s="112">
        <f>IF(F101="","",IF(F101&gt;=0.75,"Cumple referencia","Bajo referencia"))</f>
        <v/>
      </c>
      <c r="J101" s="94" t="n"/>
      <c r="K101" s="95" t="n"/>
      <c r="L101" s="95" t="n"/>
      <c r="M101" s="96" t="n"/>
      <c r="N101" s="95" t="n"/>
    </row>
    <row r="102" ht="16" customHeight="1" s="151">
      <c r="A102" s="109">
        <f>IF(OR('Carga Web Cirugias'!A102="",'Carga Web Cirugias'!M102=""),"",_xludf.ISOWEEKNUM('Carga Web Cirugias'!A102))</f>
        <v/>
      </c>
      <c r="B102" s="117">
        <f>IF('Carga Web Cirugias'!A102="","",'Carga Web Cirugias'!A102)</f>
        <v/>
      </c>
      <c r="C102" s="109">
        <f>IF('Carga Web Cirugias'!M102="","",'Carga Web Cirugias'!M102)</f>
        <v/>
      </c>
      <c r="D102" s="111">
        <f>IFERROR(IF(OR(B102="",C102="",COUNTIFS($B$4:B102,B102,$C$4:C102,C102)&gt;1),"",(_xludf.AGGREGATE(14,6,MOD('Carga Web Cirugias'!$S$4:$S$500,1)/(('Carga Web Cirugias'!$A$4:$A$500=B102)*('Carga Web Cirugias'!$M$4:$M$500=C102)*('Carga Web Cirugias'!$R$4:$R$500&lt;&gt;"")*('Carga Web Cirugias'!$S$4:$S$500&lt;&gt;"")),1)-_xludf.AGGREGATE(15,6,MOD('Carga Web Cirugias'!$R$4:$R$500,1)/(('Carga Web Cirugias'!$A$4:$A$500=B102)*('Carga Web Cirugias'!$M$4:$M$500=C102)*('Carga Web Cirugias'!$R$4:$R$500&lt;&gt;"")*('Carga Web Cirugias'!$S$4:$S$500&lt;&gt;"")),1))*1440),"")</f>
        <v/>
      </c>
      <c r="E102" s="111">
        <f>IF(OR(B102="",C102="",D102=""),"",VLOOKUP(C102,'Horario Pabellones'!$A$4:$D$17,4,FALSE))</f>
        <v/>
      </c>
      <c r="F102" s="118">
        <f>IFERROR(IF(OR(D102="",E102="",E102=0),"",(D102/60)/(E102/60)),"")</f>
        <v/>
      </c>
      <c r="G102" s="109">
        <f>IF(F102="","",IF(F102&gt;=0.75,"Cumple referencia","Bajo referencia"))</f>
        <v/>
      </c>
      <c r="J102" s="94" t="n"/>
      <c r="K102" s="95" t="n"/>
      <c r="L102" s="95" t="n"/>
      <c r="M102" s="96" t="n"/>
      <c r="N102" s="95" t="n"/>
    </row>
    <row r="103" ht="16" customHeight="1" s="151">
      <c r="A103" s="112">
        <f>IF(OR('Carga Web Cirugias'!A103="",'Carga Web Cirugias'!M103=""),"",_xludf.ISOWEEKNUM('Carga Web Cirugias'!A103))</f>
        <v/>
      </c>
      <c r="B103" s="123">
        <f>IF('Carga Web Cirugias'!A103="","",'Carga Web Cirugias'!A103)</f>
        <v/>
      </c>
      <c r="C103" s="112">
        <f>IF('Carga Web Cirugias'!M103="","",'Carga Web Cirugias'!M103)</f>
        <v/>
      </c>
      <c r="D103" s="114">
        <f>IFERROR(IF(OR(B103="",C103="",COUNTIFS($B$4:B103,B103,$C$4:C103,C103)&gt;1),"",(_xludf.AGGREGATE(14,6,MOD('Carga Web Cirugias'!$S$4:$S$500,1)/(('Carga Web Cirugias'!$A$4:$A$500=B103)*('Carga Web Cirugias'!$M$4:$M$500=C103)*('Carga Web Cirugias'!$R$4:$R$500&lt;&gt;"")*('Carga Web Cirugias'!$S$4:$S$500&lt;&gt;"")),1)-_xludf.AGGREGATE(15,6,MOD('Carga Web Cirugias'!$R$4:$R$500,1)/(('Carga Web Cirugias'!$A$4:$A$500=B103)*('Carga Web Cirugias'!$M$4:$M$500=C103)*('Carga Web Cirugias'!$R$4:$R$500&lt;&gt;"")*('Carga Web Cirugias'!$S$4:$S$500&lt;&gt;"")),1))*1440),"")</f>
        <v/>
      </c>
      <c r="E103" s="114">
        <f>IF(OR(B103="",C103="",D103=""),"",VLOOKUP(C103,'Horario Pabellones'!$A$4:$D$17,4,FALSE))</f>
        <v/>
      </c>
      <c r="F103" s="124">
        <f>IFERROR(IF(OR(D103="",E103="",E103=0),"",(D103/60)/(E103/60)),"")</f>
        <v/>
      </c>
      <c r="G103" s="112">
        <f>IF(F103="","",IF(F103&gt;=0.75,"Cumple referencia","Bajo referencia"))</f>
        <v/>
      </c>
      <c r="J103" s="94" t="n"/>
      <c r="K103" s="95" t="n"/>
      <c r="L103" s="95" t="n"/>
      <c r="M103" s="96" t="n"/>
      <c r="N103" s="95" t="n"/>
    </row>
    <row r="104" ht="16" customHeight="1" s="151">
      <c r="A104" s="109">
        <f>IF(OR('Carga Web Cirugias'!A104="",'Carga Web Cirugias'!M104=""),"",_xludf.ISOWEEKNUM('Carga Web Cirugias'!A104))</f>
        <v/>
      </c>
      <c r="B104" s="117">
        <f>IF('Carga Web Cirugias'!A104="","",'Carga Web Cirugias'!A104)</f>
        <v/>
      </c>
      <c r="C104" s="109">
        <f>IF('Carga Web Cirugias'!M104="","",'Carga Web Cirugias'!M104)</f>
        <v/>
      </c>
      <c r="D104" s="111">
        <f>IFERROR(IF(OR(B104="",C104="",COUNTIFS($B$4:B104,B104,$C$4:C104,C104)&gt;1),"",(_xludf.AGGREGATE(14,6,MOD('Carga Web Cirugias'!$S$4:$S$500,1)/(('Carga Web Cirugias'!$A$4:$A$500=B104)*('Carga Web Cirugias'!$M$4:$M$500=C104)*('Carga Web Cirugias'!$R$4:$R$500&lt;&gt;"")*('Carga Web Cirugias'!$S$4:$S$500&lt;&gt;"")),1)-_xludf.AGGREGATE(15,6,MOD('Carga Web Cirugias'!$R$4:$R$500,1)/(('Carga Web Cirugias'!$A$4:$A$500=B104)*('Carga Web Cirugias'!$M$4:$M$500=C104)*('Carga Web Cirugias'!$R$4:$R$500&lt;&gt;"")*('Carga Web Cirugias'!$S$4:$S$500&lt;&gt;"")),1))*1440),"")</f>
        <v/>
      </c>
      <c r="E104" s="111">
        <f>IF(OR(B104="",C104="",D104=""),"",VLOOKUP(C104,'Horario Pabellones'!$A$4:$D$17,4,FALSE))</f>
        <v/>
      </c>
      <c r="F104" s="118">
        <f>IFERROR(IF(OR(D104="",E104="",E104=0),"",(D104/60)/(E104/60)),"")</f>
        <v/>
      </c>
      <c r="G104" s="109">
        <f>IF(F104="","",IF(F104&gt;=0.75,"Cumple referencia","Bajo referencia"))</f>
        <v/>
      </c>
      <c r="J104" s="94" t="n"/>
      <c r="K104" s="95" t="n"/>
      <c r="L104" s="95" t="n"/>
      <c r="M104" s="96" t="n"/>
      <c r="N104" s="95" t="n"/>
    </row>
    <row r="105" ht="16" customHeight="1" s="151">
      <c r="A105" s="112">
        <f>IF(OR('Carga Web Cirugias'!A105="",'Carga Web Cirugias'!M105=""),"",_xludf.ISOWEEKNUM('Carga Web Cirugias'!A105))</f>
        <v/>
      </c>
      <c r="B105" s="123">
        <f>IF('Carga Web Cirugias'!A105="","",'Carga Web Cirugias'!A105)</f>
        <v/>
      </c>
      <c r="C105" s="112">
        <f>IF('Carga Web Cirugias'!M105="","",'Carga Web Cirugias'!M105)</f>
        <v/>
      </c>
      <c r="D105" s="114">
        <f>IFERROR(IF(OR(B105="",C105="",COUNTIFS($B$4:B105,B105,$C$4:C105,C105)&gt;1),"",(_xludf.AGGREGATE(14,6,MOD('Carga Web Cirugias'!$S$4:$S$500,1)/(('Carga Web Cirugias'!$A$4:$A$500=B105)*('Carga Web Cirugias'!$M$4:$M$500=C105)*('Carga Web Cirugias'!$R$4:$R$500&lt;&gt;"")*('Carga Web Cirugias'!$S$4:$S$500&lt;&gt;"")),1)-_xludf.AGGREGATE(15,6,MOD('Carga Web Cirugias'!$R$4:$R$500,1)/(('Carga Web Cirugias'!$A$4:$A$500=B105)*('Carga Web Cirugias'!$M$4:$M$500=C105)*('Carga Web Cirugias'!$R$4:$R$500&lt;&gt;"")*('Carga Web Cirugias'!$S$4:$S$500&lt;&gt;"")),1))*1440),"")</f>
        <v/>
      </c>
      <c r="E105" s="114">
        <f>IF(OR(B105="",C105="",D105=""),"",VLOOKUP(C105,'Horario Pabellones'!$A$4:$D$17,4,FALSE))</f>
        <v/>
      </c>
      <c r="F105" s="124">
        <f>IFERROR(IF(OR(D105="",E105="",E105=0),"",(D105/60)/(E105/60)),"")</f>
        <v/>
      </c>
      <c r="G105" s="112">
        <f>IF(F105="","",IF(F105&gt;=0.75,"Cumple referencia","Bajo referencia"))</f>
        <v/>
      </c>
      <c r="J105" s="94" t="n"/>
      <c r="K105" s="95" t="n"/>
      <c r="L105" s="95" t="n"/>
      <c r="M105" s="96" t="n"/>
      <c r="N105" s="95" t="n"/>
    </row>
    <row r="106" ht="16" customHeight="1" s="151">
      <c r="A106" s="109">
        <f>IF(OR('Carga Web Cirugias'!A106="",'Carga Web Cirugias'!M106=""),"",_xludf.ISOWEEKNUM('Carga Web Cirugias'!A106))</f>
        <v/>
      </c>
      <c r="B106" s="117">
        <f>IF('Carga Web Cirugias'!A106="","",'Carga Web Cirugias'!A106)</f>
        <v/>
      </c>
      <c r="C106" s="109">
        <f>IF('Carga Web Cirugias'!M106="","",'Carga Web Cirugias'!M106)</f>
        <v/>
      </c>
      <c r="D106" s="111">
        <f>IFERROR(IF(OR(B106="",C106="",COUNTIFS($B$4:B106,B106,$C$4:C106,C106)&gt;1),"",(_xludf.AGGREGATE(14,6,MOD('Carga Web Cirugias'!$S$4:$S$500,1)/(('Carga Web Cirugias'!$A$4:$A$500=B106)*('Carga Web Cirugias'!$M$4:$M$500=C106)*('Carga Web Cirugias'!$R$4:$R$500&lt;&gt;"")*('Carga Web Cirugias'!$S$4:$S$500&lt;&gt;"")),1)-_xludf.AGGREGATE(15,6,MOD('Carga Web Cirugias'!$R$4:$R$500,1)/(('Carga Web Cirugias'!$A$4:$A$500=B106)*('Carga Web Cirugias'!$M$4:$M$500=C106)*('Carga Web Cirugias'!$R$4:$R$500&lt;&gt;"")*('Carga Web Cirugias'!$S$4:$S$500&lt;&gt;"")),1))*1440),"")</f>
        <v/>
      </c>
      <c r="E106" s="111">
        <f>IF(OR(B106="",C106="",D106=""),"",VLOOKUP(C106,'Horario Pabellones'!$A$4:$D$17,4,FALSE))</f>
        <v/>
      </c>
      <c r="F106" s="118">
        <f>IFERROR(IF(OR(D106="",E106="",E106=0),"",(D106/60)/(E106/60)),"")</f>
        <v/>
      </c>
      <c r="G106" s="109">
        <f>IF(F106="","",IF(F106&gt;=0.75,"Cumple referencia","Bajo referencia"))</f>
        <v/>
      </c>
      <c r="J106" s="94" t="n"/>
      <c r="K106" s="95" t="n"/>
      <c r="L106" s="95" t="n"/>
      <c r="M106" s="96" t="n"/>
      <c r="N106" s="95" t="n"/>
    </row>
    <row r="107" ht="16" customHeight="1" s="151">
      <c r="A107" s="112">
        <f>IF(OR('Carga Web Cirugias'!A107="",'Carga Web Cirugias'!M107=""),"",_xludf.ISOWEEKNUM('Carga Web Cirugias'!A107))</f>
        <v/>
      </c>
      <c r="B107" s="123">
        <f>IF('Carga Web Cirugias'!A107="","",'Carga Web Cirugias'!A107)</f>
        <v/>
      </c>
      <c r="C107" s="112">
        <f>IF('Carga Web Cirugias'!M107="","",'Carga Web Cirugias'!M107)</f>
        <v/>
      </c>
      <c r="D107" s="114">
        <f>IFERROR(IF(OR(B107="",C107="",COUNTIFS($B$4:B107,B107,$C$4:C107,C107)&gt;1),"",(_xludf.AGGREGATE(14,6,MOD('Carga Web Cirugias'!$S$4:$S$500,1)/(('Carga Web Cirugias'!$A$4:$A$500=B107)*('Carga Web Cirugias'!$M$4:$M$500=C107)*('Carga Web Cirugias'!$R$4:$R$500&lt;&gt;"")*('Carga Web Cirugias'!$S$4:$S$500&lt;&gt;"")),1)-_xludf.AGGREGATE(15,6,MOD('Carga Web Cirugias'!$R$4:$R$500,1)/(('Carga Web Cirugias'!$A$4:$A$500=B107)*('Carga Web Cirugias'!$M$4:$M$500=C107)*('Carga Web Cirugias'!$R$4:$R$500&lt;&gt;"")*('Carga Web Cirugias'!$S$4:$S$500&lt;&gt;"")),1))*1440),"")</f>
        <v/>
      </c>
      <c r="E107" s="114">
        <f>IF(OR(B107="",C107="",D107=""),"",VLOOKUP(C107,'Horario Pabellones'!$A$4:$D$17,4,FALSE))</f>
        <v/>
      </c>
      <c r="F107" s="124">
        <f>IFERROR(IF(OR(D107="",E107="",E107=0),"",(D107/60)/(E107/60)),"")</f>
        <v/>
      </c>
      <c r="G107" s="112">
        <f>IF(F107="","",IF(F107&gt;=0.75,"Cumple referencia","Bajo referencia"))</f>
        <v/>
      </c>
      <c r="J107" s="94" t="n"/>
      <c r="K107" s="95" t="n"/>
      <c r="L107" s="95" t="n"/>
      <c r="M107" s="96" t="n"/>
      <c r="N107" s="95" t="n"/>
    </row>
    <row r="108" ht="16" customHeight="1" s="151">
      <c r="A108" s="109">
        <f>IF(OR('Carga Web Cirugias'!A108="",'Carga Web Cirugias'!M108=""),"",_xludf.ISOWEEKNUM('Carga Web Cirugias'!A108))</f>
        <v/>
      </c>
      <c r="B108" s="117">
        <f>IF('Carga Web Cirugias'!A108="","",'Carga Web Cirugias'!A108)</f>
        <v/>
      </c>
      <c r="C108" s="109">
        <f>IF('Carga Web Cirugias'!M108="","",'Carga Web Cirugias'!M108)</f>
        <v/>
      </c>
      <c r="D108" s="111">
        <f>IFERROR(IF(OR(B108="",C108="",COUNTIFS($B$4:B108,B108,$C$4:C108,C108)&gt;1),"",(_xludf.AGGREGATE(14,6,MOD('Carga Web Cirugias'!$S$4:$S$500,1)/(('Carga Web Cirugias'!$A$4:$A$500=B108)*('Carga Web Cirugias'!$M$4:$M$500=C108)*('Carga Web Cirugias'!$R$4:$R$500&lt;&gt;"")*('Carga Web Cirugias'!$S$4:$S$500&lt;&gt;"")),1)-_xludf.AGGREGATE(15,6,MOD('Carga Web Cirugias'!$R$4:$R$500,1)/(('Carga Web Cirugias'!$A$4:$A$500=B108)*('Carga Web Cirugias'!$M$4:$M$500=C108)*('Carga Web Cirugias'!$R$4:$R$500&lt;&gt;"")*('Carga Web Cirugias'!$S$4:$S$500&lt;&gt;"")),1))*1440),"")</f>
        <v/>
      </c>
      <c r="E108" s="111">
        <f>IF(OR(B108="",C108="",D108=""),"",VLOOKUP(C108,'Horario Pabellones'!$A$4:$D$17,4,FALSE))</f>
        <v/>
      </c>
      <c r="F108" s="118">
        <f>IFERROR(IF(OR(D108="",E108="",E108=0),"",(D108/60)/(E108/60)),"")</f>
        <v/>
      </c>
      <c r="G108" s="109">
        <f>IF(F108="","",IF(F108&gt;=0.75,"Cumple referencia","Bajo referencia"))</f>
        <v/>
      </c>
      <c r="J108" s="94" t="n"/>
      <c r="K108" s="95" t="n"/>
      <c r="L108" s="95" t="n"/>
      <c r="M108" s="96" t="n"/>
      <c r="N108" s="95" t="n"/>
    </row>
    <row r="109" ht="16" customHeight="1" s="151">
      <c r="A109" s="112">
        <f>IF(OR('Carga Web Cirugias'!A109="",'Carga Web Cirugias'!M109=""),"",_xludf.ISOWEEKNUM('Carga Web Cirugias'!A109))</f>
        <v/>
      </c>
      <c r="B109" s="123">
        <f>IF('Carga Web Cirugias'!A109="","",'Carga Web Cirugias'!A109)</f>
        <v/>
      </c>
      <c r="C109" s="112">
        <f>IF('Carga Web Cirugias'!M109="","",'Carga Web Cirugias'!M109)</f>
        <v/>
      </c>
      <c r="D109" s="114">
        <f>IFERROR(IF(OR(B109="",C109="",COUNTIFS($B$4:B109,B109,$C$4:C109,C109)&gt;1),"",(_xludf.AGGREGATE(14,6,MOD('Carga Web Cirugias'!$S$4:$S$500,1)/(('Carga Web Cirugias'!$A$4:$A$500=B109)*('Carga Web Cirugias'!$M$4:$M$500=C109)*('Carga Web Cirugias'!$R$4:$R$500&lt;&gt;"")*('Carga Web Cirugias'!$S$4:$S$500&lt;&gt;"")),1)-_xludf.AGGREGATE(15,6,MOD('Carga Web Cirugias'!$R$4:$R$500,1)/(('Carga Web Cirugias'!$A$4:$A$500=B109)*('Carga Web Cirugias'!$M$4:$M$500=C109)*('Carga Web Cirugias'!$R$4:$R$500&lt;&gt;"")*('Carga Web Cirugias'!$S$4:$S$500&lt;&gt;"")),1))*1440),"")</f>
        <v/>
      </c>
      <c r="E109" s="114">
        <f>IF(OR(B109="",C109="",D109=""),"",VLOOKUP(C109,'Horario Pabellones'!$A$4:$D$17,4,FALSE))</f>
        <v/>
      </c>
      <c r="F109" s="124">
        <f>IFERROR(IF(OR(D109="",E109="",E109=0),"",(D109/60)/(E109/60)),"")</f>
        <v/>
      </c>
      <c r="G109" s="112">
        <f>IF(F109="","",IF(F109&gt;=0.75,"Cumple referencia","Bajo referencia"))</f>
        <v/>
      </c>
      <c r="J109" s="94" t="n"/>
      <c r="K109" s="95" t="n"/>
      <c r="L109" s="95" t="n"/>
      <c r="M109" s="96" t="n"/>
      <c r="N109" s="95" t="n"/>
    </row>
    <row r="110" ht="16" customHeight="1" s="151">
      <c r="A110" s="109">
        <f>IF(OR('Carga Web Cirugias'!A110="",'Carga Web Cirugias'!M110=""),"",_xludf.ISOWEEKNUM('Carga Web Cirugias'!A110))</f>
        <v/>
      </c>
      <c r="B110" s="117">
        <f>IF('Carga Web Cirugias'!A110="","",'Carga Web Cirugias'!A110)</f>
        <v/>
      </c>
      <c r="C110" s="109">
        <f>IF('Carga Web Cirugias'!M110="","",'Carga Web Cirugias'!M110)</f>
        <v/>
      </c>
      <c r="D110" s="111">
        <f>IFERROR(IF(OR(B110="",C110="",COUNTIFS($B$4:B110,B110,$C$4:C110,C110)&gt;1),"",(_xludf.AGGREGATE(14,6,MOD('Carga Web Cirugias'!$S$4:$S$500,1)/(('Carga Web Cirugias'!$A$4:$A$500=B110)*('Carga Web Cirugias'!$M$4:$M$500=C110)*('Carga Web Cirugias'!$R$4:$R$500&lt;&gt;"")*('Carga Web Cirugias'!$S$4:$S$500&lt;&gt;"")),1)-_xludf.AGGREGATE(15,6,MOD('Carga Web Cirugias'!$R$4:$R$500,1)/(('Carga Web Cirugias'!$A$4:$A$500=B110)*('Carga Web Cirugias'!$M$4:$M$500=C110)*('Carga Web Cirugias'!$R$4:$R$500&lt;&gt;"")*('Carga Web Cirugias'!$S$4:$S$500&lt;&gt;"")),1))*1440),"")</f>
        <v/>
      </c>
      <c r="E110" s="111">
        <f>IF(OR(B110="",C110="",D110=""),"",VLOOKUP(C110,'Horario Pabellones'!$A$4:$D$17,4,FALSE))</f>
        <v/>
      </c>
      <c r="F110" s="118">
        <f>IFERROR(IF(OR(D110="",E110="",E110=0),"",(D110/60)/(E110/60)),"")</f>
        <v/>
      </c>
      <c r="G110" s="109">
        <f>IF(F110="","",IF(F110&gt;=0.75,"Cumple referencia","Bajo referencia"))</f>
        <v/>
      </c>
      <c r="J110" s="94" t="n"/>
      <c r="K110" s="95" t="n"/>
      <c r="L110" s="95" t="n"/>
      <c r="M110" s="96" t="n"/>
      <c r="N110" s="95" t="n"/>
    </row>
    <row r="111" ht="16" customHeight="1" s="151">
      <c r="A111" s="112">
        <f>IF(OR('Carga Web Cirugias'!A111="",'Carga Web Cirugias'!M111=""),"",_xludf.ISOWEEKNUM('Carga Web Cirugias'!A111))</f>
        <v/>
      </c>
      <c r="B111" s="123">
        <f>IF('Carga Web Cirugias'!A111="","",'Carga Web Cirugias'!A111)</f>
        <v/>
      </c>
      <c r="C111" s="112">
        <f>IF('Carga Web Cirugias'!M111="","",'Carga Web Cirugias'!M111)</f>
        <v/>
      </c>
      <c r="D111" s="114">
        <f>IFERROR(IF(OR(B111="",C111="",COUNTIFS($B$4:B111,B111,$C$4:C111,C111)&gt;1),"",(_xludf.AGGREGATE(14,6,MOD('Carga Web Cirugias'!$S$4:$S$500,1)/(('Carga Web Cirugias'!$A$4:$A$500=B111)*('Carga Web Cirugias'!$M$4:$M$500=C111)*('Carga Web Cirugias'!$R$4:$R$500&lt;&gt;"")*('Carga Web Cirugias'!$S$4:$S$500&lt;&gt;"")),1)-_xludf.AGGREGATE(15,6,MOD('Carga Web Cirugias'!$R$4:$R$500,1)/(('Carga Web Cirugias'!$A$4:$A$500=B111)*('Carga Web Cirugias'!$M$4:$M$500=C111)*('Carga Web Cirugias'!$R$4:$R$500&lt;&gt;"")*('Carga Web Cirugias'!$S$4:$S$500&lt;&gt;"")),1))*1440),"")</f>
        <v/>
      </c>
      <c r="E111" s="114">
        <f>IF(OR(B111="",C111="",D111=""),"",VLOOKUP(C111,'Horario Pabellones'!$A$4:$D$17,4,FALSE))</f>
        <v/>
      </c>
      <c r="F111" s="124">
        <f>IFERROR(IF(OR(D111="",E111="",E111=0),"",(D111/60)/(E111/60)),"")</f>
        <v/>
      </c>
      <c r="G111" s="112">
        <f>IF(F111="","",IF(F111&gt;=0.75,"Cumple referencia","Bajo referencia"))</f>
        <v/>
      </c>
      <c r="J111" s="94" t="n"/>
      <c r="K111" s="95" t="n"/>
      <c r="L111" s="95" t="n"/>
      <c r="M111" s="96" t="n"/>
      <c r="N111" s="95" t="n"/>
    </row>
    <row r="112" ht="16" customHeight="1" s="151">
      <c r="A112" s="109">
        <f>IF(OR('Carga Web Cirugias'!A112="",'Carga Web Cirugias'!M112=""),"",_xludf.ISOWEEKNUM('Carga Web Cirugias'!A112))</f>
        <v/>
      </c>
      <c r="B112" s="117">
        <f>IF('Carga Web Cirugias'!A112="","",'Carga Web Cirugias'!A112)</f>
        <v/>
      </c>
      <c r="C112" s="109">
        <f>IF('Carga Web Cirugias'!M112="","",'Carga Web Cirugias'!M112)</f>
        <v/>
      </c>
      <c r="D112" s="111">
        <f>IFERROR(IF(OR(B112="",C112="",COUNTIFS($B$4:B112,B112,$C$4:C112,C112)&gt;1),"",(_xludf.AGGREGATE(14,6,MOD('Carga Web Cirugias'!$S$4:$S$500,1)/(('Carga Web Cirugias'!$A$4:$A$500=B112)*('Carga Web Cirugias'!$M$4:$M$500=C112)*('Carga Web Cirugias'!$R$4:$R$500&lt;&gt;"")*('Carga Web Cirugias'!$S$4:$S$500&lt;&gt;"")),1)-_xludf.AGGREGATE(15,6,MOD('Carga Web Cirugias'!$R$4:$R$500,1)/(('Carga Web Cirugias'!$A$4:$A$500=B112)*('Carga Web Cirugias'!$M$4:$M$500=C112)*('Carga Web Cirugias'!$R$4:$R$500&lt;&gt;"")*('Carga Web Cirugias'!$S$4:$S$500&lt;&gt;"")),1))*1440),"")</f>
        <v/>
      </c>
      <c r="E112" s="111">
        <f>IF(OR(B112="",C112="",D112=""),"",VLOOKUP(C112,'Horario Pabellones'!$A$4:$D$17,4,FALSE))</f>
        <v/>
      </c>
      <c r="F112" s="118">
        <f>IFERROR(IF(OR(D112="",E112="",E112=0),"",(D112/60)/(E112/60)),"")</f>
        <v/>
      </c>
      <c r="G112" s="109">
        <f>IF(F112="","",IF(F112&gt;=0.75,"Cumple referencia","Bajo referencia"))</f>
        <v/>
      </c>
      <c r="J112" s="94" t="n"/>
      <c r="K112" s="95" t="n"/>
      <c r="L112" s="95" t="n"/>
      <c r="M112" s="96" t="n"/>
      <c r="N112" s="95" t="n"/>
    </row>
    <row r="113" ht="16" customHeight="1" s="151">
      <c r="A113" s="112">
        <f>IF(OR('Carga Web Cirugias'!A113="",'Carga Web Cirugias'!M113=""),"",_xludf.ISOWEEKNUM('Carga Web Cirugias'!A113))</f>
        <v/>
      </c>
      <c r="B113" s="123">
        <f>IF('Carga Web Cirugias'!A113="","",'Carga Web Cirugias'!A113)</f>
        <v/>
      </c>
      <c r="C113" s="112">
        <f>IF('Carga Web Cirugias'!M113="","",'Carga Web Cirugias'!M113)</f>
        <v/>
      </c>
      <c r="D113" s="114">
        <f>IFERROR(IF(OR(B113="",C113="",COUNTIFS($B$4:B113,B113,$C$4:C113,C113)&gt;1),"",(_xludf.AGGREGATE(14,6,MOD('Carga Web Cirugias'!$S$4:$S$500,1)/(('Carga Web Cirugias'!$A$4:$A$500=B113)*('Carga Web Cirugias'!$M$4:$M$500=C113)*('Carga Web Cirugias'!$R$4:$R$500&lt;&gt;"")*('Carga Web Cirugias'!$S$4:$S$500&lt;&gt;"")),1)-_xludf.AGGREGATE(15,6,MOD('Carga Web Cirugias'!$R$4:$R$500,1)/(('Carga Web Cirugias'!$A$4:$A$500=B113)*('Carga Web Cirugias'!$M$4:$M$500=C113)*('Carga Web Cirugias'!$R$4:$R$500&lt;&gt;"")*('Carga Web Cirugias'!$S$4:$S$500&lt;&gt;"")),1))*1440),"")</f>
        <v/>
      </c>
      <c r="E113" s="114">
        <f>IF(OR(B113="",C113="",D113=""),"",VLOOKUP(C113,'Horario Pabellones'!$A$4:$D$17,4,FALSE))</f>
        <v/>
      </c>
      <c r="F113" s="124">
        <f>IFERROR(IF(OR(D113="",E113="",E113=0),"",(D113/60)/(E113/60)),"")</f>
        <v/>
      </c>
      <c r="G113" s="112">
        <f>IF(F113="","",IF(F113&gt;=0.75,"Cumple referencia","Bajo referencia"))</f>
        <v/>
      </c>
      <c r="J113" s="94" t="n"/>
      <c r="K113" s="95" t="n"/>
      <c r="L113" s="95" t="n"/>
      <c r="M113" s="96" t="n"/>
      <c r="N113" s="95" t="n"/>
    </row>
    <row r="114" ht="16" customHeight="1" s="151">
      <c r="A114" s="109">
        <f>IF(OR('Carga Web Cirugias'!A114="",'Carga Web Cirugias'!M114=""),"",_xludf.ISOWEEKNUM('Carga Web Cirugias'!A114))</f>
        <v/>
      </c>
      <c r="B114" s="117">
        <f>IF('Carga Web Cirugias'!A114="","",'Carga Web Cirugias'!A114)</f>
        <v/>
      </c>
      <c r="C114" s="109">
        <f>IF('Carga Web Cirugias'!M114="","",'Carga Web Cirugias'!M114)</f>
        <v/>
      </c>
      <c r="D114" s="111">
        <f>IFERROR(IF(OR(B114="",C114="",COUNTIFS($B$4:B114,B114,$C$4:C114,C114)&gt;1),"",(_xludf.AGGREGATE(14,6,MOD('Carga Web Cirugias'!$S$4:$S$500,1)/(('Carga Web Cirugias'!$A$4:$A$500=B114)*('Carga Web Cirugias'!$M$4:$M$500=C114)*('Carga Web Cirugias'!$R$4:$R$500&lt;&gt;"")*('Carga Web Cirugias'!$S$4:$S$500&lt;&gt;"")),1)-_xludf.AGGREGATE(15,6,MOD('Carga Web Cirugias'!$R$4:$R$500,1)/(('Carga Web Cirugias'!$A$4:$A$500=B114)*('Carga Web Cirugias'!$M$4:$M$500=C114)*('Carga Web Cirugias'!$R$4:$R$500&lt;&gt;"")*('Carga Web Cirugias'!$S$4:$S$500&lt;&gt;"")),1))*1440),"")</f>
        <v/>
      </c>
      <c r="E114" s="111">
        <f>IF(OR(B114="",C114="",D114=""),"",VLOOKUP(C114,'Horario Pabellones'!$A$4:$D$17,4,FALSE))</f>
        <v/>
      </c>
      <c r="F114" s="118">
        <f>IFERROR(IF(OR(D114="",E114="",E114=0),"",(D114/60)/(E114/60)),"")</f>
        <v/>
      </c>
      <c r="G114" s="109">
        <f>IF(F114="","",IF(F114&gt;=0.75,"Cumple referencia","Bajo referencia"))</f>
        <v/>
      </c>
      <c r="J114" s="94" t="n"/>
      <c r="K114" s="95" t="n"/>
      <c r="L114" s="95" t="n"/>
      <c r="M114" s="96" t="n"/>
      <c r="N114" s="95" t="n"/>
    </row>
    <row r="115" ht="16" customHeight="1" s="151">
      <c r="A115" s="112">
        <f>IF(OR('Carga Web Cirugias'!A115="",'Carga Web Cirugias'!M115=""),"",_xludf.ISOWEEKNUM('Carga Web Cirugias'!A115))</f>
        <v/>
      </c>
      <c r="B115" s="123">
        <f>IF('Carga Web Cirugias'!A115="","",'Carga Web Cirugias'!A115)</f>
        <v/>
      </c>
      <c r="C115" s="112">
        <f>IF('Carga Web Cirugias'!M115="","",'Carga Web Cirugias'!M115)</f>
        <v/>
      </c>
      <c r="D115" s="114">
        <f>IFERROR(IF(OR(B115="",C115="",COUNTIFS($B$4:B115,B115,$C$4:C115,C115)&gt;1),"",(_xludf.AGGREGATE(14,6,MOD('Carga Web Cirugias'!$S$4:$S$500,1)/(('Carga Web Cirugias'!$A$4:$A$500=B115)*('Carga Web Cirugias'!$M$4:$M$500=C115)*('Carga Web Cirugias'!$R$4:$R$500&lt;&gt;"")*('Carga Web Cirugias'!$S$4:$S$500&lt;&gt;"")),1)-_xludf.AGGREGATE(15,6,MOD('Carga Web Cirugias'!$R$4:$R$500,1)/(('Carga Web Cirugias'!$A$4:$A$500=B115)*('Carga Web Cirugias'!$M$4:$M$500=C115)*('Carga Web Cirugias'!$R$4:$R$500&lt;&gt;"")*('Carga Web Cirugias'!$S$4:$S$500&lt;&gt;"")),1))*1440),"")</f>
        <v/>
      </c>
      <c r="E115" s="114">
        <f>IF(OR(B115="",C115="",D115=""),"",VLOOKUP(C115,'Horario Pabellones'!$A$4:$D$17,4,FALSE))</f>
        <v/>
      </c>
      <c r="F115" s="124">
        <f>IFERROR(IF(OR(D115="",E115="",E115=0),"",(D115/60)/(E115/60)),"")</f>
        <v/>
      </c>
      <c r="G115" s="112">
        <f>IF(F115="","",IF(F115&gt;=0.75,"Cumple referencia","Bajo referencia"))</f>
        <v/>
      </c>
      <c r="J115" s="94" t="n"/>
      <c r="K115" s="95" t="n"/>
      <c r="L115" s="95" t="n"/>
      <c r="M115" s="96" t="n"/>
      <c r="N115" s="95" t="n"/>
    </row>
    <row r="116" ht="16" customHeight="1" s="151">
      <c r="A116" s="109">
        <f>IF(OR('Carga Web Cirugias'!A116="",'Carga Web Cirugias'!M116=""),"",_xludf.ISOWEEKNUM('Carga Web Cirugias'!A116))</f>
        <v/>
      </c>
      <c r="B116" s="117">
        <f>IF('Carga Web Cirugias'!A116="","",'Carga Web Cirugias'!A116)</f>
        <v/>
      </c>
      <c r="C116" s="109">
        <f>IF('Carga Web Cirugias'!M116="","",'Carga Web Cirugias'!M116)</f>
        <v/>
      </c>
      <c r="D116" s="111">
        <f>IFERROR(IF(OR(B116="",C116="",COUNTIFS($B$4:B116,B116,$C$4:C116,C116)&gt;1),"",(_xludf.AGGREGATE(14,6,MOD('Carga Web Cirugias'!$S$4:$S$500,1)/(('Carga Web Cirugias'!$A$4:$A$500=B116)*('Carga Web Cirugias'!$M$4:$M$500=C116)*('Carga Web Cirugias'!$R$4:$R$500&lt;&gt;"")*('Carga Web Cirugias'!$S$4:$S$500&lt;&gt;"")),1)-_xludf.AGGREGATE(15,6,MOD('Carga Web Cirugias'!$R$4:$R$500,1)/(('Carga Web Cirugias'!$A$4:$A$500=B116)*('Carga Web Cirugias'!$M$4:$M$500=C116)*('Carga Web Cirugias'!$R$4:$R$500&lt;&gt;"")*('Carga Web Cirugias'!$S$4:$S$500&lt;&gt;"")),1))*1440),"")</f>
        <v/>
      </c>
      <c r="E116" s="111">
        <f>IF(OR(B116="",C116="",D116=""),"",VLOOKUP(C116,'Horario Pabellones'!$A$4:$D$17,4,FALSE))</f>
        <v/>
      </c>
      <c r="F116" s="118">
        <f>IFERROR(IF(OR(D116="",E116="",E116=0),"",(D116/60)/(E116/60)),"")</f>
        <v/>
      </c>
      <c r="G116" s="109">
        <f>IF(F116="","",IF(F116&gt;=0.75,"Cumple referencia","Bajo referencia"))</f>
        <v/>
      </c>
      <c r="J116" s="94" t="n"/>
      <c r="K116" s="95" t="n"/>
      <c r="L116" s="95" t="n"/>
      <c r="M116" s="96" t="n"/>
      <c r="N116" s="95" t="n"/>
    </row>
    <row r="117" ht="16" customHeight="1" s="151">
      <c r="A117" s="112">
        <f>IF(OR('Carga Web Cirugias'!A117="",'Carga Web Cirugias'!M117=""),"",_xludf.ISOWEEKNUM('Carga Web Cirugias'!A117))</f>
        <v/>
      </c>
      <c r="B117" s="123">
        <f>IF('Carga Web Cirugias'!A117="","",'Carga Web Cirugias'!A117)</f>
        <v/>
      </c>
      <c r="C117" s="112">
        <f>IF('Carga Web Cirugias'!M117="","",'Carga Web Cirugias'!M117)</f>
        <v/>
      </c>
      <c r="D117" s="114">
        <f>IFERROR(IF(OR(B117="",C117="",COUNTIFS($B$4:B117,B117,$C$4:C117,C117)&gt;1),"",(_xludf.AGGREGATE(14,6,MOD('Carga Web Cirugias'!$S$4:$S$500,1)/(('Carga Web Cirugias'!$A$4:$A$500=B117)*('Carga Web Cirugias'!$M$4:$M$500=C117)*('Carga Web Cirugias'!$R$4:$R$500&lt;&gt;"")*('Carga Web Cirugias'!$S$4:$S$500&lt;&gt;"")),1)-_xludf.AGGREGATE(15,6,MOD('Carga Web Cirugias'!$R$4:$R$500,1)/(('Carga Web Cirugias'!$A$4:$A$500=B117)*('Carga Web Cirugias'!$M$4:$M$500=C117)*('Carga Web Cirugias'!$R$4:$R$500&lt;&gt;"")*('Carga Web Cirugias'!$S$4:$S$500&lt;&gt;"")),1))*1440),"")</f>
        <v/>
      </c>
      <c r="E117" s="114">
        <f>IF(OR(B117="",C117="",D117=""),"",VLOOKUP(C117,'Horario Pabellones'!$A$4:$D$17,4,FALSE))</f>
        <v/>
      </c>
      <c r="F117" s="124">
        <f>IFERROR(IF(OR(D117="",E117="",E117=0),"",(D117/60)/(E117/60)),"")</f>
        <v/>
      </c>
      <c r="G117" s="112">
        <f>IF(F117="","",IF(F117&gt;=0.75,"Cumple referencia","Bajo referencia"))</f>
        <v/>
      </c>
      <c r="J117" s="94" t="n"/>
      <c r="K117" s="95" t="n"/>
      <c r="L117" s="95" t="n"/>
      <c r="M117" s="96" t="n"/>
      <c r="N117" s="95" t="n"/>
    </row>
    <row r="118" ht="16" customHeight="1" s="151">
      <c r="A118" s="109">
        <f>IF(OR('Carga Web Cirugias'!A118="",'Carga Web Cirugias'!M118=""),"",_xludf.ISOWEEKNUM('Carga Web Cirugias'!A118))</f>
        <v/>
      </c>
      <c r="B118" s="117">
        <f>IF('Carga Web Cirugias'!A118="","",'Carga Web Cirugias'!A118)</f>
        <v/>
      </c>
      <c r="C118" s="109">
        <f>IF('Carga Web Cirugias'!M118="","",'Carga Web Cirugias'!M118)</f>
        <v/>
      </c>
      <c r="D118" s="111">
        <f>IFERROR(IF(OR(B118="",C118="",COUNTIFS($B$4:B118,B118,$C$4:C118,C118)&gt;1),"",(_xludf.AGGREGATE(14,6,MOD('Carga Web Cirugias'!$S$4:$S$500,1)/(('Carga Web Cirugias'!$A$4:$A$500=B118)*('Carga Web Cirugias'!$M$4:$M$500=C118)*('Carga Web Cirugias'!$R$4:$R$500&lt;&gt;"")*('Carga Web Cirugias'!$S$4:$S$500&lt;&gt;"")),1)-_xludf.AGGREGATE(15,6,MOD('Carga Web Cirugias'!$R$4:$R$500,1)/(('Carga Web Cirugias'!$A$4:$A$500=B118)*('Carga Web Cirugias'!$M$4:$M$500=C118)*('Carga Web Cirugias'!$R$4:$R$500&lt;&gt;"")*('Carga Web Cirugias'!$S$4:$S$500&lt;&gt;"")),1))*1440),"")</f>
        <v/>
      </c>
      <c r="E118" s="111">
        <f>IF(OR(B118="",C118="",D118=""),"",VLOOKUP(C118,'Horario Pabellones'!$A$4:$D$17,4,FALSE))</f>
        <v/>
      </c>
      <c r="F118" s="118">
        <f>IFERROR(IF(OR(D118="",E118="",E118=0),"",(D118/60)/(E118/60)),"")</f>
        <v/>
      </c>
      <c r="G118" s="109">
        <f>IF(F118="","",IF(F118&gt;=0.75,"Cumple referencia","Bajo referencia"))</f>
        <v/>
      </c>
      <c r="J118" s="94" t="n"/>
      <c r="K118" s="95" t="n"/>
      <c r="L118" s="95" t="n"/>
      <c r="M118" s="96" t="n"/>
      <c r="N118" s="95" t="n"/>
    </row>
    <row r="119" ht="16" customHeight="1" s="151">
      <c r="A119" s="112">
        <f>IF(OR('Carga Web Cirugias'!A119="",'Carga Web Cirugias'!M119=""),"",_xludf.ISOWEEKNUM('Carga Web Cirugias'!A119))</f>
        <v/>
      </c>
      <c r="B119" s="123">
        <f>IF('Carga Web Cirugias'!A119="","",'Carga Web Cirugias'!A119)</f>
        <v/>
      </c>
      <c r="C119" s="112">
        <f>IF('Carga Web Cirugias'!M119="","",'Carga Web Cirugias'!M119)</f>
        <v/>
      </c>
      <c r="D119" s="114">
        <f>IFERROR(IF(OR(B119="",C119="",COUNTIFS($B$4:B119,B119,$C$4:C119,C119)&gt;1),"",(_xludf.AGGREGATE(14,6,MOD('Carga Web Cirugias'!$S$4:$S$500,1)/(('Carga Web Cirugias'!$A$4:$A$500=B119)*('Carga Web Cirugias'!$M$4:$M$500=C119)*('Carga Web Cirugias'!$R$4:$R$500&lt;&gt;"")*('Carga Web Cirugias'!$S$4:$S$500&lt;&gt;"")),1)-_xludf.AGGREGATE(15,6,MOD('Carga Web Cirugias'!$R$4:$R$500,1)/(('Carga Web Cirugias'!$A$4:$A$500=B119)*('Carga Web Cirugias'!$M$4:$M$500=C119)*('Carga Web Cirugias'!$R$4:$R$500&lt;&gt;"")*('Carga Web Cirugias'!$S$4:$S$500&lt;&gt;"")),1))*1440),"")</f>
        <v/>
      </c>
      <c r="E119" s="114">
        <f>IF(OR(B119="",C119="",D119=""),"",VLOOKUP(C119,'Horario Pabellones'!$A$4:$D$17,4,FALSE))</f>
        <v/>
      </c>
      <c r="F119" s="124">
        <f>IFERROR(IF(OR(D119="",E119="",E119=0),"",(D119/60)/(E119/60)),"")</f>
        <v/>
      </c>
      <c r="G119" s="112">
        <f>IF(F119="","",IF(F119&gt;=0.75,"Cumple referencia","Bajo referencia"))</f>
        <v/>
      </c>
      <c r="J119" s="94" t="n"/>
      <c r="K119" s="95" t="n"/>
      <c r="L119" s="95" t="n"/>
      <c r="M119" s="96" t="n"/>
      <c r="N119" s="95" t="n"/>
    </row>
    <row r="120" ht="16" customHeight="1" s="151">
      <c r="A120" s="109">
        <f>IF(OR('Carga Web Cirugias'!A120="",'Carga Web Cirugias'!M120=""),"",_xludf.ISOWEEKNUM('Carga Web Cirugias'!A120))</f>
        <v/>
      </c>
      <c r="B120" s="117">
        <f>IF('Carga Web Cirugias'!A120="","",'Carga Web Cirugias'!A120)</f>
        <v/>
      </c>
      <c r="C120" s="109">
        <f>IF('Carga Web Cirugias'!M120="","",'Carga Web Cirugias'!M120)</f>
        <v/>
      </c>
      <c r="D120" s="111">
        <f>IFERROR(IF(OR(B120="",C120="",COUNTIFS($B$4:B120,B120,$C$4:C120,C120)&gt;1),"",(_xludf.AGGREGATE(14,6,MOD('Carga Web Cirugias'!$S$4:$S$500,1)/(('Carga Web Cirugias'!$A$4:$A$500=B120)*('Carga Web Cirugias'!$M$4:$M$500=C120)*('Carga Web Cirugias'!$R$4:$R$500&lt;&gt;"")*('Carga Web Cirugias'!$S$4:$S$500&lt;&gt;"")),1)-_xludf.AGGREGATE(15,6,MOD('Carga Web Cirugias'!$R$4:$R$500,1)/(('Carga Web Cirugias'!$A$4:$A$500=B120)*('Carga Web Cirugias'!$M$4:$M$500=C120)*('Carga Web Cirugias'!$R$4:$R$500&lt;&gt;"")*('Carga Web Cirugias'!$S$4:$S$500&lt;&gt;"")),1))*1440),"")</f>
        <v/>
      </c>
      <c r="E120" s="111">
        <f>IF(OR(B120="",C120="",D120=""),"",VLOOKUP(C120,'Horario Pabellones'!$A$4:$D$17,4,FALSE))</f>
        <v/>
      </c>
      <c r="F120" s="118">
        <f>IFERROR(IF(OR(D120="",E120="",E120=0),"",(D120/60)/(E120/60)),"")</f>
        <v/>
      </c>
      <c r="G120" s="109">
        <f>IF(F120="","",IF(F120&gt;=0.75,"Cumple referencia","Bajo referencia"))</f>
        <v/>
      </c>
      <c r="J120" s="94" t="n"/>
      <c r="K120" s="95" t="n"/>
      <c r="L120" s="95" t="n"/>
      <c r="M120" s="96" t="n"/>
      <c r="N120" s="95" t="n"/>
    </row>
    <row r="121" ht="16" customHeight="1" s="151">
      <c r="A121" s="112">
        <f>IF(OR('Carga Web Cirugias'!A121="",'Carga Web Cirugias'!M121=""),"",_xludf.ISOWEEKNUM('Carga Web Cirugias'!A121))</f>
        <v/>
      </c>
      <c r="B121" s="123">
        <f>IF('Carga Web Cirugias'!A121="","",'Carga Web Cirugias'!A121)</f>
        <v/>
      </c>
      <c r="C121" s="112">
        <f>IF('Carga Web Cirugias'!M121="","",'Carga Web Cirugias'!M121)</f>
        <v/>
      </c>
      <c r="D121" s="114">
        <f>IFERROR(IF(OR(B121="",C121="",COUNTIFS($B$4:B121,B121,$C$4:C121,C121)&gt;1),"",(_xludf.AGGREGATE(14,6,MOD('Carga Web Cirugias'!$S$4:$S$500,1)/(('Carga Web Cirugias'!$A$4:$A$500=B121)*('Carga Web Cirugias'!$M$4:$M$500=C121)*('Carga Web Cirugias'!$R$4:$R$500&lt;&gt;"")*('Carga Web Cirugias'!$S$4:$S$500&lt;&gt;"")),1)-_xludf.AGGREGATE(15,6,MOD('Carga Web Cirugias'!$R$4:$R$500,1)/(('Carga Web Cirugias'!$A$4:$A$500=B121)*('Carga Web Cirugias'!$M$4:$M$500=C121)*('Carga Web Cirugias'!$R$4:$R$500&lt;&gt;"")*('Carga Web Cirugias'!$S$4:$S$500&lt;&gt;"")),1))*1440),"")</f>
        <v/>
      </c>
      <c r="E121" s="114">
        <f>IF(OR(B121="",C121="",D121=""),"",VLOOKUP(C121,'Horario Pabellones'!$A$4:$D$17,4,FALSE))</f>
        <v/>
      </c>
      <c r="F121" s="124">
        <f>IFERROR(IF(OR(D121="",E121="",E121=0),"",(D121/60)/(E121/60)),"")</f>
        <v/>
      </c>
      <c r="G121" s="112">
        <f>IF(F121="","",IF(F121&gt;=0.75,"Cumple referencia","Bajo referencia"))</f>
        <v/>
      </c>
      <c r="J121" s="94" t="n"/>
      <c r="K121" s="95" t="n"/>
      <c r="L121" s="95" t="n"/>
      <c r="M121" s="96" t="n"/>
      <c r="N121" s="95" t="n"/>
    </row>
    <row r="122" ht="16" customHeight="1" s="151">
      <c r="A122" s="109">
        <f>IF(OR('Carga Web Cirugias'!A122="",'Carga Web Cirugias'!M122=""),"",_xludf.ISOWEEKNUM('Carga Web Cirugias'!A122))</f>
        <v/>
      </c>
      <c r="B122" s="117">
        <f>IF('Carga Web Cirugias'!A122="","",'Carga Web Cirugias'!A122)</f>
        <v/>
      </c>
      <c r="C122" s="109">
        <f>IF('Carga Web Cirugias'!M122="","",'Carga Web Cirugias'!M122)</f>
        <v/>
      </c>
      <c r="D122" s="111">
        <f>IFERROR(IF(OR(B122="",C122="",COUNTIFS($B$4:B122,B122,$C$4:C122,C122)&gt;1),"",(_xludf.AGGREGATE(14,6,MOD('Carga Web Cirugias'!$S$4:$S$500,1)/(('Carga Web Cirugias'!$A$4:$A$500=B122)*('Carga Web Cirugias'!$M$4:$M$500=C122)*('Carga Web Cirugias'!$R$4:$R$500&lt;&gt;"")*('Carga Web Cirugias'!$S$4:$S$500&lt;&gt;"")),1)-_xludf.AGGREGATE(15,6,MOD('Carga Web Cirugias'!$R$4:$R$500,1)/(('Carga Web Cirugias'!$A$4:$A$500=B122)*('Carga Web Cirugias'!$M$4:$M$500=C122)*('Carga Web Cirugias'!$R$4:$R$500&lt;&gt;"")*('Carga Web Cirugias'!$S$4:$S$500&lt;&gt;"")),1))*1440),"")</f>
        <v/>
      </c>
      <c r="E122" s="111">
        <f>IF(OR(B122="",C122="",D122=""),"",VLOOKUP(C122,'Horario Pabellones'!$A$4:$D$17,4,FALSE))</f>
        <v/>
      </c>
      <c r="F122" s="118">
        <f>IFERROR(IF(OR(D122="",E122="",E122=0),"",(D122/60)/(E122/60)),"")</f>
        <v/>
      </c>
      <c r="G122" s="109">
        <f>IF(F122="","",IF(F122&gt;=0.75,"Cumple referencia","Bajo referencia"))</f>
        <v/>
      </c>
      <c r="J122" s="94" t="n"/>
      <c r="K122" s="95" t="n"/>
      <c r="L122" s="95" t="n"/>
      <c r="M122" s="96" t="n"/>
      <c r="N122" s="95" t="n"/>
    </row>
    <row r="123" ht="16" customHeight="1" s="151">
      <c r="A123" s="112">
        <f>IF(OR('Carga Web Cirugias'!A123="",'Carga Web Cirugias'!M123=""),"",_xludf.ISOWEEKNUM('Carga Web Cirugias'!A123))</f>
        <v/>
      </c>
      <c r="B123" s="123">
        <f>IF('Carga Web Cirugias'!A123="","",'Carga Web Cirugias'!A123)</f>
        <v/>
      </c>
      <c r="C123" s="112">
        <f>IF('Carga Web Cirugias'!M123="","",'Carga Web Cirugias'!M123)</f>
        <v/>
      </c>
      <c r="D123" s="114">
        <f>IFERROR(IF(OR(B123="",C123="",COUNTIFS($B$4:B123,B123,$C$4:C123,C123)&gt;1),"",(_xludf.AGGREGATE(14,6,MOD('Carga Web Cirugias'!$S$4:$S$500,1)/(('Carga Web Cirugias'!$A$4:$A$500=B123)*('Carga Web Cirugias'!$M$4:$M$500=C123)*('Carga Web Cirugias'!$R$4:$R$500&lt;&gt;"")*('Carga Web Cirugias'!$S$4:$S$500&lt;&gt;"")),1)-_xludf.AGGREGATE(15,6,MOD('Carga Web Cirugias'!$R$4:$R$500,1)/(('Carga Web Cirugias'!$A$4:$A$500=B123)*('Carga Web Cirugias'!$M$4:$M$500=C123)*('Carga Web Cirugias'!$R$4:$R$500&lt;&gt;"")*('Carga Web Cirugias'!$S$4:$S$500&lt;&gt;"")),1))*1440),"")</f>
        <v/>
      </c>
      <c r="E123" s="114">
        <f>IF(OR(B123="",C123="",D123=""),"",VLOOKUP(C123,'Horario Pabellones'!$A$4:$D$17,4,FALSE))</f>
        <v/>
      </c>
      <c r="F123" s="124">
        <f>IFERROR(IF(OR(D123="",E123="",E123=0),"",(D123/60)/(E123/60)),"")</f>
        <v/>
      </c>
      <c r="G123" s="112">
        <f>IF(F123="","",IF(F123&gt;=0.75,"Cumple referencia","Bajo referencia"))</f>
        <v/>
      </c>
      <c r="J123" s="94" t="n"/>
      <c r="K123" s="95" t="n"/>
      <c r="L123" s="95" t="n"/>
      <c r="M123" s="96" t="n"/>
      <c r="N123" s="95" t="n"/>
    </row>
    <row r="124" ht="16" customHeight="1" s="151">
      <c r="A124" s="109">
        <f>IF(OR('Carga Web Cirugias'!A124="",'Carga Web Cirugias'!M124=""),"",_xludf.ISOWEEKNUM('Carga Web Cirugias'!A124))</f>
        <v/>
      </c>
      <c r="B124" s="117">
        <f>IF('Carga Web Cirugias'!A124="","",'Carga Web Cirugias'!A124)</f>
        <v/>
      </c>
      <c r="C124" s="109">
        <f>IF('Carga Web Cirugias'!M124="","",'Carga Web Cirugias'!M124)</f>
        <v/>
      </c>
      <c r="D124" s="111">
        <f>IFERROR(IF(OR(B124="",C124="",COUNTIFS($B$4:B124,B124,$C$4:C124,C124)&gt;1),"",(_xludf.AGGREGATE(14,6,MOD('Carga Web Cirugias'!$S$4:$S$500,1)/(('Carga Web Cirugias'!$A$4:$A$500=B124)*('Carga Web Cirugias'!$M$4:$M$500=C124)*('Carga Web Cirugias'!$R$4:$R$500&lt;&gt;"")*('Carga Web Cirugias'!$S$4:$S$500&lt;&gt;"")),1)-_xludf.AGGREGATE(15,6,MOD('Carga Web Cirugias'!$R$4:$R$500,1)/(('Carga Web Cirugias'!$A$4:$A$500=B124)*('Carga Web Cirugias'!$M$4:$M$500=C124)*('Carga Web Cirugias'!$R$4:$R$500&lt;&gt;"")*('Carga Web Cirugias'!$S$4:$S$500&lt;&gt;"")),1))*1440),"")</f>
        <v/>
      </c>
      <c r="E124" s="111">
        <f>IF(OR(B124="",C124="",D124=""),"",VLOOKUP(C124,'Horario Pabellones'!$A$4:$D$17,4,FALSE))</f>
        <v/>
      </c>
      <c r="F124" s="118">
        <f>IFERROR(IF(OR(D124="",E124="",E124=0),"",(D124/60)/(E124/60)),"")</f>
        <v/>
      </c>
      <c r="G124" s="109">
        <f>IF(F124="","",IF(F124&gt;=0.75,"Cumple referencia","Bajo referencia"))</f>
        <v/>
      </c>
      <c r="J124" s="94" t="n"/>
      <c r="K124" s="95" t="n"/>
      <c r="L124" s="95" t="n"/>
      <c r="M124" s="96" t="n"/>
      <c r="N124" s="95" t="n"/>
    </row>
    <row r="125" ht="16" customHeight="1" s="151">
      <c r="A125" s="112">
        <f>IF(OR('Carga Web Cirugias'!A125="",'Carga Web Cirugias'!M125=""),"",_xludf.ISOWEEKNUM('Carga Web Cirugias'!A125))</f>
        <v/>
      </c>
      <c r="B125" s="123">
        <f>IF('Carga Web Cirugias'!A125="","",'Carga Web Cirugias'!A125)</f>
        <v/>
      </c>
      <c r="C125" s="112">
        <f>IF('Carga Web Cirugias'!M125="","",'Carga Web Cirugias'!M125)</f>
        <v/>
      </c>
      <c r="D125" s="114">
        <f>IFERROR(IF(OR(B125="",C125="",COUNTIFS($B$4:B125,B125,$C$4:C125,C125)&gt;1),"",(_xludf.AGGREGATE(14,6,MOD('Carga Web Cirugias'!$S$4:$S$500,1)/(('Carga Web Cirugias'!$A$4:$A$500=B125)*('Carga Web Cirugias'!$M$4:$M$500=C125)*('Carga Web Cirugias'!$R$4:$R$500&lt;&gt;"")*('Carga Web Cirugias'!$S$4:$S$500&lt;&gt;"")),1)-_xludf.AGGREGATE(15,6,MOD('Carga Web Cirugias'!$R$4:$R$500,1)/(('Carga Web Cirugias'!$A$4:$A$500=B125)*('Carga Web Cirugias'!$M$4:$M$500=C125)*('Carga Web Cirugias'!$R$4:$R$500&lt;&gt;"")*('Carga Web Cirugias'!$S$4:$S$500&lt;&gt;"")),1))*1440),"")</f>
        <v/>
      </c>
      <c r="E125" s="114">
        <f>IF(OR(B125="",C125="",D125=""),"",VLOOKUP(C125,'Horario Pabellones'!$A$4:$D$17,4,FALSE))</f>
        <v/>
      </c>
      <c r="F125" s="124">
        <f>IFERROR(IF(OR(D125="",E125="",E125=0),"",(D125/60)/(E125/60)),"")</f>
        <v/>
      </c>
      <c r="G125" s="112">
        <f>IF(F125="","",IF(F125&gt;=0.75,"Cumple referencia","Bajo referencia"))</f>
        <v/>
      </c>
      <c r="J125" s="94" t="n"/>
      <c r="K125" s="95" t="n"/>
      <c r="L125" s="95" t="n"/>
      <c r="M125" s="96" t="n"/>
      <c r="N125" s="95" t="n"/>
    </row>
    <row r="126" ht="16" customHeight="1" s="151">
      <c r="A126" s="109">
        <f>IF(OR('Carga Web Cirugias'!A126="",'Carga Web Cirugias'!M126=""),"",_xludf.ISOWEEKNUM('Carga Web Cirugias'!A126))</f>
        <v/>
      </c>
      <c r="B126" s="117">
        <f>IF('Carga Web Cirugias'!A126="","",'Carga Web Cirugias'!A126)</f>
        <v/>
      </c>
      <c r="C126" s="109">
        <f>IF('Carga Web Cirugias'!M126="","",'Carga Web Cirugias'!M126)</f>
        <v/>
      </c>
      <c r="D126" s="111">
        <f>IFERROR(IF(OR(B126="",C126="",COUNTIFS($B$4:B126,B126,$C$4:C126,C126)&gt;1),"",(_xludf.AGGREGATE(14,6,MOD('Carga Web Cirugias'!$S$4:$S$500,1)/(('Carga Web Cirugias'!$A$4:$A$500=B126)*('Carga Web Cirugias'!$M$4:$M$500=C126)*('Carga Web Cirugias'!$R$4:$R$500&lt;&gt;"")*('Carga Web Cirugias'!$S$4:$S$500&lt;&gt;"")),1)-_xludf.AGGREGATE(15,6,MOD('Carga Web Cirugias'!$R$4:$R$500,1)/(('Carga Web Cirugias'!$A$4:$A$500=B126)*('Carga Web Cirugias'!$M$4:$M$500=C126)*('Carga Web Cirugias'!$R$4:$R$500&lt;&gt;"")*('Carga Web Cirugias'!$S$4:$S$500&lt;&gt;"")),1))*1440),"")</f>
        <v/>
      </c>
      <c r="E126" s="111">
        <f>IF(OR(B126="",C126="",D126=""),"",VLOOKUP(C126,'Horario Pabellones'!$A$4:$D$17,4,FALSE))</f>
        <v/>
      </c>
      <c r="F126" s="118">
        <f>IFERROR(IF(OR(D126="",E126="",E126=0),"",(D126/60)/(E126/60)),"")</f>
        <v/>
      </c>
      <c r="G126" s="109">
        <f>IF(F126="","",IF(F126&gt;=0.75,"Cumple referencia","Bajo referencia"))</f>
        <v/>
      </c>
      <c r="J126" s="94" t="n"/>
      <c r="K126" s="95" t="n"/>
      <c r="L126" s="95" t="n"/>
      <c r="M126" s="96" t="n"/>
      <c r="N126" s="95" t="n"/>
    </row>
    <row r="127" ht="16" customHeight="1" s="151">
      <c r="A127" s="112">
        <f>IF(OR('Carga Web Cirugias'!A127="",'Carga Web Cirugias'!M127=""),"",_xludf.ISOWEEKNUM('Carga Web Cirugias'!A127))</f>
        <v/>
      </c>
      <c r="B127" s="123">
        <f>IF('Carga Web Cirugias'!A127="","",'Carga Web Cirugias'!A127)</f>
        <v/>
      </c>
      <c r="C127" s="112">
        <f>IF('Carga Web Cirugias'!M127="","",'Carga Web Cirugias'!M127)</f>
        <v/>
      </c>
      <c r="D127" s="114">
        <f>IFERROR(IF(OR(B127="",C127="",COUNTIFS($B$4:B127,B127,$C$4:C127,C127)&gt;1),"",(_xludf.AGGREGATE(14,6,MOD('Carga Web Cirugias'!$S$4:$S$500,1)/(('Carga Web Cirugias'!$A$4:$A$500=B127)*('Carga Web Cirugias'!$M$4:$M$500=C127)*('Carga Web Cirugias'!$R$4:$R$500&lt;&gt;"")*('Carga Web Cirugias'!$S$4:$S$500&lt;&gt;"")),1)-_xludf.AGGREGATE(15,6,MOD('Carga Web Cirugias'!$R$4:$R$500,1)/(('Carga Web Cirugias'!$A$4:$A$500=B127)*('Carga Web Cirugias'!$M$4:$M$500=C127)*('Carga Web Cirugias'!$R$4:$R$500&lt;&gt;"")*('Carga Web Cirugias'!$S$4:$S$500&lt;&gt;"")),1))*1440),"")</f>
        <v/>
      </c>
      <c r="E127" s="114">
        <f>IF(OR(B127="",C127="",D127=""),"",VLOOKUP(C127,'Horario Pabellones'!$A$4:$D$17,4,FALSE))</f>
        <v/>
      </c>
      <c r="F127" s="124">
        <f>IFERROR(IF(OR(D127="",E127="",E127=0),"",(D127/60)/(E127/60)),"")</f>
        <v/>
      </c>
      <c r="G127" s="112">
        <f>IF(F127="","",IF(F127&gt;=0.75,"Cumple referencia","Bajo referencia"))</f>
        <v/>
      </c>
      <c r="J127" s="94" t="n"/>
      <c r="K127" s="95" t="n"/>
      <c r="L127" s="95" t="n"/>
      <c r="M127" s="96" t="n"/>
      <c r="N127" s="95" t="n"/>
    </row>
    <row r="128" ht="16" customHeight="1" s="151">
      <c r="A128" s="109">
        <f>IF(OR('Carga Web Cirugias'!A128="",'Carga Web Cirugias'!M128=""),"",_xludf.ISOWEEKNUM('Carga Web Cirugias'!A128))</f>
        <v/>
      </c>
      <c r="B128" s="117">
        <f>IF('Carga Web Cirugias'!A128="","",'Carga Web Cirugias'!A128)</f>
        <v/>
      </c>
      <c r="C128" s="109">
        <f>IF('Carga Web Cirugias'!M128="","",'Carga Web Cirugias'!M128)</f>
        <v/>
      </c>
      <c r="D128" s="111">
        <f>IFERROR(IF(OR(B128="",C128="",COUNTIFS($B$4:B128,B128,$C$4:C128,C128)&gt;1),"",(_xludf.AGGREGATE(14,6,MOD('Carga Web Cirugias'!$S$4:$S$500,1)/(('Carga Web Cirugias'!$A$4:$A$500=B128)*('Carga Web Cirugias'!$M$4:$M$500=C128)*('Carga Web Cirugias'!$R$4:$R$500&lt;&gt;"")*('Carga Web Cirugias'!$S$4:$S$500&lt;&gt;"")),1)-_xludf.AGGREGATE(15,6,MOD('Carga Web Cirugias'!$R$4:$R$500,1)/(('Carga Web Cirugias'!$A$4:$A$500=B128)*('Carga Web Cirugias'!$M$4:$M$500=C128)*('Carga Web Cirugias'!$R$4:$R$500&lt;&gt;"")*('Carga Web Cirugias'!$S$4:$S$500&lt;&gt;"")),1))*1440),"")</f>
        <v/>
      </c>
      <c r="E128" s="111">
        <f>IF(OR(B128="",C128="",D128=""),"",VLOOKUP(C128,'Horario Pabellones'!$A$4:$D$17,4,FALSE))</f>
        <v/>
      </c>
      <c r="F128" s="118">
        <f>IFERROR(IF(OR(D128="",E128="",E128=0),"",(D128/60)/(E128/60)),"")</f>
        <v/>
      </c>
      <c r="G128" s="109">
        <f>IF(F128="","",IF(F128&gt;=0.75,"Cumple referencia","Bajo referencia"))</f>
        <v/>
      </c>
      <c r="J128" s="94" t="n"/>
      <c r="K128" s="95" t="n"/>
      <c r="L128" s="95" t="n"/>
      <c r="M128" s="96" t="n"/>
      <c r="N128" s="95" t="n"/>
    </row>
    <row r="129" ht="16" customHeight="1" s="151">
      <c r="A129" s="112">
        <f>IF(OR('Carga Web Cirugias'!A129="",'Carga Web Cirugias'!M129=""),"",_xludf.ISOWEEKNUM('Carga Web Cirugias'!A129))</f>
        <v/>
      </c>
      <c r="B129" s="123">
        <f>IF('Carga Web Cirugias'!A129="","",'Carga Web Cirugias'!A129)</f>
        <v/>
      </c>
      <c r="C129" s="112">
        <f>IF('Carga Web Cirugias'!M129="","",'Carga Web Cirugias'!M129)</f>
        <v/>
      </c>
      <c r="D129" s="114">
        <f>IFERROR(IF(OR(B129="",C129="",COUNTIFS($B$4:B129,B129,$C$4:C129,C129)&gt;1),"",(_xludf.AGGREGATE(14,6,MOD('Carga Web Cirugias'!$S$4:$S$500,1)/(('Carga Web Cirugias'!$A$4:$A$500=B129)*('Carga Web Cirugias'!$M$4:$M$500=C129)*('Carga Web Cirugias'!$R$4:$R$500&lt;&gt;"")*('Carga Web Cirugias'!$S$4:$S$500&lt;&gt;"")),1)-_xludf.AGGREGATE(15,6,MOD('Carga Web Cirugias'!$R$4:$R$500,1)/(('Carga Web Cirugias'!$A$4:$A$500=B129)*('Carga Web Cirugias'!$M$4:$M$500=C129)*('Carga Web Cirugias'!$R$4:$R$500&lt;&gt;"")*('Carga Web Cirugias'!$S$4:$S$500&lt;&gt;"")),1))*1440),"")</f>
        <v/>
      </c>
      <c r="E129" s="114">
        <f>IF(OR(B129="",C129="",D129=""),"",VLOOKUP(C129,'Horario Pabellones'!$A$4:$D$17,4,FALSE))</f>
        <v/>
      </c>
      <c r="F129" s="124">
        <f>IFERROR(IF(OR(D129="",E129="",E129=0),"",(D129/60)/(E129/60)),"")</f>
        <v/>
      </c>
      <c r="G129" s="112">
        <f>IF(F129="","",IF(F129&gt;=0.75,"Cumple referencia","Bajo referencia"))</f>
        <v/>
      </c>
      <c r="J129" s="94" t="n"/>
      <c r="K129" s="95" t="n"/>
      <c r="L129" s="95" t="n"/>
      <c r="M129" s="96" t="n"/>
      <c r="N129" s="95" t="n"/>
    </row>
    <row r="130" ht="16" customHeight="1" s="151">
      <c r="A130" s="109">
        <f>IF(OR('Carga Web Cirugias'!A130="",'Carga Web Cirugias'!M130=""),"",_xludf.ISOWEEKNUM('Carga Web Cirugias'!A130))</f>
        <v/>
      </c>
      <c r="B130" s="117">
        <f>IF('Carga Web Cirugias'!A130="","",'Carga Web Cirugias'!A130)</f>
        <v/>
      </c>
      <c r="C130" s="109">
        <f>IF('Carga Web Cirugias'!M130="","",'Carga Web Cirugias'!M130)</f>
        <v/>
      </c>
      <c r="D130" s="111">
        <f>IFERROR(IF(OR(B130="",C130="",COUNTIFS($B$4:B130,B130,$C$4:C130,C130)&gt;1),"",(_xludf.AGGREGATE(14,6,MOD('Carga Web Cirugias'!$S$4:$S$500,1)/(('Carga Web Cirugias'!$A$4:$A$500=B130)*('Carga Web Cirugias'!$M$4:$M$500=C130)*('Carga Web Cirugias'!$R$4:$R$500&lt;&gt;"")*('Carga Web Cirugias'!$S$4:$S$500&lt;&gt;"")),1)-_xludf.AGGREGATE(15,6,MOD('Carga Web Cirugias'!$R$4:$R$500,1)/(('Carga Web Cirugias'!$A$4:$A$500=B130)*('Carga Web Cirugias'!$M$4:$M$500=C130)*('Carga Web Cirugias'!$R$4:$R$500&lt;&gt;"")*('Carga Web Cirugias'!$S$4:$S$500&lt;&gt;"")),1))*1440),"")</f>
        <v/>
      </c>
      <c r="E130" s="111">
        <f>IF(OR(B130="",C130="",D130=""),"",VLOOKUP(C130,'Horario Pabellones'!$A$4:$D$17,4,FALSE))</f>
        <v/>
      </c>
      <c r="F130" s="118">
        <f>IFERROR(IF(OR(D130="",E130="",E130=0),"",(D130/60)/(E130/60)),"")</f>
        <v/>
      </c>
      <c r="G130" s="109">
        <f>IF(F130="","",IF(F130&gt;=0.75,"Cumple referencia","Bajo referencia"))</f>
        <v/>
      </c>
      <c r="J130" s="94" t="n"/>
      <c r="K130" s="95" t="n"/>
      <c r="L130" s="95" t="n"/>
      <c r="M130" s="96" t="n"/>
      <c r="N130" s="95" t="n"/>
    </row>
    <row r="131" ht="16" customHeight="1" s="151">
      <c r="A131" s="112">
        <f>IF(OR('Carga Web Cirugias'!A131="",'Carga Web Cirugias'!M131=""),"",_xludf.ISOWEEKNUM('Carga Web Cirugias'!A131))</f>
        <v/>
      </c>
      <c r="B131" s="123">
        <f>IF('Carga Web Cirugias'!A131="","",'Carga Web Cirugias'!A131)</f>
        <v/>
      </c>
      <c r="C131" s="112">
        <f>IF('Carga Web Cirugias'!M131="","",'Carga Web Cirugias'!M131)</f>
        <v/>
      </c>
      <c r="D131" s="114">
        <f>IFERROR(IF(OR(B131="",C131="",COUNTIFS($B$4:B131,B131,$C$4:C131,C131)&gt;1),"",(_xludf.AGGREGATE(14,6,MOD('Carga Web Cirugias'!$S$4:$S$500,1)/(('Carga Web Cirugias'!$A$4:$A$500=B131)*('Carga Web Cirugias'!$M$4:$M$500=C131)*('Carga Web Cirugias'!$R$4:$R$500&lt;&gt;"")*('Carga Web Cirugias'!$S$4:$S$500&lt;&gt;"")),1)-_xludf.AGGREGATE(15,6,MOD('Carga Web Cirugias'!$R$4:$R$500,1)/(('Carga Web Cirugias'!$A$4:$A$500=B131)*('Carga Web Cirugias'!$M$4:$M$500=C131)*('Carga Web Cirugias'!$R$4:$R$500&lt;&gt;"")*('Carga Web Cirugias'!$S$4:$S$500&lt;&gt;"")),1))*1440),"")</f>
        <v/>
      </c>
      <c r="E131" s="114">
        <f>IF(OR(B131="",C131="",D131=""),"",VLOOKUP(C131,'Horario Pabellones'!$A$4:$D$17,4,FALSE))</f>
        <v/>
      </c>
      <c r="F131" s="124">
        <f>IFERROR(IF(OR(D131="",E131="",E131=0),"",(D131/60)/(E131/60)),"")</f>
        <v/>
      </c>
      <c r="G131" s="112">
        <f>IF(F131="","",IF(F131&gt;=0.75,"Cumple referencia","Bajo referencia"))</f>
        <v/>
      </c>
      <c r="J131" s="94" t="n"/>
      <c r="K131" s="95" t="n"/>
      <c r="L131" s="95" t="n"/>
      <c r="M131" s="96" t="n"/>
      <c r="N131" s="95" t="n"/>
    </row>
    <row r="132" ht="16" customHeight="1" s="151">
      <c r="A132" s="109">
        <f>IF(OR('Carga Web Cirugias'!A132="",'Carga Web Cirugias'!M132=""),"",_xludf.ISOWEEKNUM('Carga Web Cirugias'!A132))</f>
        <v/>
      </c>
      <c r="B132" s="117">
        <f>IF('Carga Web Cirugias'!A132="","",'Carga Web Cirugias'!A132)</f>
        <v/>
      </c>
      <c r="C132" s="109">
        <f>IF('Carga Web Cirugias'!M132="","",'Carga Web Cirugias'!M132)</f>
        <v/>
      </c>
      <c r="D132" s="111">
        <f>IFERROR(IF(OR(B132="",C132="",COUNTIFS($B$4:B132,B132,$C$4:C132,C132)&gt;1),"",(_xludf.AGGREGATE(14,6,MOD('Carga Web Cirugias'!$S$4:$S$500,1)/(('Carga Web Cirugias'!$A$4:$A$500=B132)*('Carga Web Cirugias'!$M$4:$M$500=C132)*('Carga Web Cirugias'!$R$4:$R$500&lt;&gt;"")*('Carga Web Cirugias'!$S$4:$S$500&lt;&gt;"")),1)-_xludf.AGGREGATE(15,6,MOD('Carga Web Cirugias'!$R$4:$R$500,1)/(('Carga Web Cirugias'!$A$4:$A$500=B132)*('Carga Web Cirugias'!$M$4:$M$500=C132)*('Carga Web Cirugias'!$R$4:$R$500&lt;&gt;"")*('Carga Web Cirugias'!$S$4:$S$500&lt;&gt;"")),1))*1440),"")</f>
        <v/>
      </c>
      <c r="E132" s="111">
        <f>IF(OR(B132="",C132="",D132=""),"",VLOOKUP(C132,'Horario Pabellones'!$A$4:$D$17,4,FALSE))</f>
        <v/>
      </c>
      <c r="F132" s="118">
        <f>IFERROR(IF(OR(D132="",E132="",E132=0),"",(D132/60)/(E132/60)),"")</f>
        <v/>
      </c>
      <c r="G132" s="109">
        <f>IF(F132="","",IF(F132&gt;=0.75,"Cumple referencia","Bajo referencia"))</f>
        <v/>
      </c>
      <c r="J132" s="94" t="n"/>
      <c r="K132" s="95" t="n"/>
      <c r="L132" s="95" t="n"/>
      <c r="M132" s="96" t="n"/>
      <c r="N132" s="95" t="n"/>
    </row>
    <row r="133" ht="16" customHeight="1" s="151">
      <c r="A133" s="112">
        <f>IF(OR('Carga Web Cirugias'!A133="",'Carga Web Cirugias'!M133=""),"",_xludf.ISOWEEKNUM('Carga Web Cirugias'!A133))</f>
        <v/>
      </c>
      <c r="B133" s="123">
        <f>IF('Carga Web Cirugias'!A133="","",'Carga Web Cirugias'!A133)</f>
        <v/>
      </c>
      <c r="C133" s="112">
        <f>IF('Carga Web Cirugias'!M133="","",'Carga Web Cirugias'!M133)</f>
        <v/>
      </c>
      <c r="D133" s="114">
        <f>IFERROR(IF(OR(B133="",C133="",COUNTIFS($B$4:B133,B133,$C$4:C133,C133)&gt;1),"",(_xludf.AGGREGATE(14,6,MOD('Carga Web Cirugias'!$S$4:$S$500,1)/(('Carga Web Cirugias'!$A$4:$A$500=B133)*('Carga Web Cirugias'!$M$4:$M$500=C133)*('Carga Web Cirugias'!$R$4:$R$500&lt;&gt;"")*('Carga Web Cirugias'!$S$4:$S$500&lt;&gt;"")),1)-_xludf.AGGREGATE(15,6,MOD('Carga Web Cirugias'!$R$4:$R$500,1)/(('Carga Web Cirugias'!$A$4:$A$500=B133)*('Carga Web Cirugias'!$M$4:$M$500=C133)*('Carga Web Cirugias'!$R$4:$R$500&lt;&gt;"")*('Carga Web Cirugias'!$S$4:$S$500&lt;&gt;"")),1))*1440),"")</f>
        <v/>
      </c>
      <c r="E133" s="114">
        <f>IF(OR(B133="",C133="",D133=""),"",VLOOKUP(C133,'Horario Pabellones'!$A$4:$D$17,4,FALSE))</f>
        <v/>
      </c>
      <c r="F133" s="124">
        <f>IFERROR(IF(OR(D133="",E133="",E133=0),"",(D133/60)/(E133/60)),"")</f>
        <v/>
      </c>
      <c r="G133" s="112">
        <f>IF(F133="","",IF(F133&gt;=0.75,"Cumple referencia","Bajo referencia"))</f>
        <v/>
      </c>
      <c r="J133" s="94" t="n"/>
      <c r="K133" s="95" t="n"/>
      <c r="L133" s="95" t="n"/>
      <c r="M133" s="96" t="n"/>
      <c r="N133" s="95" t="n"/>
    </row>
    <row r="134" ht="16" customHeight="1" s="151">
      <c r="A134" s="109">
        <f>IF(OR('Carga Web Cirugias'!A134="",'Carga Web Cirugias'!M134=""),"",_xludf.ISOWEEKNUM('Carga Web Cirugias'!A134))</f>
        <v/>
      </c>
      <c r="B134" s="117">
        <f>IF('Carga Web Cirugias'!A134="","",'Carga Web Cirugias'!A134)</f>
        <v/>
      </c>
      <c r="C134" s="109">
        <f>IF('Carga Web Cirugias'!M134="","",'Carga Web Cirugias'!M134)</f>
        <v/>
      </c>
      <c r="D134" s="111">
        <f>IFERROR(IF(OR(B134="",C134="",COUNTIFS($B$4:B134,B134,$C$4:C134,C134)&gt;1),"",(_xludf.AGGREGATE(14,6,MOD('Carga Web Cirugias'!$S$4:$S$500,1)/(('Carga Web Cirugias'!$A$4:$A$500=B134)*('Carga Web Cirugias'!$M$4:$M$500=C134)*('Carga Web Cirugias'!$R$4:$R$500&lt;&gt;"")*('Carga Web Cirugias'!$S$4:$S$500&lt;&gt;"")),1)-_xludf.AGGREGATE(15,6,MOD('Carga Web Cirugias'!$R$4:$R$500,1)/(('Carga Web Cirugias'!$A$4:$A$500=B134)*('Carga Web Cirugias'!$M$4:$M$500=C134)*('Carga Web Cirugias'!$R$4:$R$500&lt;&gt;"")*('Carga Web Cirugias'!$S$4:$S$500&lt;&gt;"")),1))*1440),"")</f>
        <v/>
      </c>
      <c r="E134" s="111">
        <f>IF(OR(B134="",C134="",D134=""),"",VLOOKUP(C134,'Horario Pabellones'!$A$4:$D$17,4,FALSE))</f>
        <v/>
      </c>
      <c r="F134" s="118">
        <f>IFERROR(IF(OR(D134="",E134="",E134=0),"",(D134/60)/(E134/60)),"")</f>
        <v/>
      </c>
      <c r="G134" s="109">
        <f>IF(F134="","",IF(F134&gt;=0.75,"Cumple referencia","Bajo referencia"))</f>
        <v/>
      </c>
      <c r="J134" s="94" t="n"/>
      <c r="K134" s="95" t="n"/>
      <c r="L134" s="95" t="n"/>
      <c r="M134" s="96" t="n"/>
      <c r="N134" s="95" t="n"/>
    </row>
    <row r="135" ht="16" customHeight="1" s="151">
      <c r="A135" s="112">
        <f>IF(OR('Carga Web Cirugias'!A135="",'Carga Web Cirugias'!M135=""),"",_xludf.ISOWEEKNUM('Carga Web Cirugias'!A135))</f>
        <v/>
      </c>
      <c r="B135" s="123">
        <f>IF('Carga Web Cirugias'!A135="","",'Carga Web Cirugias'!A135)</f>
        <v/>
      </c>
      <c r="C135" s="112">
        <f>IF('Carga Web Cirugias'!M135="","",'Carga Web Cirugias'!M135)</f>
        <v/>
      </c>
      <c r="D135" s="114">
        <f>IFERROR(IF(OR(B135="",C135="",COUNTIFS($B$4:B135,B135,$C$4:C135,C135)&gt;1),"",(_xludf.AGGREGATE(14,6,MOD('Carga Web Cirugias'!$S$4:$S$500,1)/(('Carga Web Cirugias'!$A$4:$A$500=B135)*('Carga Web Cirugias'!$M$4:$M$500=C135)*('Carga Web Cirugias'!$R$4:$R$500&lt;&gt;"")*('Carga Web Cirugias'!$S$4:$S$500&lt;&gt;"")),1)-_xludf.AGGREGATE(15,6,MOD('Carga Web Cirugias'!$R$4:$R$500,1)/(('Carga Web Cirugias'!$A$4:$A$500=B135)*('Carga Web Cirugias'!$M$4:$M$500=C135)*('Carga Web Cirugias'!$R$4:$R$500&lt;&gt;"")*('Carga Web Cirugias'!$S$4:$S$500&lt;&gt;"")),1))*1440),"")</f>
        <v/>
      </c>
      <c r="E135" s="114">
        <f>IF(OR(B135="",C135="",D135=""),"",VLOOKUP(C135,'Horario Pabellones'!$A$4:$D$17,4,FALSE))</f>
        <v/>
      </c>
      <c r="F135" s="124">
        <f>IFERROR(IF(OR(D135="",E135="",E135=0),"",(D135/60)/(E135/60)),"")</f>
        <v/>
      </c>
      <c r="G135" s="112">
        <f>IF(F135="","",IF(F135&gt;=0.75,"Cumple referencia","Bajo referencia"))</f>
        <v/>
      </c>
      <c r="J135" s="94" t="n"/>
      <c r="K135" s="95" t="n"/>
      <c r="L135" s="95" t="n"/>
      <c r="M135" s="96" t="n"/>
      <c r="N135" s="95" t="n"/>
    </row>
    <row r="136" ht="16" customHeight="1" s="151">
      <c r="A136" s="109">
        <f>IF(OR('Carga Web Cirugias'!A136="",'Carga Web Cirugias'!M136=""),"",_xludf.ISOWEEKNUM('Carga Web Cirugias'!A136))</f>
        <v/>
      </c>
      <c r="B136" s="117">
        <f>IF('Carga Web Cirugias'!A136="","",'Carga Web Cirugias'!A136)</f>
        <v/>
      </c>
      <c r="C136" s="109">
        <f>IF('Carga Web Cirugias'!M136="","",'Carga Web Cirugias'!M136)</f>
        <v/>
      </c>
      <c r="D136" s="111">
        <f>IFERROR(IF(OR(B136="",C136="",COUNTIFS($B$4:B136,B136,$C$4:C136,C136)&gt;1),"",(_xludf.AGGREGATE(14,6,MOD('Carga Web Cirugias'!$S$4:$S$500,1)/(('Carga Web Cirugias'!$A$4:$A$500=B136)*('Carga Web Cirugias'!$M$4:$M$500=C136)*('Carga Web Cirugias'!$R$4:$R$500&lt;&gt;"")*('Carga Web Cirugias'!$S$4:$S$500&lt;&gt;"")),1)-_xludf.AGGREGATE(15,6,MOD('Carga Web Cirugias'!$R$4:$R$500,1)/(('Carga Web Cirugias'!$A$4:$A$500=B136)*('Carga Web Cirugias'!$M$4:$M$500=C136)*('Carga Web Cirugias'!$R$4:$R$500&lt;&gt;"")*('Carga Web Cirugias'!$S$4:$S$500&lt;&gt;"")),1))*1440),"")</f>
        <v/>
      </c>
      <c r="E136" s="111">
        <f>IF(OR(B136="",C136="",D136=""),"",VLOOKUP(C136,'Horario Pabellones'!$A$4:$D$17,4,FALSE))</f>
        <v/>
      </c>
      <c r="F136" s="118">
        <f>IFERROR(IF(OR(D136="",E136="",E136=0),"",(D136/60)/(E136/60)),"")</f>
        <v/>
      </c>
      <c r="G136" s="109">
        <f>IF(F136="","",IF(F136&gt;=0.75,"Cumple referencia","Bajo referencia"))</f>
        <v/>
      </c>
      <c r="J136" s="94" t="n"/>
      <c r="K136" s="95" t="n"/>
      <c r="L136" s="95" t="n"/>
      <c r="M136" s="96" t="n"/>
      <c r="N136" s="95" t="n"/>
    </row>
    <row r="137" ht="16" customHeight="1" s="151">
      <c r="A137" s="112">
        <f>IF(OR('Carga Web Cirugias'!A137="",'Carga Web Cirugias'!M137=""),"",_xludf.ISOWEEKNUM('Carga Web Cirugias'!A137))</f>
        <v/>
      </c>
      <c r="B137" s="123">
        <f>IF('Carga Web Cirugias'!A137="","",'Carga Web Cirugias'!A137)</f>
        <v/>
      </c>
      <c r="C137" s="112">
        <f>IF('Carga Web Cirugias'!M137="","",'Carga Web Cirugias'!M137)</f>
        <v/>
      </c>
      <c r="D137" s="114">
        <f>IFERROR(IF(OR(B137="",C137="",COUNTIFS($B$4:B137,B137,$C$4:C137,C137)&gt;1),"",(_xludf.AGGREGATE(14,6,MOD('Carga Web Cirugias'!$S$4:$S$500,1)/(('Carga Web Cirugias'!$A$4:$A$500=B137)*('Carga Web Cirugias'!$M$4:$M$500=C137)*('Carga Web Cirugias'!$R$4:$R$500&lt;&gt;"")*('Carga Web Cirugias'!$S$4:$S$500&lt;&gt;"")),1)-_xludf.AGGREGATE(15,6,MOD('Carga Web Cirugias'!$R$4:$R$500,1)/(('Carga Web Cirugias'!$A$4:$A$500=B137)*('Carga Web Cirugias'!$M$4:$M$500=C137)*('Carga Web Cirugias'!$R$4:$R$500&lt;&gt;"")*('Carga Web Cirugias'!$S$4:$S$500&lt;&gt;"")),1))*1440),"")</f>
        <v/>
      </c>
      <c r="E137" s="114">
        <f>IF(OR(B137="",C137="",D137=""),"",VLOOKUP(C137,'Horario Pabellones'!$A$4:$D$17,4,FALSE))</f>
        <v/>
      </c>
      <c r="F137" s="124">
        <f>IFERROR(IF(OR(D137="",E137="",E137=0),"",(D137/60)/(E137/60)),"")</f>
        <v/>
      </c>
      <c r="G137" s="112">
        <f>IF(F137="","",IF(F137&gt;=0.75,"Cumple referencia","Bajo referencia"))</f>
        <v/>
      </c>
      <c r="J137" s="94" t="n"/>
      <c r="K137" s="95" t="n"/>
      <c r="L137" s="95" t="n"/>
      <c r="M137" s="96" t="n"/>
      <c r="N137" s="95" t="n"/>
    </row>
    <row r="138" ht="16" customHeight="1" s="151">
      <c r="A138" s="109">
        <f>IF(OR('Carga Web Cirugias'!A138="",'Carga Web Cirugias'!M138=""),"",_xludf.ISOWEEKNUM('Carga Web Cirugias'!A138))</f>
        <v/>
      </c>
      <c r="B138" s="117">
        <f>IF('Carga Web Cirugias'!A138="","",'Carga Web Cirugias'!A138)</f>
        <v/>
      </c>
      <c r="C138" s="109">
        <f>IF('Carga Web Cirugias'!M138="","",'Carga Web Cirugias'!M138)</f>
        <v/>
      </c>
      <c r="D138" s="111">
        <f>IFERROR(IF(OR(B138="",C138="",COUNTIFS($B$4:B138,B138,$C$4:C138,C138)&gt;1),"",(_xludf.AGGREGATE(14,6,MOD('Carga Web Cirugias'!$S$4:$S$500,1)/(('Carga Web Cirugias'!$A$4:$A$500=B138)*('Carga Web Cirugias'!$M$4:$M$500=C138)*('Carga Web Cirugias'!$R$4:$R$500&lt;&gt;"")*('Carga Web Cirugias'!$S$4:$S$500&lt;&gt;"")),1)-_xludf.AGGREGATE(15,6,MOD('Carga Web Cirugias'!$R$4:$R$500,1)/(('Carga Web Cirugias'!$A$4:$A$500=B138)*('Carga Web Cirugias'!$M$4:$M$500=C138)*('Carga Web Cirugias'!$R$4:$R$500&lt;&gt;"")*('Carga Web Cirugias'!$S$4:$S$500&lt;&gt;"")),1))*1440),"")</f>
        <v/>
      </c>
      <c r="E138" s="111">
        <f>IF(OR(B138="",C138="",D138=""),"",VLOOKUP(C138,'Horario Pabellones'!$A$4:$D$17,4,FALSE))</f>
        <v/>
      </c>
      <c r="F138" s="118">
        <f>IFERROR(IF(OR(D138="",E138="",E138=0),"",(D138/60)/(E138/60)),"")</f>
        <v/>
      </c>
      <c r="G138" s="109">
        <f>IF(F138="","",IF(F138&gt;=0.75,"Cumple referencia","Bajo referencia"))</f>
        <v/>
      </c>
      <c r="J138" s="94" t="n"/>
      <c r="K138" s="95" t="n"/>
      <c r="L138" s="95" t="n"/>
      <c r="M138" s="96" t="n"/>
      <c r="N138" s="95" t="n"/>
    </row>
    <row r="139" ht="16" customHeight="1" s="151">
      <c r="A139" s="112">
        <f>IF(OR('Carga Web Cirugias'!A139="",'Carga Web Cirugias'!M139=""),"",_xludf.ISOWEEKNUM('Carga Web Cirugias'!A139))</f>
        <v/>
      </c>
      <c r="B139" s="123">
        <f>IF('Carga Web Cirugias'!A139="","",'Carga Web Cirugias'!A139)</f>
        <v/>
      </c>
      <c r="C139" s="112">
        <f>IF('Carga Web Cirugias'!M139="","",'Carga Web Cirugias'!M139)</f>
        <v/>
      </c>
      <c r="D139" s="114">
        <f>IFERROR(IF(OR(B139="",C139="",COUNTIFS($B$4:B139,B139,$C$4:C139,C139)&gt;1),"",(_xludf.AGGREGATE(14,6,MOD('Carga Web Cirugias'!$S$4:$S$500,1)/(('Carga Web Cirugias'!$A$4:$A$500=B139)*('Carga Web Cirugias'!$M$4:$M$500=C139)*('Carga Web Cirugias'!$R$4:$R$500&lt;&gt;"")*('Carga Web Cirugias'!$S$4:$S$500&lt;&gt;"")),1)-_xludf.AGGREGATE(15,6,MOD('Carga Web Cirugias'!$R$4:$R$500,1)/(('Carga Web Cirugias'!$A$4:$A$500=B139)*('Carga Web Cirugias'!$M$4:$M$500=C139)*('Carga Web Cirugias'!$R$4:$R$500&lt;&gt;"")*('Carga Web Cirugias'!$S$4:$S$500&lt;&gt;"")),1))*1440),"")</f>
        <v/>
      </c>
      <c r="E139" s="114">
        <f>IF(OR(B139="",C139="",D139=""),"",VLOOKUP(C139,'Horario Pabellones'!$A$4:$D$17,4,FALSE))</f>
        <v/>
      </c>
      <c r="F139" s="124">
        <f>IFERROR(IF(OR(D139="",E139="",E139=0),"",(D139/60)/(E139/60)),"")</f>
        <v/>
      </c>
      <c r="G139" s="112">
        <f>IF(F139="","",IF(F139&gt;=0.75,"Cumple referencia","Bajo referencia"))</f>
        <v/>
      </c>
      <c r="J139" s="94" t="n"/>
      <c r="K139" s="95" t="n"/>
      <c r="L139" s="95" t="n"/>
      <c r="M139" s="96" t="n"/>
      <c r="N139" s="95" t="n"/>
    </row>
    <row r="140" ht="16" customHeight="1" s="151">
      <c r="A140" s="109">
        <f>IF(OR('Carga Web Cirugias'!A140="",'Carga Web Cirugias'!M140=""),"",_xludf.ISOWEEKNUM('Carga Web Cirugias'!A140))</f>
        <v/>
      </c>
      <c r="B140" s="117">
        <f>IF('Carga Web Cirugias'!A140="","",'Carga Web Cirugias'!A140)</f>
        <v/>
      </c>
      <c r="C140" s="109">
        <f>IF('Carga Web Cirugias'!M140="","",'Carga Web Cirugias'!M140)</f>
        <v/>
      </c>
      <c r="D140" s="111">
        <f>IFERROR(IF(OR(B140="",C140="",COUNTIFS($B$4:B140,B140,$C$4:C140,C140)&gt;1),"",(_xludf.AGGREGATE(14,6,MOD('Carga Web Cirugias'!$S$4:$S$500,1)/(('Carga Web Cirugias'!$A$4:$A$500=B140)*('Carga Web Cirugias'!$M$4:$M$500=C140)*('Carga Web Cirugias'!$R$4:$R$500&lt;&gt;"")*('Carga Web Cirugias'!$S$4:$S$500&lt;&gt;"")),1)-_xludf.AGGREGATE(15,6,MOD('Carga Web Cirugias'!$R$4:$R$500,1)/(('Carga Web Cirugias'!$A$4:$A$500=B140)*('Carga Web Cirugias'!$M$4:$M$500=C140)*('Carga Web Cirugias'!$R$4:$R$500&lt;&gt;"")*('Carga Web Cirugias'!$S$4:$S$500&lt;&gt;"")),1))*1440),"")</f>
        <v/>
      </c>
      <c r="E140" s="111">
        <f>IF(OR(B140="",C140="",D140=""),"",VLOOKUP(C140,'Horario Pabellones'!$A$4:$D$17,4,FALSE))</f>
        <v/>
      </c>
      <c r="F140" s="118">
        <f>IFERROR(IF(OR(D140="",E140="",E140=0),"",(D140/60)/(E140/60)),"")</f>
        <v/>
      </c>
      <c r="G140" s="109">
        <f>IF(F140="","",IF(F140&gt;=0.75,"Cumple referencia","Bajo referencia"))</f>
        <v/>
      </c>
      <c r="J140" s="94" t="n"/>
      <c r="K140" s="95" t="n"/>
      <c r="L140" s="95" t="n"/>
      <c r="M140" s="96" t="n"/>
      <c r="N140" s="95" t="n"/>
    </row>
    <row r="141" ht="16" customHeight="1" s="151">
      <c r="A141" s="112">
        <f>IF(OR('Carga Web Cirugias'!A141="",'Carga Web Cirugias'!M141=""),"",_xludf.ISOWEEKNUM('Carga Web Cirugias'!A141))</f>
        <v/>
      </c>
      <c r="B141" s="123">
        <f>IF('Carga Web Cirugias'!A141="","",'Carga Web Cirugias'!A141)</f>
        <v/>
      </c>
      <c r="C141" s="112">
        <f>IF('Carga Web Cirugias'!M141="","",'Carga Web Cirugias'!M141)</f>
        <v/>
      </c>
      <c r="D141" s="114">
        <f>IFERROR(IF(OR(B141="",C141="",COUNTIFS($B$4:B141,B141,$C$4:C141,C141)&gt;1),"",(_xludf.AGGREGATE(14,6,MOD('Carga Web Cirugias'!$S$4:$S$500,1)/(('Carga Web Cirugias'!$A$4:$A$500=B141)*('Carga Web Cirugias'!$M$4:$M$500=C141)*('Carga Web Cirugias'!$R$4:$R$500&lt;&gt;"")*('Carga Web Cirugias'!$S$4:$S$500&lt;&gt;"")),1)-_xludf.AGGREGATE(15,6,MOD('Carga Web Cirugias'!$R$4:$R$500,1)/(('Carga Web Cirugias'!$A$4:$A$500=B141)*('Carga Web Cirugias'!$M$4:$M$500=C141)*('Carga Web Cirugias'!$R$4:$R$500&lt;&gt;"")*('Carga Web Cirugias'!$S$4:$S$500&lt;&gt;"")),1))*1440),"")</f>
        <v/>
      </c>
      <c r="E141" s="114">
        <f>IF(OR(B141="",C141="",D141=""),"",VLOOKUP(C141,'Horario Pabellones'!$A$4:$D$17,4,FALSE))</f>
        <v/>
      </c>
      <c r="F141" s="124">
        <f>IFERROR(IF(OR(D141="",E141="",E141=0),"",(D141/60)/(E141/60)),"")</f>
        <v/>
      </c>
      <c r="G141" s="112">
        <f>IF(F141="","",IF(F141&gt;=0.75,"Cumple referencia","Bajo referencia"))</f>
        <v/>
      </c>
      <c r="J141" s="94" t="n"/>
      <c r="K141" s="95" t="n"/>
      <c r="L141" s="95" t="n"/>
      <c r="M141" s="96" t="n"/>
      <c r="N141" s="95" t="n"/>
    </row>
    <row r="142" ht="16" customHeight="1" s="151">
      <c r="A142" s="109">
        <f>IF(OR('Carga Web Cirugias'!A142="",'Carga Web Cirugias'!M142=""),"",_xludf.ISOWEEKNUM('Carga Web Cirugias'!A142))</f>
        <v/>
      </c>
      <c r="B142" s="117">
        <f>IF('Carga Web Cirugias'!A142="","",'Carga Web Cirugias'!A142)</f>
        <v/>
      </c>
      <c r="C142" s="109">
        <f>IF('Carga Web Cirugias'!M142="","",'Carga Web Cirugias'!M142)</f>
        <v/>
      </c>
      <c r="D142" s="111">
        <f>IFERROR(IF(OR(B142="",C142="",COUNTIFS($B$4:B142,B142,$C$4:C142,C142)&gt;1),"",(_xludf.AGGREGATE(14,6,MOD('Carga Web Cirugias'!$S$4:$S$500,1)/(('Carga Web Cirugias'!$A$4:$A$500=B142)*('Carga Web Cirugias'!$M$4:$M$500=C142)*('Carga Web Cirugias'!$R$4:$R$500&lt;&gt;"")*('Carga Web Cirugias'!$S$4:$S$500&lt;&gt;"")),1)-_xludf.AGGREGATE(15,6,MOD('Carga Web Cirugias'!$R$4:$R$500,1)/(('Carga Web Cirugias'!$A$4:$A$500=B142)*('Carga Web Cirugias'!$M$4:$M$500=C142)*('Carga Web Cirugias'!$R$4:$R$500&lt;&gt;"")*('Carga Web Cirugias'!$S$4:$S$500&lt;&gt;"")),1))*1440),"")</f>
        <v/>
      </c>
      <c r="E142" s="111">
        <f>IF(OR(B142="",C142="",D142=""),"",VLOOKUP(C142,'Horario Pabellones'!$A$4:$D$17,4,FALSE))</f>
        <v/>
      </c>
      <c r="F142" s="118">
        <f>IFERROR(IF(OR(D142="",E142="",E142=0),"",(D142/60)/(E142/60)),"")</f>
        <v/>
      </c>
      <c r="G142" s="109">
        <f>IF(F142="","",IF(F142&gt;=0.75,"Cumple referencia","Bajo referencia"))</f>
        <v/>
      </c>
      <c r="J142" s="94" t="n"/>
      <c r="K142" s="95" t="n"/>
      <c r="L142" s="95" t="n"/>
      <c r="M142" s="96" t="n"/>
      <c r="N142" s="95" t="n"/>
    </row>
    <row r="143" ht="16" customHeight="1" s="151">
      <c r="A143" s="112">
        <f>IF(OR('Carga Web Cirugias'!A143="",'Carga Web Cirugias'!M143=""),"",_xludf.ISOWEEKNUM('Carga Web Cirugias'!A143))</f>
        <v/>
      </c>
      <c r="B143" s="123">
        <f>IF('Carga Web Cirugias'!A143="","",'Carga Web Cirugias'!A143)</f>
        <v/>
      </c>
      <c r="C143" s="112">
        <f>IF('Carga Web Cirugias'!M143="","",'Carga Web Cirugias'!M143)</f>
        <v/>
      </c>
      <c r="D143" s="114">
        <f>IFERROR(IF(OR(B143="",C143="",COUNTIFS($B$4:B143,B143,$C$4:C143,C143)&gt;1),"",(_xludf.AGGREGATE(14,6,MOD('Carga Web Cirugias'!$S$4:$S$500,1)/(('Carga Web Cirugias'!$A$4:$A$500=B143)*('Carga Web Cirugias'!$M$4:$M$500=C143)*('Carga Web Cirugias'!$R$4:$R$500&lt;&gt;"")*('Carga Web Cirugias'!$S$4:$S$500&lt;&gt;"")),1)-_xludf.AGGREGATE(15,6,MOD('Carga Web Cirugias'!$R$4:$R$500,1)/(('Carga Web Cirugias'!$A$4:$A$500=B143)*('Carga Web Cirugias'!$M$4:$M$500=C143)*('Carga Web Cirugias'!$R$4:$R$500&lt;&gt;"")*('Carga Web Cirugias'!$S$4:$S$500&lt;&gt;"")),1))*1440),"")</f>
        <v/>
      </c>
      <c r="E143" s="114">
        <f>IF(OR(B143="",C143="",D143=""),"",VLOOKUP(C143,'Horario Pabellones'!$A$4:$D$17,4,FALSE))</f>
        <v/>
      </c>
      <c r="F143" s="124">
        <f>IFERROR(IF(OR(D143="",E143="",E143=0),"",(D143/60)/(E143/60)),"")</f>
        <v/>
      </c>
      <c r="G143" s="112">
        <f>IF(F143="","",IF(F143&gt;=0.75,"Cumple referencia","Bajo referencia"))</f>
        <v/>
      </c>
      <c r="J143" s="94" t="n"/>
      <c r="K143" s="95" t="n"/>
      <c r="L143" s="95" t="n"/>
      <c r="M143" s="96" t="n"/>
      <c r="N143" s="95" t="n"/>
    </row>
    <row r="144" ht="16" customHeight="1" s="151">
      <c r="A144" s="109">
        <f>IF(OR('Carga Web Cirugias'!A144="",'Carga Web Cirugias'!M144=""),"",_xludf.ISOWEEKNUM('Carga Web Cirugias'!A144))</f>
        <v/>
      </c>
      <c r="B144" s="117">
        <f>IF('Carga Web Cirugias'!A144="","",'Carga Web Cirugias'!A144)</f>
        <v/>
      </c>
      <c r="C144" s="109">
        <f>IF('Carga Web Cirugias'!M144="","",'Carga Web Cirugias'!M144)</f>
        <v/>
      </c>
      <c r="D144" s="111">
        <f>IFERROR(IF(OR(B144="",C144="",COUNTIFS($B$4:B144,B144,$C$4:C144,C144)&gt;1),"",(_xludf.AGGREGATE(14,6,MOD('Carga Web Cirugias'!$S$4:$S$500,1)/(('Carga Web Cirugias'!$A$4:$A$500=B144)*('Carga Web Cirugias'!$M$4:$M$500=C144)*('Carga Web Cirugias'!$R$4:$R$500&lt;&gt;"")*('Carga Web Cirugias'!$S$4:$S$500&lt;&gt;"")),1)-_xludf.AGGREGATE(15,6,MOD('Carga Web Cirugias'!$R$4:$R$500,1)/(('Carga Web Cirugias'!$A$4:$A$500=B144)*('Carga Web Cirugias'!$M$4:$M$500=C144)*('Carga Web Cirugias'!$R$4:$R$500&lt;&gt;"")*('Carga Web Cirugias'!$S$4:$S$500&lt;&gt;"")),1))*1440),"")</f>
        <v/>
      </c>
      <c r="E144" s="111">
        <f>IF(OR(B144="",C144="",D144=""),"",VLOOKUP(C144,'Horario Pabellones'!$A$4:$D$17,4,FALSE))</f>
        <v/>
      </c>
      <c r="F144" s="118">
        <f>IFERROR(IF(OR(D144="",E144="",E144=0),"",(D144/60)/(E144/60)),"")</f>
        <v/>
      </c>
      <c r="G144" s="109">
        <f>IF(F144="","",IF(F144&gt;=0.75,"Cumple referencia","Bajo referencia"))</f>
        <v/>
      </c>
      <c r="J144" s="94" t="n"/>
      <c r="K144" s="95" t="n"/>
      <c r="L144" s="95" t="n"/>
      <c r="M144" s="96" t="n"/>
      <c r="N144" s="95" t="n"/>
    </row>
    <row r="145" ht="16" customHeight="1" s="151">
      <c r="A145" s="112">
        <f>IF(OR('Carga Web Cirugias'!A145="",'Carga Web Cirugias'!M145=""),"",_xludf.ISOWEEKNUM('Carga Web Cirugias'!A145))</f>
        <v/>
      </c>
      <c r="B145" s="123">
        <f>IF('Carga Web Cirugias'!A145="","",'Carga Web Cirugias'!A145)</f>
        <v/>
      </c>
      <c r="C145" s="112">
        <f>IF('Carga Web Cirugias'!M145="","",'Carga Web Cirugias'!M145)</f>
        <v/>
      </c>
      <c r="D145" s="114">
        <f>IFERROR(IF(OR(B145="",C145="",COUNTIFS($B$4:B145,B145,$C$4:C145,C145)&gt;1),"",(_xludf.AGGREGATE(14,6,MOD('Carga Web Cirugias'!$S$4:$S$500,1)/(('Carga Web Cirugias'!$A$4:$A$500=B145)*('Carga Web Cirugias'!$M$4:$M$500=C145)*('Carga Web Cirugias'!$R$4:$R$500&lt;&gt;"")*('Carga Web Cirugias'!$S$4:$S$500&lt;&gt;"")),1)-_xludf.AGGREGATE(15,6,MOD('Carga Web Cirugias'!$R$4:$R$500,1)/(('Carga Web Cirugias'!$A$4:$A$500=B145)*('Carga Web Cirugias'!$M$4:$M$500=C145)*('Carga Web Cirugias'!$R$4:$R$500&lt;&gt;"")*('Carga Web Cirugias'!$S$4:$S$500&lt;&gt;"")),1))*1440),"")</f>
        <v/>
      </c>
      <c r="E145" s="114">
        <f>IF(OR(B145="",C145="",D145=""),"",VLOOKUP(C145,'Horario Pabellones'!$A$4:$D$17,4,FALSE))</f>
        <v/>
      </c>
      <c r="F145" s="124">
        <f>IFERROR(IF(OR(D145="",E145="",E145=0),"",(D145/60)/(E145/60)),"")</f>
        <v/>
      </c>
      <c r="G145" s="112">
        <f>IF(F145="","",IF(F145&gt;=0.75,"Cumple referencia","Bajo referencia"))</f>
        <v/>
      </c>
      <c r="J145" s="94" t="n"/>
      <c r="K145" s="95" t="n"/>
      <c r="L145" s="95" t="n"/>
      <c r="M145" s="96" t="n"/>
      <c r="N145" s="95" t="n"/>
    </row>
    <row r="146" ht="16" customHeight="1" s="151">
      <c r="A146" s="109">
        <f>IF(OR('Carga Web Cirugias'!A146="",'Carga Web Cirugias'!M146=""),"",_xludf.ISOWEEKNUM('Carga Web Cirugias'!A146))</f>
        <v/>
      </c>
      <c r="B146" s="117">
        <f>IF('Carga Web Cirugias'!A146="","",'Carga Web Cirugias'!A146)</f>
        <v/>
      </c>
      <c r="C146" s="109">
        <f>IF('Carga Web Cirugias'!M146="","",'Carga Web Cirugias'!M146)</f>
        <v/>
      </c>
      <c r="D146" s="111">
        <f>IFERROR(IF(OR(B146="",C146="",COUNTIFS($B$4:B146,B146,$C$4:C146,C146)&gt;1),"",(_xludf.AGGREGATE(14,6,MOD('Carga Web Cirugias'!$S$4:$S$500,1)/(('Carga Web Cirugias'!$A$4:$A$500=B146)*('Carga Web Cirugias'!$M$4:$M$500=C146)*('Carga Web Cirugias'!$R$4:$R$500&lt;&gt;"")*('Carga Web Cirugias'!$S$4:$S$500&lt;&gt;"")),1)-_xludf.AGGREGATE(15,6,MOD('Carga Web Cirugias'!$R$4:$R$500,1)/(('Carga Web Cirugias'!$A$4:$A$500=B146)*('Carga Web Cirugias'!$M$4:$M$500=C146)*('Carga Web Cirugias'!$R$4:$R$500&lt;&gt;"")*('Carga Web Cirugias'!$S$4:$S$500&lt;&gt;"")),1))*1440),"")</f>
        <v/>
      </c>
      <c r="E146" s="111">
        <f>IF(OR(B146="",C146="",D146=""),"",VLOOKUP(C146,'Horario Pabellones'!$A$4:$D$17,4,FALSE))</f>
        <v/>
      </c>
      <c r="F146" s="118">
        <f>IFERROR(IF(OR(D146="",E146="",E146=0),"",(D146/60)/(E146/60)),"")</f>
        <v/>
      </c>
      <c r="G146" s="109">
        <f>IF(F146="","",IF(F146&gt;=0.75,"Cumple referencia","Bajo referencia"))</f>
        <v/>
      </c>
      <c r="J146" s="94" t="n"/>
      <c r="K146" s="95" t="n"/>
      <c r="L146" s="95" t="n"/>
      <c r="M146" s="96" t="n"/>
      <c r="N146" s="95" t="n"/>
    </row>
    <row r="147" ht="16" customHeight="1" s="151">
      <c r="A147" s="112">
        <f>IF(OR('Carga Web Cirugias'!A147="",'Carga Web Cirugias'!M147=""),"",_xludf.ISOWEEKNUM('Carga Web Cirugias'!A147))</f>
        <v/>
      </c>
      <c r="B147" s="123">
        <f>IF('Carga Web Cirugias'!A147="","",'Carga Web Cirugias'!A147)</f>
        <v/>
      </c>
      <c r="C147" s="112">
        <f>IF('Carga Web Cirugias'!M147="","",'Carga Web Cirugias'!M147)</f>
        <v/>
      </c>
      <c r="D147" s="114">
        <f>IFERROR(IF(OR(B147="",C147="",COUNTIFS($B$4:B147,B147,$C$4:C147,C147)&gt;1),"",(_xludf.AGGREGATE(14,6,MOD('Carga Web Cirugias'!$S$4:$S$500,1)/(('Carga Web Cirugias'!$A$4:$A$500=B147)*('Carga Web Cirugias'!$M$4:$M$500=C147)*('Carga Web Cirugias'!$R$4:$R$500&lt;&gt;"")*('Carga Web Cirugias'!$S$4:$S$500&lt;&gt;"")),1)-_xludf.AGGREGATE(15,6,MOD('Carga Web Cirugias'!$R$4:$R$500,1)/(('Carga Web Cirugias'!$A$4:$A$500=B147)*('Carga Web Cirugias'!$M$4:$M$500=C147)*('Carga Web Cirugias'!$R$4:$R$500&lt;&gt;"")*('Carga Web Cirugias'!$S$4:$S$500&lt;&gt;"")),1))*1440),"")</f>
        <v/>
      </c>
      <c r="E147" s="114">
        <f>IF(OR(B147="",C147="",D147=""),"",VLOOKUP(C147,'Horario Pabellones'!$A$4:$D$17,4,FALSE))</f>
        <v/>
      </c>
      <c r="F147" s="124">
        <f>IFERROR(IF(OR(D147="",E147="",E147=0),"",(D147/60)/(E147/60)),"")</f>
        <v/>
      </c>
      <c r="G147" s="112">
        <f>IF(F147="","",IF(F147&gt;=0.75,"Cumple referencia","Bajo referencia"))</f>
        <v/>
      </c>
      <c r="J147" s="94" t="n"/>
      <c r="K147" s="95" t="n"/>
      <c r="L147" s="95" t="n"/>
      <c r="M147" s="96" t="n"/>
      <c r="N147" s="95" t="n"/>
    </row>
    <row r="148" ht="16" customHeight="1" s="151">
      <c r="A148" s="109">
        <f>IF(OR('Carga Web Cirugias'!A148="",'Carga Web Cirugias'!M148=""),"",_xludf.ISOWEEKNUM('Carga Web Cirugias'!A148))</f>
        <v/>
      </c>
      <c r="B148" s="117">
        <f>IF('Carga Web Cirugias'!A148="","",'Carga Web Cirugias'!A148)</f>
        <v/>
      </c>
      <c r="C148" s="109">
        <f>IF('Carga Web Cirugias'!M148="","",'Carga Web Cirugias'!M148)</f>
        <v/>
      </c>
      <c r="D148" s="111">
        <f>IFERROR(IF(OR(B148="",C148="",COUNTIFS($B$4:B148,B148,$C$4:C148,C148)&gt;1),"",(_xludf.AGGREGATE(14,6,MOD('Carga Web Cirugias'!$S$4:$S$500,1)/(('Carga Web Cirugias'!$A$4:$A$500=B148)*('Carga Web Cirugias'!$M$4:$M$500=C148)*('Carga Web Cirugias'!$R$4:$R$500&lt;&gt;"")*('Carga Web Cirugias'!$S$4:$S$500&lt;&gt;"")),1)-_xludf.AGGREGATE(15,6,MOD('Carga Web Cirugias'!$R$4:$R$500,1)/(('Carga Web Cirugias'!$A$4:$A$500=B148)*('Carga Web Cirugias'!$M$4:$M$500=C148)*('Carga Web Cirugias'!$R$4:$R$500&lt;&gt;"")*('Carga Web Cirugias'!$S$4:$S$500&lt;&gt;"")),1))*1440),"")</f>
        <v/>
      </c>
      <c r="E148" s="111">
        <f>IF(OR(B148="",C148="",D148=""),"",VLOOKUP(C148,'Horario Pabellones'!$A$4:$D$17,4,FALSE))</f>
        <v/>
      </c>
      <c r="F148" s="118">
        <f>IFERROR(IF(OR(D148="",E148="",E148=0),"",(D148/60)/(E148/60)),"")</f>
        <v/>
      </c>
      <c r="G148" s="109">
        <f>IF(F148="","",IF(F148&gt;=0.75,"Cumple referencia","Bajo referencia"))</f>
        <v/>
      </c>
      <c r="J148" s="94" t="n"/>
      <c r="K148" s="95" t="n"/>
      <c r="L148" s="95" t="n"/>
      <c r="M148" s="96" t="n"/>
      <c r="N148" s="95" t="n"/>
    </row>
    <row r="149" ht="16" customHeight="1" s="151">
      <c r="A149" s="112">
        <f>IF(OR('Carga Web Cirugias'!A149="",'Carga Web Cirugias'!M149=""),"",_xludf.ISOWEEKNUM('Carga Web Cirugias'!A149))</f>
        <v/>
      </c>
      <c r="B149" s="123">
        <f>IF('Carga Web Cirugias'!A149="","",'Carga Web Cirugias'!A149)</f>
        <v/>
      </c>
      <c r="C149" s="112">
        <f>IF('Carga Web Cirugias'!M149="","",'Carga Web Cirugias'!M149)</f>
        <v/>
      </c>
      <c r="D149" s="114">
        <f>IFERROR(IF(OR(B149="",C149="",COUNTIFS($B$4:B149,B149,$C$4:C149,C149)&gt;1),"",(_xludf.AGGREGATE(14,6,MOD('Carga Web Cirugias'!$S$4:$S$500,1)/(('Carga Web Cirugias'!$A$4:$A$500=B149)*('Carga Web Cirugias'!$M$4:$M$500=C149)*('Carga Web Cirugias'!$R$4:$R$500&lt;&gt;"")*('Carga Web Cirugias'!$S$4:$S$500&lt;&gt;"")),1)-_xludf.AGGREGATE(15,6,MOD('Carga Web Cirugias'!$R$4:$R$500,1)/(('Carga Web Cirugias'!$A$4:$A$500=B149)*('Carga Web Cirugias'!$M$4:$M$500=C149)*('Carga Web Cirugias'!$R$4:$R$500&lt;&gt;"")*('Carga Web Cirugias'!$S$4:$S$500&lt;&gt;"")),1))*1440),"")</f>
        <v/>
      </c>
      <c r="E149" s="114">
        <f>IF(OR(B149="",C149="",D149=""),"",VLOOKUP(C149,'Horario Pabellones'!$A$4:$D$17,4,FALSE))</f>
        <v/>
      </c>
      <c r="F149" s="124">
        <f>IFERROR(IF(OR(D149="",E149="",E149=0),"",(D149/60)/(E149/60)),"")</f>
        <v/>
      </c>
      <c r="G149" s="112">
        <f>IF(F149="","",IF(F149&gt;=0.75,"Cumple referencia","Bajo referencia"))</f>
        <v/>
      </c>
      <c r="J149" s="94" t="n"/>
      <c r="K149" s="95" t="n"/>
      <c r="L149" s="95" t="n"/>
      <c r="M149" s="96" t="n"/>
      <c r="N149" s="95" t="n"/>
    </row>
    <row r="150" ht="16" customHeight="1" s="151">
      <c r="A150" s="109">
        <f>IF(OR('Carga Web Cirugias'!A150="",'Carga Web Cirugias'!M150=""),"",_xludf.ISOWEEKNUM('Carga Web Cirugias'!A150))</f>
        <v/>
      </c>
      <c r="B150" s="117">
        <f>IF('Carga Web Cirugias'!A150="","",'Carga Web Cirugias'!A150)</f>
        <v/>
      </c>
      <c r="C150" s="109">
        <f>IF('Carga Web Cirugias'!M150="","",'Carga Web Cirugias'!M150)</f>
        <v/>
      </c>
      <c r="D150" s="111">
        <f>IFERROR(IF(OR(B150="",C150="",COUNTIFS($B$4:B150,B150,$C$4:C150,C150)&gt;1),"",(_xludf.AGGREGATE(14,6,MOD('Carga Web Cirugias'!$S$4:$S$500,1)/(('Carga Web Cirugias'!$A$4:$A$500=B150)*('Carga Web Cirugias'!$M$4:$M$500=C150)*('Carga Web Cirugias'!$R$4:$R$500&lt;&gt;"")*('Carga Web Cirugias'!$S$4:$S$500&lt;&gt;"")),1)-_xludf.AGGREGATE(15,6,MOD('Carga Web Cirugias'!$R$4:$R$500,1)/(('Carga Web Cirugias'!$A$4:$A$500=B150)*('Carga Web Cirugias'!$M$4:$M$500=C150)*('Carga Web Cirugias'!$R$4:$R$500&lt;&gt;"")*('Carga Web Cirugias'!$S$4:$S$500&lt;&gt;"")),1))*1440),"")</f>
        <v/>
      </c>
      <c r="E150" s="111">
        <f>IF(OR(B150="",C150="",D150=""),"",VLOOKUP(C150,'Horario Pabellones'!$A$4:$D$17,4,FALSE))</f>
        <v/>
      </c>
      <c r="F150" s="118">
        <f>IFERROR(IF(OR(D150="",E150="",E150=0),"",(D150/60)/(E150/60)),"")</f>
        <v/>
      </c>
      <c r="G150" s="109">
        <f>IF(F150="","",IF(F150&gt;=0.75,"Cumple referencia","Bajo referencia"))</f>
        <v/>
      </c>
      <c r="J150" s="94" t="n"/>
      <c r="K150" s="95" t="n"/>
      <c r="L150" s="95" t="n"/>
      <c r="M150" s="96" t="n"/>
      <c r="N150" s="95" t="n"/>
    </row>
    <row r="151" ht="16" customHeight="1" s="151">
      <c r="A151" s="112">
        <f>IF(OR('Carga Web Cirugias'!A151="",'Carga Web Cirugias'!M151=""),"",_xludf.ISOWEEKNUM('Carga Web Cirugias'!A151))</f>
        <v/>
      </c>
      <c r="B151" s="123">
        <f>IF('Carga Web Cirugias'!A151="","",'Carga Web Cirugias'!A151)</f>
        <v/>
      </c>
      <c r="C151" s="112">
        <f>IF('Carga Web Cirugias'!M151="","",'Carga Web Cirugias'!M151)</f>
        <v/>
      </c>
      <c r="D151" s="114">
        <f>IFERROR(IF(OR(B151="",C151="",COUNTIFS($B$4:B151,B151,$C$4:C151,C151)&gt;1),"",(_xludf.AGGREGATE(14,6,MOD('Carga Web Cirugias'!$S$4:$S$500,1)/(('Carga Web Cirugias'!$A$4:$A$500=B151)*('Carga Web Cirugias'!$M$4:$M$500=C151)*('Carga Web Cirugias'!$R$4:$R$500&lt;&gt;"")*('Carga Web Cirugias'!$S$4:$S$500&lt;&gt;"")),1)-_xludf.AGGREGATE(15,6,MOD('Carga Web Cirugias'!$R$4:$R$500,1)/(('Carga Web Cirugias'!$A$4:$A$500=B151)*('Carga Web Cirugias'!$M$4:$M$500=C151)*('Carga Web Cirugias'!$R$4:$R$500&lt;&gt;"")*('Carga Web Cirugias'!$S$4:$S$500&lt;&gt;"")),1))*1440),"")</f>
        <v/>
      </c>
      <c r="E151" s="114">
        <f>IF(OR(B151="",C151="",D151=""),"",VLOOKUP(C151,'Horario Pabellones'!$A$4:$D$17,4,FALSE))</f>
        <v/>
      </c>
      <c r="F151" s="124">
        <f>IFERROR(IF(OR(D151="",E151="",E151=0),"",(D151/60)/(E151/60)),"")</f>
        <v/>
      </c>
      <c r="G151" s="112">
        <f>IF(F151="","",IF(F151&gt;=0.75,"Cumple referencia","Bajo referencia"))</f>
        <v/>
      </c>
      <c r="J151" s="94" t="n"/>
      <c r="K151" s="95" t="n"/>
      <c r="L151" s="95" t="n"/>
      <c r="M151" s="96" t="n"/>
      <c r="N151" s="95" t="n"/>
    </row>
    <row r="152" ht="16" customHeight="1" s="151">
      <c r="A152" s="109">
        <f>IF(OR('Carga Web Cirugias'!A152="",'Carga Web Cirugias'!M152=""),"",_xludf.ISOWEEKNUM('Carga Web Cirugias'!A152))</f>
        <v/>
      </c>
      <c r="B152" s="117">
        <f>IF('Carga Web Cirugias'!A152="","",'Carga Web Cirugias'!A152)</f>
        <v/>
      </c>
      <c r="C152" s="109">
        <f>IF('Carga Web Cirugias'!M152="","",'Carga Web Cirugias'!M152)</f>
        <v/>
      </c>
      <c r="D152" s="111">
        <f>IFERROR(IF(OR(B152="",C152="",COUNTIFS($B$4:B152,B152,$C$4:C152,C152)&gt;1),"",(_xludf.AGGREGATE(14,6,MOD('Carga Web Cirugias'!$S$4:$S$500,1)/(('Carga Web Cirugias'!$A$4:$A$500=B152)*('Carga Web Cirugias'!$M$4:$M$500=C152)*('Carga Web Cirugias'!$R$4:$R$500&lt;&gt;"")*('Carga Web Cirugias'!$S$4:$S$500&lt;&gt;"")),1)-_xludf.AGGREGATE(15,6,MOD('Carga Web Cirugias'!$R$4:$R$500,1)/(('Carga Web Cirugias'!$A$4:$A$500=B152)*('Carga Web Cirugias'!$M$4:$M$500=C152)*('Carga Web Cirugias'!$R$4:$R$500&lt;&gt;"")*('Carga Web Cirugias'!$S$4:$S$500&lt;&gt;"")),1))*1440),"")</f>
        <v/>
      </c>
      <c r="E152" s="111">
        <f>IF(OR(B152="",C152="",D152=""),"",VLOOKUP(C152,'Horario Pabellones'!$A$4:$D$17,4,FALSE))</f>
        <v/>
      </c>
      <c r="F152" s="118">
        <f>IFERROR(IF(OR(D152="",E152="",E152=0),"",(D152/60)/(E152/60)),"")</f>
        <v/>
      </c>
      <c r="G152" s="109">
        <f>IF(F152="","",IF(F152&gt;=0.75,"Cumple referencia","Bajo referencia"))</f>
        <v/>
      </c>
      <c r="J152" s="94" t="n"/>
      <c r="K152" s="95" t="n"/>
      <c r="L152" s="95" t="n"/>
      <c r="M152" s="96" t="n"/>
      <c r="N152" s="95" t="n"/>
    </row>
    <row r="153" ht="16" customHeight="1" s="151">
      <c r="A153" s="112">
        <f>IF(OR('Carga Web Cirugias'!A153="",'Carga Web Cirugias'!M153=""),"",_xludf.ISOWEEKNUM('Carga Web Cirugias'!A153))</f>
        <v/>
      </c>
      <c r="B153" s="123">
        <f>IF('Carga Web Cirugias'!A153="","",'Carga Web Cirugias'!A153)</f>
        <v/>
      </c>
      <c r="C153" s="112">
        <f>IF('Carga Web Cirugias'!M153="","",'Carga Web Cirugias'!M153)</f>
        <v/>
      </c>
      <c r="D153" s="114">
        <f>IFERROR(IF(OR(B153="",C153="",COUNTIFS($B$4:B153,B153,$C$4:C153,C153)&gt;1),"",(_xludf.AGGREGATE(14,6,MOD('Carga Web Cirugias'!$S$4:$S$500,1)/(('Carga Web Cirugias'!$A$4:$A$500=B153)*('Carga Web Cirugias'!$M$4:$M$500=C153)*('Carga Web Cirugias'!$R$4:$R$500&lt;&gt;"")*('Carga Web Cirugias'!$S$4:$S$500&lt;&gt;"")),1)-_xludf.AGGREGATE(15,6,MOD('Carga Web Cirugias'!$R$4:$R$500,1)/(('Carga Web Cirugias'!$A$4:$A$500=B153)*('Carga Web Cirugias'!$M$4:$M$500=C153)*('Carga Web Cirugias'!$R$4:$R$500&lt;&gt;"")*('Carga Web Cirugias'!$S$4:$S$500&lt;&gt;"")),1))*1440),"")</f>
        <v/>
      </c>
      <c r="E153" s="114">
        <f>IF(OR(B153="",C153="",D153=""),"",VLOOKUP(C153,'Horario Pabellones'!$A$4:$D$17,4,FALSE))</f>
        <v/>
      </c>
      <c r="F153" s="124">
        <f>IFERROR(IF(OR(D153="",E153="",E153=0),"",(D153/60)/(E153/60)),"")</f>
        <v/>
      </c>
      <c r="G153" s="112">
        <f>IF(F153="","",IF(F153&gt;=0.75,"Cumple referencia","Bajo referencia"))</f>
        <v/>
      </c>
      <c r="J153" s="94" t="n"/>
      <c r="K153" s="95" t="n"/>
      <c r="L153" s="95" t="n"/>
      <c r="M153" s="96" t="n"/>
      <c r="N153" s="95" t="n"/>
    </row>
    <row r="154" ht="16" customHeight="1" s="151">
      <c r="A154" s="109">
        <f>IF(OR('Carga Web Cirugias'!A154="",'Carga Web Cirugias'!M154=""),"",_xludf.ISOWEEKNUM('Carga Web Cirugias'!A154))</f>
        <v/>
      </c>
      <c r="B154" s="117">
        <f>IF('Carga Web Cirugias'!A154="","",'Carga Web Cirugias'!A154)</f>
        <v/>
      </c>
      <c r="C154" s="109">
        <f>IF('Carga Web Cirugias'!M154="","",'Carga Web Cirugias'!M154)</f>
        <v/>
      </c>
      <c r="D154" s="111">
        <f>IFERROR(IF(OR(B154="",C154="",COUNTIFS($B$4:B154,B154,$C$4:C154,C154)&gt;1),"",(_xludf.AGGREGATE(14,6,MOD('Carga Web Cirugias'!$S$4:$S$500,1)/(('Carga Web Cirugias'!$A$4:$A$500=B154)*('Carga Web Cirugias'!$M$4:$M$500=C154)*('Carga Web Cirugias'!$R$4:$R$500&lt;&gt;"")*('Carga Web Cirugias'!$S$4:$S$500&lt;&gt;"")),1)-_xludf.AGGREGATE(15,6,MOD('Carga Web Cirugias'!$R$4:$R$500,1)/(('Carga Web Cirugias'!$A$4:$A$500=B154)*('Carga Web Cirugias'!$M$4:$M$500=C154)*('Carga Web Cirugias'!$R$4:$R$500&lt;&gt;"")*('Carga Web Cirugias'!$S$4:$S$500&lt;&gt;"")),1))*1440),"")</f>
        <v/>
      </c>
      <c r="E154" s="111">
        <f>IF(OR(B154="",C154="",D154=""),"",VLOOKUP(C154,'Horario Pabellones'!$A$4:$D$17,4,FALSE))</f>
        <v/>
      </c>
      <c r="F154" s="118">
        <f>IFERROR(IF(OR(D154="",E154="",E154=0),"",(D154/60)/(E154/60)),"")</f>
        <v/>
      </c>
      <c r="G154" s="109">
        <f>IF(F154="","",IF(F154&gt;=0.75,"Cumple referencia","Bajo referencia"))</f>
        <v/>
      </c>
      <c r="J154" s="94" t="n"/>
      <c r="K154" s="95" t="n"/>
      <c r="L154" s="95" t="n"/>
      <c r="M154" s="96" t="n"/>
      <c r="N154" s="95" t="n"/>
    </row>
    <row r="155" ht="16" customHeight="1" s="151">
      <c r="A155" s="112">
        <f>IF(OR('Carga Web Cirugias'!A155="",'Carga Web Cirugias'!M155=""),"",_xludf.ISOWEEKNUM('Carga Web Cirugias'!A155))</f>
        <v/>
      </c>
      <c r="B155" s="123">
        <f>IF('Carga Web Cirugias'!A155="","",'Carga Web Cirugias'!A155)</f>
        <v/>
      </c>
      <c r="C155" s="112">
        <f>IF('Carga Web Cirugias'!M155="","",'Carga Web Cirugias'!M155)</f>
        <v/>
      </c>
      <c r="D155" s="114">
        <f>IFERROR(IF(OR(B155="",C155="",COUNTIFS($B$4:B155,B155,$C$4:C155,C155)&gt;1),"",(_xludf.AGGREGATE(14,6,MOD('Carga Web Cirugias'!$S$4:$S$500,1)/(('Carga Web Cirugias'!$A$4:$A$500=B155)*('Carga Web Cirugias'!$M$4:$M$500=C155)*('Carga Web Cirugias'!$R$4:$R$500&lt;&gt;"")*('Carga Web Cirugias'!$S$4:$S$500&lt;&gt;"")),1)-_xludf.AGGREGATE(15,6,MOD('Carga Web Cirugias'!$R$4:$R$500,1)/(('Carga Web Cirugias'!$A$4:$A$500=B155)*('Carga Web Cirugias'!$M$4:$M$500=C155)*('Carga Web Cirugias'!$R$4:$R$500&lt;&gt;"")*('Carga Web Cirugias'!$S$4:$S$500&lt;&gt;"")),1))*1440),"")</f>
        <v/>
      </c>
      <c r="E155" s="114">
        <f>IF(OR(B155="",C155="",D155=""),"",VLOOKUP(C155,'Horario Pabellones'!$A$4:$D$17,4,FALSE))</f>
        <v/>
      </c>
      <c r="F155" s="124">
        <f>IFERROR(IF(OR(D155="",E155="",E155=0),"",(D155/60)/(E155/60)),"")</f>
        <v/>
      </c>
      <c r="G155" s="112">
        <f>IF(F155="","",IF(F155&gt;=0.75,"Cumple referencia","Bajo referencia"))</f>
        <v/>
      </c>
      <c r="J155" s="94" t="n"/>
      <c r="K155" s="95" t="n"/>
      <c r="L155" s="95" t="n"/>
      <c r="M155" s="96" t="n"/>
      <c r="N155" s="95" t="n"/>
    </row>
    <row r="156" ht="16" customHeight="1" s="151">
      <c r="A156" s="109">
        <f>IF(OR('Carga Web Cirugias'!A156="",'Carga Web Cirugias'!M156=""),"",_xludf.ISOWEEKNUM('Carga Web Cirugias'!A156))</f>
        <v/>
      </c>
      <c r="B156" s="117">
        <f>IF('Carga Web Cirugias'!A156="","",'Carga Web Cirugias'!A156)</f>
        <v/>
      </c>
      <c r="C156" s="109">
        <f>IF('Carga Web Cirugias'!M156="","",'Carga Web Cirugias'!M156)</f>
        <v/>
      </c>
      <c r="D156" s="111">
        <f>IFERROR(IF(OR(B156="",C156="",COUNTIFS($B$4:B156,B156,$C$4:C156,C156)&gt;1),"",(_xludf.AGGREGATE(14,6,MOD('Carga Web Cirugias'!$S$4:$S$500,1)/(('Carga Web Cirugias'!$A$4:$A$500=B156)*('Carga Web Cirugias'!$M$4:$M$500=C156)*('Carga Web Cirugias'!$R$4:$R$500&lt;&gt;"")*('Carga Web Cirugias'!$S$4:$S$500&lt;&gt;"")),1)-_xludf.AGGREGATE(15,6,MOD('Carga Web Cirugias'!$R$4:$R$500,1)/(('Carga Web Cirugias'!$A$4:$A$500=B156)*('Carga Web Cirugias'!$M$4:$M$500=C156)*('Carga Web Cirugias'!$R$4:$R$500&lt;&gt;"")*('Carga Web Cirugias'!$S$4:$S$500&lt;&gt;"")),1))*1440),"")</f>
        <v/>
      </c>
      <c r="E156" s="111">
        <f>IF(OR(B156="",C156="",D156=""),"",VLOOKUP(C156,'Horario Pabellones'!$A$4:$D$17,4,FALSE))</f>
        <v/>
      </c>
      <c r="F156" s="118">
        <f>IFERROR(IF(OR(D156="",E156="",E156=0),"",(D156/60)/(E156/60)),"")</f>
        <v/>
      </c>
      <c r="G156" s="109">
        <f>IF(F156="","",IF(F156&gt;=0.75,"Cumple referencia","Bajo referencia"))</f>
        <v/>
      </c>
      <c r="J156" s="94" t="n"/>
      <c r="K156" s="95" t="n"/>
      <c r="L156" s="95" t="n"/>
      <c r="M156" s="96" t="n"/>
      <c r="N156" s="95" t="n"/>
    </row>
    <row r="157" ht="16" customHeight="1" s="151">
      <c r="A157" s="112">
        <f>IF(OR('Carga Web Cirugias'!A157="",'Carga Web Cirugias'!M157=""),"",_xludf.ISOWEEKNUM('Carga Web Cirugias'!A157))</f>
        <v/>
      </c>
      <c r="B157" s="123">
        <f>IF('Carga Web Cirugias'!A157="","",'Carga Web Cirugias'!A157)</f>
        <v/>
      </c>
      <c r="C157" s="112">
        <f>IF('Carga Web Cirugias'!M157="","",'Carga Web Cirugias'!M157)</f>
        <v/>
      </c>
      <c r="D157" s="114">
        <f>IFERROR(IF(OR(B157="",C157="",COUNTIFS($B$4:B157,B157,$C$4:C157,C157)&gt;1),"",(_xludf.AGGREGATE(14,6,MOD('Carga Web Cirugias'!$S$4:$S$500,1)/(('Carga Web Cirugias'!$A$4:$A$500=B157)*('Carga Web Cirugias'!$M$4:$M$500=C157)*('Carga Web Cirugias'!$R$4:$R$500&lt;&gt;"")*('Carga Web Cirugias'!$S$4:$S$500&lt;&gt;"")),1)-_xludf.AGGREGATE(15,6,MOD('Carga Web Cirugias'!$R$4:$R$500,1)/(('Carga Web Cirugias'!$A$4:$A$500=B157)*('Carga Web Cirugias'!$M$4:$M$500=C157)*('Carga Web Cirugias'!$R$4:$R$500&lt;&gt;"")*('Carga Web Cirugias'!$S$4:$S$500&lt;&gt;"")),1))*1440),"")</f>
        <v/>
      </c>
      <c r="E157" s="114">
        <f>IF(OR(B157="",C157="",D157=""),"",VLOOKUP(C157,'Horario Pabellones'!$A$4:$D$17,4,FALSE))</f>
        <v/>
      </c>
      <c r="F157" s="124">
        <f>IFERROR(IF(OR(D157="",E157="",E157=0),"",(D157/60)/(E157/60)),"")</f>
        <v/>
      </c>
      <c r="G157" s="112">
        <f>IF(F157="","",IF(F157&gt;=0.75,"Cumple referencia","Bajo referencia"))</f>
        <v/>
      </c>
      <c r="J157" s="94" t="n"/>
      <c r="K157" s="95" t="n"/>
      <c r="L157" s="95" t="n"/>
      <c r="M157" s="96" t="n"/>
      <c r="N157" s="95" t="n"/>
    </row>
    <row r="158" ht="16" customHeight="1" s="151">
      <c r="A158" s="109">
        <f>IF(OR('Carga Web Cirugias'!A158="",'Carga Web Cirugias'!M158=""),"",_xludf.ISOWEEKNUM('Carga Web Cirugias'!A158))</f>
        <v/>
      </c>
      <c r="B158" s="117">
        <f>IF('Carga Web Cirugias'!A158="","",'Carga Web Cirugias'!A158)</f>
        <v/>
      </c>
      <c r="C158" s="109">
        <f>IF('Carga Web Cirugias'!M158="","",'Carga Web Cirugias'!M158)</f>
        <v/>
      </c>
      <c r="D158" s="111">
        <f>IFERROR(IF(OR(B158="",C158="",COUNTIFS($B$4:B158,B158,$C$4:C158,C158)&gt;1),"",(_xludf.AGGREGATE(14,6,MOD('Carga Web Cirugias'!$S$4:$S$500,1)/(('Carga Web Cirugias'!$A$4:$A$500=B158)*('Carga Web Cirugias'!$M$4:$M$500=C158)*('Carga Web Cirugias'!$R$4:$R$500&lt;&gt;"")*('Carga Web Cirugias'!$S$4:$S$500&lt;&gt;"")),1)-_xludf.AGGREGATE(15,6,MOD('Carga Web Cirugias'!$R$4:$R$500,1)/(('Carga Web Cirugias'!$A$4:$A$500=B158)*('Carga Web Cirugias'!$M$4:$M$500=C158)*('Carga Web Cirugias'!$R$4:$R$500&lt;&gt;"")*('Carga Web Cirugias'!$S$4:$S$500&lt;&gt;"")),1))*1440),"")</f>
        <v/>
      </c>
      <c r="E158" s="111">
        <f>IF(OR(B158="",C158="",D158=""),"",VLOOKUP(C158,'Horario Pabellones'!$A$4:$D$17,4,FALSE))</f>
        <v/>
      </c>
      <c r="F158" s="118">
        <f>IFERROR(IF(OR(D158="",E158="",E158=0),"",(D158/60)/(E158/60)),"")</f>
        <v/>
      </c>
      <c r="G158" s="109">
        <f>IF(F158="","",IF(F158&gt;=0.75,"Cumple referencia","Bajo referencia"))</f>
        <v/>
      </c>
      <c r="J158" s="94" t="n"/>
      <c r="K158" s="95" t="n"/>
      <c r="L158" s="95" t="n"/>
      <c r="M158" s="96" t="n"/>
      <c r="N158" s="95" t="n"/>
    </row>
    <row r="159" ht="16" customHeight="1" s="151">
      <c r="A159" s="112">
        <f>IF(OR('Carga Web Cirugias'!A159="",'Carga Web Cirugias'!M159=""),"",_xludf.ISOWEEKNUM('Carga Web Cirugias'!A159))</f>
        <v/>
      </c>
      <c r="B159" s="123">
        <f>IF('Carga Web Cirugias'!A159="","",'Carga Web Cirugias'!A159)</f>
        <v/>
      </c>
      <c r="C159" s="112">
        <f>IF('Carga Web Cirugias'!M159="","",'Carga Web Cirugias'!M159)</f>
        <v/>
      </c>
      <c r="D159" s="114">
        <f>IFERROR(IF(OR(B159="",C159="",COUNTIFS($B$4:B159,B159,$C$4:C159,C159)&gt;1),"",(_xludf.AGGREGATE(14,6,MOD('Carga Web Cirugias'!$S$4:$S$500,1)/(('Carga Web Cirugias'!$A$4:$A$500=B159)*('Carga Web Cirugias'!$M$4:$M$500=C159)*('Carga Web Cirugias'!$R$4:$R$500&lt;&gt;"")*('Carga Web Cirugias'!$S$4:$S$500&lt;&gt;"")),1)-_xludf.AGGREGATE(15,6,MOD('Carga Web Cirugias'!$R$4:$R$500,1)/(('Carga Web Cirugias'!$A$4:$A$500=B159)*('Carga Web Cirugias'!$M$4:$M$500=C159)*('Carga Web Cirugias'!$R$4:$R$500&lt;&gt;"")*('Carga Web Cirugias'!$S$4:$S$500&lt;&gt;"")),1))*1440),"")</f>
        <v/>
      </c>
      <c r="E159" s="114">
        <f>IF(OR(B159="",C159="",D159=""),"",VLOOKUP(C159,'Horario Pabellones'!$A$4:$D$17,4,FALSE))</f>
        <v/>
      </c>
      <c r="F159" s="124">
        <f>IFERROR(IF(OR(D159="",E159="",E159=0),"",(D159/60)/(E159/60)),"")</f>
        <v/>
      </c>
      <c r="G159" s="112">
        <f>IF(F159="","",IF(F159&gt;=0.75,"Cumple referencia","Bajo referencia"))</f>
        <v/>
      </c>
      <c r="J159" s="94" t="n"/>
      <c r="K159" s="95" t="n"/>
      <c r="L159" s="95" t="n"/>
      <c r="M159" s="96" t="n"/>
      <c r="N159" s="95" t="n"/>
    </row>
    <row r="160" ht="16" customHeight="1" s="151">
      <c r="A160" s="109">
        <f>IF(OR('Carga Web Cirugias'!A160="",'Carga Web Cirugias'!M160=""),"",_xludf.ISOWEEKNUM('Carga Web Cirugias'!A160))</f>
        <v/>
      </c>
      <c r="B160" s="117">
        <f>IF('Carga Web Cirugias'!A160="","",'Carga Web Cirugias'!A160)</f>
        <v/>
      </c>
      <c r="C160" s="109">
        <f>IF('Carga Web Cirugias'!M160="","",'Carga Web Cirugias'!M160)</f>
        <v/>
      </c>
      <c r="D160" s="111">
        <f>IFERROR(IF(OR(B160="",C160="",COUNTIFS($B$4:B160,B160,$C$4:C160,C160)&gt;1),"",(_xludf.AGGREGATE(14,6,MOD('Carga Web Cirugias'!$S$4:$S$500,1)/(('Carga Web Cirugias'!$A$4:$A$500=B160)*('Carga Web Cirugias'!$M$4:$M$500=C160)*('Carga Web Cirugias'!$R$4:$R$500&lt;&gt;"")*('Carga Web Cirugias'!$S$4:$S$500&lt;&gt;"")),1)-_xludf.AGGREGATE(15,6,MOD('Carga Web Cirugias'!$R$4:$R$500,1)/(('Carga Web Cirugias'!$A$4:$A$500=B160)*('Carga Web Cirugias'!$M$4:$M$500=C160)*('Carga Web Cirugias'!$R$4:$R$500&lt;&gt;"")*('Carga Web Cirugias'!$S$4:$S$500&lt;&gt;"")),1))*1440),"")</f>
        <v/>
      </c>
      <c r="E160" s="111">
        <f>IF(OR(B160="",C160="",D160=""),"",VLOOKUP(C160,'Horario Pabellones'!$A$4:$D$17,4,FALSE))</f>
        <v/>
      </c>
      <c r="F160" s="118">
        <f>IFERROR(IF(OR(D160="",E160="",E160=0),"",(D160/60)/(E160/60)),"")</f>
        <v/>
      </c>
      <c r="G160" s="109">
        <f>IF(F160="","",IF(F160&gt;=0.75,"Cumple referencia","Bajo referencia"))</f>
        <v/>
      </c>
      <c r="J160" s="94" t="n"/>
      <c r="K160" s="95" t="n"/>
      <c r="L160" s="95" t="n"/>
      <c r="M160" s="96" t="n"/>
      <c r="N160" s="95" t="n"/>
    </row>
    <row r="161" ht="16" customHeight="1" s="151">
      <c r="A161" s="112">
        <f>IF(OR('Carga Web Cirugias'!A161="",'Carga Web Cirugias'!M161=""),"",_xludf.ISOWEEKNUM('Carga Web Cirugias'!A161))</f>
        <v/>
      </c>
      <c r="B161" s="123">
        <f>IF('Carga Web Cirugias'!A161="","",'Carga Web Cirugias'!A161)</f>
        <v/>
      </c>
      <c r="C161" s="112">
        <f>IF('Carga Web Cirugias'!M161="","",'Carga Web Cirugias'!M161)</f>
        <v/>
      </c>
      <c r="D161" s="114">
        <f>IFERROR(IF(OR(B161="",C161="",COUNTIFS($B$4:B161,B161,$C$4:C161,C161)&gt;1),"",(_xludf.AGGREGATE(14,6,MOD('Carga Web Cirugias'!$S$4:$S$500,1)/(('Carga Web Cirugias'!$A$4:$A$500=B161)*('Carga Web Cirugias'!$M$4:$M$500=C161)*('Carga Web Cirugias'!$R$4:$R$500&lt;&gt;"")*('Carga Web Cirugias'!$S$4:$S$500&lt;&gt;"")),1)-_xludf.AGGREGATE(15,6,MOD('Carga Web Cirugias'!$R$4:$R$500,1)/(('Carga Web Cirugias'!$A$4:$A$500=B161)*('Carga Web Cirugias'!$M$4:$M$500=C161)*('Carga Web Cirugias'!$R$4:$R$500&lt;&gt;"")*('Carga Web Cirugias'!$S$4:$S$500&lt;&gt;"")),1))*1440),"")</f>
        <v/>
      </c>
      <c r="E161" s="114">
        <f>IF(OR(B161="",C161="",D161=""),"",VLOOKUP(C161,'Horario Pabellones'!$A$4:$D$17,4,FALSE))</f>
        <v/>
      </c>
      <c r="F161" s="124">
        <f>IFERROR(IF(OR(D161="",E161="",E161=0),"",(D161/60)/(E161/60)),"")</f>
        <v/>
      </c>
      <c r="G161" s="112">
        <f>IF(F161="","",IF(F161&gt;=0.75,"Cumple referencia","Bajo referencia"))</f>
        <v/>
      </c>
      <c r="J161" s="94" t="n"/>
      <c r="K161" s="95" t="n"/>
      <c r="L161" s="95" t="n"/>
      <c r="M161" s="96" t="n"/>
      <c r="N161" s="95" t="n"/>
    </row>
    <row r="162" ht="16" customHeight="1" s="151">
      <c r="A162" s="109">
        <f>IF(OR('Carga Web Cirugias'!A162="",'Carga Web Cirugias'!M162=""),"",_xludf.ISOWEEKNUM('Carga Web Cirugias'!A162))</f>
        <v/>
      </c>
      <c r="B162" s="117">
        <f>IF('Carga Web Cirugias'!A162="","",'Carga Web Cirugias'!A162)</f>
        <v/>
      </c>
      <c r="C162" s="109">
        <f>IF('Carga Web Cirugias'!M162="","",'Carga Web Cirugias'!M162)</f>
        <v/>
      </c>
      <c r="D162" s="111">
        <f>IFERROR(IF(OR(B162="",C162="",COUNTIFS($B$4:B162,B162,$C$4:C162,C162)&gt;1),"",(_xludf.AGGREGATE(14,6,MOD('Carga Web Cirugias'!$S$4:$S$500,1)/(('Carga Web Cirugias'!$A$4:$A$500=B162)*('Carga Web Cirugias'!$M$4:$M$500=C162)*('Carga Web Cirugias'!$R$4:$R$500&lt;&gt;"")*('Carga Web Cirugias'!$S$4:$S$500&lt;&gt;"")),1)-_xludf.AGGREGATE(15,6,MOD('Carga Web Cirugias'!$R$4:$R$500,1)/(('Carga Web Cirugias'!$A$4:$A$500=B162)*('Carga Web Cirugias'!$M$4:$M$500=C162)*('Carga Web Cirugias'!$R$4:$R$500&lt;&gt;"")*('Carga Web Cirugias'!$S$4:$S$500&lt;&gt;"")),1))*1440),"")</f>
        <v/>
      </c>
      <c r="E162" s="111">
        <f>IF(OR(B162="",C162="",D162=""),"",VLOOKUP(C162,'Horario Pabellones'!$A$4:$D$17,4,FALSE))</f>
        <v/>
      </c>
      <c r="F162" s="118">
        <f>IFERROR(IF(OR(D162="",E162="",E162=0),"",(D162/60)/(E162/60)),"")</f>
        <v/>
      </c>
      <c r="G162" s="109">
        <f>IF(F162="","",IF(F162&gt;=0.75,"Cumple referencia","Bajo referencia"))</f>
        <v/>
      </c>
      <c r="J162" s="94" t="n"/>
      <c r="K162" s="95" t="n"/>
      <c r="L162" s="95" t="n"/>
      <c r="M162" s="96" t="n"/>
      <c r="N162" s="95" t="n"/>
    </row>
    <row r="163" ht="16" customHeight="1" s="151">
      <c r="A163" s="112">
        <f>IF(OR('Carga Web Cirugias'!A163="",'Carga Web Cirugias'!M163=""),"",_xludf.ISOWEEKNUM('Carga Web Cirugias'!A163))</f>
        <v/>
      </c>
      <c r="B163" s="123">
        <f>IF('Carga Web Cirugias'!A163="","",'Carga Web Cirugias'!A163)</f>
        <v/>
      </c>
      <c r="C163" s="112">
        <f>IF('Carga Web Cirugias'!M163="","",'Carga Web Cirugias'!M163)</f>
        <v/>
      </c>
      <c r="D163" s="114">
        <f>IFERROR(IF(OR(B163="",C163="",COUNTIFS($B$4:B163,B163,$C$4:C163,C163)&gt;1),"",(_xludf.AGGREGATE(14,6,MOD('Carga Web Cirugias'!$S$4:$S$500,1)/(('Carga Web Cirugias'!$A$4:$A$500=B163)*('Carga Web Cirugias'!$M$4:$M$500=C163)*('Carga Web Cirugias'!$R$4:$R$500&lt;&gt;"")*('Carga Web Cirugias'!$S$4:$S$500&lt;&gt;"")),1)-_xludf.AGGREGATE(15,6,MOD('Carga Web Cirugias'!$R$4:$R$500,1)/(('Carga Web Cirugias'!$A$4:$A$500=B163)*('Carga Web Cirugias'!$M$4:$M$500=C163)*('Carga Web Cirugias'!$R$4:$R$500&lt;&gt;"")*('Carga Web Cirugias'!$S$4:$S$500&lt;&gt;"")),1))*1440),"")</f>
        <v/>
      </c>
      <c r="E163" s="114">
        <f>IF(OR(B163="",C163="",D163=""),"",VLOOKUP(C163,'Horario Pabellones'!$A$4:$D$17,4,FALSE))</f>
        <v/>
      </c>
      <c r="F163" s="124">
        <f>IFERROR(IF(OR(D163="",E163="",E163=0),"",(D163/60)/(E163/60)),"")</f>
        <v/>
      </c>
      <c r="G163" s="112">
        <f>IF(F163="","",IF(F163&gt;=0.75,"Cumple referencia","Bajo referencia"))</f>
        <v/>
      </c>
      <c r="J163" s="94" t="n"/>
      <c r="K163" s="95" t="n"/>
      <c r="L163" s="95" t="n"/>
      <c r="M163" s="96" t="n"/>
      <c r="N163" s="95" t="n"/>
    </row>
    <row r="164" ht="16" customHeight="1" s="151">
      <c r="A164" s="109">
        <f>IF(OR('Carga Web Cirugias'!A164="",'Carga Web Cirugias'!M164=""),"",_xludf.ISOWEEKNUM('Carga Web Cirugias'!A164))</f>
        <v/>
      </c>
      <c r="B164" s="117">
        <f>IF('Carga Web Cirugias'!A164="","",'Carga Web Cirugias'!A164)</f>
        <v/>
      </c>
      <c r="C164" s="109">
        <f>IF('Carga Web Cirugias'!M164="","",'Carga Web Cirugias'!M164)</f>
        <v/>
      </c>
      <c r="D164" s="111">
        <f>IFERROR(IF(OR(B164="",C164="",COUNTIFS($B$4:B164,B164,$C$4:C164,C164)&gt;1),"",(_xludf.AGGREGATE(14,6,MOD('Carga Web Cirugias'!$S$4:$S$500,1)/(('Carga Web Cirugias'!$A$4:$A$500=B164)*('Carga Web Cirugias'!$M$4:$M$500=C164)*('Carga Web Cirugias'!$R$4:$R$500&lt;&gt;"")*('Carga Web Cirugias'!$S$4:$S$500&lt;&gt;"")),1)-_xludf.AGGREGATE(15,6,MOD('Carga Web Cirugias'!$R$4:$R$500,1)/(('Carga Web Cirugias'!$A$4:$A$500=B164)*('Carga Web Cirugias'!$M$4:$M$500=C164)*('Carga Web Cirugias'!$R$4:$R$500&lt;&gt;"")*('Carga Web Cirugias'!$S$4:$S$500&lt;&gt;"")),1))*1440),"")</f>
        <v/>
      </c>
      <c r="E164" s="111">
        <f>IF(OR(B164="",C164="",D164=""),"",VLOOKUP(C164,'Horario Pabellones'!$A$4:$D$17,4,FALSE))</f>
        <v/>
      </c>
      <c r="F164" s="118">
        <f>IFERROR(IF(OR(D164="",E164="",E164=0),"",(D164/60)/(E164/60)),"")</f>
        <v/>
      </c>
      <c r="G164" s="109">
        <f>IF(F164="","",IF(F164&gt;=0.75,"Cumple referencia","Bajo referencia"))</f>
        <v/>
      </c>
      <c r="J164" s="94" t="n"/>
      <c r="K164" s="95" t="n"/>
      <c r="L164" s="95" t="n"/>
      <c r="M164" s="96" t="n"/>
      <c r="N164" s="95" t="n"/>
    </row>
    <row r="165" ht="16" customHeight="1" s="151">
      <c r="A165" s="112">
        <f>IF(OR('Carga Web Cirugias'!A165="",'Carga Web Cirugias'!M165=""),"",_xludf.ISOWEEKNUM('Carga Web Cirugias'!A165))</f>
        <v/>
      </c>
      <c r="B165" s="123">
        <f>IF('Carga Web Cirugias'!A165="","",'Carga Web Cirugias'!A165)</f>
        <v/>
      </c>
      <c r="C165" s="112">
        <f>IF('Carga Web Cirugias'!M165="","",'Carga Web Cirugias'!M165)</f>
        <v/>
      </c>
      <c r="D165" s="114">
        <f>IFERROR(IF(OR(B165="",C165="",COUNTIFS($B$4:B165,B165,$C$4:C165,C165)&gt;1),"",(_xludf.AGGREGATE(14,6,MOD('Carga Web Cirugias'!$S$4:$S$500,1)/(('Carga Web Cirugias'!$A$4:$A$500=B165)*('Carga Web Cirugias'!$M$4:$M$500=C165)*('Carga Web Cirugias'!$R$4:$R$500&lt;&gt;"")*('Carga Web Cirugias'!$S$4:$S$500&lt;&gt;"")),1)-_xludf.AGGREGATE(15,6,MOD('Carga Web Cirugias'!$R$4:$R$500,1)/(('Carga Web Cirugias'!$A$4:$A$500=B165)*('Carga Web Cirugias'!$M$4:$M$500=C165)*('Carga Web Cirugias'!$R$4:$R$500&lt;&gt;"")*('Carga Web Cirugias'!$S$4:$S$500&lt;&gt;"")),1))*1440),"")</f>
        <v/>
      </c>
      <c r="E165" s="114">
        <f>IF(OR(B165="",C165="",D165=""),"",VLOOKUP(C165,'Horario Pabellones'!$A$4:$D$17,4,FALSE))</f>
        <v/>
      </c>
      <c r="F165" s="124">
        <f>IFERROR(IF(OR(D165="",E165="",E165=0),"",(D165/60)/(E165/60)),"")</f>
        <v/>
      </c>
      <c r="G165" s="112">
        <f>IF(F165="","",IF(F165&gt;=0.75,"Cumple referencia","Bajo referencia"))</f>
        <v/>
      </c>
      <c r="J165" s="94" t="n"/>
      <c r="K165" s="95" t="n"/>
      <c r="L165" s="95" t="n"/>
      <c r="M165" s="96" t="n"/>
      <c r="N165" s="95" t="n"/>
    </row>
    <row r="166" ht="16" customHeight="1" s="151">
      <c r="A166" s="109">
        <f>IF(OR('Carga Web Cirugias'!A166="",'Carga Web Cirugias'!M166=""),"",_xludf.ISOWEEKNUM('Carga Web Cirugias'!A166))</f>
        <v/>
      </c>
      <c r="B166" s="117">
        <f>IF('Carga Web Cirugias'!A166="","",'Carga Web Cirugias'!A166)</f>
        <v/>
      </c>
      <c r="C166" s="109">
        <f>IF('Carga Web Cirugias'!M166="","",'Carga Web Cirugias'!M166)</f>
        <v/>
      </c>
      <c r="D166" s="111">
        <f>IFERROR(IF(OR(B166="",C166="",COUNTIFS($B$4:B166,B166,$C$4:C166,C166)&gt;1),"",(_xludf.AGGREGATE(14,6,MOD('Carga Web Cirugias'!$S$4:$S$500,1)/(('Carga Web Cirugias'!$A$4:$A$500=B166)*('Carga Web Cirugias'!$M$4:$M$500=C166)*('Carga Web Cirugias'!$R$4:$R$500&lt;&gt;"")*('Carga Web Cirugias'!$S$4:$S$500&lt;&gt;"")),1)-_xludf.AGGREGATE(15,6,MOD('Carga Web Cirugias'!$R$4:$R$500,1)/(('Carga Web Cirugias'!$A$4:$A$500=B166)*('Carga Web Cirugias'!$M$4:$M$500=C166)*('Carga Web Cirugias'!$R$4:$R$500&lt;&gt;"")*('Carga Web Cirugias'!$S$4:$S$500&lt;&gt;"")),1))*1440),"")</f>
        <v/>
      </c>
      <c r="E166" s="111">
        <f>IF(OR(B166="",C166="",D166=""),"",VLOOKUP(C166,'Horario Pabellones'!$A$4:$D$17,4,FALSE))</f>
        <v/>
      </c>
      <c r="F166" s="118">
        <f>IFERROR(IF(OR(D166="",E166="",E166=0),"",(D166/60)/(E166/60)),"")</f>
        <v/>
      </c>
      <c r="G166" s="109">
        <f>IF(F166="","",IF(F166&gt;=0.75,"Cumple referencia","Bajo referencia"))</f>
        <v/>
      </c>
      <c r="J166" s="94" t="n"/>
      <c r="K166" s="95" t="n"/>
      <c r="L166" s="95" t="n"/>
      <c r="M166" s="96" t="n"/>
      <c r="N166" s="95" t="n"/>
    </row>
    <row r="167" ht="16" customHeight="1" s="151">
      <c r="A167" s="112">
        <f>IF(OR('Carga Web Cirugias'!A167="",'Carga Web Cirugias'!M167=""),"",_xludf.ISOWEEKNUM('Carga Web Cirugias'!A167))</f>
        <v/>
      </c>
      <c r="B167" s="123">
        <f>IF('Carga Web Cirugias'!A167="","",'Carga Web Cirugias'!A167)</f>
        <v/>
      </c>
      <c r="C167" s="112">
        <f>IF('Carga Web Cirugias'!M167="","",'Carga Web Cirugias'!M167)</f>
        <v/>
      </c>
      <c r="D167" s="114">
        <f>IFERROR(IF(OR(B167="",C167="",COUNTIFS($B$4:B167,B167,$C$4:C167,C167)&gt;1),"",(_xludf.AGGREGATE(14,6,MOD('Carga Web Cirugias'!$S$4:$S$500,1)/(('Carga Web Cirugias'!$A$4:$A$500=B167)*('Carga Web Cirugias'!$M$4:$M$500=C167)*('Carga Web Cirugias'!$R$4:$R$500&lt;&gt;"")*('Carga Web Cirugias'!$S$4:$S$500&lt;&gt;"")),1)-_xludf.AGGREGATE(15,6,MOD('Carga Web Cirugias'!$R$4:$R$500,1)/(('Carga Web Cirugias'!$A$4:$A$500=B167)*('Carga Web Cirugias'!$M$4:$M$500=C167)*('Carga Web Cirugias'!$R$4:$R$500&lt;&gt;"")*('Carga Web Cirugias'!$S$4:$S$500&lt;&gt;"")),1))*1440),"")</f>
        <v/>
      </c>
      <c r="E167" s="114">
        <f>IF(OR(B167="",C167="",D167=""),"",VLOOKUP(C167,'Horario Pabellones'!$A$4:$D$17,4,FALSE))</f>
        <v/>
      </c>
      <c r="F167" s="124">
        <f>IFERROR(IF(OR(D167="",E167="",E167=0),"",(D167/60)/(E167/60)),"")</f>
        <v/>
      </c>
      <c r="G167" s="112">
        <f>IF(F167="","",IF(F167&gt;=0.75,"Cumple referencia","Bajo referencia"))</f>
        <v/>
      </c>
      <c r="J167" s="94" t="n"/>
      <c r="K167" s="95" t="n"/>
      <c r="L167" s="95" t="n"/>
      <c r="M167" s="96" t="n"/>
      <c r="N167" s="95" t="n"/>
    </row>
    <row r="168" ht="16" customHeight="1" s="151">
      <c r="A168" s="109">
        <f>IF(OR('Carga Web Cirugias'!A168="",'Carga Web Cirugias'!M168=""),"",_xludf.ISOWEEKNUM('Carga Web Cirugias'!A168))</f>
        <v/>
      </c>
      <c r="B168" s="117">
        <f>IF('Carga Web Cirugias'!A168="","",'Carga Web Cirugias'!A168)</f>
        <v/>
      </c>
      <c r="C168" s="109">
        <f>IF('Carga Web Cirugias'!M168="","",'Carga Web Cirugias'!M168)</f>
        <v/>
      </c>
      <c r="D168" s="111">
        <f>IFERROR(IF(OR(B168="",C168="",COUNTIFS($B$4:B168,B168,$C$4:C168,C168)&gt;1),"",(_xludf.AGGREGATE(14,6,MOD('Carga Web Cirugias'!$S$4:$S$500,1)/(('Carga Web Cirugias'!$A$4:$A$500=B168)*('Carga Web Cirugias'!$M$4:$M$500=C168)*('Carga Web Cirugias'!$R$4:$R$500&lt;&gt;"")*('Carga Web Cirugias'!$S$4:$S$500&lt;&gt;"")),1)-_xludf.AGGREGATE(15,6,MOD('Carga Web Cirugias'!$R$4:$R$500,1)/(('Carga Web Cirugias'!$A$4:$A$500=B168)*('Carga Web Cirugias'!$M$4:$M$500=C168)*('Carga Web Cirugias'!$R$4:$R$500&lt;&gt;"")*('Carga Web Cirugias'!$S$4:$S$500&lt;&gt;"")),1))*1440),"")</f>
        <v/>
      </c>
      <c r="E168" s="111">
        <f>IF(OR(B168="",C168="",D168=""),"",VLOOKUP(C168,'Horario Pabellones'!$A$4:$D$17,4,FALSE))</f>
        <v/>
      </c>
      <c r="F168" s="118">
        <f>IFERROR(IF(OR(D168="",E168="",E168=0),"",(D168/60)/(E168/60)),"")</f>
        <v/>
      </c>
      <c r="G168" s="109">
        <f>IF(F168="","",IF(F168&gt;=0.75,"Cumple referencia","Bajo referencia"))</f>
        <v/>
      </c>
      <c r="J168" s="94" t="n"/>
      <c r="K168" s="95" t="n"/>
      <c r="L168" s="95" t="n"/>
      <c r="M168" s="96" t="n"/>
      <c r="N168" s="95" t="n"/>
    </row>
    <row r="169" ht="16" customHeight="1" s="151">
      <c r="A169" s="112">
        <f>IF(OR('Carga Web Cirugias'!A169="",'Carga Web Cirugias'!M169=""),"",_xludf.ISOWEEKNUM('Carga Web Cirugias'!A169))</f>
        <v/>
      </c>
      <c r="B169" s="123">
        <f>IF('Carga Web Cirugias'!A169="","",'Carga Web Cirugias'!A169)</f>
        <v/>
      </c>
      <c r="C169" s="112">
        <f>IF('Carga Web Cirugias'!M169="","",'Carga Web Cirugias'!M169)</f>
        <v/>
      </c>
      <c r="D169" s="114">
        <f>IFERROR(IF(OR(B169="",C169="",COUNTIFS($B$4:B169,B169,$C$4:C169,C169)&gt;1),"",(_xludf.AGGREGATE(14,6,MOD('Carga Web Cirugias'!$S$4:$S$500,1)/(('Carga Web Cirugias'!$A$4:$A$500=B169)*('Carga Web Cirugias'!$M$4:$M$500=C169)*('Carga Web Cirugias'!$R$4:$R$500&lt;&gt;"")*('Carga Web Cirugias'!$S$4:$S$500&lt;&gt;"")),1)-_xludf.AGGREGATE(15,6,MOD('Carga Web Cirugias'!$R$4:$R$500,1)/(('Carga Web Cirugias'!$A$4:$A$500=B169)*('Carga Web Cirugias'!$M$4:$M$500=C169)*('Carga Web Cirugias'!$R$4:$R$500&lt;&gt;"")*('Carga Web Cirugias'!$S$4:$S$500&lt;&gt;"")),1))*1440),"")</f>
        <v/>
      </c>
      <c r="E169" s="114">
        <f>IF(OR(B169="",C169="",D169=""),"",VLOOKUP(C169,'Horario Pabellones'!$A$4:$D$17,4,FALSE))</f>
        <v/>
      </c>
      <c r="F169" s="124">
        <f>IFERROR(IF(OR(D169="",E169="",E169=0),"",(D169/60)/(E169/60)),"")</f>
        <v/>
      </c>
      <c r="G169" s="112">
        <f>IF(F169="","",IF(F169&gt;=0.75,"Cumple referencia","Bajo referencia"))</f>
        <v/>
      </c>
      <c r="J169" s="94" t="n"/>
      <c r="K169" s="95" t="n"/>
      <c r="L169" s="95" t="n"/>
      <c r="M169" s="96" t="n"/>
      <c r="N169" s="95" t="n"/>
    </row>
    <row r="170" ht="16" customHeight="1" s="151">
      <c r="A170" s="109">
        <f>IF(OR('Carga Web Cirugias'!A170="",'Carga Web Cirugias'!M170=""),"",_xludf.ISOWEEKNUM('Carga Web Cirugias'!A170))</f>
        <v/>
      </c>
      <c r="B170" s="117">
        <f>IF('Carga Web Cirugias'!A170="","",'Carga Web Cirugias'!A170)</f>
        <v/>
      </c>
      <c r="C170" s="109">
        <f>IF('Carga Web Cirugias'!M170="","",'Carga Web Cirugias'!M170)</f>
        <v/>
      </c>
      <c r="D170" s="111">
        <f>IFERROR(IF(OR(B170="",C170="",COUNTIFS($B$4:B170,B170,$C$4:C170,C170)&gt;1),"",(_xludf.AGGREGATE(14,6,MOD('Carga Web Cirugias'!$S$4:$S$500,1)/(('Carga Web Cirugias'!$A$4:$A$500=B170)*('Carga Web Cirugias'!$M$4:$M$500=C170)*('Carga Web Cirugias'!$R$4:$R$500&lt;&gt;"")*('Carga Web Cirugias'!$S$4:$S$500&lt;&gt;"")),1)-_xludf.AGGREGATE(15,6,MOD('Carga Web Cirugias'!$R$4:$R$500,1)/(('Carga Web Cirugias'!$A$4:$A$500=B170)*('Carga Web Cirugias'!$M$4:$M$500=C170)*('Carga Web Cirugias'!$R$4:$R$500&lt;&gt;"")*('Carga Web Cirugias'!$S$4:$S$500&lt;&gt;"")),1))*1440),"")</f>
        <v/>
      </c>
      <c r="E170" s="111">
        <f>IF(OR(B170="",C170="",D170=""),"",VLOOKUP(C170,'Horario Pabellones'!$A$4:$D$17,4,FALSE))</f>
        <v/>
      </c>
      <c r="F170" s="118">
        <f>IFERROR(IF(OR(D170="",E170="",E170=0),"",(D170/60)/(E170/60)),"")</f>
        <v/>
      </c>
      <c r="G170" s="109">
        <f>IF(F170="","",IF(F170&gt;=0.75,"Cumple referencia","Bajo referencia"))</f>
        <v/>
      </c>
      <c r="J170" s="94" t="n"/>
      <c r="K170" s="95" t="n"/>
      <c r="L170" s="95" t="n"/>
      <c r="M170" s="96" t="n"/>
      <c r="N170" s="95" t="n"/>
    </row>
    <row r="171" ht="16" customHeight="1" s="151">
      <c r="A171" s="112">
        <f>IF(OR('Carga Web Cirugias'!A171="",'Carga Web Cirugias'!M171=""),"",_xludf.ISOWEEKNUM('Carga Web Cirugias'!A171))</f>
        <v/>
      </c>
      <c r="B171" s="123">
        <f>IF('Carga Web Cirugias'!A171="","",'Carga Web Cirugias'!A171)</f>
        <v/>
      </c>
      <c r="C171" s="112">
        <f>IF('Carga Web Cirugias'!M171="","",'Carga Web Cirugias'!M171)</f>
        <v/>
      </c>
      <c r="D171" s="114">
        <f>IFERROR(IF(OR(B171="",C171="",COUNTIFS($B$4:B171,B171,$C$4:C171,C171)&gt;1),"",(_xludf.AGGREGATE(14,6,MOD('Carga Web Cirugias'!$S$4:$S$500,1)/(('Carga Web Cirugias'!$A$4:$A$500=B171)*('Carga Web Cirugias'!$M$4:$M$500=C171)*('Carga Web Cirugias'!$R$4:$R$500&lt;&gt;"")*('Carga Web Cirugias'!$S$4:$S$500&lt;&gt;"")),1)-_xludf.AGGREGATE(15,6,MOD('Carga Web Cirugias'!$R$4:$R$500,1)/(('Carga Web Cirugias'!$A$4:$A$500=B171)*('Carga Web Cirugias'!$M$4:$M$500=C171)*('Carga Web Cirugias'!$R$4:$R$500&lt;&gt;"")*('Carga Web Cirugias'!$S$4:$S$500&lt;&gt;"")),1))*1440),"")</f>
        <v/>
      </c>
      <c r="E171" s="114">
        <f>IF(OR(B171="",C171="",D171=""),"",VLOOKUP(C171,'Horario Pabellones'!$A$4:$D$17,4,FALSE))</f>
        <v/>
      </c>
      <c r="F171" s="124">
        <f>IFERROR(IF(OR(D171="",E171="",E171=0),"",(D171/60)/(E171/60)),"")</f>
        <v/>
      </c>
      <c r="G171" s="112">
        <f>IF(F171="","",IF(F171&gt;=0.75,"Cumple referencia","Bajo referencia"))</f>
        <v/>
      </c>
      <c r="J171" s="94" t="n"/>
      <c r="K171" s="95" t="n"/>
      <c r="L171" s="95" t="n"/>
      <c r="M171" s="96" t="n"/>
      <c r="N171" s="95" t="n"/>
    </row>
    <row r="172" ht="16" customHeight="1" s="151">
      <c r="A172" s="109">
        <f>IF(OR('Carga Web Cirugias'!A172="",'Carga Web Cirugias'!M172=""),"",_xludf.ISOWEEKNUM('Carga Web Cirugias'!A172))</f>
        <v/>
      </c>
      <c r="B172" s="117">
        <f>IF('Carga Web Cirugias'!A172="","",'Carga Web Cirugias'!A172)</f>
        <v/>
      </c>
      <c r="C172" s="109">
        <f>IF('Carga Web Cirugias'!M172="","",'Carga Web Cirugias'!M172)</f>
        <v/>
      </c>
      <c r="D172" s="111">
        <f>IFERROR(IF(OR(B172="",C172="",COUNTIFS($B$4:B172,B172,$C$4:C172,C172)&gt;1),"",(_xludf.AGGREGATE(14,6,MOD('Carga Web Cirugias'!$S$4:$S$500,1)/(('Carga Web Cirugias'!$A$4:$A$500=B172)*('Carga Web Cirugias'!$M$4:$M$500=C172)*('Carga Web Cirugias'!$R$4:$R$500&lt;&gt;"")*('Carga Web Cirugias'!$S$4:$S$500&lt;&gt;"")),1)-_xludf.AGGREGATE(15,6,MOD('Carga Web Cirugias'!$R$4:$R$500,1)/(('Carga Web Cirugias'!$A$4:$A$500=B172)*('Carga Web Cirugias'!$M$4:$M$500=C172)*('Carga Web Cirugias'!$R$4:$R$500&lt;&gt;"")*('Carga Web Cirugias'!$S$4:$S$500&lt;&gt;"")),1))*1440),"")</f>
        <v/>
      </c>
      <c r="E172" s="111">
        <f>IF(OR(B172="",C172="",D172=""),"",VLOOKUP(C172,'Horario Pabellones'!$A$4:$D$17,4,FALSE))</f>
        <v/>
      </c>
      <c r="F172" s="118">
        <f>IFERROR(IF(OR(D172="",E172="",E172=0),"",(D172/60)/(E172/60)),"")</f>
        <v/>
      </c>
      <c r="G172" s="109">
        <f>IF(F172="","",IF(F172&gt;=0.75,"Cumple referencia","Bajo referencia"))</f>
        <v/>
      </c>
      <c r="J172" s="94" t="n"/>
      <c r="K172" s="95" t="n"/>
      <c r="L172" s="95" t="n"/>
      <c r="M172" s="96" t="n"/>
      <c r="N172" s="95" t="n"/>
    </row>
    <row r="173" ht="16" customHeight="1" s="151">
      <c r="A173" s="112">
        <f>IF(OR('Carga Web Cirugias'!A173="",'Carga Web Cirugias'!M173=""),"",_xludf.ISOWEEKNUM('Carga Web Cirugias'!A173))</f>
        <v/>
      </c>
      <c r="B173" s="123">
        <f>IF('Carga Web Cirugias'!A173="","",'Carga Web Cirugias'!A173)</f>
        <v/>
      </c>
      <c r="C173" s="112">
        <f>IF('Carga Web Cirugias'!M173="","",'Carga Web Cirugias'!M173)</f>
        <v/>
      </c>
      <c r="D173" s="114">
        <f>IFERROR(IF(OR(B173="",C173="",COUNTIFS($B$4:B173,B173,$C$4:C173,C173)&gt;1),"",(_xludf.AGGREGATE(14,6,MOD('Carga Web Cirugias'!$S$4:$S$500,1)/(('Carga Web Cirugias'!$A$4:$A$500=B173)*('Carga Web Cirugias'!$M$4:$M$500=C173)*('Carga Web Cirugias'!$R$4:$R$500&lt;&gt;"")*('Carga Web Cirugias'!$S$4:$S$500&lt;&gt;"")),1)-_xludf.AGGREGATE(15,6,MOD('Carga Web Cirugias'!$R$4:$R$500,1)/(('Carga Web Cirugias'!$A$4:$A$500=B173)*('Carga Web Cirugias'!$M$4:$M$500=C173)*('Carga Web Cirugias'!$R$4:$R$500&lt;&gt;"")*('Carga Web Cirugias'!$S$4:$S$500&lt;&gt;"")),1))*1440),"")</f>
        <v/>
      </c>
      <c r="E173" s="114">
        <f>IF(OR(B173="",C173="",D173=""),"",VLOOKUP(C173,'Horario Pabellones'!$A$4:$D$17,4,FALSE))</f>
        <v/>
      </c>
      <c r="F173" s="124">
        <f>IFERROR(IF(OR(D173="",E173="",E173=0),"",(D173/60)/(E173/60)),"")</f>
        <v/>
      </c>
      <c r="G173" s="112">
        <f>IF(F173="","",IF(F173&gt;=0.75,"Cumple referencia","Bajo referencia"))</f>
        <v/>
      </c>
      <c r="J173" s="94" t="n"/>
      <c r="K173" s="95" t="n"/>
      <c r="L173" s="95" t="n"/>
      <c r="M173" s="96" t="n"/>
      <c r="N173" s="95" t="n"/>
    </row>
    <row r="174" ht="16" customHeight="1" s="151">
      <c r="A174" s="109">
        <f>IF(OR('Carga Web Cirugias'!A174="",'Carga Web Cirugias'!M174=""),"",_xludf.ISOWEEKNUM('Carga Web Cirugias'!A174))</f>
        <v/>
      </c>
      <c r="B174" s="117">
        <f>IF('Carga Web Cirugias'!A174="","",'Carga Web Cirugias'!A174)</f>
        <v/>
      </c>
      <c r="C174" s="109">
        <f>IF('Carga Web Cirugias'!M174="","",'Carga Web Cirugias'!M174)</f>
        <v/>
      </c>
      <c r="D174" s="111">
        <f>IFERROR(IF(OR(B174="",C174="",COUNTIFS($B$4:B174,B174,$C$4:C174,C174)&gt;1),"",(_xludf.AGGREGATE(14,6,MOD('Carga Web Cirugias'!$S$4:$S$500,1)/(('Carga Web Cirugias'!$A$4:$A$500=B174)*('Carga Web Cirugias'!$M$4:$M$500=C174)*('Carga Web Cirugias'!$R$4:$R$500&lt;&gt;"")*('Carga Web Cirugias'!$S$4:$S$500&lt;&gt;"")),1)-_xludf.AGGREGATE(15,6,MOD('Carga Web Cirugias'!$R$4:$R$500,1)/(('Carga Web Cirugias'!$A$4:$A$500=B174)*('Carga Web Cirugias'!$M$4:$M$500=C174)*('Carga Web Cirugias'!$R$4:$R$500&lt;&gt;"")*('Carga Web Cirugias'!$S$4:$S$500&lt;&gt;"")),1))*1440),"")</f>
        <v/>
      </c>
      <c r="E174" s="111">
        <f>IF(OR(B174="",C174="",D174=""),"",VLOOKUP(C174,'Horario Pabellones'!$A$4:$D$17,4,FALSE))</f>
        <v/>
      </c>
      <c r="F174" s="118">
        <f>IFERROR(IF(OR(D174="",E174="",E174=0),"",(D174/60)/(E174/60)),"")</f>
        <v/>
      </c>
      <c r="G174" s="109">
        <f>IF(F174="","",IF(F174&gt;=0.75,"Cumple referencia","Bajo referencia"))</f>
        <v/>
      </c>
      <c r="J174" s="94" t="n"/>
      <c r="K174" s="95" t="n"/>
      <c r="L174" s="95" t="n"/>
      <c r="M174" s="96" t="n"/>
      <c r="N174" s="95" t="n"/>
    </row>
    <row r="175" ht="16" customHeight="1" s="151">
      <c r="A175" s="112">
        <f>IF(OR('Carga Web Cirugias'!A175="",'Carga Web Cirugias'!M175=""),"",_xludf.ISOWEEKNUM('Carga Web Cirugias'!A175))</f>
        <v/>
      </c>
      <c r="B175" s="123">
        <f>IF('Carga Web Cirugias'!A175="","",'Carga Web Cirugias'!A175)</f>
        <v/>
      </c>
      <c r="C175" s="112">
        <f>IF('Carga Web Cirugias'!M175="","",'Carga Web Cirugias'!M175)</f>
        <v/>
      </c>
      <c r="D175" s="114">
        <f>IFERROR(IF(OR(B175="",C175="",COUNTIFS($B$4:B175,B175,$C$4:C175,C175)&gt;1),"",(_xludf.AGGREGATE(14,6,MOD('Carga Web Cirugias'!$S$4:$S$500,1)/(('Carga Web Cirugias'!$A$4:$A$500=B175)*('Carga Web Cirugias'!$M$4:$M$500=C175)*('Carga Web Cirugias'!$R$4:$R$500&lt;&gt;"")*('Carga Web Cirugias'!$S$4:$S$500&lt;&gt;"")),1)-_xludf.AGGREGATE(15,6,MOD('Carga Web Cirugias'!$R$4:$R$500,1)/(('Carga Web Cirugias'!$A$4:$A$500=B175)*('Carga Web Cirugias'!$M$4:$M$500=C175)*('Carga Web Cirugias'!$R$4:$R$500&lt;&gt;"")*('Carga Web Cirugias'!$S$4:$S$500&lt;&gt;"")),1))*1440),"")</f>
        <v/>
      </c>
      <c r="E175" s="114">
        <f>IF(OR(B175="",C175="",D175=""),"",VLOOKUP(C175,'Horario Pabellones'!$A$4:$D$17,4,FALSE))</f>
        <v/>
      </c>
      <c r="F175" s="124">
        <f>IFERROR(IF(OR(D175="",E175="",E175=0),"",(D175/60)/(E175/60)),"")</f>
        <v/>
      </c>
      <c r="G175" s="112">
        <f>IF(F175="","",IF(F175&gt;=0.75,"Cumple referencia","Bajo referencia"))</f>
        <v/>
      </c>
      <c r="J175" s="94" t="n"/>
      <c r="K175" s="95" t="n"/>
      <c r="L175" s="95" t="n"/>
      <c r="M175" s="96" t="n"/>
      <c r="N175" s="95" t="n"/>
    </row>
    <row r="176" ht="16" customHeight="1" s="151">
      <c r="A176" s="109">
        <f>IF(OR('Carga Web Cirugias'!A176="",'Carga Web Cirugias'!M176=""),"",_xludf.ISOWEEKNUM('Carga Web Cirugias'!A176))</f>
        <v/>
      </c>
      <c r="B176" s="117">
        <f>IF('Carga Web Cirugias'!A176="","",'Carga Web Cirugias'!A176)</f>
        <v/>
      </c>
      <c r="C176" s="109">
        <f>IF('Carga Web Cirugias'!M176="","",'Carga Web Cirugias'!M176)</f>
        <v/>
      </c>
      <c r="D176" s="111">
        <f>IFERROR(IF(OR(B176="",C176="",COUNTIFS($B$4:B176,B176,$C$4:C176,C176)&gt;1),"",(_xludf.AGGREGATE(14,6,MOD('Carga Web Cirugias'!$S$4:$S$500,1)/(('Carga Web Cirugias'!$A$4:$A$500=B176)*('Carga Web Cirugias'!$M$4:$M$500=C176)*('Carga Web Cirugias'!$R$4:$R$500&lt;&gt;"")*('Carga Web Cirugias'!$S$4:$S$500&lt;&gt;"")),1)-_xludf.AGGREGATE(15,6,MOD('Carga Web Cirugias'!$R$4:$R$500,1)/(('Carga Web Cirugias'!$A$4:$A$500=B176)*('Carga Web Cirugias'!$M$4:$M$500=C176)*('Carga Web Cirugias'!$R$4:$R$500&lt;&gt;"")*('Carga Web Cirugias'!$S$4:$S$500&lt;&gt;"")),1))*1440),"")</f>
        <v/>
      </c>
      <c r="E176" s="111">
        <f>IF(OR(B176="",C176="",D176=""),"",VLOOKUP(C176,'Horario Pabellones'!$A$4:$D$17,4,FALSE))</f>
        <v/>
      </c>
      <c r="F176" s="118">
        <f>IFERROR(IF(OR(D176="",E176="",E176=0),"",(D176/60)/(E176/60)),"")</f>
        <v/>
      </c>
      <c r="G176" s="109">
        <f>IF(F176="","",IF(F176&gt;=0.75,"Cumple referencia","Bajo referencia"))</f>
        <v/>
      </c>
      <c r="J176" s="94" t="n"/>
      <c r="K176" s="95" t="n"/>
      <c r="L176" s="95" t="n"/>
      <c r="M176" s="96" t="n"/>
      <c r="N176" s="95" t="n"/>
    </row>
    <row r="177" ht="16" customHeight="1" s="151">
      <c r="A177" s="112">
        <f>IF(OR('Carga Web Cirugias'!A177="",'Carga Web Cirugias'!M177=""),"",_xludf.ISOWEEKNUM('Carga Web Cirugias'!A177))</f>
        <v/>
      </c>
      <c r="B177" s="123">
        <f>IF('Carga Web Cirugias'!A177="","",'Carga Web Cirugias'!A177)</f>
        <v/>
      </c>
      <c r="C177" s="112">
        <f>IF('Carga Web Cirugias'!M177="","",'Carga Web Cirugias'!M177)</f>
        <v/>
      </c>
      <c r="D177" s="114">
        <f>IFERROR(IF(OR(B177="",C177="",COUNTIFS($B$4:B177,B177,$C$4:C177,C177)&gt;1),"",(_xludf.AGGREGATE(14,6,MOD('Carga Web Cirugias'!$S$4:$S$500,1)/(('Carga Web Cirugias'!$A$4:$A$500=B177)*('Carga Web Cirugias'!$M$4:$M$500=C177)*('Carga Web Cirugias'!$R$4:$R$500&lt;&gt;"")*('Carga Web Cirugias'!$S$4:$S$500&lt;&gt;"")),1)-_xludf.AGGREGATE(15,6,MOD('Carga Web Cirugias'!$R$4:$R$500,1)/(('Carga Web Cirugias'!$A$4:$A$500=B177)*('Carga Web Cirugias'!$M$4:$M$500=C177)*('Carga Web Cirugias'!$R$4:$R$500&lt;&gt;"")*('Carga Web Cirugias'!$S$4:$S$500&lt;&gt;"")),1))*1440),"")</f>
        <v/>
      </c>
      <c r="E177" s="114">
        <f>IF(OR(B177="",C177="",D177=""),"",VLOOKUP(C177,'Horario Pabellones'!$A$4:$D$17,4,FALSE))</f>
        <v/>
      </c>
      <c r="F177" s="124">
        <f>IFERROR(IF(OR(D177="",E177="",E177=0),"",(D177/60)/(E177/60)),"")</f>
        <v/>
      </c>
      <c r="G177" s="112">
        <f>IF(F177="","",IF(F177&gt;=0.75,"Cumple referencia","Bajo referencia"))</f>
        <v/>
      </c>
      <c r="J177" s="94" t="n"/>
      <c r="K177" s="95" t="n"/>
      <c r="L177" s="95" t="n"/>
      <c r="M177" s="96" t="n"/>
      <c r="N177" s="95" t="n"/>
    </row>
    <row r="178" ht="16" customHeight="1" s="151">
      <c r="A178" s="109">
        <f>IF(OR('Carga Web Cirugias'!A178="",'Carga Web Cirugias'!M178=""),"",_xludf.ISOWEEKNUM('Carga Web Cirugias'!A178))</f>
        <v/>
      </c>
      <c r="B178" s="117">
        <f>IF('Carga Web Cirugias'!A178="","",'Carga Web Cirugias'!A178)</f>
        <v/>
      </c>
      <c r="C178" s="109">
        <f>IF('Carga Web Cirugias'!M178="","",'Carga Web Cirugias'!M178)</f>
        <v/>
      </c>
      <c r="D178" s="111">
        <f>IFERROR(IF(OR(B178="",C178="",COUNTIFS($B$4:B178,B178,$C$4:C178,C178)&gt;1),"",(_xludf.AGGREGATE(14,6,MOD('Carga Web Cirugias'!$S$4:$S$500,1)/(('Carga Web Cirugias'!$A$4:$A$500=B178)*('Carga Web Cirugias'!$M$4:$M$500=C178)*('Carga Web Cirugias'!$R$4:$R$500&lt;&gt;"")*('Carga Web Cirugias'!$S$4:$S$500&lt;&gt;"")),1)-_xludf.AGGREGATE(15,6,MOD('Carga Web Cirugias'!$R$4:$R$500,1)/(('Carga Web Cirugias'!$A$4:$A$500=B178)*('Carga Web Cirugias'!$M$4:$M$500=C178)*('Carga Web Cirugias'!$R$4:$R$500&lt;&gt;"")*('Carga Web Cirugias'!$S$4:$S$500&lt;&gt;"")),1))*1440),"")</f>
        <v/>
      </c>
      <c r="E178" s="111">
        <f>IF(OR(B178="",C178="",D178=""),"",VLOOKUP(C178,'Horario Pabellones'!$A$4:$D$17,4,FALSE))</f>
        <v/>
      </c>
      <c r="F178" s="118">
        <f>IFERROR(IF(OR(D178="",E178="",E178=0),"",(D178/60)/(E178/60)),"")</f>
        <v/>
      </c>
      <c r="G178" s="109">
        <f>IF(F178="","",IF(F178&gt;=0.75,"Cumple referencia","Bajo referencia"))</f>
        <v/>
      </c>
      <c r="J178" s="94" t="n"/>
      <c r="K178" s="95" t="n"/>
      <c r="L178" s="95" t="n"/>
      <c r="M178" s="96" t="n"/>
      <c r="N178" s="95" t="n"/>
    </row>
    <row r="179" ht="16" customHeight="1" s="151">
      <c r="A179" s="112">
        <f>IF(OR('Carga Web Cirugias'!A179="",'Carga Web Cirugias'!M179=""),"",_xludf.ISOWEEKNUM('Carga Web Cirugias'!A179))</f>
        <v/>
      </c>
      <c r="B179" s="123">
        <f>IF('Carga Web Cirugias'!A179="","",'Carga Web Cirugias'!A179)</f>
        <v/>
      </c>
      <c r="C179" s="112">
        <f>IF('Carga Web Cirugias'!M179="","",'Carga Web Cirugias'!M179)</f>
        <v/>
      </c>
      <c r="D179" s="114">
        <f>IFERROR(IF(OR(B179="",C179="",COUNTIFS($B$4:B179,B179,$C$4:C179,C179)&gt;1),"",(_xludf.AGGREGATE(14,6,MOD('Carga Web Cirugias'!$S$4:$S$500,1)/(('Carga Web Cirugias'!$A$4:$A$500=B179)*('Carga Web Cirugias'!$M$4:$M$500=C179)*('Carga Web Cirugias'!$R$4:$R$500&lt;&gt;"")*('Carga Web Cirugias'!$S$4:$S$500&lt;&gt;"")),1)-_xludf.AGGREGATE(15,6,MOD('Carga Web Cirugias'!$R$4:$R$500,1)/(('Carga Web Cirugias'!$A$4:$A$500=B179)*('Carga Web Cirugias'!$M$4:$M$500=C179)*('Carga Web Cirugias'!$R$4:$R$500&lt;&gt;"")*('Carga Web Cirugias'!$S$4:$S$500&lt;&gt;"")),1))*1440),"")</f>
        <v/>
      </c>
      <c r="E179" s="114">
        <f>IF(OR(B179="",C179="",D179=""),"",VLOOKUP(C179,'Horario Pabellones'!$A$4:$D$17,4,FALSE))</f>
        <v/>
      </c>
      <c r="F179" s="124">
        <f>IFERROR(IF(OR(D179="",E179="",E179=0),"",(D179/60)/(E179/60)),"")</f>
        <v/>
      </c>
      <c r="G179" s="112">
        <f>IF(F179="","",IF(F179&gt;=0.75,"Cumple referencia","Bajo referencia"))</f>
        <v/>
      </c>
      <c r="J179" s="94" t="n"/>
      <c r="K179" s="95" t="n"/>
      <c r="L179" s="95" t="n"/>
      <c r="M179" s="96" t="n"/>
      <c r="N179" s="95" t="n"/>
    </row>
    <row r="180" ht="16" customHeight="1" s="151">
      <c r="A180" s="109">
        <f>IF(OR('Carga Web Cirugias'!A180="",'Carga Web Cirugias'!M180=""),"",_xludf.ISOWEEKNUM('Carga Web Cirugias'!A180))</f>
        <v/>
      </c>
      <c r="B180" s="117">
        <f>IF('Carga Web Cirugias'!A180="","",'Carga Web Cirugias'!A180)</f>
        <v/>
      </c>
      <c r="C180" s="109">
        <f>IF('Carga Web Cirugias'!M180="","",'Carga Web Cirugias'!M180)</f>
        <v/>
      </c>
      <c r="D180" s="111">
        <f>IFERROR(IF(OR(B180="",C180="",COUNTIFS($B$4:B180,B180,$C$4:C180,C180)&gt;1),"",(_xludf.AGGREGATE(14,6,MOD('Carga Web Cirugias'!$S$4:$S$500,1)/(('Carga Web Cirugias'!$A$4:$A$500=B180)*('Carga Web Cirugias'!$M$4:$M$500=C180)*('Carga Web Cirugias'!$R$4:$R$500&lt;&gt;"")*('Carga Web Cirugias'!$S$4:$S$500&lt;&gt;"")),1)-_xludf.AGGREGATE(15,6,MOD('Carga Web Cirugias'!$R$4:$R$500,1)/(('Carga Web Cirugias'!$A$4:$A$500=B180)*('Carga Web Cirugias'!$M$4:$M$500=C180)*('Carga Web Cirugias'!$R$4:$R$500&lt;&gt;"")*('Carga Web Cirugias'!$S$4:$S$500&lt;&gt;"")),1))*1440),"")</f>
        <v/>
      </c>
      <c r="E180" s="111">
        <f>IF(OR(B180="",C180="",D180=""),"",VLOOKUP(C180,'Horario Pabellones'!$A$4:$D$17,4,FALSE))</f>
        <v/>
      </c>
      <c r="F180" s="118">
        <f>IFERROR(IF(OR(D180="",E180="",E180=0),"",(D180/60)/(E180/60)),"")</f>
        <v/>
      </c>
      <c r="G180" s="109">
        <f>IF(F180="","",IF(F180&gt;=0.75,"Cumple referencia","Bajo referencia"))</f>
        <v/>
      </c>
      <c r="J180" s="94" t="n"/>
      <c r="K180" s="95" t="n"/>
      <c r="L180" s="95" t="n"/>
      <c r="M180" s="96" t="n"/>
      <c r="N180" s="95" t="n"/>
    </row>
    <row r="181" ht="16" customHeight="1" s="151">
      <c r="A181" s="112">
        <f>IF(OR('Carga Web Cirugias'!A181="",'Carga Web Cirugias'!M181=""),"",_xludf.ISOWEEKNUM('Carga Web Cirugias'!A181))</f>
        <v/>
      </c>
      <c r="B181" s="123">
        <f>IF('Carga Web Cirugias'!A181="","",'Carga Web Cirugias'!A181)</f>
        <v/>
      </c>
      <c r="C181" s="112">
        <f>IF('Carga Web Cirugias'!M181="","",'Carga Web Cirugias'!M181)</f>
        <v/>
      </c>
      <c r="D181" s="114">
        <f>IFERROR(IF(OR(B181="",C181="",COUNTIFS($B$4:B181,B181,$C$4:C181,C181)&gt;1),"",(_xludf.AGGREGATE(14,6,MOD('Carga Web Cirugias'!$S$4:$S$500,1)/(('Carga Web Cirugias'!$A$4:$A$500=B181)*('Carga Web Cirugias'!$M$4:$M$500=C181)*('Carga Web Cirugias'!$R$4:$R$500&lt;&gt;"")*('Carga Web Cirugias'!$S$4:$S$500&lt;&gt;"")),1)-_xludf.AGGREGATE(15,6,MOD('Carga Web Cirugias'!$R$4:$R$500,1)/(('Carga Web Cirugias'!$A$4:$A$500=B181)*('Carga Web Cirugias'!$M$4:$M$500=C181)*('Carga Web Cirugias'!$R$4:$R$500&lt;&gt;"")*('Carga Web Cirugias'!$S$4:$S$500&lt;&gt;"")),1))*1440),"")</f>
        <v/>
      </c>
      <c r="E181" s="114">
        <f>IF(OR(B181="",C181="",D181=""),"",VLOOKUP(C181,'Horario Pabellones'!$A$4:$D$17,4,FALSE))</f>
        <v/>
      </c>
      <c r="F181" s="124">
        <f>IFERROR(IF(OR(D181="",E181="",E181=0),"",(D181/60)/(E181/60)),"")</f>
        <v/>
      </c>
      <c r="G181" s="112">
        <f>IF(F181="","",IF(F181&gt;=0.75,"Cumple referencia","Bajo referencia"))</f>
        <v/>
      </c>
      <c r="J181" s="94" t="n"/>
      <c r="K181" s="95" t="n"/>
      <c r="L181" s="95" t="n"/>
      <c r="M181" s="96" t="n"/>
      <c r="N181" s="95" t="n"/>
    </row>
    <row r="182" ht="16" customHeight="1" s="151">
      <c r="A182" s="109">
        <f>IF(OR('Carga Web Cirugias'!A182="",'Carga Web Cirugias'!M182=""),"",_xludf.ISOWEEKNUM('Carga Web Cirugias'!A182))</f>
        <v/>
      </c>
      <c r="B182" s="117">
        <f>IF('Carga Web Cirugias'!A182="","",'Carga Web Cirugias'!A182)</f>
        <v/>
      </c>
      <c r="C182" s="109">
        <f>IF('Carga Web Cirugias'!M182="","",'Carga Web Cirugias'!M182)</f>
        <v/>
      </c>
      <c r="D182" s="111">
        <f>IFERROR(IF(OR(B182="",C182="",COUNTIFS($B$4:B182,B182,$C$4:C182,C182)&gt;1),"",(_xludf.AGGREGATE(14,6,MOD('Carga Web Cirugias'!$S$4:$S$500,1)/(('Carga Web Cirugias'!$A$4:$A$500=B182)*('Carga Web Cirugias'!$M$4:$M$500=C182)*('Carga Web Cirugias'!$R$4:$R$500&lt;&gt;"")*('Carga Web Cirugias'!$S$4:$S$500&lt;&gt;"")),1)-_xludf.AGGREGATE(15,6,MOD('Carga Web Cirugias'!$R$4:$R$500,1)/(('Carga Web Cirugias'!$A$4:$A$500=B182)*('Carga Web Cirugias'!$M$4:$M$500=C182)*('Carga Web Cirugias'!$R$4:$R$500&lt;&gt;"")*('Carga Web Cirugias'!$S$4:$S$500&lt;&gt;"")),1))*1440),"")</f>
        <v/>
      </c>
      <c r="E182" s="111">
        <f>IF(OR(B182="",C182="",D182=""),"",VLOOKUP(C182,'Horario Pabellones'!$A$4:$D$17,4,FALSE))</f>
        <v/>
      </c>
      <c r="F182" s="118">
        <f>IFERROR(IF(OR(D182="",E182="",E182=0),"",(D182/60)/(E182/60)),"")</f>
        <v/>
      </c>
      <c r="G182" s="109">
        <f>IF(F182="","",IF(F182&gt;=0.75,"Cumple referencia","Bajo referencia"))</f>
        <v/>
      </c>
      <c r="J182" s="94" t="n"/>
      <c r="K182" s="95" t="n"/>
      <c r="L182" s="95" t="n"/>
      <c r="M182" s="96" t="n"/>
      <c r="N182" s="95" t="n"/>
    </row>
    <row r="183" ht="16" customHeight="1" s="151">
      <c r="A183" s="112">
        <f>IF(OR('Carga Web Cirugias'!A183="",'Carga Web Cirugias'!M183=""),"",_xludf.ISOWEEKNUM('Carga Web Cirugias'!A183))</f>
        <v/>
      </c>
      <c r="B183" s="123">
        <f>IF('Carga Web Cirugias'!A183="","",'Carga Web Cirugias'!A183)</f>
        <v/>
      </c>
      <c r="C183" s="112">
        <f>IF('Carga Web Cirugias'!M183="","",'Carga Web Cirugias'!M183)</f>
        <v/>
      </c>
      <c r="D183" s="114">
        <f>IFERROR(IF(OR(B183="",C183="",COUNTIFS($B$4:B183,B183,$C$4:C183,C183)&gt;1),"",(_xludf.AGGREGATE(14,6,MOD('Carga Web Cirugias'!$S$4:$S$500,1)/(('Carga Web Cirugias'!$A$4:$A$500=B183)*('Carga Web Cirugias'!$M$4:$M$500=C183)*('Carga Web Cirugias'!$R$4:$R$500&lt;&gt;"")*('Carga Web Cirugias'!$S$4:$S$500&lt;&gt;"")),1)-_xludf.AGGREGATE(15,6,MOD('Carga Web Cirugias'!$R$4:$R$500,1)/(('Carga Web Cirugias'!$A$4:$A$500=B183)*('Carga Web Cirugias'!$M$4:$M$500=C183)*('Carga Web Cirugias'!$R$4:$R$500&lt;&gt;"")*('Carga Web Cirugias'!$S$4:$S$500&lt;&gt;"")),1))*1440),"")</f>
        <v/>
      </c>
      <c r="E183" s="114">
        <f>IF(OR(B183="",C183="",D183=""),"",VLOOKUP(C183,'Horario Pabellones'!$A$4:$D$17,4,FALSE))</f>
        <v/>
      </c>
      <c r="F183" s="124">
        <f>IFERROR(IF(OR(D183="",E183="",E183=0),"",(D183/60)/(E183/60)),"")</f>
        <v/>
      </c>
      <c r="G183" s="112">
        <f>IF(F183="","",IF(F183&gt;=0.75,"Cumple referencia","Bajo referencia"))</f>
        <v/>
      </c>
      <c r="J183" s="94" t="n"/>
      <c r="K183" s="95" t="n"/>
      <c r="L183" s="95" t="n"/>
      <c r="M183" s="96" t="n"/>
      <c r="N183" s="95" t="n"/>
    </row>
    <row r="184" ht="16" customHeight="1" s="151">
      <c r="A184" s="109">
        <f>IF(OR('Carga Web Cirugias'!A184="",'Carga Web Cirugias'!M184=""),"",_xludf.ISOWEEKNUM('Carga Web Cirugias'!A184))</f>
        <v/>
      </c>
      <c r="B184" s="117">
        <f>IF('Carga Web Cirugias'!A184="","",'Carga Web Cirugias'!A184)</f>
        <v/>
      </c>
      <c r="C184" s="109">
        <f>IF('Carga Web Cirugias'!M184="","",'Carga Web Cirugias'!M184)</f>
        <v/>
      </c>
      <c r="D184" s="111">
        <f>IFERROR(IF(OR(B184="",C184="",COUNTIFS($B$4:B184,B184,$C$4:C184,C184)&gt;1),"",(_xludf.AGGREGATE(14,6,MOD('Carga Web Cirugias'!$S$4:$S$500,1)/(('Carga Web Cirugias'!$A$4:$A$500=B184)*('Carga Web Cirugias'!$M$4:$M$500=C184)*('Carga Web Cirugias'!$R$4:$R$500&lt;&gt;"")*('Carga Web Cirugias'!$S$4:$S$500&lt;&gt;"")),1)-_xludf.AGGREGATE(15,6,MOD('Carga Web Cirugias'!$R$4:$R$500,1)/(('Carga Web Cirugias'!$A$4:$A$500=B184)*('Carga Web Cirugias'!$M$4:$M$500=C184)*('Carga Web Cirugias'!$R$4:$R$500&lt;&gt;"")*('Carga Web Cirugias'!$S$4:$S$500&lt;&gt;"")),1))*1440),"")</f>
        <v/>
      </c>
      <c r="E184" s="111">
        <f>IF(OR(B184="",C184="",D184=""),"",VLOOKUP(C184,'Horario Pabellones'!$A$4:$D$17,4,FALSE))</f>
        <v/>
      </c>
      <c r="F184" s="118">
        <f>IFERROR(IF(OR(D184="",E184="",E184=0),"",(D184/60)/(E184/60)),"")</f>
        <v/>
      </c>
      <c r="G184" s="109">
        <f>IF(F184="","",IF(F184&gt;=0.75,"Cumple referencia","Bajo referencia"))</f>
        <v/>
      </c>
      <c r="J184" s="94" t="n"/>
      <c r="K184" s="95" t="n"/>
      <c r="L184" s="95" t="n"/>
      <c r="M184" s="96" t="n"/>
      <c r="N184" s="95" t="n"/>
    </row>
    <row r="185" ht="16" customHeight="1" s="151">
      <c r="A185" s="112">
        <f>IF(OR('Carga Web Cirugias'!A185="",'Carga Web Cirugias'!M185=""),"",_xludf.ISOWEEKNUM('Carga Web Cirugias'!A185))</f>
        <v/>
      </c>
      <c r="B185" s="123">
        <f>IF('Carga Web Cirugias'!A185="","",'Carga Web Cirugias'!A185)</f>
        <v/>
      </c>
      <c r="C185" s="112">
        <f>IF('Carga Web Cirugias'!M185="","",'Carga Web Cirugias'!M185)</f>
        <v/>
      </c>
      <c r="D185" s="114">
        <f>IFERROR(IF(OR(B185="",C185="",COUNTIFS($B$4:B185,B185,$C$4:C185,C185)&gt;1),"",(_xludf.AGGREGATE(14,6,MOD('Carga Web Cirugias'!$S$4:$S$500,1)/(('Carga Web Cirugias'!$A$4:$A$500=B185)*('Carga Web Cirugias'!$M$4:$M$500=C185)*('Carga Web Cirugias'!$R$4:$R$500&lt;&gt;"")*('Carga Web Cirugias'!$S$4:$S$500&lt;&gt;"")),1)-_xludf.AGGREGATE(15,6,MOD('Carga Web Cirugias'!$R$4:$R$500,1)/(('Carga Web Cirugias'!$A$4:$A$500=B185)*('Carga Web Cirugias'!$M$4:$M$500=C185)*('Carga Web Cirugias'!$R$4:$R$500&lt;&gt;"")*('Carga Web Cirugias'!$S$4:$S$500&lt;&gt;"")),1))*1440),"")</f>
        <v/>
      </c>
      <c r="E185" s="114">
        <f>IF(OR(B185="",C185="",D185=""),"",VLOOKUP(C185,'Horario Pabellones'!$A$4:$D$17,4,FALSE))</f>
        <v/>
      </c>
      <c r="F185" s="124">
        <f>IFERROR(IF(OR(D185="",E185="",E185=0),"",(D185/60)/(E185/60)),"")</f>
        <v/>
      </c>
      <c r="G185" s="112">
        <f>IF(F185="","",IF(F185&gt;=0.75,"Cumple referencia","Bajo referencia"))</f>
        <v/>
      </c>
      <c r="J185" s="94" t="n"/>
      <c r="K185" s="95" t="n"/>
      <c r="L185" s="95" t="n"/>
      <c r="M185" s="96" t="n"/>
      <c r="N185" s="95" t="n"/>
    </row>
    <row r="186" ht="16" customHeight="1" s="151">
      <c r="A186" s="109">
        <f>IF(OR('Carga Web Cirugias'!A186="",'Carga Web Cirugias'!M186=""),"",_xludf.ISOWEEKNUM('Carga Web Cirugias'!A186))</f>
        <v/>
      </c>
      <c r="B186" s="117">
        <f>IF('Carga Web Cirugias'!A186="","",'Carga Web Cirugias'!A186)</f>
        <v/>
      </c>
      <c r="C186" s="109">
        <f>IF('Carga Web Cirugias'!M186="","",'Carga Web Cirugias'!M186)</f>
        <v/>
      </c>
      <c r="D186" s="111">
        <f>IFERROR(IF(OR(B186="",C186="",COUNTIFS($B$4:B186,B186,$C$4:C186,C186)&gt;1),"",(_xludf.AGGREGATE(14,6,MOD('Carga Web Cirugias'!$S$4:$S$500,1)/(('Carga Web Cirugias'!$A$4:$A$500=B186)*('Carga Web Cirugias'!$M$4:$M$500=C186)*('Carga Web Cirugias'!$R$4:$R$500&lt;&gt;"")*('Carga Web Cirugias'!$S$4:$S$500&lt;&gt;"")),1)-_xludf.AGGREGATE(15,6,MOD('Carga Web Cirugias'!$R$4:$R$500,1)/(('Carga Web Cirugias'!$A$4:$A$500=B186)*('Carga Web Cirugias'!$M$4:$M$500=C186)*('Carga Web Cirugias'!$R$4:$R$500&lt;&gt;"")*('Carga Web Cirugias'!$S$4:$S$500&lt;&gt;"")),1))*1440),"")</f>
        <v/>
      </c>
      <c r="E186" s="111">
        <f>IF(OR(B186="",C186="",D186=""),"",VLOOKUP(C186,'Horario Pabellones'!$A$4:$D$17,4,FALSE))</f>
        <v/>
      </c>
      <c r="F186" s="118">
        <f>IFERROR(IF(OR(D186="",E186="",E186=0),"",(D186/60)/(E186/60)),"")</f>
        <v/>
      </c>
      <c r="G186" s="109">
        <f>IF(F186="","",IF(F186&gt;=0.75,"Cumple referencia","Bajo referencia"))</f>
        <v/>
      </c>
      <c r="J186" s="94" t="n"/>
      <c r="K186" s="95" t="n"/>
      <c r="L186" s="95" t="n"/>
      <c r="M186" s="96" t="n"/>
      <c r="N186" s="95" t="n"/>
    </row>
    <row r="187" ht="16" customHeight="1" s="151">
      <c r="A187" s="112">
        <f>IF(OR('Carga Web Cirugias'!A187="",'Carga Web Cirugias'!M187=""),"",_xludf.ISOWEEKNUM('Carga Web Cirugias'!A187))</f>
        <v/>
      </c>
      <c r="B187" s="123">
        <f>IF('Carga Web Cirugias'!A187="","",'Carga Web Cirugias'!A187)</f>
        <v/>
      </c>
      <c r="C187" s="112">
        <f>IF('Carga Web Cirugias'!M187="","",'Carga Web Cirugias'!M187)</f>
        <v/>
      </c>
      <c r="D187" s="114">
        <f>IFERROR(IF(OR(B187="",C187="",COUNTIFS($B$4:B187,B187,$C$4:C187,C187)&gt;1),"",(_xludf.AGGREGATE(14,6,MOD('Carga Web Cirugias'!$S$4:$S$500,1)/(('Carga Web Cirugias'!$A$4:$A$500=B187)*('Carga Web Cirugias'!$M$4:$M$500=C187)*('Carga Web Cirugias'!$R$4:$R$500&lt;&gt;"")*('Carga Web Cirugias'!$S$4:$S$500&lt;&gt;"")),1)-_xludf.AGGREGATE(15,6,MOD('Carga Web Cirugias'!$R$4:$R$500,1)/(('Carga Web Cirugias'!$A$4:$A$500=B187)*('Carga Web Cirugias'!$M$4:$M$500=C187)*('Carga Web Cirugias'!$R$4:$R$500&lt;&gt;"")*('Carga Web Cirugias'!$S$4:$S$500&lt;&gt;"")),1))*1440),"")</f>
        <v/>
      </c>
      <c r="E187" s="114">
        <f>IF(OR(B187="",C187="",D187=""),"",VLOOKUP(C187,'Horario Pabellones'!$A$4:$D$17,4,FALSE))</f>
        <v/>
      </c>
      <c r="F187" s="124">
        <f>IFERROR(IF(OR(D187="",E187="",E187=0),"",(D187/60)/(E187/60)),"")</f>
        <v/>
      </c>
      <c r="G187" s="112">
        <f>IF(F187="","",IF(F187&gt;=0.75,"Cumple referencia","Bajo referencia"))</f>
        <v/>
      </c>
      <c r="J187" s="94" t="n"/>
      <c r="K187" s="95" t="n"/>
      <c r="L187" s="95" t="n"/>
      <c r="M187" s="96" t="n"/>
      <c r="N187" s="95" t="n"/>
    </row>
    <row r="188" ht="16" customHeight="1" s="151">
      <c r="A188" s="109">
        <f>IF(OR('Carga Web Cirugias'!A188="",'Carga Web Cirugias'!M188=""),"",_xludf.ISOWEEKNUM('Carga Web Cirugias'!A188))</f>
        <v/>
      </c>
      <c r="B188" s="117">
        <f>IF('Carga Web Cirugias'!A188="","",'Carga Web Cirugias'!A188)</f>
        <v/>
      </c>
      <c r="C188" s="109">
        <f>IF('Carga Web Cirugias'!M188="","",'Carga Web Cirugias'!M188)</f>
        <v/>
      </c>
      <c r="D188" s="111">
        <f>IFERROR(IF(OR(B188="",C188="",COUNTIFS($B$4:B188,B188,$C$4:C188,C188)&gt;1),"",(_xludf.AGGREGATE(14,6,MOD('Carga Web Cirugias'!$S$4:$S$500,1)/(('Carga Web Cirugias'!$A$4:$A$500=B188)*('Carga Web Cirugias'!$M$4:$M$500=C188)*('Carga Web Cirugias'!$R$4:$R$500&lt;&gt;"")*('Carga Web Cirugias'!$S$4:$S$500&lt;&gt;"")),1)-_xludf.AGGREGATE(15,6,MOD('Carga Web Cirugias'!$R$4:$R$500,1)/(('Carga Web Cirugias'!$A$4:$A$500=B188)*('Carga Web Cirugias'!$M$4:$M$500=C188)*('Carga Web Cirugias'!$R$4:$R$500&lt;&gt;"")*('Carga Web Cirugias'!$S$4:$S$500&lt;&gt;"")),1))*1440),"")</f>
        <v/>
      </c>
      <c r="E188" s="111">
        <f>IF(OR(B188="",C188="",D188=""),"",VLOOKUP(C188,'Horario Pabellones'!$A$4:$D$17,4,FALSE))</f>
        <v/>
      </c>
      <c r="F188" s="118">
        <f>IFERROR(IF(OR(D188="",E188="",E188=0),"",(D188/60)/(E188/60)),"")</f>
        <v/>
      </c>
      <c r="G188" s="109">
        <f>IF(F188="","",IF(F188&gt;=0.75,"Cumple referencia","Bajo referencia"))</f>
        <v/>
      </c>
      <c r="J188" s="94" t="n"/>
      <c r="K188" s="95" t="n"/>
      <c r="L188" s="95" t="n"/>
      <c r="M188" s="96" t="n"/>
      <c r="N188" s="95" t="n"/>
    </row>
    <row r="189" ht="16" customHeight="1" s="151">
      <c r="A189" s="112">
        <f>IF(OR('Carga Web Cirugias'!A189="",'Carga Web Cirugias'!M189=""),"",_xludf.ISOWEEKNUM('Carga Web Cirugias'!A189))</f>
        <v/>
      </c>
      <c r="B189" s="123">
        <f>IF('Carga Web Cirugias'!A189="","",'Carga Web Cirugias'!A189)</f>
        <v/>
      </c>
      <c r="C189" s="112">
        <f>IF('Carga Web Cirugias'!M189="","",'Carga Web Cirugias'!M189)</f>
        <v/>
      </c>
      <c r="D189" s="114">
        <f>IFERROR(IF(OR(B189="",C189="",COUNTIFS($B$4:B189,B189,$C$4:C189,C189)&gt;1),"",(_xludf.AGGREGATE(14,6,MOD('Carga Web Cirugias'!$S$4:$S$500,1)/(('Carga Web Cirugias'!$A$4:$A$500=B189)*('Carga Web Cirugias'!$M$4:$M$500=C189)*('Carga Web Cirugias'!$R$4:$R$500&lt;&gt;"")*('Carga Web Cirugias'!$S$4:$S$500&lt;&gt;"")),1)-_xludf.AGGREGATE(15,6,MOD('Carga Web Cirugias'!$R$4:$R$500,1)/(('Carga Web Cirugias'!$A$4:$A$500=B189)*('Carga Web Cirugias'!$M$4:$M$500=C189)*('Carga Web Cirugias'!$R$4:$R$500&lt;&gt;"")*('Carga Web Cirugias'!$S$4:$S$500&lt;&gt;"")),1))*1440),"")</f>
        <v/>
      </c>
      <c r="E189" s="114">
        <f>IF(OR(B189="",C189="",D189=""),"",VLOOKUP(C189,'Horario Pabellones'!$A$4:$D$17,4,FALSE))</f>
        <v/>
      </c>
      <c r="F189" s="124">
        <f>IFERROR(IF(OR(D189="",E189="",E189=0),"",(D189/60)/(E189/60)),"")</f>
        <v/>
      </c>
      <c r="G189" s="112">
        <f>IF(F189="","",IF(F189&gt;=0.75,"Cumple referencia","Bajo referencia"))</f>
        <v/>
      </c>
      <c r="J189" s="94" t="n"/>
      <c r="K189" s="95" t="n"/>
      <c r="L189" s="95" t="n"/>
      <c r="M189" s="96" t="n"/>
      <c r="N189" s="95" t="n"/>
    </row>
    <row r="190" ht="16" customHeight="1" s="151">
      <c r="A190" s="109">
        <f>IF(OR('Carga Web Cirugias'!A190="",'Carga Web Cirugias'!M190=""),"",_xludf.ISOWEEKNUM('Carga Web Cirugias'!A190))</f>
        <v/>
      </c>
      <c r="B190" s="117">
        <f>IF('Carga Web Cirugias'!A190="","",'Carga Web Cirugias'!A190)</f>
        <v/>
      </c>
      <c r="C190" s="109">
        <f>IF('Carga Web Cirugias'!M190="","",'Carga Web Cirugias'!M190)</f>
        <v/>
      </c>
      <c r="D190" s="111">
        <f>IFERROR(IF(OR(B190="",C190="",COUNTIFS($B$4:B190,B190,$C$4:C190,C190)&gt;1),"",(_xludf.AGGREGATE(14,6,MOD('Carga Web Cirugias'!$S$4:$S$500,1)/(('Carga Web Cirugias'!$A$4:$A$500=B190)*('Carga Web Cirugias'!$M$4:$M$500=C190)*('Carga Web Cirugias'!$R$4:$R$500&lt;&gt;"")*('Carga Web Cirugias'!$S$4:$S$500&lt;&gt;"")),1)-_xludf.AGGREGATE(15,6,MOD('Carga Web Cirugias'!$R$4:$R$500,1)/(('Carga Web Cirugias'!$A$4:$A$500=B190)*('Carga Web Cirugias'!$M$4:$M$500=C190)*('Carga Web Cirugias'!$R$4:$R$500&lt;&gt;"")*('Carga Web Cirugias'!$S$4:$S$500&lt;&gt;"")),1))*1440),"")</f>
        <v/>
      </c>
      <c r="E190" s="111">
        <f>IF(OR(B190="",C190="",D190=""),"",VLOOKUP(C190,'Horario Pabellones'!$A$4:$D$17,4,FALSE))</f>
        <v/>
      </c>
      <c r="F190" s="118">
        <f>IFERROR(IF(OR(D190="",E190="",E190=0),"",(D190/60)/(E190/60)),"")</f>
        <v/>
      </c>
      <c r="G190" s="109">
        <f>IF(F190="","",IF(F190&gt;=0.75,"Cumple referencia","Bajo referencia"))</f>
        <v/>
      </c>
      <c r="J190" s="94" t="n"/>
      <c r="K190" s="95" t="n"/>
      <c r="L190" s="95" t="n"/>
      <c r="M190" s="96" t="n"/>
      <c r="N190" s="95" t="n"/>
    </row>
    <row r="191" ht="16" customHeight="1" s="151">
      <c r="A191" s="112">
        <f>IF(OR('Carga Web Cirugias'!A191="",'Carga Web Cirugias'!M191=""),"",_xludf.ISOWEEKNUM('Carga Web Cirugias'!A191))</f>
        <v/>
      </c>
      <c r="B191" s="123">
        <f>IF('Carga Web Cirugias'!A191="","",'Carga Web Cirugias'!A191)</f>
        <v/>
      </c>
      <c r="C191" s="112">
        <f>IF('Carga Web Cirugias'!M191="","",'Carga Web Cirugias'!M191)</f>
        <v/>
      </c>
      <c r="D191" s="114">
        <f>IFERROR(IF(OR(B191="",C191="",COUNTIFS($B$4:B191,B191,$C$4:C191,C191)&gt;1),"",(_xludf.AGGREGATE(14,6,MOD('Carga Web Cirugias'!$S$4:$S$500,1)/(('Carga Web Cirugias'!$A$4:$A$500=B191)*('Carga Web Cirugias'!$M$4:$M$500=C191)*('Carga Web Cirugias'!$R$4:$R$500&lt;&gt;"")*('Carga Web Cirugias'!$S$4:$S$500&lt;&gt;"")),1)-_xludf.AGGREGATE(15,6,MOD('Carga Web Cirugias'!$R$4:$R$500,1)/(('Carga Web Cirugias'!$A$4:$A$500=B191)*('Carga Web Cirugias'!$M$4:$M$500=C191)*('Carga Web Cirugias'!$R$4:$R$500&lt;&gt;"")*('Carga Web Cirugias'!$S$4:$S$500&lt;&gt;"")),1))*1440),"")</f>
        <v/>
      </c>
      <c r="E191" s="114">
        <f>IF(OR(B191="",C191="",D191=""),"",VLOOKUP(C191,'Horario Pabellones'!$A$4:$D$17,4,FALSE))</f>
        <v/>
      </c>
      <c r="F191" s="124">
        <f>IFERROR(IF(OR(D191="",E191="",E191=0),"",(D191/60)/(E191/60)),"")</f>
        <v/>
      </c>
      <c r="G191" s="112">
        <f>IF(F191="","",IF(F191&gt;=0.75,"Cumple referencia","Bajo referencia"))</f>
        <v/>
      </c>
      <c r="J191" s="94" t="n"/>
      <c r="K191" s="95" t="n"/>
      <c r="L191" s="95" t="n"/>
      <c r="M191" s="96" t="n"/>
      <c r="N191" s="95" t="n"/>
    </row>
    <row r="192" ht="16" customHeight="1" s="151">
      <c r="A192" s="109">
        <f>IF(OR('Carga Web Cirugias'!A192="",'Carga Web Cirugias'!M192=""),"",_xludf.ISOWEEKNUM('Carga Web Cirugias'!A192))</f>
        <v/>
      </c>
      <c r="B192" s="117">
        <f>IF('Carga Web Cirugias'!A192="","",'Carga Web Cirugias'!A192)</f>
        <v/>
      </c>
      <c r="C192" s="109">
        <f>IF('Carga Web Cirugias'!M192="","",'Carga Web Cirugias'!M192)</f>
        <v/>
      </c>
      <c r="D192" s="111">
        <f>IFERROR(IF(OR(B192="",C192="",COUNTIFS($B$4:B192,B192,$C$4:C192,C192)&gt;1),"",(_xludf.AGGREGATE(14,6,MOD('Carga Web Cirugias'!$S$4:$S$500,1)/(('Carga Web Cirugias'!$A$4:$A$500=B192)*('Carga Web Cirugias'!$M$4:$M$500=C192)*('Carga Web Cirugias'!$R$4:$R$500&lt;&gt;"")*('Carga Web Cirugias'!$S$4:$S$500&lt;&gt;"")),1)-_xludf.AGGREGATE(15,6,MOD('Carga Web Cirugias'!$R$4:$R$500,1)/(('Carga Web Cirugias'!$A$4:$A$500=B192)*('Carga Web Cirugias'!$M$4:$M$500=C192)*('Carga Web Cirugias'!$R$4:$R$500&lt;&gt;"")*('Carga Web Cirugias'!$S$4:$S$500&lt;&gt;"")),1))*1440),"")</f>
        <v/>
      </c>
      <c r="E192" s="111">
        <f>IF(OR(B192="",C192="",D192=""),"",VLOOKUP(C192,'Horario Pabellones'!$A$4:$D$17,4,FALSE))</f>
        <v/>
      </c>
      <c r="F192" s="118">
        <f>IFERROR(IF(OR(D192="",E192="",E192=0),"",(D192/60)/(E192/60)),"")</f>
        <v/>
      </c>
      <c r="G192" s="109">
        <f>IF(F192="","",IF(F192&gt;=0.75,"Cumple referencia","Bajo referencia"))</f>
        <v/>
      </c>
      <c r="J192" s="94" t="n"/>
      <c r="K192" s="95" t="n"/>
      <c r="L192" s="95" t="n"/>
      <c r="M192" s="96" t="n"/>
      <c r="N192" s="95" t="n"/>
    </row>
    <row r="193" ht="16" customHeight="1" s="151">
      <c r="A193" s="112">
        <f>IF(OR('Carga Web Cirugias'!A193="",'Carga Web Cirugias'!M193=""),"",_xludf.ISOWEEKNUM('Carga Web Cirugias'!A193))</f>
        <v/>
      </c>
      <c r="B193" s="123">
        <f>IF('Carga Web Cirugias'!A193="","",'Carga Web Cirugias'!A193)</f>
        <v/>
      </c>
      <c r="C193" s="112">
        <f>IF('Carga Web Cirugias'!M193="","",'Carga Web Cirugias'!M193)</f>
        <v/>
      </c>
      <c r="D193" s="114">
        <f>IFERROR(IF(OR(B193="",C193="",COUNTIFS($B$4:B193,B193,$C$4:C193,C193)&gt;1),"",(_xludf.AGGREGATE(14,6,MOD('Carga Web Cirugias'!$S$4:$S$500,1)/(('Carga Web Cirugias'!$A$4:$A$500=B193)*('Carga Web Cirugias'!$M$4:$M$500=C193)*('Carga Web Cirugias'!$R$4:$R$500&lt;&gt;"")*('Carga Web Cirugias'!$S$4:$S$500&lt;&gt;"")),1)-_xludf.AGGREGATE(15,6,MOD('Carga Web Cirugias'!$R$4:$R$500,1)/(('Carga Web Cirugias'!$A$4:$A$500=B193)*('Carga Web Cirugias'!$M$4:$M$500=C193)*('Carga Web Cirugias'!$R$4:$R$500&lt;&gt;"")*('Carga Web Cirugias'!$S$4:$S$500&lt;&gt;"")),1))*1440),"")</f>
        <v/>
      </c>
      <c r="E193" s="114">
        <f>IF(OR(B193="",C193="",D193=""),"",VLOOKUP(C193,'Horario Pabellones'!$A$4:$D$17,4,FALSE))</f>
        <v/>
      </c>
      <c r="F193" s="124">
        <f>IFERROR(IF(OR(D193="",E193="",E193=0),"",(D193/60)/(E193/60)),"")</f>
        <v/>
      </c>
      <c r="G193" s="112">
        <f>IF(F193="","",IF(F193&gt;=0.75,"Cumple referencia","Bajo referencia"))</f>
        <v/>
      </c>
      <c r="J193" s="94" t="n"/>
      <c r="K193" s="95" t="n"/>
      <c r="L193" s="95" t="n"/>
      <c r="M193" s="96" t="n"/>
      <c r="N193" s="95" t="n"/>
    </row>
    <row r="194" ht="16" customHeight="1" s="151">
      <c r="A194" s="109">
        <f>IF(OR('Carga Web Cirugias'!A194="",'Carga Web Cirugias'!M194=""),"",_xludf.ISOWEEKNUM('Carga Web Cirugias'!A194))</f>
        <v/>
      </c>
      <c r="B194" s="117">
        <f>IF('Carga Web Cirugias'!A194="","",'Carga Web Cirugias'!A194)</f>
        <v/>
      </c>
      <c r="C194" s="109">
        <f>IF('Carga Web Cirugias'!M194="","",'Carga Web Cirugias'!M194)</f>
        <v/>
      </c>
      <c r="D194" s="111">
        <f>IFERROR(IF(OR(B194="",C194="",COUNTIFS($B$4:B194,B194,$C$4:C194,C194)&gt;1),"",(_xludf.AGGREGATE(14,6,MOD('Carga Web Cirugias'!$S$4:$S$500,1)/(('Carga Web Cirugias'!$A$4:$A$500=B194)*('Carga Web Cirugias'!$M$4:$M$500=C194)*('Carga Web Cirugias'!$R$4:$R$500&lt;&gt;"")*('Carga Web Cirugias'!$S$4:$S$500&lt;&gt;"")),1)-_xludf.AGGREGATE(15,6,MOD('Carga Web Cirugias'!$R$4:$R$500,1)/(('Carga Web Cirugias'!$A$4:$A$500=B194)*('Carga Web Cirugias'!$M$4:$M$500=C194)*('Carga Web Cirugias'!$R$4:$R$500&lt;&gt;"")*('Carga Web Cirugias'!$S$4:$S$500&lt;&gt;"")),1))*1440),"")</f>
        <v/>
      </c>
      <c r="E194" s="111">
        <f>IF(OR(B194="",C194="",D194=""),"",VLOOKUP(C194,'Horario Pabellones'!$A$4:$D$17,4,FALSE))</f>
        <v/>
      </c>
      <c r="F194" s="118">
        <f>IFERROR(IF(OR(D194="",E194="",E194=0),"",(D194/60)/(E194/60)),"")</f>
        <v/>
      </c>
      <c r="G194" s="109">
        <f>IF(F194="","",IF(F194&gt;=0.75,"Cumple referencia","Bajo referencia"))</f>
        <v/>
      </c>
      <c r="J194" s="94" t="n"/>
      <c r="K194" s="95" t="n"/>
      <c r="L194" s="95" t="n"/>
      <c r="M194" s="96" t="n"/>
      <c r="N194" s="95" t="n"/>
    </row>
    <row r="195" ht="16" customHeight="1" s="151">
      <c r="A195" s="112">
        <f>IF(OR('Carga Web Cirugias'!A195="",'Carga Web Cirugias'!M195=""),"",_xludf.ISOWEEKNUM('Carga Web Cirugias'!A195))</f>
        <v/>
      </c>
      <c r="B195" s="123">
        <f>IF('Carga Web Cirugias'!A195="","",'Carga Web Cirugias'!A195)</f>
        <v/>
      </c>
      <c r="C195" s="112">
        <f>IF('Carga Web Cirugias'!M195="","",'Carga Web Cirugias'!M195)</f>
        <v/>
      </c>
      <c r="D195" s="114">
        <f>IFERROR(IF(OR(B195="",C195="",COUNTIFS($B$4:B195,B195,$C$4:C195,C195)&gt;1),"",(_xludf.AGGREGATE(14,6,MOD('Carga Web Cirugias'!$S$4:$S$500,1)/(('Carga Web Cirugias'!$A$4:$A$500=B195)*('Carga Web Cirugias'!$M$4:$M$500=C195)*('Carga Web Cirugias'!$R$4:$R$500&lt;&gt;"")*('Carga Web Cirugias'!$S$4:$S$500&lt;&gt;"")),1)-_xludf.AGGREGATE(15,6,MOD('Carga Web Cirugias'!$R$4:$R$500,1)/(('Carga Web Cirugias'!$A$4:$A$500=B195)*('Carga Web Cirugias'!$M$4:$M$500=C195)*('Carga Web Cirugias'!$R$4:$R$500&lt;&gt;"")*('Carga Web Cirugias'!$S$4:$S$500&lt;&gt;"")),1))*1440),"")</f>
        <v/>
      </c>
      <c r="E195" s="114">
        <f>IF(OR(B195="",C195="",D195=""),"",VLOOKUP(C195,'Horario Pabellones'!$A$4:$D$17,4,FALSE))</f>
        <v/>
      </c>
      <c r="F195" s="124">
        <f>IFERROR(IF(OR(D195="",E195="",E195=0),"",(D195/60)/(E195/60)),"")</f>
        <v/>
      </c>
      <c r="G195" s="112">
        <f>IF(F195="","",IF(F195&gt;=0.75,"Cumple referencia","Bajo referencia"))</f>
        <v/>
      </c>
      <c r="J195" s="94" t="n"/>
      <c r="K195" s="95" t="n"/>
      <c r="L195" s="95" t="n"/>
      <c r="M195" s="96" t="n"/>
      <c r="N195" s="95" t="n"/>
    </row>
    <row r="196" ht="16" customHeight="1" s="151">
      <c r="A196" s="109">
        <f>IF(OR('Carga Web Cirugias'!A196="",'Carga Web Cirugias'!M196=""),"",_xludf.ISOWEEKNUM('Carga Web Cirugias'!A196))</f>
        <v/>
      </c>
      <c r="B196" s="117">
        <f>IF('Carga Web Cirugias'!A196="","",'Carga Web Cirugias'!A196)</f>
        <v/>
      </c>
      <c r="C196" s="109">
        <f>IF('Carga Web Cirugias'!M196="","",'Carga Web Cirugias'!M196)</f>
        <v/>
      </c>
      <c r="D196" s="111">
        <f>IFERROR(IF(OR(B196="",C196="",COUNTIFS($B$4:B196,B196,$C$4:C196,C196)&gt;1),"",(_xludf.AGGREGATE(14,6,MOD('Carga Web Cirugias'!$S$4:$S$500,1)/(('Carga Web Cirugias'!$A$4:$A$500=B196)*('Carga Web Cirugias'!$M$4:$M$500=C196)*('Carga Web Cirugias'!$R$4:$R$500&lt;&gt;"")*('Carga Web Cirugias'!$S$4:$S$500&lt;&gt;"")),1)-_xludf.AGGREGATE(15,6,MOD('Carga Web Cirugias'!$R$4:$R$500,1)/(('Carga Web Cirugias'!$A$4:$A$500=B196)*('Carga Web Cirugias'!$M$4:$M$500=C196)*('Carga Web Cirugias'!$R$4:$R$500&lt;&gt;"")*('Carga Web Cirugias'!$S$4:$S$500&lt;&gt;"")),1))*1440),"")</f>
        <v/>
      </c>
      <c r="E196" s="111">
        <f>IF(OR(B196="",C196="",D196=""),"",VLOOKUP(C196,'Horario Pabellones'!$A$4:$D$17,4,FALSE))</f>
        <v/>
      </c>
      <c r="F196" s="118">
        <f>IFERROR(IF(OR(D196="",E196="",E196=0),"",(D196/60)/(E196/60)),"")</f>
        <v/>
      </c>
      <c r="G196" s="109">
        <f>IF(F196="","",IF(F196&gt;=0.75,"Cumple referencia","Bajo referencia"))</f>
        <v/>
      </c>
      <c r="J196" s="94" t="n"/>
      <c r="K196" s="95" t="n"/>
      <c r="L196" s="95" t="n"/>
      <c r="M196" s="96" t="n"/>
      <c r="N196" s="95" t="n"/>
    </row>
    <row r="197" ht="16" customHeight="1" s="151">
      <c r="A197" s="112">
        <f>IF(OR('Carga Web Cirugias'!A197="",'Carga Web Cirugias'!M197=""),"",_xludf.ISOWEEKNUM('Carga Web Cirugias'!A197))</f>
        <v/>
      </c>
      <c r="B197" s="123">
        <f>IF('Carga Web Cirugias'!A197="","",'Carga Web Cirugias'!A197)</f>
        <v/>
      </c>
      <c r="C197" s="112">
        <f>IF('Carga Web Cirugias'!M197="","",'Carga Web Cirugias'!M197)</f>
        <v/>
      </c>
      <c r="D197" s="114">
        <f>IFERROR(IF(OR(B197="",C197="",COUNTIFS($B$4:B197,B197,$C$4:C197,C197)&gt;1),"",(_xludf.AGGREGATE(14,6,MOD('Carga Web Cirugias'!$S$4:$S$500,1)/(('Carga Web Cirugias'!$A$4:$A$500=B197)*('Carga Web Cirugias'!$M$4:$M$500=C197)*('Carga Web Cirugias'!$R$4:$R$500&lt;&gt;"")*('Carga Web Cirugias'!$S$4:$S$500&lt;&gt;"")),1)-_xludf.AGGREGATE(15,6,MOD('Carga Web Cirugias'!$R$4:$R$500,1)/(('Carga Web Cirugias'!$A$4:$A$500=B197)*('Carga Web Cirugias'!$M$4:$M$500=C197)*('Carga Web Cirugias'!$R$4:$R$500&lt;&gt;"")*('Carga Web Cirugias'!$S$4:$S$500&lt;&gt;"")),1))*1440),"")</f>
        <v/>
      </c>
      <c r="E197" s="114">
        <f>IF(OR(B197="",C197="",D197=""),"",VLOOKUP(C197,'Horario Pabellones'!$A$4:$D$17,4,FALSE))</f>
        <v/>
      </c>
      <c r="F197" s="124">
        <f>IFERROR(IF(OR(D197="",E197="",E197=0),"",(D197/60)/(E197/60)),"")</f>
        <v/>
      </c>
      <c r="G197" s="112">
        <f>IF(F197="","",IF(F197&gt;=0.75,"Cumple referencia","Bajo referencia"))</f>
        <v/>
      </c>
      <c r="J197" s="94" t="n"/>
      <c r="K197" s="95" t="n"/>
      <c r="L197" s="95" t="n"/>
      <c r="M197" s="96" t="n"/>
      <c r="N197" s="95" t="n"/>
    </row>
    <row r="198" ht="16" customHeight="1" s="151">
      <c r="A198" s="109">
        <f>IF(OR('Carga Web Cirugias'!A198="",'Carga Web Cirugias'!M198=""),"",_xludf.ISOWEEKNUM('Carga Web Cirugias'!A198))</f>
        <v/>
      </c>
      <c r="B198" s="117">
        <f>IF('Carga Web Cirugias'!A198="","",'Carga Web Cirugias'!A198)</f>
        <v/>
      </c>
      <c r="C198" s="109">
        <f>IF('Carga Web Cirugias'!M198="","",'Carga Web Cirugias'!M198)</f>
        <v/>
      </c>
      <c r="D198" s="111">
        <f>IFERROR(IF(OR(B198="",C198="",COUNTIFS($B$4:B198,B198,$C$4:C198,C198)&gt;1),"",(_xludf.AGGREGATE(14,6,MOD('Carga Web Cirugias'!$S$4:$S$500,1)/(('Carga Web Cirugias'!$A$4:$A$500=B198)*('Carga Web Cirugias'!$M$4:$M$500=C198)*('Carga Web Cirugias'!$R$4:$R$500&lt;&gt;"")*('Carga Web Cirugias'!$S$4:$S$500&lt;&gt;"")),1)-_xludf.AGGREGATE(15,6,MOD('Carga Web Cirugias'!$R$4:$R$500,1)/(('Carga Web Cirugias'!$A$4:$A$500=B198)*('Carga Web Cirugias'!$M$4:$M$500=C198)*('Carga Web Cirugias'!$R$4:$R$500&lt;&gt;"")*('Carga Web Cirugias'!$S$4:$S$500&lt;&gt;"")),1))*1440),"")</f>
        <v/>
      </c>
      <c r="E198" s="111">
        <f>IF(OR(B198="",C198="",D198=""),"",VLOOKUP(C198,'Horario Pabellones'!$A$4:$D$17,4,FALSE))</f>
        <v/>
      </c>
      <c r="F198" s="118">
        <f>IFERROR(IF(OR(D198="",E198="",E198=0),"",(D198/60)/(E198/60)),"")</f>
        <v/>
      </c>
      <c r="G198" s="109">
        <f>IF(F198="","",IF(F198&gt;=0.75,"Cumple referencia","Bajo referencia"))</f>
        <v/>
      </c>
      <c r="J198" s="94" t="n"/>
      <c r="K198" s="95" t="n"/>
      <c r="L198" s="95" t="n"/>
      <c r="M198" s="96" t="n"/>
      <c r="N198" s="95" t="n"/>
    </row>
    <row r="199" ht="16" customHeight="1" s="151">
      <c r="A199" s="112">
        <f>IF(OR('Carga Web Cirugias'!A199="",'Carga Web Cirugias'!M199=""),"",_xludf.ISOWEEKNUM('Carga Web Cirugias'!A199))</f>
        <v/>
      </c>
      <c r="B199" s="123">
        <f>IF('Carga Web Cirugias'!A199="","",'Carga Web Cirugias'!A199)</f>
        <v/>
      </c>
      <c r="C199" s="112">
        <f>IF('Carga Web Cirugias'!M199="","",'Carga Web Cirugias'!M199)</f>
        <v/>
      </c>
      <c r="D199" s="114">
        <f>IFERROR(IF(OR(B199="",C199="",COUNTIFS($B$4:B199,B199,$C$4:C199,C199)&gt;1),"",(_xludf.AGGREGATE(14,6,MOD('Carga Web Cirugias'!$S$4:$S$500,1)/(('Carga Web Cirugias'!$A$4:$A$500=B199)*('Carga Web Cirugias'!$M$4:$M$500=C199)*('Carga Web Cirugias'!$R$4:$R$500&lt;&gt;"")*('Carga Web Cirugias'!$S$4:$S$500&lt;&gt;"")),1)-_xludf.AGGREGATE(15,6,MOD('Carga Web Cirugias'!$R$4:$R$500,1)/(('Carga Web Cirugias'!$A$4:$A$500=B199)*('Carga Web Cirugias'!$M$4:$M$500=C199)*('Carga Web Cirugias'!$R$4:$R$500&lt;&gt;"")*('Carga Web Cirugias'!$S$4:$S$500&lt;&gt;"")),1))*1440),"")</f>
        <v/>
      </c>
      <c r="E199" s="114">
        <f>IF(OR(B199="",C199="",D199=""),"",VLOOKUP(C199,'Horario Pabellones'!$A$4:$D$17,4,FALSE))</f>
        <v/>
      </c>
      <c r="F199" s="124">
        <f>IFERROR(IF(OR(D199="",E199="",E199=0),"",(D199/60)/(E199/60)),"")</f>
        <v/>
      </c>
      <c r="G199" s="112">
        <f>IF(F199="","",IF(F199&gt;=0.75,"Cumple referencia","Bajo referencia"))</f>
        <v/>
      </c>
      <c r="J199" s="94" t="n"/>
      <c r="K199" s="95" t="n"/>
      <c r="L199" s="95" t="n"/>
      <c r="M199" s="96" t="n"/>
      <c r="N199" s="95" t="n"/>
    </row>
    <row r="200" ht="16" customHeight="1" s="151">
      <c r="A200" s="109">
        <f>IF(OR('Carga Web Cirugias'!A200="",'Carga Web Cirugias'!M200=""),"",_xludf.ISOWEEKNUM('Carga Web Cirugias'!A200))</f>
        <v/>
      </c>
      <c r="B200" s="117">
        <f>IF('Carga Web Cirugias'!A200="","",'Carga Web Cirugias'!A200)</f>
        <v/>
      </c>
      <c r="C200" s="109">
        <f>IF('Carga Web Cirugias'!M200="","",'Carga Web Cirugias'!M200)</f>
        <v/>
      </c>
      <c r="D200" s="111">
        <f>IFERROR(IF(OR(B200="",C200="",COUNTIFS($B$4:B200,B200,$C$4:C200,C200)&gt;1),"",(_xludf.AGGREGATE(14,6,MOD('Carga Web Cirugias'!$S$4:$S$500,1)/(('Carga Web Cirugias'!$A$4:$A$500=B200)*('Carga Web Cirugias'!$M$4:$M$500=C200)*('Carga Web Cirugias'!$R$4:$R$500&lt;&gt;"")*('Carga Web Cirugias'!$S$4:$S$500&lt;&gt;"")),1)-_xludf.AGGREGATE(15,6,MOD('Carga Web Cirugias'!$R$4:$R$500,1)/(('Carga Web Cirugias'!$A$4:$A$500=B200)*('Carga Web Cirugias'!$M$4:$M$500=C200)*('Carga Web Cirugias'!$R$4:$R$500&lt;&gt;"")*('Carga Web Cirugias'!$S$4:$S$500&lt;&gt;"")),1))*1440),"")</f>
        <v/>
      </c>
      <c r="E200" s="111">
        <f>IF(OR(B200="",C200="",D200=""),"",VLOOKUP(C200,'Horario Pabellones'!$A$4:$D$17,4,FALSE))</f>
        <v/>
      </c>
      <c r="F200" s="118">
        <f>IFERROR(IF(OR(D200="",E200="",E200=0),"",(D200/60)/(E200/60)),"")</f>
        <v/>
      </c>
      <c r="G200" s="109">
        <f>IF(F200="","",IF(F200&gt;=0.75,"Cumple referencia","Bajo referencia"))</f>
        <v/>
      </c>
      <c r="J200" s="94" t="n"/>
      <c r="K200" s="95" t="n"/>
      <c r="L200" s="95" t="n"/>
      <c r="M200" s="96" t="n"/>
      <c r="N200" s="95" t="n"/>
    </row>
    <row r="201" ht="16" customHeight="1" s="151">
      <c r="A201" s="112">
        <f>IF(OR('Carga Web Cirugias'!A201="",'Carga Web Cirugias'!M201=""),"",_xludf.ISOWEEKNUM('Carga Web Cirugias'!A201))</f>
        <v/>
      </c>
      <c r="B201" s="123">
        <f>IF('Carga Web Cirugias'!A201="","",'Carga Web Cirugias'!A201)</f>
        <v/>
      </c>
      <c r="C201" s="112">
        <f>IF('Carga Web Cirugias'!M201="","",'Carga Web Cirugias'!M201)</f>
        <v/>
      </c>
      <c r="D201" s="114">
        <f>IFERROR(IF(OR(B201="",C201="",COUNTIFS($B$4:B201,B201,$C$4:C201,C201)&gt;1),"",(_xludf.AGGREGATE(14,6,MOD('Carga Web Cirugias'!$S$4:$S$500,1)/(('Carga Web Cirugias'!$A$4:$A$500=B201)*('Carga Web Cirugias'!$M$4:$M$500=C201)*('Carga Web Cirugias'!$R$4:$R$500&lt;&gt;"")*('Carga Web Cirugias'!$S$4:$S$500&lt;&gt;"")),1)-_xludf.AGGREGATE(15,6,MOD('Carga Web Cirugias'!$R$4:$R$500,1)/(('Carga Web Cirugias'!$A$4:$A$500=B201)*('Carga Web Cirugias'!$M$4:$M$500=C201)*('Carga Web Cirugias'!$R$4:$R$500&lt;&gt;"")*('Carga Web Cirugias'!$S$4:$S$500&lt;&gt;"")),1))*1440),"")</f>
        <v/>
      </c>
      <c r="E201" s="114">
        <f>IF(OR(B201="",C201="",D201=""),"",VLOOKUP(C201,'Horario Pabellones'!$A$4:$D$17,4,FALSE))</f>
        <v/>
      </c>
      <c r="F201" s="124">
        <f>IFERROR(IF(OR(D201="",E201="",E201=0),"",(D201/60)/(E201/60)),"")</f>
        <v/>
      </c>
      <c r="G201" s="112">
        <f>IF(F201="","",IF(F201&gt;=0.75,"Cumple referencia","Bajo referencia"))</f>
        <v/>
      </c>
      <c r="J201" s="94" t="n"/>
      <c r="K201" s="95" t="n"/>
      <c r="L201" s="95" t="n"/>
      <c r="M201" s="96" t="n"/>
      <c r="N201" s="95" t="n"/>
    </row>
    <row r="202" ht="16" customHeight="1" s="151">
      <c r="A202" s="109">
        <f>IF(OR('Carga Web Cirugias'!A202="",'Carga Web Cirugias'!M202=""),"",_xludf.ISOWEEKNUM('Carga Web Cirugias'!A202))</f>
        <v/>
      </c>
      <c r="B202" s="117">
        <f>IF('Carga Web Cirugias'!A202="","",'Carga Web Cirugias'!A202)</f>
        <v/>
      </c>
      <c r="C202" s="109">
        <f>IF('Carga Web Cirugias'!M202="","",'Carga Web Cirugias'!M202)</f>
        <v/>
      </c>
      <c r="D202" s="111">
        <f>IFERROR(IF(OR(B202="",C202="",COUNTIFS($B$4:B202,B202,$C$4:C202,C202)&gt;1),"",(_xludf.AGGREGATE(14,6,MOD('Carga Web Cirugias'!$S$4:$S$500,1)/(('Carga Web Cirugias'!$A$4:$A$500=B202)*('Carga Web Cirugias'!$M$4:$M$500=C202)*('Carga Web Cirugias'!$R$4:$R$500&lt;&gt;"")*('Carga Web Cirugias'!$S$4:$S$500&lt;&gt;"")),1)-_xludf.AGGREGATE(15,6,MOD('Carga Web Cirugias'!$R$4:$R$500,1)/(('Carga Web Cirugias'!$A$4:$A$500=B202)*('Carga Web Cirugias'!$M$4:$M$500=C202)*('Carga Web Cirugias'!$R$4:$R$500&lt;&gt;"")*('Carga Web Cirugias'!$S$4:$S$500&lt;&gt;"")),1))*1440),"")</f>
        <v/>
      </c>
      <c r="E202" s="111">
        <f>IF(OR(B202="",C202="",D202=""),"",VLOOKUP(C202,'Horario Pabellones'!$A$4:$D$17,4,FALSE))</f>
        <v/>
      </c>
      <c r="F202" s="118">
        <f>IFERROR(IF(OR(D202="",E202="",E202=0),"",(D202/60)/(E202/60)),"")</f>
        <v/>
      </c>
      <c r="G202" s="109">
        <f>IF(F202="","",IF(F202&gt;=0.75,"Cumple referencia","Bajo referencia"))</f>
        <v/>
      </c>
      <c r="J202" s="94" t="n"/>
      <c r="K202" s="95" t="n"/>
      <c r="L202" s="95" t="n"/>
      <c r="M202" s="96" t="n"/>
      <c r="N202" s="95" t="n"/>
    </row>
    <row r="203" ht="16" customHeight="1" s="151">
      <c r="A203" s="112">
        <f>IF(OR('Carga Web Cirugias'!A203="",'Carga Web Cirugias'!M203=""),"",_xludf.ISOWEEKNUM('Carga Web Cirugias'!A203))</f>
        <v/>
      </c>
      <c r="B203" s="123">
        <f>IF('Carga Web Cirugias'!A203="","",'Carga Web Cirugias'!A203)</f>
        <v/>
      </c>
      <c r="C203" s="112">
        <f>IF('Carga Web Cirugias'!M203="","",'Carga Web Cirugias'!M203)</f>
        <v/>
      </c>
      <c r="D203" s="114">
        <f>IFERROR(IF(OR(B203="",C203="",COUNTIFS($B$4:B203,B203,$C$4:C203,C203)&gt;1),"",(_xludf.AGGREGATE(14,6,MOD('Carga Web Cirugias'!$S$4:$S$500,1)/(('Carga Web Cirugias'!$A$4:$A$500=B203)*('Carga Web Cirugias'!$M$4:$M$500=C203)*('Carga Web Cirugias'!$R$4:$R$500&lt;&gt;"")*('Carga Web Cirugias'!$S$4:$S$500&lt;&gt;"")),1)-_xludf.AGGREGATE(15,6,MOD('Carga Web Cirugias'!$R$4:$R$500,1)/(('Carga Web Cirugias'!$A$4:$A$500=B203)*('Carga Web Cirugias'!$M$4:$M$500=C203)*('Carga Web Cirugias'!$R$4:$R$500&lt;&gt;"")*('Carga Web Cirugias'!$S$4:$S$500&lt;&gt;"")),1))*1440),"")</f>
        <v/>
      </c>
      <c r="E203" s="114">
        <f>IF(OR(B203="",C203="",D203=""),"",VLOOKUP(C203,'Horario Pabellones'!$A$4:$D$17,4,FALSE))</f>
        <v/>
      </c>
      <c r="F203" s="124">
        <f>IFERROR(IF(OR(D203="",E203="",E203=0),"",(D203/60)/(E203/60)),"")</f>
        <v/>
      </c>
      <c r="G203" s="112">
        <f>IF(F203="","",IF(F203&gt;=0.75,"Cumple referencia","Bajo referencia"))</f>
        <v/>
      </c>
      <c r="J203" s="94" t="n"/>
      <c r="K203" s="95" t="n"/>
      <c r="L203" s="95" t="n"/>
      <c r="M203" s="96" t="n"/>
      <c r="N203" s="95" t="n"/>
    </row>
    <row r="204" ht="16" customHeight="1" s="151">
      <c r="A204" s="109">
        <f>IF(OR('Carga Web Cirugias'!A204="",'Carga Web Cirugias'!M204=""),"",_xludf.ISOWEEKNUM('Carga Web Cirugias'!A204))</f>
        <v/>
      </c>
      <c r="B204" s="117">
        <f>IF('Carga Web Cirugias'!A204="","",'Carga Web Cirugias'!A204)</f>
        <v/>
      </c>
      <c r="C204" s="109">
        <f>IF('Carga Web Cirugias'!M204="","",'Carga Web Cirugias'!M204)</f>
        <v/>
      </c>
      <c r="D204" s="111">
        <f>IFERROR(IF(OR(B204="",C204="",COUNTIFS($B$4:B204,B204,$C$4:C204,C204)&gt;1),"",(_xludf.AGGREGATE(14,6,MOD('Carga Web Cirugias'!$S$4:$S$500,1)/(('Carga Web Cirugias'!$A$4:$A$500=B204)*('Carga Web Cirugias'!$M$4:$M$500=C204)*('Carga Web Cirugias'!$R$4:$R$500&lt;&gt;"")*('Carga Web Cirugias'!$S$4:$S$500&lt;&gt;"")),1)-_xludf.AGGREGATE(15,6,MOD('Carga Web Cirugias'!$R$4:$R$500,1)/(('Carga Web Cirugias'!$A$4:$A$500=B204)*('Carga Web Cirugias'!$M$4:$M$500=C204)*('Carga Web Cirugias'!$R$4:$R$500&lt;&gt;"")*('Carga Web Cirugias'!$S$4:$S$500&lt;&gt;"")),1))*1440),"")</f>
        <v/>
      </c>
      <c r="E204" s="111">
        <f>IF(OR(B204="",C204="",D204=""),"",VLOOKUP(C204,'Horario Pabellones'!$A$4:$D$17,4,FALSE))</f>
        <v/>
      </c>
      <c r="F204" s="118">
        <f>IFERROR(IF(OR(D204="",E204="",E204=0),"",(D204/60)/(E204/60)),"")</f>
        <v/>
      </c>
      <c r="G204" s="109">
        <f>IF(F204="","",IF(F204&gt;=0.75,"Cumple referencia","Bajo referencia"))</f>
        <v/>
      </c>
      <c r="J204" s="94" t="n"/>
      <c r="K204" s="95" t="n"/>
      <c r="L204" s="95" t="n"/>
      <c r="M204" s="96" t="n"/>
      <c r="N204" s="95" t="n"/>
    </row>
    <row r="205" ht="16" customHeight="1" s="151">
      <c r="A205" s="112">
        <f>IF(OR('Carga Web Cirugias'!A205="",'Carga Web Cirugias'!M205=""),"",_xludf.ISOWEEKNUM('Carga Web Cirugias'!A205))</f>
        <v/>
      </c>
      <c r="B205" s="123">
        <f>IF('Carga Web Cirugias'!A205="","",'Carga Web Cirugias'!A205)</f>
        <v/>
      </c>
      <c r="C205" s="112">
        <f>IF('Carga Web Cirugias'!M205="","",'Carga Web Cirugias'!M205)</f>
        <v/>
      </c>
      <c r="D205" s="114">
        <f>IFERROR(IF(OR(B205="",C205="",COUNTIFS($B$4:B205,B205,$C$4:C205,C205)&gt;1),"",(_xludf.AGGREGATE(14,6,MOD('Carga Web Cirugias'!$S$4:$S$500,1)/(('Carga Web Cirugias'!$A$4:$A$500=B205)*('Carga Web Cirugias'!$M$4:$M$500=C205)*('Carga Web Cirugias'!$R$4:$R$500&lt;&gt;"")*('Carga Web Cirugias'!$S$4:$S$500&lt;&gt;"")),1)-_xludf.AGGREGATE(15,6,MOD('Carga Web Cirugias'!$R$4:$R$500,1)/(('Carga Web Cirugias'!$A$4:$A$500=B205)*('Carga Web Cirugias'!$M$4:$M$500=C205)*('Carga Web Cirugias'!$R$4:$R$500&lt;&gt;"")*('Carga Web Cirugias'!$S$4:$S$500&lt;&gt;"")),1))*1440),"")</f>
        <v/>
      </c>
      <c r="E205" s="114">
        <f>IF(OR(B205="",C205="",D205=""),"",VLOOKUP(C205,'Horario Pabellones'!$A$4:$D$17,4,FALSE))</f>
        <v/>
      </c>
      <c r="F205" s="124">
        <f>IFERROR(IF(OR(D205="",E205="",E205=0),"",(D205/60)/(E205/60)),"")</f>
        <v/>
      </c>
      <c r="G205" s="112">
        <f>IF(F205="","",IF(F205&gt;=0.75,"Cumple referencia","Bajo referencia"))</f>
        <v/>
      </c>
      <c r="J205" s="94" t="n"/>
      <c r="K205" s="95" t="n"/>
      <c r="L205" s="95" t="n"/>
      <c r="M205" s="96" t="n"/>
      <c r="N205" s="95" t="n"/>
    </row>
    <row r="206" ht="16" customHeight="1" s="151">
      <c r="A206" s="109">
        <f>IF(OR('Carga Web Cirugias'!A206="",'Carga Web Cirugias'!M206=""),"",_xludf.ISOWEEKNUM('Carga Web Cirugias'!A206))</f>
        <v/>
      </c>
      <c r="B206" s="117">
        <f>IF('Carga Web Cirugias'!A206="","",'Carga Web Cirugias'!A206)</f>
        <v/>
      </c>
      <c r="C206" s="109">
        <f>IF('Carga Web Cirugias'!M206="","",'Carga Web Cirugias'!M206)</f>
        <v/>
      </c>
      <c r="D206" s="111">
        <f>IFERROR(IF(OR(B206="",C206="",COUNTIFS($B$4:B206,B206,$C$4:C206,C206)&gt;1),"",(_xludf.AGGREGATE(14,6,MOD('Carga Web Cirugias'!$S$4:$S$500,1)/(('Carga Web Cirugias'!$A$4:$A$500=B206)*('Carga Web Cirugias'!$M$4:$M$500=C206)*('Carga Web Cirugias'!$R$4:$R$500&lt;&gt;"")*('Carga Web Cirugias'!$S$4:$S$500&lt;&gt;"")),1)-_xludf.AGGREGATE(15,6,MOD('Carga Web Cirugias'!$R$4:$R$500,1)/(('Carga Web Cirugias'!$A$4:$A$500=B206)*('Carga Web Cirugias'!$M$4:$M$500=C206)*('Carga Web Cirugias'!$R$4:$R$500&lt;&gt;"")*('Carga Web Cirugias'!$S$4:$S$500&lt;&gt;"")),1))*1440),"")</f>
        <v/>
      </c>
      <c r="E206" s="111">
        <f>IF(OR(B206="",C206="",D206=""),"",VLOOKUP(C206,'Horario Pabellones'!$A$4:$D$17,4,FALSE))</f>
        <v/>
      </c>
      <c r="F206" s="118">
        <f>IFERROR(IF(OR(D206="",E206="",E206=0),"",(D206/60)/(E206/60)),"")</f>
        <v/>
      </c>
      <c r="G206" s="109">
        <f>IF(F206="","",IF(F206&gt;=0.75,"Cumple referencia","Bajo referencia"))</f>
        <v/>
      </c>
      <c r="J206" s="94" t="n"/>
      <c r="K206" s="95" t="n"/>
      <c r="L206" s="95" t="n"/>
      <c r="M206" s="96" t="n"/>
      <c r="N206" s="95" t="n"/>
    </row>
    <row r="207" ht="16" customHeight="1" s="151">
      <c r="A207" s="112">
        <f>IF(OR('Carga Web Cirugias'!A207="",'Carga Web Cirugias'!M207=""),"",_xludf.ISOWEEKNUM('Carga Web Cirugias'!A207))</f>
        <v/>
      </c>
      <c r="B207" s="123">
        <f>IF('Carga Web Cirugias'!A207="","",'Carga Web Cirugias'!A207)</f>
        <v/>
      </c>
      <c r="C207" s="112">
        <f>IF('Carga Web Cirugias'!M207="","",'Carga Web Cirugias'!M207)</f>
        <v/>
      </c>
      <c r="D207" s="114">
        <f>IFERROR(IF(OR(B207="",C207="",COUNTIFS($B$4:B207,B207,$C$4:C207,C207)&gt;1),"",(_xludf.AGGREGATE(14,6,MOD('Carga Web Cirugias'!$S$4:$S$500,1)/(('Carga Web Cirugias'!$A$4:$A$500=B207)*('Carga Web Cirugias'!$M$4:$M$500=C207)*('Carga Web Cirugias'!$R$4:$R$500&lt;&gt;"")*('Carga Web Cirugias'!$S$4:$S$500&lt;&gt;"")),1)-_xludf.AGGREGATE(15,6,MOD('Carga Web Cirugias'!$R$4:$R$500,1)/(('Carga Web Cirugias'!$A$4:$A$500=B207)*('Carga Web Cirugias'!$M$4:$M$500=C207)*('Carga Web Cirugias'!$R$4:$R$500&lt;&gt;"")*('Carga Web Cirugias'!$S$4:$S$500&lt;&gt;"")),1))*1440),"")</f>
        <v/>
      </c>
      <c r="E207" s="114">
        <f>IF(OR(B207="",C207="",D207=""),"",VLOOKUP(C207,'Horario Pabellones'!$A$4:$D$17,4,FALSE))</f>
        <v/>
      </c>
      <c r="F207" s="124">
        <f>IFERROR(IF(OR(D207="",E207="",E207=0),"",(D207/60)/(E207/60)),"")</f>
        <v/>
      </c>
      <c r="G207" s="112">
        <f>IF(F207="","",IF(F207&gt;=0.75,"Cumple referencia","Bajo referencia"))</f>
        <v/>
      </c>
      <c r="J207" s="94" t="n"/>
      <c r="K207" s="95" t="n"/>
      <c r="L207" s="95" t="n"/>
      <c r="M207" s="96" t="n"/>
      <c r="N207" s="95" t="n"/>
    </row>
    <row r="208" ht="16" customHeight="1" s="151">
      <c r="A208" s="109">
        <f>IF(OR('Carga Web Cirugias'!A208="",'Carga Web Cirugias'!M208=""),"",_xludf.ISOWEEKNUM('Carga Web Cirugias'!A208))</f>
        <v/>
      </c>
      <c r="B208" s="117">
        <f>IF('Carga Web Cirugias'!A208="","",'Carga Web Cirugias'!A208)</f>
        <v/>
      </c>
      <c r="C208" s="109">
        <f>IF('Carga Web Cirugias'!M208="","",'Carga Web Cirugias'!M208)</f>
        <v/>
      </c>
      <c r="D208" s="111">
        <f>IFERROR(IF(OR(B208="",C208="",COUNTIFS($B$4:B208,B208,$C$4:C208,C208)&gt;1),"",(_xludf.AGGREGATE(14,6,MOD('Carga Web Cirugias'!$S$4:$S$500,1)/(('Carga Web Cirugias'!$A$4:$A$500=B208)*('Carga Web Cirugias'!$M$4:$M$500=C208)*('Carga Web Cirugias'!$R$4:$R$500&lt;&gt;"")*('Carga Web Cirugias'!$S$4:$S$500&lt;&gt;"")),1)-_xludf.AGGREGATE(15,6,MOD('Carga Web Cirugias'!$R$4:$R$500,1)/(('Carga Web Cirugias'!$A$4:$A$500=B208)*('Carga Web Cirugias'!$M$4:$M$500=C208)*('Carga Web Cirugias'!$R$4:$R$500&lt;&gt;"")*('Carga Web Cirugias'!$S$4:$S$500&lt;&gt;"")),1))*1440),"")</f>
        <v/>
      </c>
      <c r="E208" s="111">
        <f>IF(OR(B208="",C208="",D208=""),"",VLOOKUP(C208,'Horario Pabellones'!$A$4:$D$17,4,FALSE))</f>
        <v/>
      </c>
      <c r="F208" s="118">
        <f>IFERROR(IF(OR(D208="",E208="",E208=0),"",(D208/60)/(E208/60)),"")</f>
        <v/>
      </c>
      <c r="G208" s="109">
        <f>IF(F208="","",IF(F208&gt;=0.75,"Cumple referencia","Bajo referencia"))</f>
        <v/>
      </c>
      <c r="J208" s="94" t="n"/>
      <c r="K208" s="95" t="n"/>
      <c r="L208" s="95" t="n"/>
      <c r="M208" s="96" t="n"/>
      <c r="N208" s="95" t="n"/>
    </row>
    <row r="209" ht="16" customHeight="1" s="151">
      <c r="A209" s="112">
        <f>IF(OR('Carga Web Cirugias'!A209="",'Carga Web Cirugias'!M209=""),"",_xludf.ISOWEEKNUM('Carga Web Cirugias'!A209))</f>
        <v/>
      </c>
      <c r="B209" s="123">
        <f>IF('Carga Web Cirugias'!A209="","",'Carga Web Cirugias'!A209)</f>
        <v/>
      </c>
      <c r="C209" s="112">
        <f>IF('Carga Web Cirugias'!M209="","",'Carga Web Cirugias'!M209)</f>
        <v/>
      </c>
      <c r="D209" s="114">
        <f>IFERROR(IF(OR(B209="",C209="",COUNTIFS($B$4:B209,B209,$C$4:C209,C209)&gt;1),"",(_xludf.AGGREGATE(14,6,MOD('Carga Web Cirugias'!$S$4:$S$500,1)/(('Carga Web Cirugias'!$A$4:$A$500=B209)*('Carga Web Cirugias'!$M$4:$M$500=C209)*('Carga Web Cirugias'!$R$4:$R$500&lt;&gt;"")*('Carga Web Cirugias'!$S$4:$S$500&lt;&gt;"")),1)-_xludf.AGGREGATE(15,6,MOD('Carga Web Cirugias'!$R$4:$R$500,1)/(('Carga Web Cirugias'!$A$4:$A$500=B209)*('Carga Web Cirugias'!$M$4:$M$500=C209)*('Carga Web Cirugias'!$R$4:$R$500&lt;&gt;"")*('Carga Web Cirugias'!$S$4:$S$500&lt;&gt;"")),1))*1440),"")</f>
        <v/>
      </c>
      <c r="E209" s="114">
        <f>IF(OR(B209="",C209="",D209=""),"",VLOOKUP(C209,'Horario Pabellones'!$A$4:$D$17,4,FALSE))</f>
        <v/>
      </c>
      <c r="F209" s="124">
        <f>IFERROR(IF(OR(D209="",E209="",E209=0),"",(D209/60)/(E209/60)),"")</f>
        <v/>
      </c>
      <c r="G209" s="112">
        <f>IF(F209="","",IF(F209&gt;=0.75,"Cumple referencia","Bajo referencia"))</f>
        <v/>
      </c>
      <c r="J209" s="94" t="n"/>
      <c r="K209" s="95" t="n"/>
      <c r="L209" s="95" t="n"/>
      <c r="M209" s="96" t="n"/>
      <c r="N209" s="95" t="n"/>
    </row>
    <row r="210" ht="16" customHeight="1" s="151">
      <c r="A210" s="109">
        <f>IF(OR('Carga Web Cirugias'!A210="",'Carga Web Cirugias'!M210=""),"",_xludf.ISOWEEKNUM('Carga Web Cirugias'!A210))</f>
        <v/>
      </c>
      <c r="B210" s="117">
        <f>IF('Carga Web Cirugias'!A210="","",'Carga Web Cirugias'!A210)</f>
        <v/>
      </c>
      <c r="C210" s="109">
        <f>IF('Carga Web Cirugias'!M210="","",'Carga Web Cirugias'!M210)</f>
        <v/>
      </c>
      <c r="D210" s="111">
        <f>IFERROR(IF(OR(B210="",C210="",COUNTIFS($B$4:B210,B210,$C$4:C210,C210)&gt;1),"",(_xludf.AGGREGATE(14,6,MOD('Carga Web Cirugias'!$S$4:$S$500,1)/(('Carga Web Cirugias'!$A$4:$A$500=B210)*('Carga Web Cirugias'!$M$4:$M$500=C210)*('Carga Web Cirugias'!$R$4:$R$500&lt;&gt;"")*('Carga Web Cirugias'!$S$4:$S$500&lt;&gt;"")),1)-_xludf.AGGREGATE(15,6,MOD('Carga Web Cirugias'!$R$4:$R$500,1)/(('Carga Web Cirugias'!$A$4:$A$500=B210)*('Carga Web Cirugias'!$M$4:$M$500=C210)*('Carga Web Cirugias'!$R$4:$R$500&lt;&gt;"")*('Carga Web Cirugias'!$S$4:$S$500&lt;&gt;"")),1))*1440),"")</f>
        <v/>
      </c>
      <c r="E210" s="111">
        <f>IF(OR(B210="",C210="",D210=""),"",VLOOKUP(C210,'Horario Pabellones'!$A$4:$D$17,4,FALSE))</f>
        <v/>
      </c>
      <c r="F210" s="118">
        <f>IFERROR(IF(OR(D210="",E210="",E210=0),"",(D210/60)/(E210/60)),"")</f>
        <v/>
      </c>
      <c r="G210" s="109">
        <f>IF(F210="","",IF(F210&gt;=0.75,"Cumple referencia","Bajo referencia"))</f>
        <v/>
      </c>
      <c r="J210" s="94" t="n"/>
      <c r="K210" s="95" t="n"/>
      <c r="L210" s="95" t="n"/>
      <c r="M210" s="96" t="n"/>
      <c r="N210" s="95" t="n"/>
    </row>
    <row r="211" ht="16" customHeight="1" s="151">
      <c r="A211" s="112">
        <f>IF(OR('Carga Web Cirugias'!A211="",'Carga Web Cirugias'!M211=""),"",_xludf.ISOWEEKNUM('Carga Web Cirugias'!A211))</f>
        <v/>
      </c>
      <c r="B211" s="123">
        <f>IF('Carga Web Cirugias'!A211="","",'Carga Web Cirugias'!A211)</f>
        <v/>
      </c>
      <c r="C211" s="112">
        <f>IF('Carga Web Cirugias'!M211="","",'Carga Web Cirugias'!M211)</f>
        <v/>
      </c>
      <c r="D211" s="114">
        <f>IFERROR(IF(OR(B211="",C211="",COUNTIFS($B$4:B211,B211,$C$4:C211,C211)&gt;1),"",(_xludf.AGGREGATE(14,6,MOD('Carga Web Cirugias'!$S$4:$S$500,1)/(('Carga Web Cirugias'!$A$4:$A$500=B211)*('Carga Web Cirugias'!$M$4:$M$500=C211)*('Carga Web Cirugias'!$R$4:$R$500&lt;&gt;"")*('Carga Web Cirugias'!$S$4:$S$500&lt;&gt;"")),1)-_xludf.AGGREGATE(15,6,MOD('Carga Web Cirugias'!$R$4:$R$500,1)/(('Carga Web Cirugias'!$A$4:$A$500=B211)*('Carga Web Cirugias'!$M$4:$M$500=C211)*('Carga Web Cirugias'!$R$4:$R$500&lt;&gt;"")*('Carga Web Cirugias'!$S$4:$S$500&lt;&gt;"")),1))*1440),"")</f>
        <v/>
      </c>
      <c r="E211" s="114">
        <f>IF(OR(B211="",C211="",D211=""),"",VLOOKUP(C211,'Horario Pabellones'!$A$4:$D$17,4,FALSE))</f>
        <v/>
      </c>
      <c r="F211" s="124">
        <f>IFERROR(IF(OR(D211="",E211="",E211=0),"",(D211/60)/(E211/60)),"")</f>
        <v/>
      </c>
      <c r="G211" s="112">
        <f>IF(F211="","",IF(F211&gt;=0.75,"Cumple referencia","Bajo referencia"))</f>
        <v/>
      </c>
      <c r="J211" s="94" t="n"/>
      <c r="K211" s="95" t="n"/>
      <c r="L211" s="95" t="n"/>
      <c r="M211" s="96" t="n"/>
      <c r="N211" s="95" t="n"/>
    </row>
    <row r="212" ht="16" customHeight="1" s="151">
      <c r="A212" s="109">
        <f>IF(OR('Carga Web Cirugias'!A212="",'Carga Web Cirugias'!M212=""),"",_xludf.ISOWEEKNUM('Carga Web Cirugias'!A212))</f>
        <v/>
      </c>
      <c r="B212" s="117">
        <f>IF('Carga Web Cirugias'!A212="","",'Carga Web Cirugias'!A212)</f>
        <v/>
      </c>
      <c r="C212" s="109">
        <f>IF('Carga Web Cirugias'!M212="","",'Carga Web Cirugias'!M212)</f>
        <v/>
      </c>
      <c r="D212" s="111">
        <f>IFERROR(IF(OR(B212="",C212="",COUNTIFS($B$4:B212,B212,$C$4:C212,C212)&gt;1),"",(_xludf.AGGREGATE(14,6,MOD('Carga Web Cirugias'!$S$4:$S$500,1)/(('Carga Web Cirugias'!$A$4:$A$500=B212)*('Carga Web Cirugias'!$M$4:$M$500=C212)*('Carga Web Cirugias'!$R$4:$R$500&lt;&gt;"")*('Carga Web Cirugias'!$S$4:$S$500&lt;&gt;"")),1)-_xludf.AGGREGATE(15,6,MOD('Carga Web Cirugias'!$R$4:$R$500,1)/(('Carga Web Cirugias'!$A$4:$A$500=B212)*('Carga Web Cirugias'!$M$4:$M$500=C212)*('Carga Web Cirugias'!$R$4:$R$500&lt;&gt;"")*('Carga Web Cirugias'!$S$4:$S$500&lt;&gt;"")),1))*1440),"")</f>
        <v/>
      </c>
      <c r="E212" s="111">
        <f>IF(OR(B212="",C212="",D212=""),"",VLOOKUP(C212,'Horario Pabellones'!$A$4:$D$17,4,FALSE))</f>
        <v/>
      </c>
      <c r="F212" s="118">
        <f>IFERROR(IF(OR(D212="",E212="",E212=0),"",(D212/60)/(E212/60)),"")</f>
        <v/>
      </c>
      <c r="G212" s="109">
        <f>IF(F212="","",IF(F212&gt;=0.75,"Cumple referencia","Bajo referencia"))</f>
        <v/>
      </c>
      <c r="J212" s="94" t="n"/>
      <c r="K212" s="95" t="n"/>
      <c r="L212" s="95" t="n"/>
      <c r="M212" s="96" t="n"/>
      <c r="N212" s="95" t="n"/>
    </row>
    <row r="213" ht="16" customHeight="1" s="151">
      <c r="A213" s="112">
        <f>IF(OR('Carga Web Cirugias'!A213="",'Carga Web Cirugias'!M213=""),"",_xludf.ISOWEEKNUM('Carga Web Cirugias'!A213))</f>
        <v/>
      </c>
      <c r="B213" s="123">
        <f>IF('Carga Web Cirugias'!A213="","",'Carga Web Cirugias'!A213)</f>
        <v/>
      </c>
      <c r="C213" s="112">
        <f>IF('Carga Web Cirugias'!M213="","",'Carga Web Cirugias'!M213)</f>
        <v/>
      </c>
      <c r="D213" s="114">
        <f>IFERROR(IF(OR(B213="",C213="",COUNTIFS($B$4:B213,B213,$C$4:C213,C213)&gt;1),"",(_xludf.AGGREGATE(14,6,MOD('Carga Web Cirugias'!$S$4:$S$500,1)/(('Carga Web Cirugias'!$A$4:$A$500=B213)*('Carga Web Cirugias'!$M$4:$M$500=C213)*('Carga Web Cirugias'!$R$4:$R$500&lt;&gt;"")*('Carga Web Cirugias'!$S$4:$S$500&lt;&gt;"")),1)-_xludf.AGGREGATE(15,6,MOD('Carga Web Cirugias'!$R$4:$R$500,1)/(('Carga Web Cirugias'!$A$4:$A$500=B213)*('Carga Web Cirugias'!$M$4:$M$500=C213)*('Carga Web Cirugias'!$R$4:$R$500&lt;&gt;"")*('Carga Web Cirugias'!$S$4:$S$500&lt;&gt;"")),1))*1440),"")</f>
        <v/>
      </c>
      <c r="E213" s="114">
        <f>IF(OR(B213="",C213="",D213=""),"",VLOOKUP(C213,'Horario Pabellones'!$A$4:$D$17,4,FALSE))</f>
        <v/>
      </c>
      <c r="F213" s="124">
        <f>IFERROR(IF(OR(D213="",E213="",E213=0),"",(D213/60)/(E213/60)),"")</f>
        <v/>
      </c>
      <c r="G213" s="112">
        <f>IF(F213="","",IF(F213&gt;=0.75,"Cumple referencia","Bajo referencia"))</f>
        <v/>
      </c>
      <c r="J213" s="94" t="n"/>
      <c r="K213" s="95" t="n"/>
      <c r="L213" s="95" t="n"/>
      <c r="M213" s="96" t="n"/>
      <c r="N213" s="95" t="n"/>
    </row>
    <row r="214" ht="16" customHeight="1" s="151">
      <c r="A214" s="109">
        <f>IF(OR('Carga Web Cirugias'!A214="",'Carga Web Cirugias'!M214=""),"",_xludf.ISOWEEKNUM('Carga Web Cirugias'!A214))</f>
        <v/>
      </c>
      <c r="B214" s="117">
        <f>IF('Carga Web Cirugias'!A214="","",'Carga Web Cirugias'!A214)</f>
        <v/>
      </c>
      <c r="C214" s="109">
        <f>IF('Carga Web Cirugias'!M214="","",'Carga Web Cirugias'!M214)</f>
        <v/>
      </c>
      <c r="D214" s="111">
        <f>IFERROR(IF(OR(B214="",C214="",COUNTIFS($B$4:B214,B214,$C$4:C214,C214)&gt;1),"",(_xludf.AGGREGATE(14,6,MOD('Carga Web Cirugias'!$S$4:$S$500,1)/(('Carga Web Cirugias'!$A$4:$A$500=B214)*('Carga Web Cirugias'!$M$4:$M$500=C214)*('Carga Web Cirugias'!$R$4:$R$500&lt;&gt;"")*('Carga Web Cirugias'!$S$4:$S$500&lt;&gt;"")),1)-_xludf.AGGREGATE(15,6,MOD('Carga Web Cirugias'!$R$4:$R$500,1)/(('Carga Web Cirugias'!$A$4:$A$500=B214)*('Carga Web Cirugias'!$M$4:$M$500=C214)*('Carga Web Cirugias'!$R$4:$R$500&lt;&gt;"")*('Carga Web Cirugias'!$S$4:$S$500&lt;&gt;"")),1))*1440),"")</f>
        <v/>
      </c>
      <c r="E214" s="111">
        <f>IF(OR(B214="",C214="",D214=""),"",VLOOKUP(C214,'Horario Pabellones'!$A$4:$D$17,4,FALSE))</f>
        <v/>
      </c>
      <c r="F214" s="118">
        <f>IFERROR(IF(OR(D214="",E214="",E214=0),"",(D214/60)/(E214/60)),"")</f>
        <v/>
      </c>
      <c r="G214" s="109">
        <f>IF(F214="","",IF(F214&gt;=0.75,"Cumple referencia","Bajo referencia"))</f>
        <v/>
      </c>
      <c r="J214" s="94" t="n"/>
      <c r="K214" s="95" t="n"/>
      <c r="L214" s="95" t="n"/>
      <c r="M214" s="96" t="n"/>
      <c r="N214" s="95" t="n"/>
    </row>
    <row r="215" ht="16" customHeight="1" s="151">
      <c r="A215" s="112">
        <f>IF(OR('Carga Web Cirugias'!A215="",'Carga Web Cirugias'!M215=""),"",_xludf.ISOWEEKNUM('Carga Web Cirugias'!A215))</f>
        <v/>
      </c>
      <c r="B215" s="123">
        <f>IF('Carga Web Cirugias'!A215="","",'Carga Web Cirugias'!A215)</f>
        <v/>
      </c>
      <c r="C215" s="112">
        <f>IF('Carga Web Cirugias'!M215="","",'Carga Web Cirugias'!M215)</f>
        <v/>
      </c>
      <c r="D215" s="114">
        <f>IFERROR(IF(OR(B215="",C215="",COUNTIFS($B$4:B215,B215,$C$4:C215,C215)&gt;1),"",(_xludf.AGGREGATE(14,6,MOD('Carga Web Cirugias'!$S$4:$S$500,1)/(('Carga Web Cirugias'!$A$4:$A$500=B215)*('Carga Web Cirugias'!$M$4:$M$500=C215)*('Carga Web Cirugias'!$R$4:$R$500&lt;&gt;"")*('Carga Web Cirugias'!$S$4:$S$500&lt;&gt;"")),1)-_xludf.AGGREGATE(15,6,MOD('Carga Web Cirugias'!$R$4:$R$500,1)/(('Carga Web Cirugias'!$A$4:$A$500=B215)*('Carga Web Cirugias'!$M$4:$M$500=C215)*('Carga Web Cirugias'!$R$4:$R$500&lt;&gt;"")*('Carga Web Cirugias'!$S$4:$S$500&lt;&gt;"")),1))*1440),"")</f>
        <v/>
      </c>
      <c r="E215" s="114">
        <f>IF(OR(B215="",C215="",D215=""),"",VLOOKUP(C215,'Horario Pabellones'!$A$4:$D$17,4,FALSE))</f>
        <v/>
      </c>
      <c r="F215" s="124">
        <f>IFERROR(IF(OR(D215="",E215="",E215=0),"",(D215/60)/(E215/60)),"")</f>
        <v/>
      </c>
      <c r="G215" s="112">
        <f>IF(F215="","",IF(F215&gt;=0.75,"Cumple referencia","Bajo referencia"))</f>
        <v/>
      </c>
      <c r="J215" s="94" t="n"/>
      <c r="K215" s="95" t="n"/>
      <c r="L215" s="95" t="n"/>
      <c r="M215" s="96" t="n"/>
      <c r="N215" s="95" t="n"/>
    </row>
    <row r="216" ht="16" customHeight="1" s="151">
      <c r="A216" s="109">
        <f>IF(OR('Carga Web Cirugias'!A216="",'Carga Web Cirugias'!M216=""),"",_xludf.ISOWEEKNUM('Carga Web Cirugias'!A216))</f>
        <v/>
      </c>
      <c r="B216" s="117">
        <f>IF('Carga Web Cirugias'!A216="","",'Carga Web Cirugias'!A216)</f>
        <v/>
      </c>
      <c r="C216" s="109">
        <f>IF('Carga Web Cirugias'!M216="","",'Carga Web Cirugias'!M216)</f>
        <v/>
      </c>
      <c r="D216" s="111">
        <f>IFERROR(IF(OR(B216="",C216="",COUNTIFS($B$4:B216,B216,$C$4:C216,C216)&gt;1),"",(_xludf.AGGREGATE(14,6,MOD('Carga Web Cirugias'!$S$4:$S$500,1)/(('Carga Web Cirugias'!$A$4:$A$500=B216)*('Carga Web Cirugias'!$M$4:$M$500=C216)*('Carga Web Cirugias'!$R$4:$R$500&lt;&gt;"")*('Carga Web Cirugias'!$S$4:$S$500&lt;&gt;"")),1)-_xludf.AGGREGATE(15,6,MOD('Carga Web Cirugias'!$R$4:$R$500,1)/(('Carga Web Cirugias'!$A$4:$A$500=B216)*('Carga Web Cirugias'!$M$4:$M$500=C216)*('Carga Web Cirugias'!$R$4:$R$500&lt;&gt;"")*('Carga Web Cirugias'!$S$4:$S$500&lt;&gt;"")),1))*1440),"")</f>
        <v/>
      </c>
      <c r="E216" s="111">
        <f>IF(OR(B216="",C216="",D216=""),"",VLOOKUP(C216,'Horario Pabellones'!$A$4:$D$17,4,FALSE))</f>
        <v/>
      </c>
      <c r="F216" s="118">
        <f>IFERROR(IF(OR(D216="",E216="",E216=0),"",(D216/60)/(E216/60)),"")</f>
        <v/>
      </c>
      <c r="G216" s="109">
        <f>IF(F216="","",IF(F216&gt;=0.75,"Cumple referencia","Bajo referencia"))</f>
        <v/>
      </c>
      <c r="J216" s="94" t="n"/>
      <c r="K216" s="95" t="n"/>
      <c r="L216" s="95" t="n"/>
      <c r="M216" s="96" t="n"/>
      <c r="N216" s="95" t="n"/>
    </row>
    <row r="217" ht="16" customHeight="1" s="151">
      <c r="A217" s="112">
        <f>IF(OR('Carga Web Cirugias'!A217="",'Carga Web Cirugias'!M217=""),"",_xludf.ISOWEEKNUM('Carga Web Cirugias'!A217))</f>
        <v/>
      </c>
      <c r="B217" s="123">
        <f>IF('Carga Web Cirugias'!A217="","",'Carga Web Cirugias'!A217)</f>
        <v/>
      </c>
      <c r="C217" s="112">
        <f>IF('Carga Web Cirugias'!M217="","",'Carga Web Cirugias'!M217)</f>
        <v/>
      </c>
      <c r="D217" s="114">
        <f>IFERROR(IF(OR(B217="",C217="",COUNTIFS($B$4:B217,B217,$C$4:C217,C217)&gt;1),"",(_xludf.AGGREGATE(14,6,MOD('Carga Web Cirugias'!$S$4:$S$500,1)/(('Carga Web Cirugias'!$A$4:$A$500=B217)*('Carga Web Cirugias'!$M$4:$M$500=C217)*('Carga Web Cirugias'!$R$4:$R$500&lt;&gt;"")*('Carga Web Cirugias'!$S$4:$S$500&lt;&gt;"")),1)-_xludf.AGGREGATE(15,6,MOD('Carga Web Cirugias'!$R$4:$R$500,1)/(('Carga Web Cirugias'!$A$4:$A$500=B217)*('Carga Web Cirugias'!$M$4:$M$500=C217)*('Carga Web Cirugias'!$R$4:$R$500&lt;&gt;"")*('Carga Web Cirugias'!$S$4:$S$500&lt;&gt;"")),1))*1440),"")</f>
        <v/>
      </c>
      <c r="E217" s="114">
        <f>IF(OR(B217="",C217="",D217=""),"",VLOOKUP(C217,'Horario Pabellones'!$A$4:$D$17,4,FALSE))</f>
        <v/>
      </c>
      <c r="F217" s="124">
        <f>IFERROR(IF(OR(D217="",E217="",E217=0),"",(D217/60)/(E217/60)),"")</f>
        <v/>
      </c>
      <c r="G217" s="112">
        <f>IF(F217="","",IF(F217&gt;=0.75,"Cumple referencia","Bajo referencia"))</f>
        <v/>
      </c>
      <c r="J217" s="94" t="n"/>
      <c r="K217" s="95" t="n"/>
      <c r="L217" s="95" t="n"/>
      <c r="M217" s="96" t="n"/>
      <c r="N217" s="95" t="n"/>
    </row>
    <row r="218" ht="16" customHeight="1" s="151">
      <c r="A218" s="109">
        <f>IF(OR('Carga Web Cirugias'!A218="",'Carga Web Cirugias'!M218=""),"",_xludf.ISOWEEKNUM('Carga Web Cirugias'!A218))</f>
        <v/>
      </c>
      <c r="B218" s="117">
        <f>IF('Carga Web Cirugias'!A218="","",'Carga Web Cirugias'!A218)</f>
        <v/>
      </c>
      <c r="C218" s="109">
        <f>IF('Carga Web Cirugias'!M218="","",'Carga Web Cirugias'!M218)</f>
        <v/>
      </c>
      <c r="D218" s="111">
        <f>IFERROR(IF(OR(B218="",C218="",COUNTIFS($B$4:B218,B218,$C$4:C218,C218)&gt;1),"",(_xludf.AGGREGATE(14,6,MOD('Carga Web Cirugias'!$S$4:$S$500,1)/(('Carga Web Cirugias'!$A$4:$A$500=B218)*('Carga Web Cirugias'!$M$4:$M$500=C218)*('Carga Web Cirugias'!$R$4:$R$500&lt;&gt;"")*('Carga Web Cirugias'!$S$4:$S$500&lt;&gt;"")),1)-_xludf.AGGREGATE(15,6,MOD('Carga Web Cirugias'!$R$4:$R$500,1)/(('Carga Web Cirugias'!$A$4:$A$500=B218)*('Carga Web Cirugias'!$M$4:$M$500=C218)*('Carga Web Cirugias'!$R$4:$R$500&lt;&gt;"")*('Carga Web Cirugias'!$S$4:$S$500&lt;&gt;"")),1))*1440),"")</f>
        <v/>
      </c>
      <c r="E218" s="111">
        <f>IF(OR(B218="",C218="",D218=""),"",VLOOKUP(C218,'Horario Pabellones'!$A$4:$D$17,4,FALSE))</f>
        <v/>
      </c>
      <c r="F218" s="118">
        <f>IFERROR(IF(OR(D218="",E218="",E218=0),"",(D218/60)/(E218/60)),"")</f>
        <v/>
      </c>
      <c r="G218" s="109">
        <f>IF(F218="","",IF(F218&gt;=0.75,"Cumple referencia","Bajo referencia"))</f>
        <v/>
      </c>
      <c r="J218" s="94" t="n"/>
      <c r="K218" s="95" t="n"/>
      <c r="L218" s="95" t="n"/>
      <c r="M218" s="96" t="n"/>
      <c r="N218" s="95" t="n"/>
    </row>
    <row r="219" ht="16" customHeight="1" s="151">
      <c r="A219" s="112">
        <f>IF(OR('Carga Web Cirugias'!A219="",'Carga Web Cirugias'!M219=""),"",_xludf.ISOWEEKNUM('Carga Web Cirugias'!A219))</f>
        <v/>
      </c>
      <c r="B219" s="123">
        <f>IF('Carga Web Cirugias'!A219="","",'Carga Web Cirugias'!A219)</f>
        <v/>
      </c>
      <c r="C219" s="112">
        <f>IF('Carga Web Cirugias'!M219="","",'Carga Web Cirugias'!M219)</f>
        <v/>
      </c>
      <c r="D219" s="114">
        <f>IFERROR(IF(OR(B219="",C219="",COUNTIFS($B$4:B219,B219,$C$4:C219,C219)&gt;1),"",(_xludf.AGGREGATE(14,6,MOD('Carga Web Cirugias'!$S$4:$S$500,1)/(('Carga Web Cirugias'!$A$4:$A$500=B219)*('Carga Web Cirugias'!$M$4:$M$500=C219)*('Carga Web Cirugias'!$R$4:$R$500&lt;&gt;"")*('Carga Web Cirugias'!$S$4:$S$500&lt;&gt;"")),1)-_xludf.AGGREGATE(15,6,MOD('Carga Web Cirugias'!$R$4:$R$500,1)/(('Carga Web Cirugias'!$A$4:$A$500=B219)*('Carga Web Cirugias'!$M$4:$M$500=C219)*('Carga Web Cirugias'!$R$4:$R$500&lt;&gt;"")*('Carga Web Cirugias'!$S$4:$S$500&lt;&gt;"")),1))*1440),"")</f>
        <v/>
      </c>
      <c r="E219" s="114">
        <f>IF(OR(B219="",C219="",D219=""),"",VLOOKUP(C219,'Horario Pabellones'!$A$4:$D$17,4,FALSE))</f>
        <v/>
      </c>
      <c r="F219" s="124">
        <f>IFERROR(IF(OR(D219="",E219="",E219=0),"",(D219/60)/(E219/60)),"")</f>
        <v/>
      </c>
      <c r="G219" s="112">
        <f>IF(F219="","",IF(F219&gt;=0.75,"Cumple referencia","Bajo referencia"))</f>
        <v/>
      </c>
      <c r="J219" s="94" t="n"/>
      <c r="K219" s="95" t="n"/>
      <c r="L219" s="95" t="n"/>
      <c r="M219" s="96" t="n"/>
      <c r="N219" s="95" t="n"/>
    </row>
    <row r="220" ht="16" customHeight="1" s="151">
      <c r="A220" s="109">
        <f>IF(OR('Carga Web Cirugias'!A220="",'Carga Web Cirugias'!M220=""),"",_xludf.ISOWEEKNUM('Carga Web Cirugias'!A220))</f>
        <v/>
      </c>
      <c r="B220" s="117">
        <f>IF('Carga Web Cirugias'!A220="","",'Carga Web Cirugias'!A220)</f>
        <v/>
      </c>
      <c r="C220" s="109">
        <f>IF('Carga Web Cirugias'!M220="","",'Carga Web Cirugias'!M220)</f>
        <v/>
      </c>
      <c r="D220" s="111">
        <f>IFERROR(IF(OR(B220="",C220="",COUNTIFS($B$4:B220,B220,$C$4:C220,C220)&gt;1),"",(_xludf.AGGREGATE(14,6,MOD('Carga Web Cirugias'!$S$4:$S$500,1)/(('Carga Web Cirugias'!$A$4:$A$500=B220)*('Carga Web Cirugias'!$M$4:$M$500=C220)*('Carga Web Cirugias'!$R$4:$R$500&lt;&gt;"")*('Carga Web Cirugias'!$S$4:$S$500&lt;&gt;"")),1)-_xludf.AGGREGATE(15,6,MOD('Carga Web Cirugias'!$R$4:$R$500,1)/(('Carga Web Cirugias'!$A$4:$A$500=B220)*('Carga Web Cirugias'!$M$4:$M$500=C220)*('Carga Web Cirugias'!$R$4:$R$500&lt;&gt;"")*('Carga Web Cirugias'!$S$4:$S$500&lt;&gt;"")),1))*1440),"")</f>
        <v/>
      </c>
      <c r="E220" s="111">
        <f>IF(OR(B220="",C220="",D220=""),"",VLOOKUP(C220,'Horario Pabellones'!$A$4:$D$17,4,FALSE))</f>
        <v/>
      </c>
      <c r="F220" s="118">
        <f>IFERROR(IF(OR(D220="",E220="",E220=0),"",(D220/60)/(E220/60)),"")</f>
        <v/>
      </c>
      <c r="G220" s="109">
        <f>IF(F220="","",IF(F220&gt;=0.75,"Cumple referencia","Bajo referencia"))</f>
        <v/>
      </c>
      <c r="J220" s="94" t="n"/>
      <c r="K220" s="95" t="n"/>
      <c r="L220" s="95" t="n"/>
      <c r="M220" s="96" t="n"/>
      <c r="N220" s="95" t="n"/>
    </row>
    <row r="221" ht="16" customHeight="1" s="151">
      <c r="A221" s="112">
        <f>IF(OR('Carga Web Cirugias'!A221="",'Carga Web Cirugias'!M221=""),"",_xludf.ISOWEEKNUM('Carga Web Cirugias'!A221))</f>
        <v/>
      </c>
      <c r="B221" s="123">
        <f>IF('Carga Web Cirugias'!A221="","",'Carga Web Cirugias'!A221)</f>
        <v/>
      </c>
      <c r="C221" s="112">
        <f>IF('Carga Web Cirugias'!M221="","",'Carga Web Cirugias'!M221)</f>
        <v/>
      </c>
      <c r="D221" s="114">
        <f>IFERROR(IF(OR(B221="",C221="",COUNTIFS($B$4:B221,B221,$C$4:C221,C221)&gt;1),"",(_xludf.AGGREGATE(14,6,MOD('Carga Web Cirugias'!$S$4:$S$500,1)/(('Carga Web Cirugias'!$A$4:$A$500=B221)*('Carga Web Cirugias'!$M$4:$M$500=C221)*('Carga Web Cirugias'!$R$4:$R$500&lt;&gt;"")*('Carga Web Cirugias'!$S$4:$S$500&lt;&gt;"")),1)-_xludf.AGGREGATE(15,6,MOD('Carga Web Cirugias'!$R$4:$R$500,1)/(('Carga Web Cirugias'!$A$4:$A$500=B221)*('Carga Web Cirugias'!$M$4:$M$500=C221)*('Carga Web Cirugias'!$R$4:$R$500&lt;&gt;"")*('Carga Web Cirugias'!$S$4:$S$500&lt;&gt;"")),1))*1440),"")</f>
        <v/>
      </c>
      <c r="E221" s="114">
        <f>IF(OR(B221="",C221="",D221=""),"",VLOOKUP(C221,'Horario Pabellones'!$A$4:$D$17,4,FALSE))</f>
        <v/>
      </c>
      <c r="F221" s="124">
        <f>IFERROR(IF(OR(D221="",E221="",E221=0),"",(D221/60)/(E221/60)),"")</f>
        <v/>
      </c>
      <c r="G221" s="112">
        <f>IF(F221="","",IF(F221&gt;=0.75,"Cumple referencia","Bajo referencia"))</f>
        <v/>
      </c>
      <c r="J221" s="94" t="n"/>
      <c r="K221" s="95" t="n"/>
      <c r="L221" s="95" t="n"/>
      <c r="M221" s="96" t="n"/>
      <c r="N221" s="95" t="n"/>
    </row>
    <row r="222" ht="16" customHeight="1" s="151">
      <c r="A222" s="109">
        <f>IF(OR('Carga Web Cirugias'!A222="",'Carga Web Cirugias'!M222=""),"",_xludf.ISOWEEKNUM('Carga Web Cirugias'!A222))</f>
        <v/>
      </c>
      <c r="B222" s="117">
        <f>IF('Carga Web Cirugias'!A222="","",'Carga Web Cirugias'!A222)</f>
        <v/>
      </c>
      <c r="C222" s="109">
        <f>IF('Carga Web Cirugias'!M222="","",'Carga Web Cirugias'!M222)</f>
        <v/>
      </c>
      <c r="D222" s="111">
        <f>IFERROR(IF(OR(B222="",C222="",COUNTIFS($B$4:B222,B222,$C$4:C222,C222)&gt;1),"",(_xludf.AGGREGATE(14,6,MOD('Carga Web Cirugias'!$S$4:$S$500,1)/(('Carga Web Cirugias'!$A$4:$A$500=B222)*('Carga Web Cirugias'!$M$4:$M$500=C222)*('Carga Web Cirugias'!$R$4:$R$500&lt;&gt;"")*('Carga Web Cirugias'!$S$4:$S$500&lt;&gt;"")),1)-_xludf.AGGREGATE(15,6,MOD('Carga Web Cirugias'!$R$4:$R$500,1)/(('Carga Web Cirugias'!$A$4:$A$500=B222)*('Carga Web Cirugias'!$M$4:$M$500=C222)*('Carga Web Cirugias'!$R$4:$R$500&lt;&gt;"")*('Carga Web Cirugias'!$S$4:$S$500&lt;&gt;"")),1))*1440),"")</f>
        <v/>
      </c>
      <c r="E222" s="111">
        <f>IF(OR(B222="",C222="",D222=""),"",VLOOKUP(C222,'Horario Pabellones'!$A$4:$D$17,4,FALSE))</f>
        <v/>
      </c>
      <c r="F222" s="118">
        <f>IFERROR(IF(OR(D222="",E222="",E222=0),"",(D222/60)/(E222/60)),"")</f>
        <v/>
      </c>
      <c r="G222" s="109">
        <f>IF(F222="","",IF(F222&gt;=0.75,"Cumple referencia","Bajo referencia"))</f>
        <v/>
      </c>
      <c r="J222" s="94" t="n"/>
      <c r="K222" s="95" t="n"/>
      <c r="L222" s="95" t="n"/>
      <c r="M222" s="96" t="n"/>
      <c r="N222" s="95" t="n"/>
    </row>
    <row r="223" ht="16" customHeight="1" s="151">
      <c r="A223" s="112">
        <f>IF(OR('Carga Web Cirugias'!A223="",'Carga Web Cirugias'!M223=""),"",_xludf.ISOWEEKNUM('Carga Web Cirugias'!A223))</f>
        <v/>
      </c>
      <c r="B223" s="123">
        <f>IF('Carga Web Cirugias'!A223="","",'Carga Web Cirugias'!A223)</f>
        <v/>
      </c>
      <c r="C223" s="112">
        <f>IF('Carga Web Cirugias'!M223="","",'Carga Web Cirugias'!M223)</f>
        <v/>
      </c>
      <c r="D223" s="114">
        <f>IFERROR(IF(OR(B223="",C223="",COUNTIFS($B$4:B223,B223,$C$4:C223,C223)&gt;1),"",(_xludf.AGGREGATE(14,6,MOD('Carga Web Cirugias'!$S$4:$S$500,1)/(('Carga Web Cirugias'!$A$4:$A$500=B223)*('Carga Web Cirugias'!$M$4:$M$500=C223)*('Carga Web Cirugias'!$R$4:$R$500&lt;&gt;"")*('Carga Web Cirugias'!$S$4:$S$500&lt;&gt;"")),1)-_xludf.AGGREGATE(15,6,MOD('Carga Web Cirugias'!$R$4:$R$500,1)/(('Carga Web Cirugias'!$A$4:$A$500=B223)*('Carga Web Cirugias'!$M$4:$M$500=C223)*('Carga Web Cirugias'!$R$4:$R$500&lt;&gt;"")*('Carga Web Cirugias'!$S$4:$S$500&lt;&gt;"")),1))*1440),"")</f>
        <v/>
      </c>
      <c r="E223" s="114">
        <f>IF(OR(B223="",C223="",D223=""),"",VLOOKUP(C223,'Horario Pabellones'!$A$4:$D$17,4,FALSE))</f>
        <v/>
      </c>
      <c r="F223" s="124">
        <f>IFERROR(IF(OR(D223="",E223="",E223=0),"",(D223/60)/(E223/60)),"")</f>
        <v/>
      </c>
      <c r="G223" s="112">
        <f>IF(F223="","",IF(F223&gt;=0.75,"Cumple referencia","Bajo referencia"))</f>
        <v/>
      </c>
      <c r="J223" s="94" t="n"/>
      <c r="K223" s="95" t="n"/>
      <c r="L223" s="95" t="n"/>
      <c r="M223" s="96" t="n"/>
      <c r="N223" s="95" t="n"/>
    </row>
    <row r="224" ht="16" customHeight="1" s="151">
      <c r="A224" s="109">
        <f>IF(OR('Carga Web Cirugias'!A224="",'Carga Web Cirugias'!M224=""),"",_xludf.ISOWEEKNUM('Carga Web Cirugias'!A224))</f>
        <v/>
      </c>
      <c r="B224" s="117">
        <f>IF('Carga Web Cirugias'!A224="","",'Carga Web Cirugias'!A224)</f>
        <v/>
      </c>
      <c r="C224" s="109">
        <f>IF('Carga Web Cirugias'!M224="","",'Carga Web Cirugias'!M224)</f>
        <v/>
      </c>
      <c r="D224" s="111">
        <f>IFERROR(IF(OR(B224="",C224="",COUNTIFS($B$4:B224,B224,$C$4:C224,C224)&gt;1),"",(_xludf.AGGREGATE(14,6,MOD('Carga Web Cirugias'!$S$4:$S$500,1)/(('Carga Web Cirugias'!$A$4:$A$500=B224)*('Carga Web Cirugias'!$M$4:$M$500=C224)*('Carga Web Cirugias'!$R$4:$R$500&lt;&gt;"")*('Carga Web Cirugias'!$S$4:$S$500&lt;&gt;"")),1)-_xludf.AGGREGATE(15,6,MOD('Carga Web Cirugias'!$R$4:$R$500,1)/(('Carga Web Cirugias'!$A$4:$A$500=B224)*('Carga Web Cirugias'!$M$4:$M$500=C224)*('Carga Web Cirugias'!$R$4:$R$500&lt;&gt;"")*('Carga Web Cirugias'!$S$4:$S$500&lt;&gt;"")),1))*1440),"")</f>
        <v/>
      </c>
      <c r="E224" s="111">
        <f>IF(OR(B224="",C224="",D224=""),"",VLOOKUP(C224,'Horario Pabellones'!$A$4:$D$17,4,FALSE))</f>
        <v/>
      </c>
      <c r="F224" s="118">
        <f>IFERROR(IF(OR(D224="",E224="",E224=0),"",(D224/60)/(E224/60)),"")</f>
        <v/>
      </c>
      <c r="G224" s="109">
        <f>IF(F224="","",IF(F224&gt;=0.75,"Cumple referencia","Bajo referencia"))</f>
        <v/>
      </c>
      <c r="J224" s="94" t="n"/>
      <c r="K224" s="95" t="n"/>
      <c r="L224" s="95" t="n"/>
      <c r="M224" s="96" t="n"/>
      <c r="N224" s="95" t="n"/>
    </row>
    <row r="225" ht="16" customHeight="1" s="151">
      <c r="A225" s="112">
        <f>IF(OR('Carga Web Cirugias'!A225="",'Carga Web Cirugias'!M225=""),"",_xludf.ISOWEEKNUM('Carga Web Cirugias'!A225))</f>
        <v/>
      </c>
      <c r="B225" s="123">
        <f>IF('Carga Web Cirugias'!A225="","",'Carga Web Cirugias'!A225)</f>
        <v/>
      </c>
      <c r="C225" s="112">
        <f>IF('Carga Web Cirugias'!M225="","",'Carga Web Cirugias'!M225)</f>
        <v/>
      </c>
      <c r="D225" s="114">
        <f>IFERROR(IF(OR(B225="",C225="",COUNTIFS($B$4:B225,B225,$C$4:C225,C225)&gt;1),"",(_xludf.AGGREGATE(14,6,MOD('Carga Web Cirugias'!$S$4:$S$500,1)/(('Carga Web Cirugias'!$A$4:$A$500=B225)*('Carga Web Cirugias'!$M$4:$M$500=C225)*('Carga Web Cirugias'!$R$4:$R$500&lt;&gt;"")*('Carga Web Cirugias'!$S$4:$S$500&lt;&gt;"")),1)-_xludf.AGGREGATE(15,6,MOD('Carga Web Cirugias'!$R$4:$R$500,1)/(('Carga Web Cirugias'!$A$4:$A$500=B225)*('Carga Web Cirugias'!$M$4:$M$500=C225)*('Carga Web Cirugias'!$R$4:$R$500&lt;&gt;"")*('Carga Web Cirugias'!$S$4:$S$500&lt;&gt;"")),1))*1440),"")</f>
        <v/>
      </c>
      <c r="E225" s="114">
        <f>IF(OR(B225="",C225="",D225=""),"",VLOOKUP(C225,'Horario Pabellones'!$A$4:$D$17,4,FALSE))</f>
        <v/>
      </c>
      <c r="F225" s="124">
        <f>IFERROR(IF(OR(D225="",E225="",E225=0),"",(D225/60)/(E225/60)),"")</f>
        <v/>
      </c>
      <c r="G225" s="112">
        <f>IF(F225="","",IF(F225&gt;=0.75,"Cumple referencia","Bajo referencia"))</f>
        <v/>
      </c>
      <c r="J225" s="94" t="n"/>
      <c r="K225" s="95" t="n"/>
      <c r="L225" s="95" t="n"/>
      <c r="M225" s="96" t="n"/>
      <c r="N225" s="95" t="n"/>
    </row>
    <row r="226" ht="16" customHeight="1" s="151">
      <c r="A226" s="109">
        <f>IF(OR('Carga Web Cirugias'!A226="",'Carga Web Cirugias'!M226=""),"",_xludf.ISOWEEKNUM('Carga Web Cirugias'!A226))</f>
        <v/>
      </c>
      <c r="B226" s="117">
        <f>IF('Carga Web Cirugias'!A226="","",'Carga Web Cirugias'!A226)</f>
        <v/>
      </c>
      <c r="C226" s="109">
        <f>IF('Carga Web Cirugias'!M226="","",'Carga Web Cirugias'!M226)</f>
        <v/>
      </c>
      <c r="D226" s="111">
        <f>IFERROR(IF(OR(B226="",C226="",COUNTIFS($B$4:B226,B226,$C$4:C226,C226)&gt;1),"",(_xludf.AGGREGATE(14,6,MOD('Carga Web Cirugias'!$S$4:$S$500,1)/(('Carga Web Cirugias'!$A$4:$A$500=B226)*('Carga Web Cirugias'!$M$4:$M$500=C226)*('Carga Web Cirugias'!$R$4:$R$500&lt;&gt;"")*('Carga Web Cirugias'!$S$4:$S$500&lt;&gt;"")),1)-_xludf.AGGREGATE(15,6,MOD('Carga Web Cirugias'!$R$4:$R$500,1)/(('Carga Web Cirugias'!$A$4:$A$500=B226)*('Carga Web Cirugias'!$M$4:$M$500=C226)*('Carga Web Cirugias'!$R$4:$R$500&lt;&gt;"")*('Carga Web Cirugias'!$S$4:$S$500&lt;&gt;"")),1))*1440),"")</f>
        <v/>
      </c>
      <c r="E226" s="111">
        <f>IF(OR(B226="",C226="",D226=""),"",VLOOKUP(C226,'Horario Pabellones'!$A$4:$D$17,4,FALSE))</f>
        <v/>
      </c>
      <c r="F226" s="118">
        <f>IFERROR(IF(OR(D226="",E226="",E226=0),"",(D226/60)/(E226/60)),"")</f>
        <v/>
      </c>
      <c r="G226" s="109">
        <f>IF(F226="","",IF(F226&gt;=0.75,"Cumple referencia","Bajo referencia"))</f>
        <v/>
      </c>
      <c r="J226" s="94" t="n"/>
      <c r="K226" s="95" t="n"/>
      <c r="L226" s="95" t="n"/>
      <c r="M226" s="96" t="n"/>
      <c r="N226" s="95" t="n"/>
    </row>
    <row r="227" ht="16" customHeight="1" s="151">
      <c r="A227" s="112">
        <f>IF(OR('Carga Web Cirugias'!A227="",'Carga Web Cirugias'!M227=""),"",_xludf.ISOWEEKNUM('Carga Web Cirugias'!A227))</f>
        <v/>
      </c>
      <c r="B227" s="123">
        <f>IF('Carga Web Cirugias'!A227="","",'Carga Web Cirugias'!A227)</f>
        <v/>
      </c>
      <c r="C227" s="112">
        <f>IF('Carga Web Cirugias'!M227="","",'Carga Web Cirugias'!M227)</f>
        <v/>
      </c>
      <c r="D227" s="114">
        <f>IFERROR(IF(OR(B227="",C227="",COUNTIFS($B$4:B227,B227,$C$4:C227,C227)&gt;1),"",(_xludf.AGGREGATE(14,6,MOD('Carga Web Cirugias'!$S$4:$S$500,1)/(('Carga Web Cirugias'!$A$4:$A$500=B227)*('Carga Web Cirugias'!$M$4:$M$500=C227)*('Carga Web Cirugias'!$R$4:$R$500&lt;&gt;"")*('Carga Web Cirugias'!$S$4:$S$500&lt;&gt;"")),1)-_xludf.AGGREGATE(15,6,MOD('Carga Web Cirugias'!$R$4:$R$500,1)/(('Carga Web Cirugias'!$A$4:$A$500=B227)*('Carga Web Cirugias'!$M$4:$M$500=C227)*('Carga Web Cirugias'!$R$4:$R$500&lt;&gt;"")*('Carga Web Cirugias'!$S$4:$S$500&lt;&gt;"")),1))*1440),"")</f>
        <v/>
      </c>
      <c r="E227" s="114">
        <f>IF(OR(B227="",C227="",D227=""),"",VLOOKUP(C227,'Horario Pabellones'!$A$4:$D$17,4,FALSE))</f>
        <v/>
      </c>
      <c r="F227" s="124">
        <f>IFERROR(IF(OR(D227="",E227="",E227=0),"",(D227/60)/(E227/60)),"")</f>
        <v/>
      </c>
      <c r="G227" s="112">
        <f>IF(F227="","",IF(F227&gt;=0.75,"Cumple referencia","Bajo referencia"))</f>
        <v/>
      </c>
      <c r="J227" s="94" t="n"/>
      <c r="K227" s="95" t="n"/>
      <c r="L227" s="95" t="n"/>
      <c r="M227" s="96" t="n"/>
      <c r="N227" s="95" t="n"/>
    </row>
    <row r="228" ht="16" customHeight="1" s="151">
      <c r="A228" s="109">
        <f>IF(OR('Carga Web Cirugias'!A228="",'Carga Web Cirugias'!M228=""),"",_xludf.ISOWEEKNUM('Carga Web Cirugias'!A228))</f>
        <v/>
      </c>
      <c r="B228" s="117">
        <f>IF('Carga Web Cirugias'!A228="","",'Carga Web Cirugias'!A228)</f>
        <v/>
      </c>
      <c r="C228" s="109">
        <f>IF('Carga Web Cirugias'!M228="","",'Carga Web Cirugias'!M228)</f>
        <v/>
      </c>
      <c r="D228" s="111">
        <f>IFERROR(IF(OR(B228="",C228="",COUNTIFS($B$4:B228,B228,$C$4:C228,C228)&gt;1),"",(_xludf.AGGREGATE(14,6,MOD('Carga Web Cirugias'!$S$4:$S$500,1)/(('Carga Web Cirugias'!$A$4:$A$500=B228)*('Carga Web Cirugias'!$M$4:$M$500=C228)*('Carga Web Cirugias'!$R$4:$R$500&lt;&gt;"")*('Carga Web Cirugias'!$S$4:$S$500&lt;&gt;"")),1)-_xludf.AGGREGATE(15,6,MOD('Carga Web Cirugias'!$R$4:$R$500,1)/(('Carga Web Cirugias'!$A$4:$A$500=B228)*('Carga Web Cirugias'!$M$4:$M$500=C228)*('Carga Web Cirugias'!$R$4:$R$500&lt;&gt;"")*('Carga Web Cirugias'!$S$4:$S$500&lt;&gt;"")),1))*1440),"")</f>
        <v/>
      </c>
      <c r="E228" s="111">
        <f>IF(OR(B228="",C228="",D228=""),"",VLOOKUP(C228,'Horario Pabellones'!$A$4:$D$17,4,FALSE))</f>
        <v/>
      </c>
      <c r="F228" s="118">
        <f>IFERROR(IF(OR(D228="",E228="",E228=0),"",(D228/60)/(E228/60)),"")</f>
        <v/>
      </c>
      <c r="G228" s="109">
        <f>IF(F228="","",IF(F228&gt;=0.75,"Cumple referencia","Bajo referencia"))</f>
        <v/>
      </c>
      <c r="J228" s="94" t="n"/>
      <c r="K228" s="95" t="n"/>
      <c r="L228" s="95" t="n"/>
      <c r="M228" s="96" t="n"/>
      <c r="N228" s="95" t="n"/>
    </row>
    <row r="229" ht="16" customHeight="1" s="151">
      <c r="A229" s="112">
        <f>IF(OR('Carga Web Cirugias'!A229="",'Carga Web Cirugias'!M229=""),"",_xludf.ISOWEEKNUM('Carga Web Cirugias'!A229))</f>
        <v/>
      </c>
      <c r="B229" s="123">
        <f>IF('Carga Web Cirugias'!A229="","",'Carga Web Cirugias'!A229)</f>
        <v/>
      </c>
      <c r="C229" s="112">
        <f>IF('Carga Web Cirugias'!M229="","",'Carga Web Cirugias'!M229)</f>
        <v/>
      </c>
      <c r="D229" s="114">
        <f>IFERROR(IF(OR(B229="",C229="",COUNTIFS($B$4:B229,B229,$C$4:C229,C229)&gt;1),"",(_xludf.AGGREGATE(14,6,MOD('Carga Web Cirugias'!$S$4:$S$500,1)/(('Carga Web Cirugias'!$A$4:$A$500=B229)*('Carga Web Cirugias'!$M$4:$M$500=C229)*('Carga Web Cirugias'!$R$4:$R$500&lt;&gt;"")*('Carga Web Cirugias'!$S$4:$S$500&lt;&gt;"")),1)-_xludf.AGGREGATE(15,6,MOD('Carga Web Cirugias'!$R$4:$R$500,1)/(('Carga Web Cirugias'!$A$4:$A$500=B229)*('Carga Web Cirugias'!$M$4:$M$500=C229)*('Carga Web Cirugias'!$R$4:$R$500&lt;&gt;"")*('Carga Web Cirugias'!$S$4:$S$500&lt;&gt;"")),1))*1440),"")</f>
        <v/>
      </c>
      <c r="E229" s="114">
        <f>IF(OR(B229="",C229="",D229=""),"",VLOOKUP(C229,'Horario Pabellones'!$A$4:$D$17,4,FALSE))</f>
        <v/>
      </c>
      <c r="F229" s="124">
        <f>IFERROR(IF(OR(D229="",E229="",E229=0),"",(D229/60)/(E229/60)),"")</f>
        <v/>
      </c>
      <c r="G229" s="112">
        <f>IF(F229="","",IF(F229&gt;=0.75,"Cumple referencia","Bajo referencia"))</f>
        <v/>
      </c>
      <c r="J229" s="94" t="n"/>
      <c r="K229" s="95" t="n"/>
      <c r="L229" s="95" t="n"/>
      <c r="M229" s="96" t="n"/>
      <c r="N229" s="95" t="n"/>
    </row>
    <row r="230" ht="16" customHeight="1" s="151">
      <c r="A230" s="109">
        <f>IF(OR('Carga Web Cirugias'!A230="",'Carga Web Cirugias'!M230=""),"",_xludf.ISOWEEKNUM('Carga Web Cirugias'!A230))</f>
        <v/>
      </c>
      <c r="B230" s="117">
        <f>IF('Carga Web Cirugias'!A230="","",'Carga Web Cirugias'!A230)</f>
        <v/>
      </c>
      <c r="C230" s="109">
        <f>IF('Carga Web Cirugias'!M230="","",'Carga Web Cirugias'!M230)</f>
        <v/>
      </c>
      <c r="D230" s="111">
        <f>IFERROR(IF(OR(B230="",C230="",COUNTIFS($B$4:B230,B230,$C$4:C230,C230)&gt;1),"",(_xludf.AGGREGATE(14,6,MOD('Carga Web Cirugias'!$S$4:$S$500,1)/(('Carga Web Cirugias'!$A$4:$A$500=B230)*('Carga Web Cirugias'!$M$4:$M$500=C230)*('Carga Web Cirugias'!$R$4:$R$500&lt;&gt;"")*('Carga Web Cirugias'!$S$4:$S$500&lt;&gt;"")),1)-_xludf.AGGREGATE(15,6,MOD('Carga Web Cirugias'!$R$4:$R$500,1)/(('Carga Web Cirugias'!$A$4:$A$500=B230)*('Carga Web Cirugias'!$M$4:$M$500=C230)*('Carga Web Cirugias'!$R$4:$R$500&lt;&gt;"")*('Carga Web Cirugias'!$S$4:$S$500&lt;&gt;"")),1))*1440),"")</f>
        <v/>
      </c>
      <c r="E230" s="111">
        <f>IF(OR(B230="",C230="",D230=""),"",VLOOKUP(C230,'Horario Pabellones'!$A$4:$D$17,4,FALSE))</f>
        <v/>
      </c>
      <c r="F230" s="118">
        <f>IFERROR(IF(OR(D230="",E230="",E230=0),"",(D230/60)/(E230/60)),"")</f>
        <v/>
      </c>
      <c r="G230" s="109">
        <f>IF(F230="","",IF(F230&gt;=0.75,"Cumple referencia","Bajo referencia"))</f>
        <v/>
      </c>
      <c r="J230" s="94" t="n"/>
      <c r="K230" s="95" t="n"/>
      <c r="L230" s="95" t="n"/>
      <c r="M230" s="96" t="n"/>
      <c r="N230" s="95" t="n"/>
    </row>
    <row r="231" ht="16" customHeight="1" s="151">
      <c r="A231" s="112">
        <f>IF(OR('Carga Web Cirugias'!A231="",'Carga Web Cirugias'!M231=""),"",_xludf.ISOWEEKNUM('Carga Web Cirugias'!A231))</f>
        <v/>
      </c>
      <c r="B231" s="123">
        <f>IF('Carga Web Cirugias'!A231="","",'Carga Web Cirugias'!A231)</f>
        <v/>
      </c>
      <c r="C231" s="112">
        <f>IF('Carga Web Cirugias'!M231="","",'Carga Web Cirugias'!M231)</f>
        <v/>
      </c>
      <c r="D231" s="114">
        <f>IFERROR(IF(OR(B231="",C231="",COUNTIFS($B$4:B231,B231,$C$4:C231,C231)&gt;1),"",(_xludf.AGGREGATE(14,6,MOD('Carga Web Cirugias'!$S$4:$S$500,1)/(('Carga Web Cirugias'!$A$4:$A$500=B231)*('Carga Web Cirugias'!$M$4:$M$500=C231)*('Carga Web Cirugias'!$R$4:$R$500&lt;&gt;"")*('Carga Web Cirugias'!$S$4:$S$500&lt;&gt;"")),1)-_xludf.AGGREGATE(15,6,MOD('Carga Web Cirugias'!$R$4:$R$500,1)/(('Carga Web Cirugias'!$A$4:$A$500=B231)*('Carga Web Cirugias'!$M$4:$M$500=C231)*('Carga Web Cirugias'!$R$4:$R$500&lt;&gt;"")*('Carga Web Cirugias'!$S$4:$S$500&lt;&gt;"")),1))*1440),"")</f>
        <v/>
      </c>
      <c r="E231" s="114">
        <f>IF(OR(B231="",C231="",D231=""),"",VLOOKUP(C231,'Horario Pabellones'!$A$4:$D$17,4,FALSE))</f>
        <v/>
      </c>
      <c r="F231" s="124">
        <f>IFERROR(IF(OR(D231="",E231="",E231=0),"",(D231/60)/(E231/60)),"")</f>
        <v/>
      </c>
      <c r="G231" s="112">
        <f>IF(F231="","",IF(F231&gt;=0.75,"Cumple referencia","Bajo referencia"))</f>
        <v/>
      </c>
      <c r="J231" s="94" t="n"/>
      <c r="K231" s="95" t="n"/>
      <c r="L231" s="95" t="n"/>
      <c r="M231" s="96" t="n"/>
      <c r="N231" s="95" t="n"/>
    </row>
    <row r="232" ht="16" customHeight="1" s="151">
      <c r="A232" s="109">
        <f>IF(OR('Carga Web Cirugias'!A232="",'Carga Web Cirugias'!M232=""),"",_xludf.ISOWEEKNUM('Carga Web Cirugias'!A232))</f>
        <v/>
      </c>
      <c r="B232" s="117">
        <f>IF('Carga Web Cirugias'!A232="","",'Carga Web Cirugias'!A232)</f>
        <v/>
      </c>
      <c r="C232" s="109">
        <f>IF('Carga Web Cirugias'!M232="","",'Carga Web Cirugias'!M232)</f>
        <v/>
      </c>
      <c r="D232" s="111">
        <f>IFERROR(IF(OR(B232="",C232="",COUNTIFS($B$4:B232,B232,$C$4:C232,C232)&gt;1),"",(_xludf.AGGREGATE(14,6,MOD('Carga Web Cirugias'!$S$4:$S$500,1)/(('Carga Web Cirugias'!$A$4:$A$500=B232)*('Carga Web Cirugias'!$M$4:$M$500=C232)*('Carga Web Cirugias'!$R$4:$R$500&lt;&gt;"")*('Carga Web Cirugias'!$S$4:$S$500&lt;&gt;"")),1)-_xludf.AGGREGATE(15,6,MOD('Carga Web Cirugias'!$R$4:$R$500,1)/(('Carga Web Cirugias'!$A$4:$A$500=B232)*('Carga Web Cirugias'!$M$4:$M$500=C232)*('Carga Web Cirugias'!$R$4:$R$500&lt;&gt;"")*('Carga Web Cirugias'!$S$4:$S$500&lt;&gt;"")),1))*1440),"")</f>
        <v/>
      </c>
      <c r="E232" s="111">
        <f>IF(OR(B232="",C232="",D232=""),"",VLOOKUP(C232,'Horario Pabellones'!$A$4:$D$17,4,FALSE))</f>
        <v/>
      </c>
      <c r="F232" s="118">
        <f>IFERROR(IF(OR(D232="",E232="",E232=0),"",(D232/60)/(E232/60)),"")</f>
        <v/>
      </c>
      <c r="G232" s="109">
        <f>IF(F232="","",IF(F232&gt;=0.75,"Cumple referencia","Bajo referencia"))</f>
        <v/>
      </c>
      <c r="J232" s="94" t="n"/>
      <c r="K232" s="95" t="n"/>
      <c r="L232" s="95" t="n"/>
      <c r="M232" s="96" t="n"/>
      <c r="N232" s="95" t="n"/>
    </row>
    <row r="233" ht="16" customHeight="1" s="151">
      <c r="A233" s="112">
        <f>IF(OR('Carga Web Cirugias'!A233="",'Carga Web Cirugias'!M233=""),"",_xludf.ISOWEEKNUM('Carga Web Cirugias'!A233))</f>
        <v/>
      </c>
      <c r="B233" s="123">
        <f>IF('Carga Web Cirugias'!A233="","",'Carga Web Cirugias'!A233)</f>
        <v/>
      </c>
      <c r="C233" s="112">
        <f>IF('Carga Web Cirugias'!M233="","",'Carga Web Cirugias'!M233)</f>
        <v/>
      </c>
      <c r="D233" s="114">
        <f>IFERROR(IF(OR(B233="",C233="",COUNTIFS($B$4:B233,B233,$C$4:C233,C233)&gt;1),"",(_xludf.AGGREGATE(14,6,MOD('Carga Web Cirugias'!$S$4:$S$500,1)/(('Carga Web Cirugias'!$A$4:$A$500=B233)*('Carga Web Cirugias'!$M$4:$M$500=C233)*('Carga Web Cirugias'!$R$4:$R$500&lt;&gt;"")*('Carga Web Cirugias'!$S$4:$S$500&lt;&gt;"")),1)-_xludf.AGGREGATE(15,6,MOD('Carga Web Cirugias'!$R$4:$R$500,1)/(('Carga Web Cirugias'!$A$4:$A$500=B233)*('Carga Web Cirugias'!$M$4:$M$500=C233)*('Carga Web Cirugias'!$R$4:$R$500&lt;&gt;"")*('Carga Web Cirugias'!$S$4:$S$500&lt;&gt;"")),1))*1440),"")</f>
        <v/>
      </c>
      <c r="E233" s="114">
        <f>IF(OR(B233="",C233="",D233=""),"",VLOOKUP(C233,'Horario Pabellones'!$A$4:$D$17,4,FALSE))</f>
        <v/>
      </c>
      <c r="F233" s="124">
        <f>IFERROR(IF(OR(D233="",E233="",E233=0),"",(D233/60)/(E233/60)),"")</f>
        <v/>
      </c>
      <c r="G233" s="112">
        <f>IF(F233="","",IF(F233&gt;=0.75,"Cumple referencia","Bajo referencia"))</f>
        <v/>
      </c>
      <c r="J233" s="94" t="n"/>
      <c r="K233" s="95" t="n"/>
      <c r="L233" s="95" t="n"/>
      <c r="M233" s="96" t="n"/>
      <c r="N233" s="95" t="n"/>
    </row>
    <row r="234" ht="16" customHeight="1" s="151">
      <c r="A234" s="109">
        <f>IF(OR('Carga Web Cirugias'!A234="",'Carga Web Cirugias'!M234=""),"",_xludf.ISOWEEKNUM('Carga Web Cirugias'!A234))</f>
        <v/>
      </c>
      <c r="B234" s="117">
        <f>IF('Carga Web Cirugias'!A234="","",'Carga Web Cirugias'!A234)</f>
        <v/>
      </c>
      <c r="C234" s="109">
        <f>IF('Carga Web Cirugias'!M234="","",'Carga Web Cirugias'!M234)</f>
        <v/>
      </c>
      <c r="D234" s="111">
        <f>IFERROR(IF(OR(B234="",C234="",COUNTIFS($B$4:B234,B234,$C$4:C234,C234)&gt;1),"",(_xludf.AGGREGATE(14,6,MOD('Carga Web Cirugias'!$S$4:$S$500,1)/(('Carga Web Cirugias'!$A$4:$A$500=B234)*('Carga Web Cirugias'!$M$4:$M$500=C234)*('Carga Web Cirugias'!$R$4:$R$500&lt;&gt;"")*('Carga Web Cirugias'!$S$4:$S$500&lt;&gt;"")),1)-_xludf.AGGREGATE(15,6,MOD('Carga Web Cirugias'!$R$4:$R$500,1)/(('Carga Web Cirugias'!$A$4:$A$500=B234)*('Carga Web Cirugias'!$M$4:$M$500=C234)*('Carga Web Cirugias'!$R$4:$R$500&lt;&gt;"")*('Carga Web Cirugias'!$S$4:$S$500&lt;&gt;"")),1))*1440),"")</f>
        <v/>
      </c>
      <c r="E234" s="111">
        <f>IF(OR(B234="",C234="",D234=""),"",VLOOKUP(C234,'Horario Pabellones'!$A$4:$D$17,4,FALSE))</f>
        <v/>
      </c>
      <c r="F234" s="118">
        <f>IFERROR(IF(OR(D234="",E234="",E234=0),"",(D234/60)/(E234/60)),"")</f>
        <v/>
      </c>
      <c r="G234" s="109">
        <f>IF(F234="","",IF(F234&gt;=0.75,"Cumple referencia","Bajo referencia"))</f>
        <v/>
      </c>
      <c r="J234" s="94" t="n"/>
      <c r="K234" s="95" t="n"/>
      <c r="L234" s="95" t="n"/>
      <c r="M234" s="96" t="n"/>
      <c r="N234" s="95" t="n"/>
    </row>
    <row r="235" ht="16" customHeight="1" s="151">
      <c r="A235" s="112">
        <f>IF(OR('Carga Web Cirugias'!A235="",'Carga Web Cirugias'!M235=""),"",_xludf.ISOWEEKNUM('Carga Web Cirugias'!A235))</f>
        <v/>
      </c>
      <c r="B235" s="123">
        <f>IF('Carga Web Cirugias'!A235="","",'Carga Web Cirugias'!A235)</f>
        <v/>
      </c>
      <c r="C235" s="112">
        <f>IF('Carga Web Cirugias'!M235="","",'Carga Web Cirugias'!M235)</f>
        <v/>
      </c>
      <c r="D235" s="114">
        <f>IFERROR(IF(OR(B235="",C235="",COUNTIFS($B$4:B235,B235,$C$4:C235,C235)&gt;1),"",(_xludf.AGGREGATE(14,6,MOD('Carga Web Cirugias'!$S$4:$S$500,1)/(('Carga Web Cirugias'!$A$4:$A$500=B235)*('Carga Web Cirugias'!$M$4:$M$500=C235)*('Carga Web Cirugias'!$R$4:$R$500&lt;&gt;"")*('Carga Web Cirugias'!$S$4:$S$500&lt;&gt;"")),1)-_xludf.AGGREGATE(15,6,MOD('Carga Web Cirugias'!$R$4:$R$500,1)/(('Carga Web Cirugias'!$A$4:$A$500=B235)*('Carga Web Cirugias'!$M$4:$M$500=C235)*('Carga Web Cirugias'!$R$4:$R$500&lt;&gt;"")*('Carga Web Cirugias'!$S$4:$S$500&lt;&gt;"")),1))*1440),"")</f>
        <v/>
      </c>
      <c r="E235" s="114">
        <f>IF(OR(B235="",C235="",D235=""),"",VLOOKUP(C235,'Horario Pabellones'!$A$4:$D$17,4,FALSE))</f>
        <v/>
      </c>
      <c r="F235" s="124">
        <f>IFERROR(IF(OR(D235="",E235="",E235=0),"",(D235/60)/(E235/60)),"")</f>
        <v/>
      </c>
      <c r="G235" s="112">
        <f>IF(F235="","",IF(F235&gt;=0.75,"Cumple referencia","Bajo referencia"))</f>
        <v/>
      </c>
      <c r="J235" s="94" t="n"/>
      <c r="K235" s="95" t="n"/>
      <c r="L235" s="95" t="n"/>
      <c r="M235" s="96" t="n"/>
      <c r="N235" s="95" t="n"/>
    </row>
    <row r="236" ht="16" customHeight="1" s="151">
      <c r="A236" s="109">
        <f>IF(OR('Carga Web Cirugias'!A236="",'Carga Web Cirugias'!M236=""),"",_xludf.ISOWEEKNUM('Carga Web Cirugias'!A236))</f>
        <v/>
      </c>
      <c r="B236" s="117">
        <f>IF('Carga Web Cirugias'!A236="","",'Carga Web Cirugias'!A236)</f>
        <v/>
      </c>
      <c r="C236" s="109">
        <f>IF('Carga Web Cirugias'!M236="","",'Carga Web Cirugias'!M236)</f>
        <v/>
      </c>
      <c r="D236" s="111">
        <f>IFERROR(IF(OR(B236="",C236="",COUNTIFS($B$4:B236,B236,$C$4:C236,C236)&gt;1),"",(_xludf.AGGREGATE(14,6,MOD('Carga Web Cirugias'!$S$4:$S$500,1)/(('Carga Web Cirugias'!$A$4:$A$500=B236)*('Carga Web Cirugias'!$M$4:$M$500=C236)*('Carga Web Cirugias'!$R$4:$R$500&lt;&gt;"")*('Carga Web Cirugias'!$S$4:$S$500&lt;&gt;"")),1)-_xludf.AGGREGATE(15,6,MOD('Carga Web Cirugias'!$R$4:$R$500,1)/(('Carga Web Cirugias'!$A$4:$A$500=B236)*('Carga Web Cirugias'!$M$4:$M$500=C236)*('Carga Web Cirugias'!$R$4:$R$500&lt;&gt;"")*('Carga Web Cirugias'!$S$4:$S$500&lt;&gt;"")),1))*1440),"")</f>
        <v/>
      </c>
      <c r="E236" s="111">
        <f>IF(OR(B236="",C236="",D236=""),"",VLOOKUP(C236,'Horario Pabellones'!$A$4:$D$17,4,FALSE))</f>
        <v/>
      </c>
      <c r="F236" s="118">
        <f>IFERROR(IF(OR(D236="",E236="",E236=0),"",(D236/60)/(E236/60)),"")</f>
        <v/>
      </c>
      <c r="G236" s="109">
        <f>IF(F236="","",IF(F236&gt;=0.75,"Cumple referencia","Bajo referencia"))</f>
        <v/>
      </c>
      <c r="J236" s="94" t="n"/>
      <c r="K236" s="95" t="n"/>
      <c r="L236" s="95" t="n"/>
      <c r="M236" s="96" t="n"/>
      <c r="N236" s="95" t="n"/>
    </row>
    <row r="237" ht="16" customHeight="1" s="151">
      <c r="A237" s="112">
        <f>IF(OR('Carga Web Cirugias'!A237="",'Carga Web Cirugias'!M237=""),"",_xludf.ISOWEEKNUM('Carga Web Cirugias'!A237))</f>
        <v/>
      </c>
      <c r="B237" s="123">
        <f>IF('Carga Web Cirugias'!A237="","",'Carga Web Cirugias'!A237)</f>
        <v/>
      </c>
      <c r="C237" s="112">
        <f>IF('Carga Web Cirugias'!M237="","",'Carga Web Cirugias'!M237)</f>
        <v/>
      </c>
      <c r="D237" s="114">
        <f>IFERROR(IF(OR(B237="",C237="",COUNTIFS($B$4:B237,B237,$C$4:C237,C237)&gt;1),"",(_xludf.AGGREGATE(14,6,MOD('Carga Web Cirugias'!$S$4:$S$500,1)/(('Carga Web Cirugias'!$A$4:$A$500=B237)*('Carga Web Cirugias'!$M$4:$M$500=C237)*('Carga Web Cirugias'!$R$4:$R$500&lt;&gt;"")*('Carga Web Cirugias'!$S$4:$S$500&lt;&gt;"")),1)-_xludf.AGGREGATE(15,6,MOD('Carga Web Cirugias'!$R$4:$R$500,1)/(('Carga Web Cirugias'!$A$4:$A$500=B237)*('Carga Web Cirugias'!$M$4:$M$500=C237)*('Carga Web Cirugias'!$R$4:$R$500&lt;&gt;"")*('Carga Web Cirugias'!$S$4:$S$500&lt;&gt;"")),1))*1440),"")</f>
        <v/>
      </c>
      <c r="E237" s="114">
        <f>IF(OR(B237="",C237="",D237=""),"",VLOOKUP(C237,'Horario Pabellones'!$A$4:$D$17,4,FALSE))</f>
        <v/>
      </c>
      <c r="F237" s="124">
        <f>IFERROR(IF(OR(D237="",E237="",E237=0),"",(D237/60)/(E237/60)),"")</f>
        <v/>
      </c>
      <c r="G237" s="112">
        <f>IF(F237="","",IF(F237&gt;=0.75,"Cumple referencia","Bajo referencia"))</f>
        <v/>
      </c>
      <c r="J237" s="94" t="n"/>
      <c r="K237" s="95" t="n"/>
      <c r="L237" s="95" t="n"/>
      <c r="M237" s="96" t="n"/>
      <c r="N237" s="95" t="n"/>
    </row>
    <row r="238" ht="16" customHeight="1" s="151">
      <c r="A238" s="109">
        <f>IF(OR('Carga Web Cirugias'!A238="",'Carga Web Cirugias'!M238=""),"",_xludf.ISOWEEKNUM('Carga Web Cirugias'!A238))</f>
        <v/>
      </c>
      <c r="B238" s="117">
        <f>IF('Carga Web Cirugias'!A238="","",'Carga Web Cirugias'!A238)</f>
        <v/>
      </c>
      <c r="C238" s="109">
        <f>IF('Carga Web Cirugias'!M238="","",'Carga Web Cirugias'!M238)</f>
        <v/>
      </c>
      <c r="D238" s="111">
        <f>IFERROR(IF(OR(B238="",C238="",COUNTIFS($B$4:B238,B238,$C$4:C238,C238)&gt;1),"",(_xludf.AGGREGATE(14,6,MOD('Carga Web Cirugias'!$S$4:$S$500,1)/(('Carga Web Cirugias'!$A$4:$A$500=B238)*('Carga Web Cirugias'!$M$4:$M$500=C238)*('Carga Web Cirugias'!$R$4:$R$500&lt;&gt;"")*('Carga Web Cirugias'!$S$4:$S$500&lt;&gt;"")),1)-_xludf.AGGREGATE(15,6,MOD('Carga Web Cirugias'!$R$4:$R$500,1)/(('Carga Web Cirugias'!$A$4:$A$500=B238)*('Carga Web Cirugias'!$M$4:$M$500=C238)*('Carga Web Cirugias'!$R$4:$R$500&lt;&gt;"")*('Carga Web Cirugias'!$S$4:$S$500&lt;&gt;"")),1))*1440),"")</f>
        <v/>
      </c>
      <c r="E238" s="111">
        <f>IF(OR(B238="",C238="",D238=""),"",VLOOKUP(C238,'Horario Pabellones'!$A$4:$D$17,4,FALSE))</f>
        <v/>
      </c>
      <c r="F238" s="118">
        <f>IFERROR(IF(OR(D238="",E238="",E238=0),"",(D238/60)/(E238/60)),"")</f>
        <v/>
      </c>
      <c r="G238" s="109">
        <f>IF(F238="","",IF(F238&gt;=0.75,"Cumple referencia","Bajo referencia"))</f>
        <v/>
      </c>
      <c r="J238" s="94" t="n"/>
      <c r="K238" s="95" t="n"/>
      <c r="L238" s="95" t="n"/>
      <c r="M238" s="96" t="n"/>
      <c r="N238" s="95" t="n"/>
    </row>
    <row r="239" ht="16" customHeight="1" s="151">
      <c r="A239" s="112">
        <f>IF(OR('Carga Web Cirugias'!A239="",'Carga Web Cirugias'!M239=""),"",_xludf.ISOWEEKNUM('Carga Web Cirugias'!A239))</f>
        <v/>
      </c>
      <c r="B239" s="123">
        <f>IF('Carga Web Cirugias'!A239="","",'Carga Web Cirugias'!A239)</f>
        <v/>
      </c>
      <c r="C239" s="112">
        <f>IF('Carga Web Cirugias'!M239="","",'Carga Web Cirugias'!M239)</f>
        <v/>
      </c>
      <c r="D239" s="114">
        <f>IFERROR(IF(OR(B239="",C239="",COUNTIFS($B$4:B239,B239,$C$4:C239,C239)&gt;1),"",(_xludf.AGGREGATE(14,6,MOD('Carga Web Cirugias'!$S$4:$S$500,1)/(('Carga Web Cirugias'!$A$4:$A$500=B239)*('Carga Web Cirugias'!$M$4:$M$500=C239)*('Carga Web Cirugias'!$R$4:$R$500&lt;&gt;"")*('Carga Web Cirugias'!$S$4:$S$500&lt;&gt;"")),1)-_xludf.AGGREGATE(15,6,MOD('Carga Web Cirugias'!$R$4:$R$500,1)/(('Carga Web Cirugias'!$A$4:$A$500=B239)*('Carga Web Cirugias'!$M$4:$M$500=C239)*('Carga Web Cirugias'!$R$4:$R$500&lt;&gt;"")*('Carga Web Cirugias'!$S$4:$S$500&lt;&gt;"")),1))*1440),"")</f>
        <v/>
      </c>
      <c r="E239" s="114">
        <f>IF(OR(B239="",C239="",D239=""),"",VLOOKUP(C239,'Horario Pabellones'!$A$4:$D$17,4,FALSE))</f>
        <v/>
      </c>
      <c r="F239" s="124">
        <f>IFERROR(IF(OR(D239="",E239="",E239=0),"",(D239/60)/(E239/60)),"")</f>
        <v/>
      </c>
      <c r="G239" s="112">
        <f>IF(F239="","",IF(F239&gt;=0.75,"Cumple referencia","Bajo referencia"))</f>
        <v/>
      </c>
      <c r="J239" s="94" t="n"/>
      <c r="K239" s="95" t="n"/>
      <c r="L239" s="95" t="n"/>
      <c r="M239" s="96" t="n"/>
      <c r="N239" s="95" t="n"/>
    </row>
    <row r="240" ht="16" customHeight="1" s="151">
      <c r="A240" s="109">
        <f>IF(OR('Carga Web Cirugias'!A240="",'Carga Web Cirugias'!M240=""),"",_xludf.ISOWEEKNUM('Carga Web Cirugias'!A240))</f>
        <v/>
      </c>
      <c r="B240" s="117">
        <f>IF('Carga Web Cirugias'!A240="","",'Carga Web Cirugias'!A240)</f>
        <v/>
      </c>
      <c r="C240" s="109">
        <f>IF('Carga Web Cirugias'!M240="","",'Carga Web Cirugias'!M240)</f>
        <v/>
      </c>
      <c r="D240" s="111">
        <f>IFERROR(IF(OR(B240="",C240="",COUNTIFS($B$4:B240,B240,$C$4:C240,C240)&gt;1),"",(_xludf.AGGREGATE(14,6,MOD('Carga Web Cirugias'!$S$4:$S$500,1)/(('Carga Web Cirugias'!$A$4:$A$500=B240)*('Carga Web Cirugias'!$M$4:$M$500=C240)*('Carga Web Cirugias'!$R$4:$R$500&lt;&gt;"")*('Carga Web Cirugias'!$S$4:$S$500&lt;&gt;"")),1)-_xludf.AGGREGATE(15,6,MOD('Carga Web Cirugias'!$R$4:$R$500,1)/(('Carga Web Cirugias'!$A$4:$A$500=B240)*('Carga Web Cirugias'!$M$4:$M$500=C240)*('Carga Web Cirugias'!$R$4:$R$500&lt;&gt;"")*('Carga Web Cirugias'!$S$4:$S$500&lt;&gt;"")),1))*1440),"")</f>
        <v/>
      </c>
      <c r="E240" s="111">
        <f>IF(OR(B240="",C240="",D240=""),"",VLOOKUP(C240,'Horario Pabellones'!$A$4:$D$17,4,FALSE))</f>
        <v/>
      </c>
      <c r="F240" s="118">
        <f>IFERROR(IF(OR(D240="",E240="",E240=0),"",(D240/60)/(E240/60)),"")</f>
        <v/>
      </c>
      <c r="G240" s="109">
        <f>IF(F240="","",IF(F240&gt;=0.75,"Cumple referencia","Bajo referencia"))</f>
        <v/>
      </c>
      <c r="J240" s="94" t="n"/>
      <c r="K240" s="95" t="n"/>
      <c r="L240" s="95" t="n"/>
      <c r="M240" s="96" t="n"/>
      <c r="N240" s="95" t="n"/>
    </row>
    <row r="241" ht="16" customHeight="1" s="151">
      <c r="A241" s="112">
        <f>IF(OR('Carga Web Cirugias'!A241="",'Carga Web Cirugias'!M241=""),"",_xludf.ISOWEEKNUM('Carga Web Cirugias'!A241))</f>
        <v/>
      </c>
      <c r="B241" s="123">
        <f>IF('Carga Web Cirugias'!A241="","",'Carga Web Cirugias'!A241)</f>
        <v/>
      </c>
      <c r="C241" s="112">
        <f>IF('Carga Web Cirugias'!M241="","",'Carga Web Cirugias'!M241)</f>
        <v/>
      </c>
      <c r="D241" s="114">
        <f>IFERROR(IF(OR(B241="",C241="",COUNTIFS($B$4:B241,B241,$C$4:C241,C241)&gt;1),"",(_xludf.AGGREGATE(14,6,MOD('Carga Web Cirugias'!$S$4:$S$500,1)/(('Carga Web Cirugias'!$A$4:$A$500=B241)*('Carga Web Cirugias'!$M$4:$M$500=C241)*('Carga Web Cirugias'!$R$4:$R$500&lt;&gt;"")*('Carga Web Cirugias'!$S$4:$S$500&lt;&gt;"")),1)-_xludf.AGGREGATE(15,6,MOD('Carga Web Cirugias'!$R$4:$R$500,1)/(('Carga Web Cirugias'!$A$4:$A$500=B241)*('Carga Web Cirugias'!$M$4:$M$500=C241)*('Carga Web Cirugias'!$R$4:$R$500&lt;&gt;"")*('Carga Web Cirugias'!$S$4:$S$500&lt;&gt;"")),1))*1440),"")</f>
        <v/>
      </c>
      <c r="E241" s="114">
        <f>IF(OR(B241="",C241="",D241=""),"",VLOOKUP(C241,'Horario Pabellones'!$A$4:$D$17,4,FALSE))</f>
        <v/>
      </c>
      <c r="F241" s="124">
        <f>IFERROR(IF(OR(D241="",E241="",E241=0),"",(D241/60)/(E241/60)),"")</f>
        <v/>
      </c>
      <c r="G241" s="112">
        <f>IF(F241="","",IF(F241&gt;=0.75,"Cumple referencia","Bajo referencia"))</f>
        <v/>
      </c>
      <c r="J241" s="94" t="n"/>
      <c r="K241" s="95" t="n"/>
      <c r="L241" s="95" t="n"/>
      <c r="M241" s="96" t="n"/>
      <c r="N241" s="95" t="n"/>
    </row>
    <row r="242" ht="16" customHeight="1" s="151">
      <c r="A242" s="109">
        <f>IF(OR('Carga Web Cirugias'!A242="",'Carga Web Cirugias'!M242=""),"",_xludf.ISOWEEKNUM('Carga Web Cirugias'!A242))</f>
        <v/>
      </c>
      <c r="B242" s="117">
        <f>IF('Carga Web Cirugias'!A242="","",'Carga Web Cirugias'!A242)</f>
        <v/>
      </c>
      <c r="C242" s="109">
        <f>IF('Carga Web Cirugias'!M242="","",'Carga Web Cirugias'!M242)</f>
        <v/>
      </c>
      <c r="D242" s="111">
        <f>IFERROR(IF(OR(B242="",C242="",COUNTIFS($B$4:B242,B242,$C$4:C242,C242)&gt;1),"",(_xludf.AGGREGATE(14,6,MOD('Carga Web Cirugias'!$S$4:$S$500,1)/(('Carga Web Cirugias'!$A$4:$A$500=B242)*('Carga Web Cirugias'!$M$4:$M$500=C242)*('Carga Web Cirugias'!$R$4:$R$500&lt;&gt;"")*('Carga Web Cirugias'!$S$4:$S$500&lt;&gt;"")),1)-_xludf.AGGREGATE(15,6,MOD('Carga Web Cirugias'!$R$4:$R$500,1)/(('Carga Web Cirugias'!$A$4:$A$500=B242)*('Carga Web Cirugias'!$M$4:$M$500=C242)*('Carga Web Cirugias'!$R$4:$R$500&lt;&gt;"")*('Carga Web Cirugias'!$S$4:$S$500&lt;&gt;"")),1))*1440),"")</f>
        <v/>
      </c>
      <c r="E242" s="111">
        <f>IF(OR(B242="",C242="",D242=""),"",VLOOKUP(C242,'Horario Pabellones'!$A$4:$D$17,4,FALSE))</f>
        <v/>
      </c>
      <c r="F242" s="118">
        <f>IFERROR(IF(OR(D242="",E242="",E242=0),"",(D242/60)/(E242/60)),"")</f>
        <v/>
      </c>
      <c r="G242" s="109">
        <f>IF(F242="","",IF(F242&gt;=0.75,"Cumple referencia","Bajo referencia"))</f>
        <v/>
      </c>
      <c r="J242" s="94" t="n"/>
      <c r="K242" s="95" t="n"/>
      <c r="L242" s="95" t="n"/>
      <c r="M242" s="96" t="n"/>
      <c r="N242" s="95" t="n"/>
    </row>
    <row r="243" ht="16" customHeight="1" s="151">
      <c r="A243" s="112">
        <f>IF(OR('Carga Web Cirugias'!A243="",'Carga Web Cirugias'!M243=""),"",_xludf.ISOWEEKNUM('Carga Web Cirugias'!A243))</f>
        <v/>
      </c>
      <c r="B243" s="123">
        <f>IF('Carga Web Cirugias'!A243="","",'Carga Web Cirugias'!A243)</f>
        <v/>
      </c>
      <c r="C243" s="112">
        <f>IF('Carga Web Cirugias'!M243="","",'Carga Web Cirugias'!M243)</f>
        <v/>
      </c>
      <c r="D243" s="114">
        <f>IFERROR(IF(OR(B243="",C243="",COUNTIFS($B$4:B243,B243,$C$4:C243,C243)&gt;1),"",(_xludf.AGGREGATE(14,6,MOD('Carga Web Cirugias'!$S$4:$S$500,1)/(('Carga Web Cirugias'!$A$4:$A$500=B243)*('Carga Web Cirugias'!$M$4:$M$500=C243)*('Carga Web Cirugias'!$R$4:$R$500&lt;&gt;"")*('Carga Web Cirugias'!$S$4:$S$500&lt;&gt;"")),1)-_xludf.AGGREGATE(15,6,MOD('Carga Web Cirugias'!$R$4:$R$500,1)/(('Carga Web Cirugias'!$A$4:$A$500=B243)*('Carga Web Cirugias'!$M$4:$M$500=C243)*('Carga Web Cirugias'!$R$4:$R$500&lt;&gt;"")*('Carga Web Cirugias'!$S$4:$S$500&lt;&gt;"")),1))*1440),"")</f>
        <v/>
      </c>
      <c r="E243" s="114">
        <f>IF(OR(B243="",C243="",D243=""),"",VLOOKUP(C243,'Horario Pabellones'!$A$4:$D$17,4,FALSE))</f>
        <v/>
      </c>
      <c r="F243" s="124">
        <f>IFERROR(IF(OR(D243="",E243="",E243=0),"",(D243/60)/(E243/60)),"")</f>
        <v/>
      </c>
      <c r="G243" s="112">
        <f>IF(F243="","",IF(F243&gt;=0.75,"Cumple referencia","Bajo referencia"))</f>
        <v/>
      </c>
      <c r="J243" s="94" t="n"/>
      <c r="K243" s="95" t="n"/>
      <c r="L243" s="95" t="n"/>
      <c r="M243" s="96" t="n"/>
      <c r="N243" s="95" t="n"/>
    </row>
    <row r="244" ht="16" customHeight="1" s="151">
      <c r="A244" s="109">
        <f>IF(OR('Carga Web Cirugias'!A244="",'Carga Web Cirugias'!M244=""),"",_xludf.ISOWEEKNUM('Carga Web Cirugias'!A244))</f>
        <v/>
      </c>
      <c r="B244" s="117">
        <f>IF('Carga Web Cirugias'!A244="","",'Carga Web Cirugias'!A244)</f>
        <v/>
      </c>
      <c r="C244" s="109">
        <f>IF('Carga Web Cirugias'!M244="","",'Carga Web Cirugias'!M244)</f>
        <v/>
      </c>
      <c r="D244" s="111">
        <f>IFERROR(IF(OR(B244="",C244="",COUNTIFS($B$4:B244,B244,$C$4:C244,C244)&gt;1),"",(_xludf.AGGREGATE(14,6,MOD('Carga Web Cirugias'!$S$4:$S$500,1)/(('Carga Web Cirugias'!$A$4:$A$500=B244)*('Carga Web Cirugias'!$M$4:$M$500=C244)*('Carga Web Cirugias'!$R$4:$R$500&lt;&gt;"")*('Carga Web Cirugias'!$S$4:$S$500&lt;&gt;"")),1)-_xludf.AGGREGATE(15,6,MOD('Carga Web Cirugias'!$R$4:$R$500,1)/(('Carga Web Cirugias'!$A$4:$A$500=B244)*('Carga Web Cirugias'!$M$4:$M$500=C244)*('Carga Web Cirugias'!$R$4:$R$500&lt;&gt;"")*('Carga Web Cirugias'!$S$4:$S$500&lt;&gt;"")),1))*1440),"")</f>
        <v/>
      </c>
      <c r="E244" s="111">
        <f>IF(OR(B244="",C244="",D244=""),"",VLOOKUP(C244,'Horario Pabellones'!$A$4:$D$17,4,FALSE))</f>
        <v/>
      </c>
      <c r="F244" s="118">
        <f>IFERROR(IF(OR(D244="",E244="",E244=0),"",(D244/60)/(E244/60)),"")</f>
        <v/>
      </c>
      <c r="G244" s="109">
        <f>IF(F244="","",IF(F244&gt;=0.75,"Cumple referencia","Bajo referencia"))</f>
        <v/>
      </c>
      <c r="J244" s="94" t="n"/>
      <c r="K244" s="95" t="n"/>
      <c r="L244" s="95" t="n"/>
      <c r="M244" s="96" t="n"/>
      <c r="N244" s="95" t="n"/>
    </row>
    <row r="245" ht="16" customHeight="1" s="151">
      <c r="A245" s="112">
        <f>IF(OR('Carga Web Cirugias'!A245="",'Carga Web Cirugias'!M245=""),"",_xludf.ISOWEEKNUM('Carga Web Cirugias'!A245))</f>
        <v/>
      </c>
      <c r="B245" s="123">
        <f>IF('Carga Web Cirugias'!A245="","",'Carga Web Cirugias'!A245)</f>
        <v/>
      </c>
      <c r="C245" s="112">
        <f>IF('Carga Web Cirugias'!M245="","",'Carga Web Cirugias'!M245)</f>
        <v/>
      </c>
      <c r="D245" s="114">
        <f>IFERROR(IF(OR(B245="",C245="",COUNTIFS($B$4:B245,B245,$C$4:C245,C245)&gt;1),"",(_xludf.AGGREGATE(14,6,MOD('Carga Web Cirugias'!$S$4:$S$500,1)/(('Carga Web Cirugias'!$A$4:$A$500=B245)*('Carga Web Cirugias'!$M$4:$M$500=C245)*('Carga Web Cirugias'!$R$4:$R$500&lt;&gt;"")*('Carga Web Cirugias'!$S$4:$S$500&lt;&gt;"")),1)-_xludf.AGGREGATE(15,6,MOD('Carga Web Cirugias'!$R$4:$R$500,1)/(('Carga Web Cirugias'!$A$4:$A$500=B245)*('Carga Web Cirugias'!$M$4:$M$500=C245)*('Carga Web Cirugias'!$R$4:$R$500&lt;&gt;"")*('Carga Web Cirugias'!$S$4:$S$500&lt;&gt;"")),1))*1440),"")</f>
        <v/>
      </c>
      <c r="E245" s="114">
        <f>IF(OR(B245="",C245="",D245=""),"",VLOOKUP(C245,'Horario Pabellones'!$A$4:$D$17,4,FALSE))</f>
        <v/>
      </c>
      <c r="F245" s="124">
        <f>IFERROR(IF(OR(D245="",E245="",E245=0),"",(D245/60)/(E245/60)),"")</f>
        <v/>
      </c>
      <c r="G245" s="112">
        <f>IF(F245="","",IF(F245&gt;=0.75,"Cumple referencia","Bajo referencia"))</f>
        <v/>
      </c>
      <c r="J245" s="94" t="n"/>
      <c r="K245" s="95" t="n"/>
      <c r="L245" s="95" t="n"/>
      <c r="M245" s="96" t="n"/>
      <c r="N245" s="95" t="n"/>
    </row>
    <row r="246" ht="16" customHeight="1" s="151">
      <c r="A246" s="109">
        <f>IF(OR('Carga Web Cirugias'!A246="",'Carga Web Cirugias'!M246=""),"",_xludf.ISOWEEKNUM('Carga Web Cirugias'!A246))</f>
        <v/>
      </c>
      <c r="B246" s="117">
        <f>IF('Carga Web Cirugias'!A246="","",'Carga Web Cirugias'!A246)</f>
        <v/>
      </c>
      <c r="C246" s="109">
        <f>IF('Carga Web Cirugias'!M246="","",'Carga Web Cirugias'!M246)</f>
        <v/>
      </c>
      <c r="D246" s="111">
        <f>IFERROR(IF(OR(B246="",C246="",COUNTIFS($B$4:B246,B246,$C$4:C246,C246)&gt;1),"",(_xludf.AGGREGATE(14,6,MOD('Carga Web Cirugias'!$S$4:$S$500,1)/(('Carga Web Cirugias'!$A$4:$A$500=B246)*('Carga Web Cirugias'!$M$4:$M$500=C246)*('Carga Web Cirugias'!$R$4:$R$500&lt;&gt;"")*('Carga Web Cirugias'!$S$4:$S$500&lt;&gt;"")),1)-_xludf.AGGREGATE(15,6,MOD('Carga Web Cirugias'!$R$4:$R$500,1)/(('Carga Web Cirugias'!$A$4:$A$500=B246)*('Carga Web Cirugias'!$M$4:$M$500=C246)*('Carga Web Cirugias'!$R$4:$R$500&lt;&gt;"")*('Carga Web Cirugias'!$S$4:$S$500&lt;&gt;"")),1))*1440),"")</f>
        <v/>
      </c>
      <c r="E246" s="111">
        <f>IF(OR(B246="",C246="",D246=""),"",VLOOKUP(C246,'Horario Pabellones'!$A$4:$D$17,4,FALSE))</f>
        <v/>
      </c>
      <c r="F246" s="118">
        <f>IFERROR(IF(OR(D246="",E246="",E246=0),"",(D246/60)/(E246/60)),"")</f>
        <v/>
      </c>
      <c r="G246" s="109">
        <f>IF(F246="","",IF(F246&gt;=0.75,"Cumple referencia","Bajo referencia"))</f>
        <v/>
      </c>
      <c r="J246" s="94" t="n"/>
      <c r="K246" s="95" t="n"/>
      <c r="L246" s="95" t="n"/>
      <c r="M246" s="96" t="n"/>
      <c r="N246" s="95" t="n"/>
    </row>
    <row r="247" ht="16" customHeight="1" s="151">
      <c r="A247" s="112">
        <f>IF(OR('Carga Web Cirugias'!A247="",'Carga Web Cirugias'!M247=""),"",_xludf.ISOWEEKNUM('Carga Web Cirugias'!A247))</f>
        <v/>
      </c>
      <c r="B247" s="123">
        <f>IF('Carga Web Cirugias'!A247="","",'Carga Web Cirugias'!A247)</f>
        <v/>
      </c>
      <c r="C247" s="112">
        <f>IF('Carga Web Cirugias'!M247="","",'Carga Web Cirugias'!M247)</f>
        <v/>
      </c>
      <c r="D247" s="114">
        <f>IFERROR(IF(OR(B247="",C247="",COUNTIFS($B$4:B247,B247,$C$4:C247,C247)&gt;1),"",(_xludf.AGGREGATE(14,6,MOD('Carga Web Cirugias'!$S$4:$S$500,1)/(('Carga Web Cirugias'!$A$4:$A$500=B247)*('Carga Web Cirugias'!$M$4:$M$500=C247)*('Carga Web Cirugias'!$R$4:$R$500&lt;&gt;"")*('Carga Web Cirugias'!$S$4:$S$500&lt;&gt;"")),1)-_xludf.AGGREGATE(15,6,MOD('Carga Web Cirugias'!$R$4:$R$500,1)/(('Carga Web Cirugias'!$A$4:$A$500=B247)*('Carga Web Cirugias'!$M$4:$M$500=C247)*('Carga Web Cirugias'!$R$4:$R$500&lt;&gt;"")*('Carga Web Cirugias'!$S$4:$S$500&lt;&gt;"")),1))*1440),"")</f>
        <v/>
      </c>
      <c r="E247" s="114">
        <f>IF(OR(B247="",C247="",D247=""),"",VLOOKUP(C247,'Horario Pabellones'!$A$4:$D$17,4,FALSE))</f>
        <v/>
      </c>
      <c r="F247" s="124">
        <f>IFERROR(IF(OR(D247="",E247="",E247=0),"",(D247/60)/(E247/60)),"")</f>
        <v/>
      </c>
      <c r="G247" s="112">
        <f>IF(F247="","",IF(F247&gt;=0.75,"Cumple referencia","Bajo referencia"))</f>
        <v/>
      </c>
      <c r="J247" s="94" t="n"/>
      <c r="K247" s="95" t="n"/>
      <c r="L247" s="95" t="n"/>
      <c r="M247" s="96" t="n"/>
      <c r="N247" s="95" t="n"/>
    </row>
    <row r="248" ht="16" customHeight="1" s="151">
      <c r="A248" s="109">
        <f>IF(OR('Carga Web Cirugias'!A248="",'Carga Web Cirugias'!M248=""),"",_xludf.ISOWEEKNUM('Carga Web Cirugias'!A248))</f>
        <v/>
      </c>
      <c r="B248" s="117">
        <f>IF('Carga Web Cirugias'!A248="","",'Carga Web Cirugias'!A248)</f>
        <v/>
      </c>
      <c r="C248" s="109">
        <f>IF('Carga Web Cirugias'!M248="","",'Carga Web Cirugias'!M248)</f>
        <v/>
      </c>
      <c r="D248" s="111">
        <f>IFERROR(IF(OR(B248="",C248="",COUNTIFS($B$4:B248,B248,$C$4:C248,C248)&gt;1),"",(_xludf.AGGREGATE(14,6,MOD('Carga Web Cirugias'!$S$4:$S$500,1)/(('Carga Web Cirugias'!$A$4:$A$500=B248)*('Carga Web Cirugias'!$M$4:$M$500=C248)*('Carga Web Cirugias'!$R$4:$R$500&lt;&gt;"")*('Carga Web Cirugias'!$S$4:$S$500&lt;&gt;"")),1)-_xludf.AGGREGATE(15,6,MOD('Carga Web Cirugias'!$R$4:$R$500,1)/(('Carga Web Cirugias'!$A$4:$A$500=B248)*('Carga Web Cirugias'!$M$4:$M$500=C248)*('Carga Web Cirugias'!$R$4:$R$500&lt;&gt;"")*('Carga Web Cirugias'!$S$4:$S$500&lt;&gt;"")),1))*1440),"")</f>
        <v/>
      </c>
      <c r="E248" s="111">
        <f>IF(OR(B248="",C248="",D248=""),"",VLOOKUP(C248,'Horario Pabellones'!$A$4:$D$17,4,FALSE))</f>
        <v/>
      </c>
      <c r="F248" s="118">
        <f>IFERROR(IF(OR(D248="",E248="",E248=0),"",(D248/60)/(E248/60)),"")</f>
        <v/>
      </c>
      <c r="G248" s="109">
        <f>IF(F248="","",IF(F248&gt;=0.75,"Cumple referencia","Bajo referencia"))</f>
        <v/>
      </c>
      <c r="J248" s="94" t="n"/>
      <c r="K248" s="95" t="n"/>
      <c r="L248" s="95" t="n"/>
      <c r="M248" s="96" t="n"/>
      <c r="N248" s="95" t="n"/>
    </row>
    <row r="249" ht="16" customHeight="1" s="151">
      <c r="A249" s="112">
        <f>IF(OR('Carga Web Cirugias'!A249="",'Carga Web Cirugias'!M249=""),"",_xludf.ISOWEEKNUM('Carga Web Cirugias'!A249))</f>
        <v/>
      </c>
      <c r="B249" s="123">
        <f>IF('Carga Web Cirugias'!A249="","",'Carga Web Cirugias'!A249)</f>
        <v/>
      </c>
      <c r="C249" s="112">
        <f>IF('Carga Web Cirugias'!M249="","",'Carga Web Cirugias'!M249)</f>
        <v/>
      </c>
      <c r="D249" s="114">
        <f>IFERROR(IF(OR(B249="",C249="",COUNTIFS($B$4:B249,B249,$C$4:C249,C249)&gt;1),"",(_xludf.AGGREGATE(14,6,MOD('Carga Web Cirugias'!$S$4:$S$500,1)/(('Carga Web Cirugias'!$A$4:$A$500=B249)*('Carga Web Cirugias'!$M$4:$M$500=C249)*('Carga Web Cirugias'!$R$4:$R$500&lt;&gt;"")*('Carga Web Cirugias'!$S$4:$S$500&lt;&gt;"")),1)-_xludf.AGGREGATE(15,6,MOD('Carga Web Cirugias'!$R$4:$R$500,1)/(('Carga Web Cirugias'!$A$4:$A$500=B249)*('Carga Web Cirugias'!$M$4:$M$500=C249)*('Carga Web Cirugias'!$R$4:$R$500&lt;&gt;"")*('Carga Web Cirugias'!$S$4:$S$500&lt;&gt;"")),1))*1440),"")</f>
        <v/>
      </c>
      <c r="E249" s="114">
        <f>IF(OR(B249="",C249="",D249=""),"",VLOOKUP(C249,'Horario Pabellones'!$A$4:$D$17,4,FALSE))</f>
        <v/>
      </c>
      <c r="F249" s="124">
        <f>IFERROR(IF(OR(D249="",E249="",E249=0),"",(D249/60)/(E249/60)),"")</f>
        <v/>
      </c>
      <c r="G249" s="112">
        <f>IF(F249="","",IF(F249&gt;=0.75,"Cumple referencia","Bajo referencia"))</f>
        <v/>
      </c>
      <c r="J249" s="94" t="n"/>
      <c r="K249" s="95" t="n"/>
      <c r="L249" s="95" t="n"/>
      <c r="M249" s="96" t="n"/>
      <c r="N249" s="95" t="n"/>
    </row>
    <row r="250" ht="16" customHeight="1" s="151">
      <c r="A250" s="109">
        <f>IF(OR('Carga Web Cirugias'!A250="",'Carga Web Cirugias'!M250=""),"",_xludf.ISOWEEKNUM('Carga Web Cirugias'!A250))</f>
        <v/>
      </c>
      <c r="B250" s="117">
        <f>IF('Carga Web Cirugias'!A250="","",'Carga Web Cirugias'!A250)</f>
        <v/>
      </c>
      <c r="C250" s="109">
        <f>IF('Carga Web Cirugias'!M250="","",'Carga Web Cirugias'!M250)</f>
        <v/>
      </c>
      <c r="D250" s="111">
        <f>IFERROR(IF(OR(B250="",C250="",COUNTIFS($B$4:B250,B250,$C$4:C250,C250)&gt;1),"",(_xludf.AGGREGATE(14,6,MOD('Carga Web Cirugias'!$S$4:$S$500,1)/(('Carga Web Cirugias'!$A$4:$A$500=B250)*('Carga Web Cirugias'!$M$4:$M$500=C250)*('Carga Web Cirugias'!$R$4:$R$500&lt;&gt;"")*('Carga Web Cirugias'!$S$4:$S$500&lt;&gt;"")),1)-_xludf.AGGREGATE(15,6,MOD('Carga Web Cirugias'!$R$4:$R$500,1)/(('Carga Web Cirugias'!$A$4:$A$500=B250)*('Carga Web Cirugias'!$M$4:$M$500=C250)*('Carga Web Cirugias'!$R$4:$R$500&lt;&gt;"")*('Carga Web Cirugias'!$S$4:$S$500&lt;&gt;"")),1))*1440),"")</f>
        <v/>
      </c>
      <c r="E250" s="111">
        <f>IF(OR(B250="",C250="",D250=""),"",VLOOKUP(C250,'Horario Pabellones'!$A$4:$D$17,4,FALSE))</f>
        <v/>
      </c>
      <c r="F250" s="118">
        <f>IFERROR(IF(OR(D250="",E250="",E250=0),"",(D250/60)/(E250/60)),"")</f>
        <v/>
      </c>
      <c r="G250" s="109">
        <f>IF(F250="","",IF(F250&gt;=0.75,"Cumple referencia","Bajo referencia"))</f>
        <v/>
      </c>
      <c r="J250" s="94" t="n"/>
      <c r="K250" s="95" t="n"/>
      <c r="L250" s="95" t="n"/>
      <c r="M250" s="96" t="n"/>
      <c r="N250" s="95" t="n"/>
    </row>
    <row r="251" ht="16" customHeight="1" s="151">
      <c r="A251" s="112">
        <f>IF(OR('Carga Web Cirugias'!A251="",'Carga Web Cirugias'!M251=""),"",_xludf.ISOWEEKNUM('Carga Web Cirugias'!A251))</f>
        <v/>
      </c>
      <c r="B251" s="123">
        <f>IF('Carga Web Cirugias'!A251="","",'Carga Web Cirugias'!A251)</f>
        <v/>
      </c>
      <c r="C251" s="112">
        <f>IF('Carga Web Cirugias'!M251="","",'Carga Web Cirugias'!M251)</f>
        <v/>
      </c>
      <c r="D251" s="114">
        <f>IFERROR(IF(OR(B251="",C251="",COUNTIFS($B$4:B251,B251,$C$4:C251,C251)&gt;1),"",(_xludf.AGGREGATE(14,6,MOD('Carga Web Cirugias'!$S$4:$S$500,1)/(('Carga Web Cirugias'!$A$4:$A$500=B251)*('Carga Web Cirugias'!$M$4:$M$500=C251)*('Carga Web Cirugias'!$R$4:$R$500&lt;&gt;"")*('Carga Web Cirugias'!$S$4:$S$500&lt;&gt;"")),1)-_xludf.AGGREGATE(15,6,MOD('Carga Web Cirugias'!$R$4:$R$500,1)/(('Carga Web Cirugias'!$A$4:$A$500=B251)*('Carga Web Cirugias'!$M$4:$M$500=C251)*('Carga Web Cirugias'!$R$4:$R$500&lt;&gt;"")*('Carga Web Cirugias'!$S$4:$S$500&lt;&gt;"")),1))*1440),"")</f>
        <v/>
      </c>
      <c r="E251" s="114">
        <f>IF(OR(B251="",C251="",D251=""),"",VLOOKUP(C251,'Horario Pabellones'!$A$4:$D$17,4,FALSE))</f>
        <v/>
      </c>
      <c r="F251" s="124">
        <f>IFERROR(IF(OR(D251="",E251="",E251=0),"",(D251/60)/(E251/60)),"")</f>
        <v/>
      </c>
      <c r="G251" s="112">
        <f>IF(F251="","",IF(F251&gt;=0.75,"Cumple referencia","Bajo referencia"))</f>
        <v/>
      </c>
      <c r="J251" s="94" t="n"/>
      <c r="K251" s="95" t="n"/>
      <c r="L251" s="95" t="n"/>
      <c r="M251" s="96" t="n"/>
      <c r="N251" s="95" t="n"/>
    </row>
    <row r="252" ht="16" customHeight="1" s="151">
      <c r="A252" s="109">
        <f>IF(OR('Carga Web Cirugias'!A252="",'Carga Web Cirugias'!M252=""),"",_xludf.ISOWEEKNUM('Carga Web Cirugias'!A252))</f>
        <v/>
      </c>
      <c r="B252" s="117">
        <f>IF('Carga Web Cirugias'!A252="","",'Carga Web Cirugias'!A252)</f>
        <v/>
      </c>
      <c r="C252" s="109">
        <f>IF('Carga Web Cirugias'!M252="","",'Carga Web Cirugias'!M252)</f>
        <v/>
      </c>
      <c r="D252" s="111">
        <f>IFERROR(IF(OR(B252="",C252="",COUNTIFS($B$4:B252,B252,$C$4:C252,C252)&gt;1),"",(_xludf.AGGREGATE(14,6,MOD('Carga Web Cirugias'!$S$4:$S$500,1)/(('Carga Web Cirugias'!$A$4:$A$500=B252)*('Carga Web Cirugias'!$M$4:$M$500=C252)*('Carga Web Cirugias'!$R$4:$R$500&lt;&gt;"")*('Carga Web Cirugias'!$S$4:$S$500&lt;&gt;"")),1)-_xludf.AGGREGATE(15,6,MOD('Carga Web Cirugias'!$R$4:$R$500,1)/(('Carga Web Cirugias'!$A$4:$A$500=B252)*('Carga Web Cirugias'!$M$4:$M$500=C252)*('Carga Web Cirugias'!$R$4:$R$500&lt;&gt;"")*('Carga Web Cirugias'!$S$4:$S$500&lt;&gt;"")),1))*1440),"")</f>
        <v/>
      </c>
      <c r="E252" s="111">
        <f>IF(OR(B252="",C252="",D252=""),"",VLOOKUP(C252,'Horario Pabellones'!$A$4:$D$17,4,FALSE))</f>
        <v/>
      </c>
      <c r="F252" s="118">
        <f>IFERROR(IF(OR(D252="",E252="",E252=0),"",(D252/60)/(E252/60)),"")</f>
        <v/>
      </c>
      <c r="G252" s="109">
        <f>IF(F252="","",IF(F252&gt;=0.75,"Cumple referencia","Bajo referencia"))</f>
        <v/>
      </c>
      <c r="J252" s="94" t="n"/>
      <c r="K252" s="95" t="n"/>
      <c r="L252" s="95" t="n"/>
      <c r="M252" s="96" t="n"/>
      <c r="N252" s="95" t="n"/>
    </row>
    <row r="253" ht="16" customHeight="1" s="151">
      <c r="A253" s="112">
        <f>IF(OR('Carga Web Cirugias'!A253="",'Carga Web Cirugias'!M253=""),"",_xludf.ISOWEEKNUM('Carga Web Cirugias'!A253))</f>
        <v/>
      </c>
      <c r="B253" s="123">
        <f>IF('Carga Web Cirugias'!A253="","",'Carga Web Cirugias'!A253)</f>
        <v/>
      </c>
      <c r="C253" s="112">
        <f>IF('Carga Web Cirugias'!M253="","",'Carga Web Cirugias'!M253)</f>
        <v/>
      </c>
      <c r="D253" s="114">
        <f>IFERROR(IF(OR(B253="",C253="",COUNTIFS($B$4:B253,B253,$C$4:C253,C253)&gt;1),"",(_xludf.AGGREGATE(14,6,MOD('Carga Web Cirugias'!$S$4:$S$500,1)/(('Carga Web Cirugias'!$A$4:$A$500=B253)*('Carga Web Cirugias'!$M$4:$M$500=C253)*('Carga Web Cirugias'!$R$4:$R$500&lt;&gt;"")*('Carga Web Cirugias'!$S$4:$S$500&lt;&gt;"")),1)-_xludf.AGGREGATE(15,6,MOD('Carga Web Cirugias'!$R$4:$R$500,1)/(('Carga Web Cirugias'!$A$4:$A$500=B253)*('Carga Web Cirugias'!$M$4:$M$500=C253)*('Carga Web Cirugias'!$R$4:$R$500&lt;&gt;"")*('Carga Web Cirugias'!$S$4:$S$500&lt;&gt;"")),1))*1440),"")</f>
        <v/>
      </c>
      <c r="E253" s="114">
        <f>IF(OR(B253="",C253="",D253=""),"",VLOOKUP(C253,'Horario Pabellones'!$A$4:$D$17,4,FALSE))</f>
        <v/>
      </c>
      <c r="F253" s="124">
        <f>IFERROR(IF(OR(D253="",E253="",E253=0),"",(D253/60)/(E253/60)),"")</f>
        <v/>
      </c>
      <c r="G253" s="112">
        <f>IF(F253="","",IF(F253&gt;=0.75,"Cumple referencia","Bajo referencia"))</f>
        <v/>
      </c>
      <c r="J253" s="94" t="n"/>
      <c r="K253" s="95" t="n"/>
      <c r="L253" s="95" t="n"/>
      <c r="M253" s="96" t="n"/>
      <c r="N253" s="95" t="n"/>
    </row>
    <row r="254" ht="16" customHeight="1" s="151">
      <c r="A254" s="109">
        <f>IF(OR('Carga Web Cirugias'!A254="",'Carga Web Cirugias'!M254=""),"",_xludf.ISOWEEKNUM('Carga Web Cirugias'!A254))</f>
        <v/>
      </c>
      <c r="B254" s="117">
        <f>IF('Carga Web Cirugias'!A254="","",'Carga Web Cirugias'!A254)</f>
        <v/>
      </c>
      <c r="C254" s="109">
        <f>IF('Carga Web Cirugias'!M254="","",'Carga Web Cirugias'!M254)</f>
        <v/>
      </c>
      <c r="D254" s="111">
        <f>IFERROR(IF(OR(B254="",C254="",COUNTIFS($B$4:B254,B254,$C$4:C254,C254)&gt;1),"",(_xludf.AGGREGATE(14,6,MOD('Carga Web Cirugias'!$S$4:$S$500,1)/(('Carga Web Cirugias'!$A$4:$A$500=B254)*('Carga Web Cirugias'!$M$4:$M$500=C254)*('Carga Web Cirugias'!$R$4:$R$500&lt;&gt;"")*('Carga Web Cirugias'!$S$4:$S$500&lt;&gt;"")),1)-_xludf.AGGREGATE(15,6,MOD('Carga Web Cirugias'!$R$4:$R$500,1)/(('Carga Web Cirugias'!$A$4:$A$500=B254)*('Carga Web Cirugias'!$M$4:$M$500=C254)*('Carga Web Cirugias'!$R$4:$R$500&lt;&gt;"")*('Carga Web Cirugias'!$S$4:$S$500&lt;&gt;"")),1))*1440),"")</f>
        <v/>
      </c>
      <c r="E254" s="111">
        <f>IF(OR(B254="",C254="",D254=""),"",VLOOKUP(C254,'Horario Pabellones'!$A$4:$D$17,4,FALSE))</f>
        <v/>
      </c>
      <c r="F254" s="118">
        <f>IFERROR(IF(OR(D254="",E254="",E254=0),"",(D254/60)/(E254/60)),"")</f>
        <v/>
      </c>
      <c r="G254" s="109">
        <f>IF(F254="","",IF(F254&gt;=0.75,"Cumple referencia","Bajo referencia"))</f>
        <v/>
      </c>
      <c r="J254" s="94" t="n"/>
      <c r="K254" s="95" t="n"/>
      <c r="L254" s="95" t="n"/>
      <c r="M254" s="96" t="n"/>
      <c r="N254" s="95" t="n"/>
    </row>
    <row r="255" ht="16" customHeight="1" s="151">
      <c r="A255" s="112">
        <f>IF(OR('Carga Web Cirugias'!A255="",'Carga Web Cirugias'!M255=""),"",_xludf.ISOWEEKNUM('Carga Web Cirugias'!A255))</f>
        <v/>
      </c>
      <c r="B255" s="123">
        <f>IF('Carga Web Cirugias'!A255="","",'Carga Web Cirugias'!A255)</f>
        <v/>
      </c>
      <c r="C255" s="112">
        <f>IF('Carga Web Cirugias'!M255="","",'Carga Web Cirugias'!M255)</f>
        <v/>
      </c>
      <c r="D255" s="114">
        <f>IFERROR(IF(OR(B255="",C255="",COUNTIFS($B$4:B255,B255,$C$4:C255,C255)&gt;1),"",(_xludf.AGGREGATE(14,6,MOD('Carga Web Cirugias'!$S$4:$S$500,1)/(('Carga Web Cirugias'!$A$4:$A$500=B255)*('Carga Web Cirugias'!$M$4:$M$500=C255)*('Carga Web Cirugias'!$R$4:$R$500&lt;&gt;"")*('Carga Web Cirugias'!$S$4:$S$500&lt;&gt;"")),1)-_xludf.AGGREGATE(15,6,MOD('Carga Web Cirugias'!$R$4:$R$500,1)/(('Carga Web Cirugias'!$A$4:$A$500=B255)*('Carga Web Cirugias'!$M$4:$M$500=C255)*('Carga Web Cirugias'!$R$4:$R$500&lt;&gt;"")*('Carga Web Cirugias'!$S$4:$S$500&lt;&gt;"")),1))*1440),"")</f>
        <v/>
      </c>
      <c r="E255" s="114">
        <f>IF(OR(B255="",C255="",D255=""),"",VLOOKUP(C255,'Horario Pabellones'!$A$4:$D$17,4,FALSE))</f>
        <v/>
      </c>
      <c r="F255" s="124">
        <f>IFERROR(IF(OR(D255="",E255="",E255=0),"",(D255/60)/(E255/60)),"")</f>
        <v/>
      </c>
      <c r="G255" s="112">
        <f>IF(F255="","",IF(F255&gt;=0.75,"Cumple referencia","Bajo referencia"))</f>
        <v/>
      </c>
      <c r="J255" s="94" t="n"/>
      <c r="K255" s="95" t="n"/>
      <c r="L255" s="95" t="n"/>
      <c r="M255" s="96" t="n"/>
      <c r="N255" s="95" t="n"/>
    </row>
    <row r="256" ht="16" customHeight="1" s="151">
      <c r="A256" s="109">
        <f>IF(OR('Carga Web Cirugias'!A256="",'Carga Web Cirugias'!M256=""),"",_xludf.ISOWEEKNUM('Carga Web Cirugias'!A256))</f>
        <v/>
      </c>
      <c r="B256" s="117">
        <f>IF('Carga Web Cirugias'!A256="","",'Carga Web Cirugias'!A256)</f>
        <v/>
      </c>
      <c r="C256" s="109">
        <f>IF('Carga Web Cirugias'!M256="","",'Carga Web Cirugias'!M256)</f>
        <v/>
      </c>
      <c r="D256" s="111">
        <f>IFERROR(IF(OR(B256="",C256="",COUNTIFS($B$4:B256,B256,$C$4:C256,C256)&gt;1),"",(_xludf.AGGREGATE(14,6,MOD('Carga Web Cirugias'!$S$4:$S$500,1)/(('Carga Web Cirugias'!$A$4:$A$500=B256)*('Carga Web Cirugias'!$M$4:$M$500=C256)*('Carga Web Cirugias'!$R$4:$R$500&lt;&gt;"")*('Carga Web Cirugias'!$S$4:$S$500&lt;&gt;"")),1)-_xludf.AGGREGATE(15,6,MOD('Carga Web Cirugias'!$R$4:$R$500,1)/(('Carga Web Cirugias'!$A$4:$A$500=B256)*('Carga Web Cirugias'!$M$4:$M$500=C256)*('Carga Web Cirugias'!$R$4:$R$500&lt;&gt;"")*('Carga Web Cirugias'!$S$4:$S$500&lt;&gt;"")),1))*1440),"")</f>
        <v/>
      </c>
      <c r="E256" s="111">
        <f>IF(OR(B256="",C256="",D256=""),"",VLOOKUP(C256,'Horario Pabellones'!$A$4:$D$17,4,FALSE))</f>
        <v/>
      </c>
      <c r="F256" s="118">
        <f>IFERROR(IF(OR(D256="",E256="",E256=0),"",(D256/60)/(E256/60)),"")</f>
        <v/>
      </c>
      <c r="G256" s="109">
        <f>IF(F256="","",IF(F256&gt;=0.75,"Cumple referencia","Bajo referencia"))</f>
        <v/>
      </c>
      <c r="J256" s="94" t="n"/>
      <c r="K256" s="95" t="n"/>
      <c r="L256" s="95" t="n"/>
      <c r="M256" s="96" t="n"/>
      <c r="N256" s="95" t="n"/>
    </row>
    <row r="257" ht="16" customHeight="1" s="151">
      <c r="A257" s="112">
        <f>IF(OR('Carga Web Cirugias'!A257="",'Carga Web Cirugias'!M257=""),"",_xludf.ISOWEEKNUM('Carga Web Cirugias'!A257))</f>
        <v/>
      </c>
      <c r="B257" s="123">
        <f>IF('Carga Web Cirugias'!A257="","",'Carga Web Cirugias'!A257)</f>
        <v/>
      </c>
      <c r="C257" s="112">
        <f>IF('Carga Web Cirugias'!M257="","",'Carga Web Cirugias'!M257)</f>
        <v/>
      </c>
      <c r="D257" s="114">
        <f>IFERROR(IF(OR(B257="",C257="",COUNTIFS($B$4:B257,B257,$C$4:C257,C257)&gt;1),"",(_xludf.AGGREGATE(14,6,MOD('Carga Web Cirugias'!$S$4:$S$500,1)/(('Carga Web Cirugias'!$A$4:$A$500=B257)*('Carga Web Cirugias'!$M$4:$M$500=C257)*('Carga Web Cirugias'!$R$4:$R$500&lt;&gt;"")*('Carga Web Cirugias'!$S$4:$S$500&lt;&gt;"")),1)-_xludf.AGGREGATE(15,6,MOD('Carga Web Cirugias'!$R$4:$R$500,1)/(('Carga Web Cirugias'!$A$4:$A$500=B257)*('Carga Web Cirugias'!$M$4:$M$500=C257)*('Carga Web Cirugias'!$R$4:$R$500&lt;&gt;"")*('Carga Web Cirugias'!$S$4:$S$500&lt;&gt;"")),1))*1440),"")</f>
        <v/>
      </c>
      <c r="E257" s="114">
        <f>IF(OR(B257="",C257="",D257=""),"",VLOOKUP(C257,'Horario Pabellones'!$A$4:$D$17,4,FALSE))</f>
        <v/>
      </c>
      <c r="F257" s="124">
        <f>IFERROR(IF(OR(D257="",E257="",E257=0),"",(D257/60)/(E257/60)),"")</f>
        <v/>
      </c>
      <c r="G257" s="112">
        <f>IF(F257="","",IF(F257&gt;=0.75,"Cumple referencia","Bajo referencia"))</f>
        <v/>
      </c>
      <c r="J257" s="94" t="n"/>
      <c r="K257" s="95" t="n"/>
      <c r="L257" s="95" t="n"/>
      <c r="M257" s="96" t="n"/>
      <c r="N257" s="95" t="n"/>
    </row>
    <row r="258" ht="16" customHeight="1" s="151">
      <c r="A258" s="109">
        <f>IF(OR('Carga Web Cirugias'!A258="",'Carga Web Cirugias'!M258=""),"",_xludf.ISOWEEKNUM('Carga Web Cirugias'!A258))</f>
        <v/>
      </c>
      <c r="B258" s="117">
        <f>IF('Carga Web Cirugias'!A258="","",'Carga Web Cirugias'!A258)</f>
        <v/>
      </c>
      <c r="C258" s="109">
        <f>IF('Carga Web Cirugias'!M258="","",'Carga Web Cirugias'!M258)</f>
        <v/>
      </c>
      <c r="D258" s="111">
        <f>IFERROR(IF(OR(B258="",C258="",COUNTIFS($B$4:B258,B258,$C$4:C258,C258)&gt;1),"",(_xludf.AGGREGATE(14,6,MOD('Carga Web Cirugias'!$S$4:$S$500,1)/(('Carga Web Cirugias'!$A$4:$A$500=B258)*('Carga Web Cirugias'!$M$4:$M$500=C258)*('Carga Web Cirugias'!$R$4:$R$500&lt;&gt;"")*('Carga Web Cirugias'!$S$4:$S$500&lt;&gt;"")),1)-_xludf.AGGREGATE(15,6,MOD('Carga Web Cirugias'!$R$4:$R$500,1)/(('Carga Web Cirugias'!$A$4:$A$500=B258)*('Carga Web Cirugias'!$M$4:$M$500=C258)*('Carga Web Cirugias'!$R$4:$R$500&lt;&gt;"")*('Carga Web Cirugias'!$S$4:$S$500&lt;&gt;"")),1))*1440),"")</f>
        <v/>
      </c>
      <c r="E258" s="111">
        <f>IF(OR(B258="",C258="",D258=""),"",VLOOKUP(C258,'Horario Pabellones'!$A$4:$D$17,4,FALSE))</f>
        <v/>
      </c>
      <c r="F258" s="118">
        <f>IFERROR(IF(OR(D258="",E258="",E258=0),"",(D258/60)/(E258/60)),"")</f>
        <v/>
      </c>
      <c r="G258" s="109">
        <f>IF(F258="","",IF(F258&gt;=0.75,"Cumple referencia","Bajo referencia"))</f>
        <v/>
      </c>
      <c r="J258" s="94" t="n"/>
      <c r="K258" s="95" t="n"/>
      <c r="L258" s="95" t="n"/>
      <c r="M258" s="96" t="n"/>
      <c r="N258" s="95" t="n"/>
    </row>
    <row r="259" ht="16" customHeight="1" s="151">
      <c r="A259" s="112">
        <f>IF(OR('Carga Web Cirugias'!A259="",'Carga Web Cirugias'!M259=""),"",_xludf.ISOWEEKNUM('Carga Web Cirugias'!A259))</f>
        <v/>
      </c>
      <c r="B259" s="123">
        <f>IF('Carga Web Cirugias'!A259="","",'Carga Web Cirugias'!A259)</f>
        <v/>
      </c>
      <c r="C259" s="112">
        <f>IF('Carga Web Cirugias'!M259="","",'Carga Web Cirugias'!M259)</f>
        <v/>
      </c>
      <c r="D259" s="114">
        <f>IFERROR(IF(OR(B259="",C259="",COUNTIFS($B$4:B259,B259,$C$4:C259,C259)&gt;1),"",(_xludf.AGGREGATE(14,6,MOD('Carga Web Cirugias'!$S$4:$S$500,1)/(('Carga Web Cirugias'!$A$4:$A$500=B259)*('Carga Web Cirugias'!$M$4:$M$500=C259)*('Carga Web Cirugias'!$R$4:$R$500&lt;&gt;"")*('Carga Web Cirugias'!$S$4:$S$500&lt;&gt;"")),1)-_xludf.AGGREGATE(15,6,MOD('Carga Web Cirugias'!$R$4:$R$500,1)/(('Carga Web Cirugias'!$A$4:$A$500=B259)*('Carga Web Cirugias'!$M$4:$M$500=C259)*('Carga Web Cirugias'!$R$4:$R$500&lt;&gt;"")*('Carga Web Cirugias'!$S$4:$S$500&lt;&gt;"")),1))*1440),"")</f>
        <v/>
      </c>
      <c r="E259" s="114">
        <f>IF(OR(B259="",C259="",D259=""),"",VLOOKUP(C259,'Horario Pabellones'!$A$4:$D$17,4,FALSE))</f>
        <v/>
      </c>
      <c r="F259" s="124">
        <f>IFERROR(IF(OR(D259="",E259="",E259=0),"",(D259/60)/(E259/60)),"")</f>
        <v/>
      </c>
      <c r="G259" s="112">
        <f>IF(F259="","",IF(F259&gt;=0.75,"Cumple referencia","Bajo referencia"))</f>
        <v/>
      </c>
      <c r="J259" s="94" t="n"/>
      <c r="K259" s="95" t="n"/>
      <c r="L259" s="95" t="n"/>
      <c r="M259" s="96" t="n"/>
      <c r="N259" s="95" t="n"/>
    </row>
    <row r="260" ht="16" customHeight="1" s="151">
      <c r="A260" s="109">
        <f>IF(OR('Carga Web Cirugias'!A260="",'Carga Web Cirugias'!M260=""),"",_xludf.ISOWEEKNUM('Carga Web Cirugias'!A260))</f>
        <v/>
      </c>
      <c r="B260" s="117">
        <f>IF('Carga Web Cirugias'!A260="","",'Carga Web Cirugias'!A260)</f>
        <v/>
      </c>
      <c r="C260" s="109">
        <f>IF('Carga Web Cirugias'!M260="","",'Carga Web Cirugias'!M260)</f>
        <v/>
      </c>
      <c r="D260" s="111">
        <f>IFERROR(IF(OR(B260="",C260="",COUNTIFS($B$4:B260,B260,$C$4:C260,C260)&gt;1),"",(_xludf.AGGREGATE(14,6,MOD('Carga Web Cirugias'!$S$4:$S$500,1)/(('Carga Web Cirugias'!$A$4:$A$500=B260)*('Carga Web Cirugias'!$M$4:$M$500=C260)*('Carga Web Cirugias'!$R$4:$R$500&lt;&gt;"")*('Carga Web Cirugias'!$S$4:$S$500&lt;&gt;"")),1)-_xludf.AGGREGATE(15,6,MOD('Carga Web Cirugias'!$R$4:$R$500,1)/(('Carga Web Cirugias'!$A$4:$A$500=B260)*('Carga Web Cirugias'!$M$4:$M$500=C260)*('Carga Web Cirugias'!$R$4:$R$500&lt;&gt;"")*('Carga Web Cirugias'!$S$4:$S$500&lt;&gt;"")),1))*1440),"")</f>
        <v/>
      </c>
      <c r="E260" s="111">
        <f>IF(OR(B260="",C260="",D260=""),"",VLOOKUP(C260,'Horario Pabellones'!$A$4:$D$17,4,FALSE))</f>
        <v/>
      </c>
      <c r="F260" s="118">
        <f>IFERROR(IF(OR(D260="",E260="",E260=0),"",(D260/60)/(E260/60)),"")</f>
        <v/>
      </c>
      <c r="G260" s="109">
        <f>IF(F260="","",IF(F260&gt;=0.75,"Cumple referencia","Bajo referencia"))</f>
        <v/>
      </c>
      <c r="J260" s="94" t="n"/>
      <c r="K260" s="95" t="n"/>
      <c r="L260" s="95" t="n"/>
      <c r="M260" s="96" t="n"/>
      <c r="N260" s="95" t="n"/>
    </row>
    <row r="261" ht="16" customHeight="1" s="151">
      <c r="A261" s="112">
        <f>IF(OR('Carga Web Cirugias'!A261="",'Carga Web Cirugias'!M261=""),"",_xludf.ISOWEEKNUM('Carga Web Cirugias'!A261))</f>
        <v/>
      </c>
      <c r="B261" s="123">
        <f>IF('Carga Web Cirugias'!A261="","",'Carga Web Cirugias'!A261)</f>
        <v/>
      </c>
      <c r="C261" s="112">
        <f>IF('Carga Web Cirugias'!M261="","",'Carga Web Cirugias'!M261)</f>
        <v/>
      </c>
      <c r="D261" s="114">
        <f>IFERROR(IF(OR(B261="",C261="",COUNTIFS($B$4:B261,B261,$C$4:C261,C261)&gt;1),"",(_xludf.AGGREGATE(14,6,MOD('Carga Web Cirugias'!$S$4:$S$500,1)/(('Carga Web Cirugias'!$A$4:$A$500=B261)*('Carga Web Cirugias'!$M$4:$M$500=C261)*('Carga Web Cirugias'!$R$4:$R$500&lt;&gt;"")*('Carga Web Cirugias'!$S$4:$S$500&lt;&gt;"")),1)-_xludf.AGGREGATE(15,6,MOD('Carga Web Cirugias'!$R$4:$R$500,1)/(('Carga Web Cirugias'!$A$4:$A$500=B261)*('Carga Web Cirugias'!$M$4:$M$500=C261)*('Carga Web Cirugias'!$R$4:$R$500&lt;&gt;"")*('Carga Web Cirugias'!$S$4:$S$500&lt;&gt;"")),1))*1440),"")</f>
        <v/>
      </c>
      <c r="E261" s="114">
        <f>IF(OR(B261="",C261="",D261=""),"",VLOOKUP(C261,'Horario Pabellones'!$A$4:$D$17,4,FALSE))</f>
        <v/>
      </c>
      <c r="F261" s="124">
        <f>IFERROR(IF(OR(D261="",E261="",E261=0),"",(D261/60)/(E261/60)),"")</f>
        <v/>
      </c>
      <c r="G261" s="112">
        <f>IF(F261="","",IF(F261&gt;=0.75,"Cumple referencia","Bajo referencia"))</f>
        <v/>
      </c>
      <c r="J261" s="94" t="n"/>
      <c r="K261" s="95" t="n"/>
      <c r="L261" s="95" t="n"/>
      <c r="M261" s="96" t="n"/>
      <c r="N261" s="95" t="n"/>
    </row>
    <row r="262" ht="16" customHeight="1" s="151">
      <c r="A262" s="109">
        <f>IF(OR('Carga Web Cirugias'!A262="",'Carga Web Cirugias'!M262=""),"",_xludf.ISOWEEKNUM('Carga Web Cirugias'!A262))</f>
        <v/>
      </c>
      <c r="B262" s="117">
        <f>IF('Carga Web Cirugias'!A262="","",'Carga Web Cirugias'!A262)</f>
        <v/>
      </c>
      <c r="C262" s="109">
        <f>IF('Carga Web Cirugias'!M262="","",'Carga Web Cirugias'!M262)</f>
        <v/>
      </c>
      <c r="D262" s="111">
        <f>IFERROR(IF(OR(B262="",C262="",COUNTIFS($B$4:B262,B262,$C$4:C262,C262)&gt;1),"",(_xludf.AGGREGATE(14,6,MOD('Carga Web Cirugias'!$S$4:$S$500,1)/(('Carga Web Cirugias'!$A$4:$A$500=B262)*('Carga Web Cirugias'!$M$4:$M$500=C262)*('Carga Web Cirugias'!$R$4:$R$500&lt;&gt;"")*('Carga Web Cirugias'!$S$4:$S$500&lt;&gt;"")),1)-_xludf.AGGREGATE(15,6,MOD('Carga Web Cirugias'!$R$4:$R$500,1)/(('Carga Web Cirugias'!$A$4:$A$500=B262)*('Carga Web Cirugias'!$M$4:$M$500=C262)*('Carga Web Cirugias'!$R$4:$R$500&lt;&gt;"")*('Carga Web Cirugias'!$S$4:$S$500&lt;&gt;"")),1))*1440),"")</f>
        <v/>
      </c>
      <c r="E262" s="111">
        <f>IF(OR(B262="",C262="",D262=""),"",VLOOKUP(C262,'Horario Pabellones'!$A$4:$D$17,4,FALSE))</f>
        <v/>
      </c>
      <c r="F262" s="118">
        <f>IFERROR(IF(OR(D262="",E262="",E262=0),"",(D262/60)/(E262/60)),"")</f>
        <v/>
      </c>
      <c r="G262" s="109">
        <f>IF(F262="","",IF(F262&gt;=0.75,"Cumple referencia","Bajo referencia"))</f>
        <v/>
      </c>
      <c r="J262" s="94" t="n"/>
      <c r="K262" s="95" t="n"/>
      <c r="L262" s="95" t="n"/>
      <c r="M262" s="96" t="n"/>
      <c r="N262" s="95" t="n"/>
    </row>
    <row r="263" ht="16" customHeight="1" s="151">
      <c r="A263" s="112">
        <f>IF(OR('Carga Web Cirugias'!A263="",'Carga Web Cirugias'!M263=""),"",_xludf.ISOWEEKNUM('Carga Web Cirugias'!A263))</f>
        <v/>
      </c>
      <c r="B263" s="123">
        <f>IF('Carga Web Cirugias'!A263="","",'Carga Web Cirugias'!A263)</f>
        <v/>
      </c>
      <c r="C263" s="112">
        <f>IF('Carga Web Cirugias'!M263="","",'Carga Web Cirugias'!M263)</f>
        <v/>
      </c>
      <c r="D263" s="114">
        <f>IFERROR(IF(OR(B263="",C263="",COUNTIFS($B$4:B263,B263,$C$4:C263,C263)&gt;1),"",(_xludf.AGGREGATE(14,6,MOD('Carga Web Cirugias'!$S$4:$S$500,1)/(('Carga Web Cirugias'!$A$4:$A$500=B263)*('Carga Web Cirugias'!$M$4:$M$500=C263)*('Carga Web Cirugias'!$R$4:$R$500&lt;&gt;"")*('Carga Web Cirugias'!$S$4:$S$500&lt;&gt;"")),1)-_xludf.AGGREGATE(15,6,MOD('Carga Web Cirugias'!$R$4:$R$500,1)/(('Carga Web Cirugias'!$A$4:$A$500=B263)*('Carga Web Cirugias'!$M$4:$M$500=C263)*('Carga Web Cirugias'!$R$4:$R$500&lt;&gt;"")*('Carga Web Cirugias'!$S$4:$S$500&lt;&gt;"")),1))*1440),"")</f>
        <v/>
      </c>
      <c r="E263" s="114">
        <f>IF(OR(B263="",C263="",D263=""),"",VLOOKUP(C263,'Horario Pabellones'!$A$4:$D$17,4,FALSE))</f>
        <v/>
      </c>
      <c r="F263" s="124">
        <f>IFERROR(IF(OR(D263="",E263="",E263=0),"",(D263/60)/(E263/60)),"")</f>
        <v/>
      </c>
      <c r="G263" s="112">
        <f>IF(F263="","",IF(F263&gt;=0.75,"Cumple referencia","Bajo referencia"))</f>
        <v/>
      </c>
      <c r="J263" s="94" t="n"/>
      <c r="K263" s="95" t="n"/>
      <c r="L263" s="95" t="n"/>
      <c r="M263" s="96" t="n"/>
      <c r="N263" s="95" t="n"/>
    </row>
    <row r="264" ht="16" customHeight="1" s="151">
      <c r="A264" s="109">
        <f>IF(OR('Carga Web Cirugias'!A264="",'Carga Web Cirugias'!M264=""),"",_xludf.ISOWEEKNUM('Carga Web Cirugias'!A264))</f>
        <v/>
      </c>
      <c r="B264" s="117">
        <f>IF('Carga Web Cirugias'!A264="","",'Carga Web Cirugias'!A264)</f>
        <v/>
      </c>
      <c r="C264" s="109">
        <f>IF('Carga Web Cirugias'!M264="","",'Carga Web Cirugias'!M264)</f>
        <v/>
      </c>
      <c r="D264" s="111">
        <f>IFERROR(IF(OR(B264="",C264="",COUNTIFS($B$4:B264,B264,$C$4:C264,C264)&gt;1),"",(_xludf.AGGREGATE(14,6,MOD('Carga Web Cirugias'!$S$4:$S$500,1)/(('Carga Web Cirugias'!$A$4:$A$500=B264)*('Carga Web Cirugias'!$M$4:$M$500=C264)*('Carga Web Cirugias'!$R$4:$R$500&lt;&gt;"")*('Carga Web Cirugias'!$S$4:$S$500&lt;&gt;"")),1)-_xludf.AGGREGATE(15,6,MOD('Carga Web Cirugias'!$R$4:$R$500,1)/(('Carga Web Cirugias'!$A$4:$A$500=B264)*('Carga Web Cirugias'!$M$4:$M$500=C264)*('Carga Web Cirugias'!$R$4:$R$500&lt;&gt;"")*('Carga Web Cirugias'!$S$4:$S$500&lt;&gt;"")),1))*1440),"")</f>
        <v/>
      </c>
      <c r="E264" s="111">
        <f>IF(OR(B264="",C264="",D264=""),"",VLOOKUP(C264,'Horario Pabellones'!$A$4:$D$17,4,FALSE))</f>
        <v/>
      </c>
      <c r="F264" s="118">
        <f>IFERROR(IF(OR(D264="",E264="",E264=0),"",(D264/60)/(E264/60)),"")</f>
        <v/>
      </c>
      <c r="G264" s="109">
        <f>IF(F264="","",IF(F264&gt;=0.75,"Cumple referencia","Bajo referencia"))</f>
        <v/>
      </c>
      <c r="J264" s="94" t="n"/>
      <c r="K264" s="95" t="n"/>
      <c r="L264" s="95" t="n"/>
      <c r="M264" s="96" t="n"/>
      <c r="N264" s="95" t="n"/>
    </row>
    <row r="265" ht="16" customHeight="1" s="151">
      <c r="A265" s="112">
        <f>IF(OR('Carga Web Cirugias'!A265="",'Carga Web Cirugias'!M265=""),"",_xludf.ISOWEEKNUM('Carga Web Cirugias'!A265))</f>
        <v/>
      </c>
      <c r="B265" s="123">
        <f>IF('Carga Web Cirugias'!A265="","",'Carga Web Cirugias'!A265)</f>
        <v/>
      </c>
      <c r="C265" s="112">
        <f>IF('Carga Web Cirugias'!M265="","",'Carga Web Cirugias'!M265)</f>
        <v/>
      </c>
      <c r="D265" s="114">
        <f>IFERROR(IF(OR(B265="",C265="",COUNTIFS($B$4:B265,B265,$C$4:C265,C265)&gt;1),"",(_xludf.AGGREGATE(14,6,MOD('Carga Web Cirugias'!$S$4:$S$500,1)/(('Carga Web Cirugias'!$A$4:$A$500=B265)*('Carga Web Cirugias'!$M$4:$M$500=C265)*('Carga Web Cirugias'!$R$4:$R$500&lt;&gt;"")*('Carga Web Cirugias'!$S$4:$S$500&lt;&gt;"")),1)-_xludf.AGGREGATE(15,6,MOD('Carga Web Cirugias'!$R$4:$R$500,1)/(('Carga Web Cirugias'!$A$4:$A$500=B265)*('Carga Web Cirugias'!$M$4:$M$500=C265)*('Carga Web Cirugias'!$R$4:$R$500&lt;&gt;"")*('Carga Web Cirugias'!$S$4:$S$500&lt;&gt;"")),1))*1440),"")</f>
        <v/>
      </c>
      <c r="E265" s="114">
        <f>IF(OR(B265="",C265="",D265=""),"",VLOOKUP(C265,'Horario Pabellones'!$A$4:$D$17,4,FALSE))</f>
        <v/>
      </c>
      <c r="F265" s="124">
        <f>IFERROR(IF(OR(D265="",E265="",E265=0),"",(D265/60)/(E265/60)),"")</f>
        <v/>
      </c>
      <c r="G265" s="112">
        <f>IF(F265="","",IF(F265&gt;=0.75,"Cumple referencia","Bajo referencia"))</f>
        <v/>
      </c>
      <c r="J265" s="94" t="n"/>
      <c r="K265" s="95" t="n"/>
      <c r="L265" s="95" t="n"/>
      <c r="M265" s="96" t="n"/>
      <c r="N265" s="95" t="n"/>
    </row>
    <row r="266" ht="16" customHeight="1" s="151">
      <c r="A266" s="109">
        <f>IF(OR('Carga Web Cirugias'!A266="",'Carga Web Cirugias'!M266=""),"",_xludf.ISOWEEKNUM('Carga Web Cirugias'!A266))</f>
        <v/>
      </c>
      <c r="B266" s="117">
        <f>IF('Carga Web Cirugias'!A266="","",'Carga Web Cirugias'!A266)</f>
        <v/>
      </c>
      <c r="C266" s="109">
        <f>IF('Carga Web Cirugias'!M266="","",'Carga Web Cirugias'!M266)</f>
        <v/>
      </c>
      <c r="D266" s="111">
        <f>IFERROR(IF(OR(B266="",C266="",COUNTIFS($B$4:B266,B266,$C$4:C266,C266)&gt;1),"",(_xludf.AGGREGATE(14,6,MOD('Carga Web Cirugias'!$S$4:$S$500,1)/(('Carga Web Cirugias'!$A$4:$A$500=B266)*('Carga Web Cirugias'!$M$4:$M$500=C266)*('Carga Web Cirugias'!$R$4:$R$500&lt;&gt;"")*('Carga Web Cirugias'!$S$4:$S$500&lt;&gt;"")),1)-_xludf.AGGREGATE(15,6,MOD('Carga Web Cirugias'!$R$4:$R$500,1)/(('Carga Web Cirugias'!$A$4:$A$500=B266)*('Carga Web Cirugias'!$M$4:$M$500=C266)*('Carga Web Cirugias'!$R$4:$R$500&lt;&gt;"")*('Carga Web Cirugias'!$S$4:$S$500&lt;&gt;"")),1))*1440),"")</f>
        <v/>
      </c>
      <c r="E266" s="111">
        <f>IF(OR(B266="",C266="",D266=""),"",VLOOKUP(C266,'Horario Pabellones'!$A$4:$D$17,4,FALSE))</f>
        <v/>
      </c>
      <c r="F266" s="118">
        <f>IFERROR(IF(OR(D266="",E266="",E266=0),"",(D266/60)/(E266/60)),"")</f>
        <v/>
      </c>
      <c r="G266" s="109">
        <f>IF(F266="","",IF(F266&gt;=0.75,"Cumple referencia","Bajo referencia"))</f>
        <v/>
      </c>
      <c r="J266" s="94" t="n"/>
      <c r="K266" s="95" t="n"/>
      <c r="L266" s="95" t="n"/>
      <c r="M266" s="96" t="n"/>
      <c r="N266" s="95" t="n"/>
    </row>
    <row r="267" ht="16" customHeight="1" s="151">
      <c r="A267" s="112">
        <f>IF(OR('Carga Web Cirugias'!A267="",'Carga Web Cirugias'!M267=""),"",_xludf.ISOWEEKNUM('Carga Web Cirugias'!A267))</f>
        <v/>
      </c>
      <c r="B267" s="123">
        <f>IF('Carga Web Cirugias'!A267="","",'Carga Web Cirugias'!A267)</f>
        <v/>
      </c>
      <c r="C267" s="112">
        <f>IF('Carga Web Cirugias'!M267="","",'Carga Web Cirugias'!M267)</f>
        <v/>
      </c>
      <c r="D267" s="114">
        <f>IFERROR(IF(OR(B267="",C267="",COUNTIFS($B$4:B267,B267,$C$4:C267,C267)&gt;1),"",(_xludf.AGGREGATE(14,6,MOD('Carga Web Cirugias'!$S$4:$S$500,1)/(('Carga Web Cirugias'!$A$4:$A$500=B267)*('Carga Web Cirugias'!$M$4:$M$500=C267)*('Carga Web Cirugias'!$R$4:$R$500&lt;&gt;"")*('Carga Web Cirugias'!$S$4:$S$500&lt;&gt;"")),1)-_xludf.AGGREGATE(15,6,MOD('Carga Web Cirugias'!$R$4:$R$500,1)/(('Carga Web Cirugias'!$A$4:$A$500=B267)*('Carga Web Cirugias'!$M$4:$M$500=C267)*('Carga Web Cirugias'!$R$4:$R$500&lt;&gt;"")*('Carga Web Cirugias'!$S$4:$S$500&lt;&gt;"")),1))*1440),"")</f>
        <v/>
      </c>
      <c r="E267" s="114">
        <f>IF(OR(B267="",C267="",D267=""),"",VLOOKUP(C267,'Horario Pabellones'!$A$4:$D$17,4,FALSE))</f>
        <v/>
      </c>
      <c r="F267" s="124">
        <f>IFERROR(IF(OR(D267="",E267="",E267=0),"",(D267/60)/(E267/60)),"")</f>
        <v/>
      </c>
      <c r="G267" s="112">
        <f>IF(F267="","",IF(F267&gt;=0.75,"Cumple referencia","Bajo referencia"))</f>
        <v/>
      </c>
      <c r="J267" s="94" t="n"/>
      <c r="K267" s="95" t="n"/>
      <c r="L267" s="95" t="n"/>
      <c r="M267" s="96" t="n"/>
      <c r="N267" s="95" t="n"/>
    </row>
    <row r="268" ht="16" customHeight="1" s="151">
      <c r="A268" s="109">
        <f>IF(OR('Carga Web Cirugias'!A268="",'Carga Web Cirugias'!M268=""),"",_xludf.ISOWEEKNUM('Carga Web Cirugias'!A268))</f>
        <v/>
      </c>
      <c r="B268" s="117">
        <f>IF('Carga Web Cirugias'!A268="","",'Carga Web Cirugias'!A268)</f>
        <v/>
      </c>
      <c r="C268" s="109">
        <f>IF('Carga Web Cirugias'!M268="","",'Carga Web Cirugias'!M268)</f>
        <v/>
      </c>
      <c r="D268" s="111">
        <f>IFERROR(IF(OR(B268="",C268="",COUNTIFS($B$4:B268,B268,$C$4:C268,C268)&gt;1),"",(_xludf.AGGREGATE(14,6,MOD('Carga Web Cirugias'!$S$4:$S$500,1)/(('Carga Web Cirugias'!$A$4:$A$500=B268)*('Carga Web Cirugias'!$M$4:$M$500=C268)*('Carga Web Cirugias'!$R$4:$R$500&lt;&gt;"")*('Carga Web Cirugias'!$S$4:$S$500&lt;&gt;"")),1)-_xludf.AGGREGATE(15,6,MOD('Carga Web Cirugias'!$R$4:$R$500,1)/(('Carga Web Cirugias'!$A$4:$A$500=B268)*('Carga Web Cirugias'!$M$4:$M$500=C268)*('Carga Web Cirugias'!$R$4:$R$500&lt;&gt;"")*('Carga Web Cirugias'!$S$4:$S$500&lt;&gt;"")),1))*1440),"")</f>
        <v/>
      </c>
      <c r="E268" s="111">
        <f>IF(OR(B268="",C268="",D268=""),"",VLOOKUP(C268,'Horario Pabellones'!$A$4:$D$17,4,FALSE))</f>
        <v/>
      </c>
      <c r="F268" s="118">
        <f>IFERROR(IF(OR(D268="",E268="",E268=0),"",(D268/60)/(E268/60)),"")</f>
        <v/>
      </c>
      <c r="G268" s="109">
        <f>IF(F268="","",IF(F268&gt;=0.75,"Cumple referencia","Bajo referencia"))</f>
        <v/>
      </c>
      <c r="J268" s="94" t="n"/>
      <c r="K268" s="95" t="n"/>
      <c r="L268" s="95" t="n"/>
      <c r="M268" s="96" t="n"/>
      <c r="N268" s="95" t="n"/>
    </row>
    <row r="269" ht="16" customHeight="1" s="151">
      <c r="A269" s="112">
        <f>IF(OR('Carga Web Cirugias'!A269="",'Carga Web Cirugias'!M269=""),"",_xludf.ISOWEEKNUM('Carga Web Cirugias'!A269))</f>
        <v/>
      </c>
      <c r="B269" s="123">
        <f>IF('Carga Web Cirugias'!A269="","",'Carga Web Cirugias'!A269)</f>
        <v/>
      </c>
      <c r="C269" s="112">
        <f>IF('Carga Web Cirugias'!M269="","",'Carga Web Cirugias'!M269)</f>
        <v/>
      </c>
      <c r="D269" s="114">
        <f>IFERROR(IF(OR(B269="",C269="",COUNTIFS($B$4:B269,B269,$C$4:C269,C269)&gt;1),"",(_xludf.AGGREGATE(14,6,MOD('Carga Web Cirugias'!$S$4:$S$500,1)/(('Carga Web Cirugias'!$A$4:$A$500=B269)*('Carga Web Cirugias'!$M$4:$M$500=C269)*('Carga Web Cirugias'!$R$4:$R$500&lt;&gt;"")*('Carga Web Cirugias'!$S$4:$S$500&lt;&gt;"")),1)-_xludf.AGGREGATE(15,6,MOD('Carga Web Cirugias'!$R$4:$R$500,1)/(('Carga Web Cirugias'!$A$4:$A$500=B269)*('Carga Web Cirugias'!$M$4:$M$500=C269)*('Carga Web Cirugias'!$R$4:$R$500&lt;&gt;"")*('Carga Web Cirugias'!$S$4:$S$500&lt;&gt;"")),1))*1440),"")</f>
        <v/>
      </c>
      <c r="E269" s="114">
        <f>IF(OR(B269="",C269="",D269=""),"",VLOOKUP(C269,'Horario Pabellones'!$A$4:$D$17,4,FALSE))</f>
        <v/>
      </c>
      <c r="F269" s="124">
        <f>IFERROR(IF(OR(D269="",E269="",E269=0),"",(D269/60)/(E269/60)),"")</f>
        <v/>
      </c>
      <c r="G269" s="112">
        <f>IF(F269="","",IF(F269&gt;=0.75,"Cumple referencia","Bajo referencia"))</f>
        <v/>
      </c>
      <c r="J269" s="94" t="n"/>
      <c r="K269" s="95" t="n"/>
      <c r="L269" s="95" t="n"/>
      <c r="M269" s="96" t="n"/>
      <c r="N269" s="95" t="n"/>
    </row>
    <row r="270" ht="16" customHeight="1" s="151">
      <c r="A270" s="109">
        <f>IF(OR('Carga Web Cirugias'!A270="",'Carga Web Cirugias'!M270=""),"",_xludf.ISOWEEKNUM('Carga Web Cirugias'!A270))</f>
        <v/>
      </c>
      <c r="B270" s="117">
        <f>IF('Carga Web Cirugias'!A270="","",'Carga Web Cirugias'!A270)</f>
        <v/>
      </c>
      <c r="C270" s="109">
        <f>IF('Carga Web Cirugias'!M270="","",'Carga Web Cirugias'!M270)</f>
        <v/>
      </c>
      <c r="D270" s="111">
        <f>IFERROR(IF(OR(B270="",C270="",COUNTIFS($B$4:B270,B270,$C$4:C270,C270)&gt;1),"",(_xludf.AGGREGATE(14,6,MOD('Carga Web Cirugias'!$S$4:$S$500,1)/(('Carga Web Cirugias'!$A$4:$A$500=B270)*('Carga Web Cirugias'!$M$4:$M$500=C270)*('Carga Web Cirugias'!$R$4:$R$500&lt;&gt;"")*('Carga Web Cirugias'!$S$4:$S$500&lt;&gt;"")),1)-_xludf.AGGREGATE(15,6,MOD('Carga Web Cirugias'!$R$4:$R$500,1)/(('Carga Web Cirugias'!$A$4:$A$500=B270)*('Carga Web Cirugias'!$M$4:$M$500=C270)*('Carga Web Cirugias'!$R$4:$R$500&lt;&gt;"")*('Carga Web Cirugias'!$S$4:$S$500&lt;&gt;"")),1))*1440),"")</f>
        <v/>
      </c>
      <c r="E270" s="111">
        <f>IF(OR(B270="",C270="",D270=""),"",VLOOKUP(C270,'Horario Pabellones'!$A$4:$D$17,4,FALSE))</f>
        <v/>
      </c>
      <c r="F270" s="118">
        <f>IFERROR(IF(OR(D270="",E270="",E270=0),"",(D270/60)/(E270/60)),"")</f>
        <v/>
      </c>
      <c r="G270" s="109">
        <f>IF(F270="","",IF(F270&gt;=0.75,"Cumple referencia","Bajo referencia"))</f>
        <v/>
      </c>
      <c r="J270" s="94" t="n"/>
      <c r="K270" s="95" t="n"/>
      <c r="L270" s="95" t="n"/>
      <c r="M270" s="96" t="n"/>
      <c r="N270" s="95" t="n"/>
    </row>
    <row r="271" ht="16" customHeight="1" s="151">
      <c r="A271" s="112">
        <f>IF(OR('Carga Web Cirugias'!A271="",'Carga Web Cirugias'!M271=""),"",_xludf.ISOWEEKNUM('Carga Web Cirugias'!A271))</f>
        <v/>
      </c>
      <c r="B271" s="123">
        <f>IF('Carga Web Cirugias'!A271="","",'Carga Web Cirugias'!A271)</f>
        <v/>
      </c>
      <c r="C271" s="112">
        <f>IF('Carga Web Cirugias'!M271="","",'Carga Web Cirugias'!M271)</f>
        <v/>
      </c>
      <c r="D271" s="114">
        <f>IFERROR(IF(OR(B271="",C271="",COUNTIFS($B$4:B271,B271,$C$4:C271,C271)&gt;1),"",(_xludf.AGGREGATE(14,6,MOD('Carga Web Cirugias'!$S$4:$S$500,1)/(('Carga Web Cirugias'!$A$4:$A$500=B271)*('Carga Web Cirugias'!$M$4:$M$500=C271)*('Carga Web Cirugias'!$R$4:$R$500&lt;&gt;"")*('Carga Web Cirugias'!$S$4:$S$500&lt;&gt;"")),1)-_xludf.AGGREGATE(15,6,MOD('Carga Web Cirugias'!$R$4:$R$500,1)/(('Carga Web Cirugias'!$A$4:$A$500=B271)*('Carga Web Cirugias'!$M$4:$M$500=C271)*('Carga Web Cirugias'!$R$4:$R$500&lt;&gt;"")*('Carga Web Cirugias'!$S$4:$S$500&lt;&gt;"")),1))*1440),"")</f>
        <v/>
      </c>
      <c r="E271" s="114">
        <f>IF(OR(B271="",C271="",D271=""),"",VLOOKUP(C271,'Horario Pabellones'!$A$4:$D$17,4,FALSE))</f>
        <v/>
      </c>
      <c r="F271" s="124">
        <f>IFERROR(IF(OR(D271="",E271="",E271=0),"",(D271/60)/(E271/60)),"")</f>
        <v/>
      </c>
      <c r="G271" s="112">
        <f>IF(F271="","",IF(F271&gt;=0.75,"Cumple referencia","Bajo referencia"))</f>
        <v/>
      </c>
      <c r="J271" s="94" t="n"/>
      <c r="K271" s="95" t="n"/>
      <c r="L271" s="95" t="n"/>
      <c r="M271" s="96" t="n"/>
      <c r="N271" s="95" t="n"/>
    </row>
    <row r="272" ht="16" customHeight="1" s="151">
      <c r="A272" s="109">
        <f>IF(OR('Carga Web Cirugias'!A272="",'Carga Web Cirugias'!M272=""),"",_xludf.ISOWEEKNUM('Carga Web Cirugias'!A272))</f>
        <v/>
      </c>
      <c r="B272" s="117">
        <f>IF('Carga Web Cirugias'!A272="","",'Carga Web Cirugias'!A272)</f>
        <v/>
      </c>
      <c r="C272" s="109">
        <f>IF('Carga Web Cirugias'!M272="","",'Carga Web Cirugias'!M272)</f>
        <v/>
      </c>
      <c r="D272" s="111">
        <f>IFERROR(IF(OR(B272="",C272="",COUNTIFS($B$4:B272,B272,$C$4:C272,C272)&gt;1),"",(_xludf.AGGREGATE(14,6,MOD('Carga Web Cirugias'!$S$4:$S$500,1)/(('Carga Web Cirugias'!$A$4:$A$500=B272)*('Carga Web Cirugias'!$M$4:$M$500=C272)*('Carga Web Cirugias'!$R$4:$R$500&lt;&gt;"")*('Carga Web Cirugias'!$S$4:$S$500&lt;&gt;"")),1)-_xludf.AGGREGATE(15,6,MOD('Carga Web Cirugias'!$R$4:$R$500,1)/(('Carga Web Cirugias'!$A$4:$A$500=B272)*('Carga Web Cirugias'!$M$4:$M$500=C272)*('Carga Web Cirugias'!$R$4:$R$500&lt;&gt;"")*('Carga Web Cirugias'!$S$4:$S$500&lt;&gt;"")),1))*1440),"")</f>
        <v/>
      </c>
      <c r="E272" s="111">
        <f>IF(OR(B272="",C272="",D272=""),"",VLOOKUP(C272,'Horario Pabellones'!$A$4:$D$17,4,FALSE))</f>
        <v/>
      </c>
      <c r="F272" s="118">
        <f>IFERROR(IF(OR(D272="",E272="",E272=0),"",(D272/60)/(E272/60)),"")</f>
        <v/>
      </c>
      <c r="G272" s="109">
        <f>IF(F272="","",IF(F272&gt;=0.75,"Cumple referencia","Bajo referencia"))</f>
        <v/>
      </c>
      <c r="J272" s="94" t="n"/>
      <c r="K272" s="95" t="n"/>
      <c r="L272" s="95" t="n"/>
      <c r="M272" s="96" t="n"/>
      <c r="N272" s="95" t="n"/>
    </row>
    <row r="273" ht="16" customHeight="1" s="151">
      <c r="A273" s="112">
        <f>IF(OR('Carga Web Cirugias'!A273="",'Carga Web Cirugias'!M273=""),"",_xludf.ISOWEEKNUM('Carga Web Cirugias'!A273))</f>
        <v/>
      </c>
      <c r="B273" s="123">
        <f>IF('Carga Web Cirugias'!A273="","",'Carga Web Cirugias'!A273)</f>
        <v/>
      </c>
      <c r="C273" s="112">
        <f>IF('Carga Web Cirugias'!M273="","",'Carga Web Cirugias'!M273)</f>
        <v/>
      </c>
      <c r="D273" s="114">
        <f>IFERROR(IF(OR(B273="",C273="",COUNTIFS($B$4:B273,B273,$C$4:C273,C273)&gt;1),"",(_xludf.AGGREGATE(14,6,MOD('Carga Web Cirugias'!$S$4:$S$500,1)/(('Carga Web Cirugias'!$A$4:$A$500=B273)*('Carga Web Cirugias'!$M$4:$M$500=C273)*('Carga Web Cirugias'!$R$4:$R$500&lt;&gt;"")*('Carga Web Cirugias'!$S$4:$S$500&lt;&gt;"")),1)-_xludf.AGGREGATE(15,6,MOD('Carga Web Cirugias'!$R$4:$R$500,1)/(('Carga Web Cirugias'!$A$4:$A$500=B273)*('Carga Web Cirugias'!$M$4:$M$500=C273)*('Carga Web Cirugias'!$R$4:$R$500&lt;&gt;"")*('Carga Web Cirugias'!$S$4:$S$500&lt;&gt;"")),1))*1440),"")</f>
        <v/>
      </c>
      <c r="E273" s="114">
        <f>IF(OR(B273="",C273="",D273=""),"",VLOOKUP(C273,'Horario Pabellones'!$A$4:$D$17,4,FALSE))</f>
        <v/>
      </c>
      <c r="F273" s="124">
        <f>IFERROR(IF(OR(D273="",E273="",E273=0),"",(D273/60)/(E273/60)),"")</f>
        <v/>
      </c>
      <c r="G273" s="112">
        <f>IF(F273="","",IF(F273&gt;=0.75,"Cumple referencia","Bajo referencia"))</f>
        <v/>
      </c>
      <c r="J273" s="94" t="n"/>
      <c r="K273" s="95" t="n"/>
      <c r="L273" s="95" t="n"/>
      <c r="M273" s="96" t="n"/>
      <c r="N273" s="95" t="n"/>
    </row>
    <row r="274" ht="16" customHeight="1" s="151">
      <c r="A274" s="109">
        <f>IF(OR('Carga Web Cirugias'!A274="",'Carga Web Cirugias'!M274=""),"",_xludf.ISOWEEKNUM('Carga Web Cirugias'!A274))</f>
        <v/>
      </c>
      <c r="B274" s="117">
        <f>IF('Carga Web Cirugias'!A274="","",'Carga Web Cirugias'!A274)</f>
        <v/>
      </c>
      <c r="C274" s="109">
        <f>IF('Carga Web Cirugias'!M274="","",'Carga Web Cirugias'!M274)</f>
        <v/>
      </c>
      <c r="D274" s="111">
        <f>IFERROR(IF(OR(B274="",C274="",COUNTIFS($B$4:B274,B274,$C$4:C274,C274)&gt;1),"",(_xludf.AGGREGATE(14,6,MOD('Carga Web Cirugias'!$S$4:$S$500,1)/(('Carga Web Cirugias'!$A$4:$A$500=B274)*('Carga Web Cirugias'!$M$4:$M$500=C274)*('Carga Web Cirugias'!$R$4:$R$500&lt;&gt;"")*('Carga Web Cirugias'!$S$4:$S$500&lt;&gt;"")),1)-_xludf.AGGREGATE(15,6,MOD('Carga Web Cirugias'!$R$4:$R$500,1)/(('Carga Web Cirugias'!$A$4:$A$500=B274)*('Carga Web Cirugias'!$M$4:$M$500=C274)*('Carga Web Cirugias'!$R$4:$R$500&lt;&gt;"")*('Carga Web Cirugias'!$S$4:$S$500&lt;&gt;"")),1))*1440),"")</f>
        <v/>
      </c>
      <c r="E274" s="111">
        <f>IF(OR(B274="",C274="",D274=""),"",VLOOKUP(C274,'Horario Pabellones'!$A$4:$D$17,4,FALSE))</f>
        <v/>
      </c>
      <c r="F274" s="118">
        <f>IFERROR(IF(OR(D274="",E274="",E274=0),"",(D274/60)/(E274/60)),"")</f>
        <v/>
      </c>
      <c r="G274" s="109">
        <f>IF(F274="","",IF(F274&gt;=0.75,"Cumple referencia","Bajo referencia"))</f>
        <v/>
      </c>
      <c r="J274" s="94" t="n"/>
      <c r="K274" s="95" t="n"/>
      <c r="L274" s="95" t="n"/>
      <c r="M274" s="96" t="n"/>
      <c r="N274" s="95" t="n"/>
    </row>
    <row r="275" ht="16" customHeight="1" s="151">
      <c r="A275" s="112">
        <f>IF(OR('Carga Web Cirugias'!A275="",'Carga Web Cirugias'!M275=""),"",_xludf.ISOWEEKNUM('Carga Web Cirugias'!A275))</f>
        <v/>
      </c>
      <c r="B275" s="123">
        <f>IF('Carga Web Cirugias'!A275="","",'Carga Web Cirugias'!A275)</f>
        <v/>
      </c>
      <c r="C275" s="112">
        <f>IF('Carga Web Cirugias'!M275="","",'Carga Web Cirugias'!M275)</f>
        <v/>
      </c>
      <c r="D275" s="114">
        <f>IFERROR(IF(OR(B275="",C275="",COUNTIFS($B$4:B275,B275,$C$4:C275,C275)&gt;1),"",(_xludf.AGGREGATE(14,6,MOD('Carga Web Cirugias'!$S$4:$S$500,1)/(('Carga Web Cirugias'!$A$4:$A$500=B275)*('Carga Web Cirugias'!$M$4:$M$500=C275)*('Carga Web Cirugias'!$R$4:$R$500&lt;&gt;"")*('Carga Web Cirugias'!$S$4:$S$500&lt;&gt;"")),1)-_xludf.AGGREGATE(15,6,MOD('Carga Web Cirugias'!$R$4:$R$500,1)/(('Carga Web Cirugias'!$A$4:$A$500=B275)*('Carga Web Cirugias'!$M$4:$M$500=C275)*('Carga Web Cirugias'!$R$4:$R$500&lt;&gt;"")*('Carga Web Cirugias'!$S$4:$S$500&lt;&gt;"")),1))*1440),"")</f>
        <v/>
      </c>
      <c r="E275" s="114">
        <f>IF(OR(B275="",C275="",D275=""),"",VLOOKUP(C275,'Horario Pabellones'!$A$4:$D$17,4,FALSE))</f>
        <v/>
      </c>
      <c r="F275" s="124">
        <f>IFERROR(IF(OR(D275="",E275="",E275=0),"",(D275/60)/(E275/60)),"")</f>
        <v/>
      </c>
      <c r="G275" s="112">
        <f>IF(F275="","",IF(F275&gt;=0.75,"Cumple referencia","Bajo referencia"))</f>
        <v/>
      </c>
      <c r="J275" s="94" t="n"/>
      <c r="K275" s="95" t="n"/>
      <c r="L275" s="95" t="n"/>
      <c r="M275" s="96" t="n"/>
      <c r="N275" s="95" t="n"/>
    </row>
    <row r="276" ht="16" customHeight="1" s="151">
      <c r="A276" s="109">
        <f>IF(OR('Carga Web Cirugias'!A276="",'Carga Web Cirugias'!M276=""),"",_xludf.ISOWEEKNUM('Carga Web Cirugias'!A276))</f>
        <v/>
      </c>
      <c r="B276" s="117">
        <f>IF('Carga Web Cirugias'!A276="","",'Carga Web Cirugias'!A276)</f>
        <v/>
      </c>
      <c r="C276" s="109">
        <f>IF('Carga Web Cirugias'!M276="","",'Carga Web Cirugias'!M276)</f>
        <v/>
      </c>
      <c r="D276" s="111">
        <f>IFERROR(IF(OR(B276="",C276="",COUNTIFS($B$4:B276,B276,$C$4:C276,C276)&gt;1),"",(_xludf.AGGREGATE(14,6,MOD('Carga Web Cirugias'!$S$4:$S$500,1)/(('Carga Web Cirugias'!$A$4:$A$500=B276)*('Carga Web Cirugias'!$M$4:$M$500=C276)*('Carga Web Cirugias'!$R$4:$R$500&lt;&gt;"")*('Carga Web Cirugias'!$S$4:$S$500&lt;&gt;"")),1)-_xludf.AGGREGATE(15,6,MOD('Carga Web Cirugias'!$R$4:$R$500,1)/(('Carga Web Cirugias'!$A$4:$A$500=B276)*('Carga Web Cirugias'!$M$4:$M$500=C276)*('Carga Web Cirugias'!$R$4:$R$500&lt;&gt;"")*('Carga Web Cirugias'!$S$4:$S$500&lt;&gt;"")),1))*1440),"")</f>
        <v/>
      </c>
      <c r="E276" s="111">
        <f>IF(OR(B276="",C276="",D276=""),"",VLOOKUP(C276,'Horario Pabellones'!$A$4:$D$17,4,FALSE))</f>
        <v/>
      </c>
      <c r="F276" s="118">
        <f>IFERROR(IF(OR(D276="",E276="",E276=0),"",(D276/60)/(E276/60)),"")</f>
        <v/>
      </c>
      <c r="G276" s="109">
        <f>IF(F276="","",IF(F276&gt;=0.75,"Cumple referencia","Bajo referencia"))</f>
        <v/>
      </c>
      <c r="J276" s="94" t="n"/>
      <c r="K276" s="95" t="n"/>
      <c r="L276" s="95" t="n"/>
      <c r="M276" s="96" t="n"/>
      <c r="N276" s="95" t="n"/>
    </row>
    <row r="277" ht="16" customHeight="1" s="151">
      <c r="A277" s="112">
        <f>IF(OR('Carga Web Cirugias'!A277="",'Carga Web Cirugias'!M277=""),"",_xludf.ISOWEEKNUM('Carga Web Cirugias'!A277))</f>
        <v/>
      </c>
      <c r="B277" s="123">
        <f>IF('Carga Web Cirugias'!A277="","",'Carga Web Cirugias'!A277)</f>
        <v/>
      </c>
      <c r="C277" s="112">
        <f>IF('Carga Web Cirugias'!M277="","",'Carga Web Cirugias'!M277)</f>
        <v/>
      </c>
      <c r="D277" s="114">
        <f>IFERROR(IF(OR(B277="",C277="",COUNTIFS($B$4:B277,B277,$C$4:C277,C277)&gt;1),"",(_xludf.AGGREGATE(14,6,MOD('Carga Web Cirugias'!$S$4:$S$500,1)/(('Carga Web Cirugias'!$A$4:$A$500=B277)*('Carga Web Cirugias'!$M$4:$M$500=C277)*('Carga Web Cirugias'!$R$4:$R$500&lt;&gt;"")*('Carga Web Cirugias'!$S$4:$S$500&lt;&gt;"")),1)-_xludf.AGGREGATE(15,6,MOD('Carga Web Cirugias'!$R$4:$R$500,1)/(('Carga Web Cirugias'!$A$4:$A$500=B277)*('Carga Web Cirugias'!$M$4:$M$500=C277)*('Carga Web Cirugias'!$R$4:$R$500&lt;&gt;"")*('Carga Web Cirugias'!$S$4:$S$500&lt;&gt;"")),1))*1440),"")</f>
        <v/>
      </c>
      <c r="E277" s="114">
        <f>IF(OR(B277="",C277="",D277=""),"",VLOOKUP(C277,'Horario Pabellones'!$A$4:$D$17,4,FALSE))</f>
        <v/>
      </c>
      <c r="F277" s="124">
        <f>IFERROR(IF(OR(D277="",E277="",E277=0),"",(D277/60)/(E277/60)),"")</f>
        <v/>
      </c>
      <c r="G277" s="112">
        <f>IF(F277="","",IF(F277&gt;=0.75,"Cumple referencia","Bajo referencia"))</f>
        <v/>
      </c>
      <c r="J277" s="94" t="n"/>
      <c r="K277" s="95" t="n"/>
      <c r="L277" s="95" t="n"/>
      <c r="M277" s="96" t="n"/>
      <c r="N277" s="95" t="n"/>
    </row>
    <row r="278" ht="16" customHeight="1" s="151">
      <c r="A278" s="109">
        <f>IF(OR('Carga Web Cirugias'!A278="",'Carga Web Cirugias'!M278=""),"",_xludf.ISOWEEKNUM('Carga Web Cirugias'!A278))</f>
        <v/>
      </c>
      <c r="B278" s="117">
        <f>IF('Carga Web Cirugias'!A278="","",'Carga Web Cirugias'!A278)</f>
        <v/>
      </c>
      <c r="C278" s="109">
        <f>IF('Carga Web Cirugias'!M278="","",'Carga Web Cirugias'!M278)</f>
        <v/>
      </c>
      <c r="D278" s="111">
        <f>IFERROR(IF(OR(B278="",C278="",COUNTIFS($B$4:B278,B278,$C$4:C278,C278)&gt;1),"",(_xludf.AGGREGATE(14,6,MOD('Carga Web Cirugias'!$S$4:$S$500,1)/(('Carga Web Cirugias'!$A$4:$A$500=B278)*('Carga Web Cirugias'!$M$4:$M$500=C278)*('Carga Web Cirugias'!$R$4:$R$500&lt;&gt;"")*('Carga Web Cirugias'!$S$4:$S$500&lt;&gt;"")),1)-_xludf.AGGREGATE(15,6,MOD('Carga Web Cirugias'!$R$4:$R$500,1)/(('Carga Web Cirugias'!$A$4:$A$500=B278)*('Carga Web Cirugias'!$M$4:$M$500=C278)*('Carga Web Cirugias'!$R$4:$R$500&lt;&gt;"")*('Carga Web Cirugias'!$S$4:$S$500&lt;&gt;"")),1))*1440),"")</f>
        <v/>
      </c>
      <c r="E278" s="111">
        <f>IF(OR(B278="",C278="",D278=""),"",VLOOKUP(C278,'Horario Pabellones'!$A$4:$D$17,4,FALSE))</f>
        <v/>
      </c>
      <c r="F278" s="118">
        <f>IFERROR(IF(OR(D278="",E278="",E278=0),"",(D278/60)/(E278/60)),"")</f>
        <v/>
      </c>
      <c r="G278" s="109">
        <f>IF(F278="","",IF(F278&gt;=0.75,"Cumple referencia","Bajo referencia"))</f>
        <v/>
      </c>
      <c r="J278" s="94" t="n"/>
      <c r="K278" s="95" t="n"/>
      <c r="L278" s="95" t="n"/>
      <c r="M278" s="96" t="n"/>
      <c r="N278" s="95" t="n"/>
    </row>
    <row r="279" ht="16" customHeight="1" s="151">
      <c r="A279" s="112">
        <f>IF(OR('Carga Web Cirugias'!A279="",'Carga Web Cirugias'!M279=""),"",_xludf.ISOWEEKNUM('Carga Web Cirugias'!A279))</f>
        <v/>
      </c>
      <c r="B279" s="123">
        <f>IF('Carga Web Cirugias'!A279="","",'Carga Web Cirugias'!A279)</f>
        <v/>
      </c>
      <c r="C279" s="112">
        <f>IF('Carga Web Cirugias'!M279="","",'Carga Web Cirugias'!M279)</f>
        <v/>
      </c>
      <c r="D279" s="114">
        <f>IFERROR(IF(OR(B279="",C279="",COUNTIFS($B$4:B279,B279,$C$4:C279,C279)&gt;1),"",(_xludf.AGGREGATE(14,6,MOD('Carga Web Cirugias'!$S$4:$S$500,1)/(('Carga Web Cirugias'!$A$4:$A$500=B279)*('Carga Web Cirugias'!$M$4:$M$500=C279)*('Carga Web Cirugias'!$R$4:$R$500&lt;&gt;"")*('Carga Web Cirugias'!$S$4:$S$500&lt;&gt;"")),1)-_xludf.AGGREGATE(15,6,MOD('Carga Web Cirugias'!$R$4:$R$500,1)/(('Carga Web Cirugias'!$A$4:$A$500=B279)*('Carga Web Cirugias'!$M$4:$M$500=C279)*('Carga Web Cirugias'!$R$4:$R$500&lt;&gt;"")*('Carga Web Cirugias'!$S$4:$S$500&lt;&gt;"")),1))*1440),"")</f>
        <v/>
      </c>
      <c r="E279" s="114">
        <f>IF(OR(B279="",C279="",D279=""),"",VLOOKUP(C279,'Horario Pabellones'!$A$4:$D$17,4,FALSE))</f>
        <v/>
      </c>
      <c r="F279" s="124">
        <f>IFERROR(IF(OR(D279="",E279="",E279=0),"",(D279/60)/(E279/60)),"")</f>
        <v/>
      </c>
      <c r="G279" s="112">
        <f>IF(F279="","",IF(F279&gt;=0.75,"Cumple referencia","Bajo referencia"))</f>
        <v/>
      </c>
      <c r="J279" s="94" t="n"/>
      <c r="K279" s="95" t="n"/>
      <c r="L279" s="95" t="n"/>
      <c r="M279" s="96" t="n"/>
      <c r="N279" s="95" t="n"/>
    </row>
    <row r="280" ht="16" customHeight="1" s="151">
      <c r="A280" s="109">
        <f>IF(OR('Carga Web Cirugias'!A280="",'Carga Web Cirugias'!M280=""),"",_xludf.ISOWEEKNUM('Carga Web Cirugias'!A280))</f>
        <v/>
      </c>
      <c r="B280" s="117">
        <f>IF('Carga Web Cirugias'!A280="","",'Carga Web Cirugias'!A280)</f>
        <v/>
      </c>
      <c r="C280" s="109">
        <f>IF('Carga Web Cirugias'!M280="","",'Carga Web Cirugias'!M280)</f>
        <v/>
      </c>
      <c r="D280" s="111">
        <f>IFERROR(IF(OR(B280="",C280="",COUNTIFS($B$4:B280,B280,$C$4:C280,C280)&gt;1),"",(_xludf.AGGREGATE(14,6,MOD('Carga Web Cirugias'!$S$4:$S$500,1)/(('Carga Web Cirugias'!$A$4:$A$500=B280)*('Carga Web Cirugias'!$M$4:$M$500=C280)*('Carga Web Cirugias'!$R$4:$R$500&lt;&gt;"")*('Carga Web Cirugias'!$S$4:$S$500&lt;&gt;"")),1)-_xludf.AGGREGATE(15,6,MOD('Carga Web Cirugias'!$R$4:$R$500,1)/(('Carga Web Cirugias'!$A$4:$A$500=B280)*('Carga Web Cirugias'!$M$4:$M$500=C280)*('Carga Web Cirugias'!$R$4:$R$500&lt;&gt;"")*('Carga Web Cirugias'!$S$4:$S$500&lt;&gt;"")),1))*1440),"")</f>
        <v/>
      </c>
      <c r="E280" s="111">
        <f>IF(OR(B280="",C280="",D280=""),"",VLOOKUP(C280,'Horario Pabellones'!$A$4:$D$17,4,FALSE))</f>
        <v/>
      </c>
      <c r="F280" s="118">
        <f>IFERROR(IF(OR(D280="",E280="",E280=0),"",(D280/60)/(E280/60)),"")</f>
        <v/>
      </c>
      <c r="G280" s="109">
        <f>IF(F280="","",IF(F280&gt;=0.75,"Cumple referencia","Bajo referencia"))</f>
        <v/>
      </c>
      <c r="J280" s="94" t="n"/>
      <c r="K280" s="95" t="n"/>
      <c r="L280" s="95" t="n"/>
      <c r="M280" s="96" t="n"/>
      <c r="N280" s="95" t="n"/>
    </row>
    <row r="281" ht="16" customHeight="1" s="151">
      <c r="A281" s="112">
        <f>IF(OR('Carga Web Cirugias'!A281="",'Carga Web Cirugias'!M281=""),"",_xludf.ISOWEEKNUM('Carga Web Cirugias'!A281))</f>
        <v/>
      </c>
      <c r="B281" s="123">
        <f>IF('Carga Web Cirugias'!A281="","",'Carga Web Cirugias'!A281)</f>
        <v/>
      </c>
      <c r="C281" s="112">
        <f>IF('Carga Web Cirugias'!M281="","",'Carga Web Cirugias'!M281)</f>
        <v/>
      </c>
      <c r="D281" s="114">
        <f>IFERROR(IF(OR(B281="",C281="",COUNTIFS($B$4:B281,B281,$C$4:C281,C281)&gt;1),"",(_xludf.AGGREGATE(14,6,MOD('Carga Web Cirugias'!$S$4:$S$500,1)/(('Carga Web Cirugias'!$A$4:$A$500=B281)*('Carga Web Cirugias'!$M$4:$M$500=C281)*('Carga Web Cirugias'!$R$4:$R$500&lt;&gt;"")*('Carga Web Cirugias'!$S$4:$S$500&lt;&gt;"")),1)-_xludf.AGGREGATE(15,6,MOD('Carga Web Cirugias'!$R$4:$R$500,1)/(('Carga Web Cirugias'!$A$4:$A$500=B281)*('Carga Web Cirugias'!$M$4:$M$500=C281)*('Carga Web Cirugias'!$R$4:$R$500&lt;&gt;"")*('Carga Web Cirugias'!$S$4:$S$500&lt;&gt;"")),1))*1440),"")</f>
        <v/>
      </c>
      <c r="E281" s="114">
        <f>IF(OR(B281="",C281="",D281=""),"",VLOOKUP(C281,'Horario Pabellones'!$A$4:$D$17,4,FALSE))</f>
        <v/>
      </c>
      <c r="F281" s="124">
        <f>IFERROR(IF(OR(D281="",E281="",E281=0),"",(D281/60)/(E281/60)),"")</f>
        <v/>
      </c>
      <c r="G281" s="112">
        <f>IF(F281="","",IF(F281&gt;=0.75,"Cumple referencia","Bajo referencia"))</f>
        <v/>
      </c>
      <c r="J281" s="94" t="n"/>
      <c r="K281" s="95" t="n"/>
      <c r="L281" s="95" t="n"/>
      <c r="M281" s="96" t="n"/>
      <c r="N281" s="95" t="n"/>
    </row>
    <row r="282" ht="16" customHeight="1" s="151">
      <c r="A282" s="109">
        <f>IF(OR('Carga Web Cirugias'!A282="",'Carga Web Cirugias'!M282=""),"",_xludf.ISOWEEKNUM('Carga Web Cirugias'!A282))</f>
        <v/>
      </c>
      <c r="B282" s="117">
        <f>IF('Carga Web Cirugias'!A282="","",'Carga Web Cirugias'!A282)</f>
        <v/>
      </c>
      <c r="C282" s="109">
        <f>IF('Carga Web Cirugias'!M282="","",'Carga Web Cirugias'!M282)</f>
        <v/>
      </c>
      <c r="D282" s="111">
        <f>IFERROR(IF(OR(B282="",C282="",COUNTIFS($B$4:B282,B282,$C$4:C282,C282)&gt;1),"",(_xludf.AGGREGATE(14,6,MOD('Carga Web Cirugias'!$S$4:$S$500,1)/(('Carga Web Cirugias'!$A$4:$A$500=B282)*('Carga Web Cirugias'!$M$4:$M$500=C282)*('Carga Web Cirugias'!$R$4:$R$500&lt;&gt;"")*('Carga Web Cirugias'!$S$4:$S$500&lt;&gt;"")),1)-_xludf.AGGREGATE(15,6,MOD('Carga Web Cirugias'!$R$4:$R$500,1)/(('Carga Web Cirugias'!$A$4:$A$500=B282)*('Carga Web Cirugias'!$M$4:$M$500=C282)*('Carga Web Cirugias'!$R$4:$R$500&lt;&gt;"")*('Carga Web Cirugias'!$S$4:$S$500&lt;&gt;"")),1))*1440),"")</f>
        <v/>
      </c>
      <c r="E282" s="111">
        <f>IF(OR(B282="",C282="",D282=""),"",VLOOKUP(C282,'Horario Pabellones'!$A$4:$D$17,4,FALSE))</f>
        <v/>
      </c>
      <c r="F282" s="118">
        <f>IFERROR(IF(OR(D282="",E282="",E282=0),"",(D282/60)/(E282/60)),"")</f>
        <v/>
      </c>
      <c r="G282" s="109">
        <f>IF(F282="","",IF(F282&gt;=0.75,"Cumple referencia","Bajo referencia"))</f>
        <v/>
      </c>
      <c r="J282" s="94" t="n"/>
      <c r="K282" s="95" t="n"/>
      <c r="L282" s="95" t="n"/>
      <c r="M282" s="96" t="n"/>
      <c r="N282" s="95" t="n"/>
    </row>
    <row r="283" ht="16" customHeight="1" s="151">
      <c r="A283" s="112">
        <f>IF(OR('Carga Web Cirugias'!A283="",'Carga Web Cirugias'!M283=""),"",_xludf.ISOWEEKNUM('Carga Web Cirugias'!A283))</f>
        <v/>
      </c>
      <c r="B283" s="123">
        <f>IF('Carga Web Cirugias'!A283="","",'Carga Web Cirugias'!A283)</f>
        <v/>
      </c>
      <c r="C283" s="112">
        <f>IF('Carga Web Cirugias'!M283="","",'Carga Web Cirugias'!M283)</f>
        <v/>
      </c>
      <c r="D283" s="114">
        <f>IFERROR(IF(OR(B283="",C283="",COUNTIFS($B$4:B283,B283,$C$4:C283,C283)&gt;1),"",(_xludf.AGGREGATE(14,6,MOD('Carga Web Cirugias'!$S$4:$S$500,1)/(('Carga Web Cirugias'!$A$4:$A$500=B283)*('Carga Web Cirugias'!$M$4:$M$500=C283)*('Carga Web Cirugias'!$R$4:$R$500&lt;&gt;"")*('Carga Web Cirugias'!$S$4:$S$500&lt;&gt;"")),1)-_xludf.AGGREGATE(15,6,MOD('Carga Web Cirugias'!$R$4:$R$500,1)/(('Carga Web Cirugias'!$A$4:$A$500=B283)*('Carga Web Cirugias'!$M$4:$M$500=C283)*('Carga Web Cirugias'!$R$4:$R$500&lt;&gt;"")*('Carga Web Cirugias'!$S$4:$S$500&lt;&gt;"")),1))*1440),"")</f>
        <v/>
      </c>
      <c r="E283" s="114">
        <f>IF(OR(B283="",C283="",D283=""),"",VLOOKUP(C283,'Horario Pabellones'!$A$4:$D$17,4,FALSE))</f>
        <v/>
      </c>
      <c r="F283" s="124">
        <f>IFERROR(IF(OR(D283="",E283="",E283=0),"",(D283/60)/(E283/60)),"")</f>
        <v/>
      </c>
      <c r="G283" s="112">
        <f>IF(F283="","",IF(F283&gt;=0.75,"Cumple referencia","Bajo referencia"))</f>
        <v/>
      </c>
      <c r="J283" s="94" t="n"/>
      <c r="K283" s="95" t="n"/>
      <c r="L283" s="95" t="n"/>
      <c r="M283" s="96" t="n"/>
      <c r="N283" s="95" t="n"/>
    </row>
    <row r="284" ht="16" customHeight="1" s="151">
      <c r="A284" s="109">
        <f>IF(OR('Carga Web Cirugias'!A284="",'Carga Web Cirugias'!M284=""),"",_xludf.ISOWEEKNUM('Carga Web Cirugias'!A284))</f>
        <v/>
      </c>
      <c r="B284" s="117">
        <f>IF('Carga Web Cirugias'!A284="","",'Carga Web Cirugias'!A284)</f>
        <v/>
      </c>
      <c r="C284" s="109">
        <f>IF('Carga Web Cirugias'!M284="","",'Carga Web Cirugias'!M284)</f>
        <v/>
      </c>
      <c r="D284" s="111">
        <f>IFERROR(IF(OR(B284="",C284="",COUNTIFS($B$4:B284,B284,$C$4:C284,C284)&gt;1),"",(_xludf.AGGREGATE(14,6,MOD('Carga Web Cirugias'!$S$4:$S$500,1)/(('Carga Web Cirugias'!$A$4:$A$500=B284)*('Carga Web Cirugias'!$M$4:$M$500=C284)*('Carga Web Cirugias'!$R$4:$R$500&lt;&gt;"")*('Carga Web Cirugias'!$S$4:$S$500&lt;&gt;"")),1)-_xludf.AGGREGATE(15,6,MOD('Carga Web Cirugias'!$R$4:$R$500,1)/(('Carga Web Cirugias'!$A$4:$A$500=B284)*('Carga Web Cirugias'!$M$4:$M$500=C284)*('Carga Web Cirugias'!$R$4:$R$500&lt;&gt;"")*('Carga Web Cirugias'!$S$4:$S$500&lt;&gt;"")),1))*1440),"")</f>
        <v/>
      </c>
      <c r="E284" s="111">
        <f>IF(OR(B284="",C284="",D284=""),"",VLOOKUP(C284,'Horario Pabellones'!$A$4:$D$17,4,FALSE))</f>
        <v/>
      </c>
      <c r="F284" s="118">
        <f>IFERROR(IF(OR(D284="",E284="",E284=0),"",(D284/60)/(E284/60)),"")</f>
        <v/>
      </c>
      <c r="G284" s="109">
        <f>IF(F284="","",IF(F284&gt;=0.75,"Cumple referencia","Bajo referencia"))</f>
        <v/>
      </c>
      <c r="J284" s="94" t="n"/>
      <c r="K284" s="95" t="n"/>
      <c r="L284" s="95" t="n"/>
      <c r="M284" s="96" t="n"/>
      <c r="N284" s="95" t="n"/>
    </row>
    <row r="285" ht="16" customHeight="1" s="151">
      <c r="A285" s="112">
        <f>IF(OR('Carga Web Cirugias'!A285="",'Carga Web Cirugias'!M285=""),"",_xludf.ISOWEEKNUM('Carga Web Cirugias'!A285))</f>
        <v/>
      </c>
      <c r="B285" s="123">
        <f>IF('Carga Web Cirugias'!A285="","",'Carga Web Cirugias'!A285)</f>
        <v/>
      </c>
      <c r="C285" s="112">
        <f>IF('Carga Web Cirugias'!M285="","",'Carga Web Cirugias'!M285)</f>
        <v/>
      </c>
      <c r="D285" s="114">
        <f>IFERROR(IF(OR(B285="",C285="",COUNTIFS($B$4:B285,B285,$C$4:C285,C285)&gt;1),"",(_xludf.AGGREGATE(14,6,MOD('Carga Web Cirugias'!$S$4:$S$500,1)/(('Carga Web Cirugias'!$A$4:$A$500=B285)*('Carga Web Cirugias'!$M$4:$M$500=C285)*('Carga Web Cirugias'!$R$4:$R$500&lt;&gt;"")*('Carga Web Cirugias'!$S$4:$S$500&lt;&gt;"")),1)-_xludf.AGGREGATE(15,6,MOD('Carga Web Cirugias'!$R$4:$R$500,1)/(('Carga Web Cirugias'!$A$4:$A$500=B285)*('Carga Web Cirugias'!$M$4:$M$500=C285)*('Carga Web Cirugias'!$R$4:$R$500&lt;&gt;"")*('Carga Web Cirugias'!$S$4:$S$500&lt;&gt;"")),1))*1440),"")</f>
        <v/>
      </c>
      <c r="E285" s="114">
        <f>IF(OR(B285="",C285="",D285=""),"",VLOOKUP(C285,'Horario Pabellones'!$A$4:$D$17,4,FALSE))</f>
        <v/>
      </c>
      <c r="F285" s="124">
        <f>IFERROR(IF(OR(D285="",E285="",E285=0),"",(D285/60)/(E285/60)),"")</f>
        <v/>
      </c>
      <c r="G285" s="112">
        <f>IF(F285="","",IF(F285&gt;=0.75,"Cumple referencia","Bajo referencia"))</f>
        <v/>
      </c>
      <c r="J285" s="94" t="n"/>
      <c r="K285" s="95" t="n"/>
      <c r="L285" s="95" t="n"/>
      <c r="M285" s="96" t="n"/>
      <c r="N285" s="95" t="n"/>
    </row>
    <row r="286" ht="16" customHeight="1" s="151">
      <c r="A286" s="109">
        <f>IF(OR('Carga Web Cirugias'!A286="",'Carga Web Cirugias'!M286=""),"",_xludf.ISOWEEKNUM('Carga Web Cirugias'!A286))</f>
        <v/>
      </c>
      <c r="B286" s="117">
        <f>IF('Carga Web Cirugias'!A286="","",'Carga Web Cirugias'!A286)</f>
        <v/>
      </c>
      <c r="C286" s="109">
        <f>IF('Carga Web Cirugias'!M286="","",'Carga Web Cirugias'!M286)</f>
        <v/>
      </c>
      <c r="D286" s="111">
        <f>IFERROR(IF(OR(B286="",C286="",COUNTIFS($B$4:B286,B286,$C$4:C286,C286)&gt;1),"",(_xludf.AGGREGATE(14,6,MOD('Carga Web Cirugias'!$S$4:$S$500,1)/(('Carga Web Cirugias'!$A$4:$A$500=B286)*('Carga Web Cirugias'!$M$4:$M$500=C286)*('Carga Web Cirugias'!$R$4:$R$500&lt;&gt;"")*('Carga Web Cirugias'!$S$4:$S$500&lt;&gt;"")),1)-_xludf.AGGREGATE(15,6,MOD('Carga Web Cirugias'!$R$4:$R$500,1)/(('Carga Web Cirugias'!$A$4:$A$500=B286)*('Carga Web Cirugias'!$M$4:$M$500=C286)*('Carga Web Cirugias'!$R$4:$R$500&lt;&gt;"")*('Carga Web Cirugias'!$S$4:$S$500&lt;&gt;"")),1))*1440),"")</f>
        <v/>
      </c>
      <c r="E286" s="111">
        <f>IF(OR(B286="",C286="",D286=""),"",VLOOKUP(C286,'Horario Pabellones'!$A$4:$D$17,4,FALSE))</f>
        <v/>
      </c>
      <c r="F286" s="118">
        <f>IFERROR(IF(OR(D286="",E286="",E286=0),"",(D286/60)/(E286/60)),"")</f>
        <v/>
      </c>
      <c r="G286" s="109">
        <f>IF(F286="","",IF(F286&gt;=0.75,"Cumple referencia","Bajo referencia"))</f>
        <v/>
      </c>
      <c r="J286" s="94" t="n"/>
      <c r="K286" s="95" t="n"/>
      <c r="L286" s="95" t="n"/>
      <c r="M286" s="96" t="n"/>
      <c r="N286" s="95" t="n"/>
    </row>
    <row r="287" ht="16" customHeight="1" s="151">
      <c r="A287" s="112">
        <f>IF(OR('Carga Web Cirugias'!A287="",'Carga Web Cirugias'!M287=""),"",_xludf.ISOWEEKNUM('Carga Web Cirugias'!A287))</f>
        <v/>
      </c>
      <c r="B287" s="123">
        <f>IF('Carga Web Cirugias'!A287="","",'Carga Web Cirugias'!A287)</f>
        <v/>
      </c>
      <c r="C287" s="112">
        <f>IF('Carga Web Cirugias'!M287="","",'Carga Web Cirugias'!M287)</f>
        <v/>
      </c>
      <c r="D287" s="114">
        <f>IFERROR(IF(OR(B287="",C287="",COUNTIFS($B$4:B287,B287,$C$4:C287,C287)&gt;1),"",(_xludf.AGGREGATE(14,6,MOD('Carga Web Cirugias'!$S$4:$S$500,1)/(('Carga Web Cirugias'!$A$4:$A$500=B287)*('Carga Web Cirugias'!$M$4:$M$500=C287)*('Carga Web Cirugias'!$R$4:$R$500&lt;&gt;"")*('Carga Web Cirugias'!$S$4:$S$500&lt;&gt;"")),1)-_xludf.AGGREGATE(15,6,MOD('Carga Web Cirugias'!$R$4:$R$500,1)/(('Carga Web Cirugias'!$A$4:$A$500=B287)*('Carga Web Cirugias'!$M$4:$M$500=C287)*('Carga Web Cirugias'!$R$4:$R$500&lt;&gt;"")*('Carga Web Cirugias'!$S$4:$S$500&lt;&gt;"")),1))*1440),"")</f>
        <v/>
      </c>
      <c r="E287" s="114">
        <f>IF(OR(B287="",C287="",D287=""),"",VLOOKUP(C287,'Horario Pabellones'!$A$4:$D$17,4,FALSE))</f>
        <v/>
      </c>
      <c r="F287" s="124">
        <f>IFERROR(IF(OR(D287="",E287="",E287=0),"",(D287/60)/(E287/60)),"")</f>
        <v/>
      </c>
      <c r="G287" s="112">
        <f>IF(F287="","",IF(F287&gt;=0.75,"Cumple referencia","Bajo referencia"))</f>
        <v/>
      </c>
      <c r="J287" s="94" t="n"/>
      <c r="K287" s="95" t="n"/>
      <c r="L287" s="95" t="n"/>
      <c r="M287" s="96" t="n"/>
      <c r="N287" s="95" t="n"/>
    </row>
    <row r="288" ht="16" customHeight="1" s="151">
      <c r="A288" s="109">
        <f>IF(OR('Carga Web Cirugias'!A288="",'Carga Web Cirugias'!M288=""),"",_xludf.ISOWEEKNUM('Carga Web Cirugias'!A288))</f>
        <v/>
      </c>
      <c r="B288" s="117">
        <f>IF('Carga Web Cirugias'!A288="","",'Carga Web Cirugias'!A288)</f>
        <v/>
      </c>
      <c r="C288" s="109">
        <f>IF('Carga Web Cirugias'!M288="","",'Carga Web Cirugias'!M288)</f>
        <v/>
      </c>
      <c r="D288" s="111">
        <f>IFERROR(IF(OR(B288="",C288="",COUNTIFS($B$4:B288,B288,$C$4:C288,C288)&gt;1),"",(_xludf.AGGREGATE(14,6,MOD('Carga Web Cirugias'!$S$4:$S$500,1)/(('Carga Web Cirugias'!$A$4:$A$500=B288)*('Carga Web Cirugias'!$M$4:$M$500=C288)*('Carga Web Cirugias'!$R$4:$R$500&lt;&gt;"")*('Carga Web Cirugias'!$S$4:$S$500&lt;&gt;"")),1)-_xludf.AGGREGATE(15,6,MOD('Carga Web Cirugias'!$R$4:$R$500,1)/(('Carga Web Cirugias'!$A$4:$A$500=B288)*('Carga Web Cirugias'!$M$4:$M$500=C288)*('Carga Web Cirugias'!$R$4:$R$500&lt;&gt;"")*('Carga Web Cirugias'!$S$4:$S$500&lt;&gt;"")),1))*1440),"")</f>
        <v/>
      </c>
      <c r="E288" s="111">
        <f>IF(OR(B288="",C288="",D288=""),"",VLOOKUP(C288,'Horario Pabellones'!$A$4:$D$17,4,FALSE))</f>
        <v/>
      </c>
      <c r="F288" s="118">
        <f>IFERROR(IF(OR(D288="",E288="",E288=0),"",(D288/60)/(E288/60)),"")</f>
        <v/>
      </c>
      <c r="G288" s="109">
        <f>IF(F288="","",IF(F288&gt;=0.75,"Cumple referencia","Bajo referencia"))</f>
        <v/>
      </c>
      <c r="J288" s="94" t="n"/>
      <c r="K288" s="95" t="n"/>
      <c r="L288" s="95" t="n"/>
      <c r="M288" s="96" t="n"/>
      <c r="N288" s="95" t="n"/>
    </row>
    <row r="289" ht="16" customHeight="1" s="151">
      <c r="A289" s="112">
        <f>IF(OR('Carga Web Cirugias'!A289="",'Carga Web Cirugias'!M289=""),"",_xludf.ISOWEEKNUM('Carga Web Cirugias'!A289))</f>
        <v/>
      </c>
      <c r="B289" s="123">
        <f>IF('Carga Web Cirugias'!A289="","",'Carga Web Cirugias'!A289)</f>
        <v/>
      </c>
      <c r="C289" s="112">
        <f>IF('Carga Web Cirugias'!M289="","",'Carga Web Cirugias'!M289)</f>
        <v/>
      </c>
      <c r="D289" s="114">
        <f>IFERROR(IF(OR(B289="",C289="",COUNTIFS($B$4:B289,B289,$C$4:C289,C289)&gt;1),"",(_xludf.AGGREGATE(14,6,MOD('Carga Web Cirugias'!$S$4:$S$500,1)/(('Carga Web Cirugias'!$A$4:$A$500=B289)*('Carga Web Cirugias'!$M$4:$M$500=C289)*('Carga Web Cirugias'!$R$4:$R$500&lt;&gt;"")*('Carga Web Cirugias'!$S$4:$S$500&lt;&gt;"")),1)-_xludf.AGGREGATE(15,6,MOD('Carga Web Cirugias'!$R$4:$R$500,1)/(('Carga Web Cirugias'!$A$4:$A$500=B289)*('Carga Web Cirugias'!$M$4:$M$500=C289)*('Carga Web Cirugias'!$R$4:$R$500&lt;&gt;"")*('Carga Web Cirugias'!$S$4:$S$500&lt;&gt;"")),1))*1440),"")</f>
        <v/>
      </c>
      <c r="E289" s="114">
        <f>IF(OR(B289="",C289="",D289=""),"",VLOOKUP(C289,'Horario Pabellones'!$A$4:$D$17,4,FALSE))</f>
        <v/>
      </c>
      <c r="F289" s="124">
        <f>IFERROR(IF(OR(D289="",E289="",E289=0),"",(D289/60)/(E289/60)),"")</f>
        <v/>
      </c>
      <c r="G289" s="112">
        <f>IF(F289="","",IF(F289&gt;=0.75,"Cumple referencia","Bajo referencia"))</f>
        <v/>
      </c>
      <c r="J289" s="94" t="n"/>
      <c r="K289" s="95" t="n"/>
      <c r="L289" s="95" t="n"/>
      <c r="M289" s="96" t="n"/>
      <c r="N289" s="95" t="n"/>
    </row>
    <row r="290" ht="16" customHeight="1" s="151">
      <c r="A290" s="109">
        <f>IF(OR('Carga Web Cirugias'!A290="",'Carga Web Cirugias'!M290=""),"",_xludf.ISOWEEKNUM('Carga Web Cirugias'!A290))</f>
        <v/>
      </c>
      <c r="B290" s="117">
        <f>IF('Carga Web Cirugias'!A290="","",'Carga Web Cirugias'!A290)</f>
        <v/>
      </c>
      <c r="C290" s="109">
        <f>IF('Carga Web Cirugias'!M290="","",'Carga Web Cirugias'!M290)</f>
        <v/>
      </c>
      <c r="D290" s="111">
        <f>IFERROR(IF(OR(B290="",C290="",COUNTIFS($B$4:B290,B290,$C$4:C290,C290)&gt;1),"",(_xludf.AGGREGATE(14,6,MOD('Carga Web Cirugias'!$S$4:$S$500,1)/(('Carga Web Cirugias'!$A$4:$A$500=B290)*('Carga Web Cirugias'!$M$4:$M$500=C290)*('Carga Web Cirugias'!$R$4:$R$500&lt;&gt;"")*('Carga Web Cirugias'!$S$4:$S$500&lt;&gt;"")),1)-_xludf.AGGREGATE(15,6,MOD('Carga Web Cirugias'!$R$4:$R$500,1)/(('Carga Web Cirugias'!$A$4:$A$500=B290)*('Carga Web Cirugias'!$M$4:$M$500=C290)*('Carga Web Cirugias'!$R$4:$R$500&lt;&gt;"")*('Carga Web Cirugias'!$S$4:$S$500&lt;&gt;"")),1))*1440),"")</f>
        <v/>
      </c>
      <c r="E290" s="111">
        <f>IF(OR(B290="",C290="",D290=""),"",VLOOKUP(C290,'Horario Pabellones'!$A$4:$D$17,4,FALSE))</f>
        <v/>
      </c>
      <c r="F290" s="118">
        <f>IFERROR(IF(OR(D290="",E290="",E290=0),"",(D290/60)/(E290/60)),"")</f>
        <v/>
      </c>
      <c r="G290" s="109">
        <f>IF(F290="","",IF(F290&gt;=0.75,"Cumple referencia","Bajo referencia"))</f>
        <v/>
      </c>
      <c r="J290" s="94" t="n"/>
      <c r="K290" s="95" t="n"/>
      <c r="L290" s="95" t="n"/>
      <c r="M290" s="96" t="n"/>
      <c r="N290" s="95" t="n"/>
    </row>
    <row r="291" ht="16" customHeight="1" s="151">
      <c r="A291" s="112">
        <f>IF(OR('Carga Web Cirugias'!A291="",'Carga Web Cirugias'!M291=""),"",_xludf.ISOWEEKNUM('Carga Web Cirugias'!A291))</f>
        <v/>
      </c>
      <c r="B291" s="123">
        <f>IF('Carga Web Cirugias'!A291="","",'Carga Web Cirugias'!A291)</f>
        <v/>
      </c>
      <c r="C291" s="112">
        <f>IF('Carga Web Cirugias'!M291="","",'Carga Web Cirugias'!M291)</f>
        <v/>
      </c>
      <c r="D291" s="114">
        <f>IFERROR(IF(OR(B291="",C291="",COUNTIFS($B$4:B291,B291,$C$4:C291,C291)&gt;1),"",(_xludf.AGGREGATE(14,6,MOD('Carga Web Cirugias'!$S$4:$S$500,1)/(('Carga Web Cirugias'!$A$4:$A$500=B291)*('Carga Web Cirugias'!$M$4:$M$500=C291)*('Carga Web Cirugias'!$R$4:$R$500&lt;&gt;"")*('Carga Web Cirugias'!$S$4:$S$500&lt;&gt;"")),1)-_xludf.AGGREGATE(15,6,MOD('Carga Web Cirugias'!$R$4:$R$500,1)/(('Carga Web Cirugias'!$A$4:$A$500=B291)*('Carga Web Cirugias'!$M$4:$M$500=C291)*('Carga Web Cirugias'!$R$4:$R$500&lt;&gt;"")*('Carga Web Cirugias'!$S$4:$S$500&lt;&gt;"")),1))*1440),"")</f>
        <v/>
      </c>
      <c r="E291" s="114">
        <f>IF(OR(B291="",C291="",D291=""),"",VLOOKUP(C291,'Horario Pabellones'!$A$4:$D$17,4,FALSE))</f>
        <v/>
      </c>
      <c r="F291" s="124">
        <f>IFERROR(IF(OR(D291="",E291="",E291=0),"",(D291/60)/(E291/60)),"")</f>
        <v/>
      </c>
      <c r="G291" s="112">
        <f>IF(F291="","",IF(F291&gt;=0.75,"Cumple referencia","Bajo referencia"))</f>
        <v/>
      </c>
      <c r="J291" s="94" t="n"/>
      <c r="K291" s="95" t="n"/>
      <c r="L291" s="95" t="n"/>
      <c r="M291" s="96" t="n"/>
      <c r="N291" s="95" t="n"/>
    </row>
    <row r="292" ht="16" customHeight="1" s="151">
      <c r="A292" s="109">
        <f>IF(OR('Carga Web Cirugias'!A292="",'Carga Web Cirugias'!M292=""),"",_xludf.ISOWEEKNUM('Carga Web Cirugias'!A292))</f>
        <v/>
      </c>
      <c r="B292" s="117">
        <f>IF('Carga Web Cirugias'!A292="","",'Carga Web Cirugias'!A292)</f>
        <v/>
      </c>
      <c r="C292" s="109">
        <f>IF('Carga Web Cirugias'!M292="","",'Carga Web Cirugias'!M292)</f>
        <v/>
      </c>
      <c r="D292" s="111">
        <f>IFERROR(IF(OR(B292="",C292="",COUNTIFS($B$4:B292,B292,$C$4:C292,C292)&gt;1),"",(_xludf.AGGREGATE(14,6,MOD('Carga Web Cirugias'!$S$4:$S$500,1)/(('Carga Web Cirugias'!$A$4:$A$500=B292)*('Carga Web Cirugias'!$M$4:$M$500=C292)*('Carga Web Cirugias'!$R$4:$R$500&lt;&gt;"")*('Carga Web Cirugias'!$S$4:$S$500&lt;&gt;"")),1)-_xludf.AGGREGATE(15,6,MOD('Carga Web Cirugias'!$R$4:$R$500,1)/(('Carga Web Cirugias'!$A$4:$A$500=B292)*('Carga Web Cirugias'!$M$4:$M$500=C292)*('Carga Web Cirugias'!$R$4:$R$500&lt;&gt;"")*('Carga Web Cirugias'!$S$4:$S$500&lt;&gt;"")),1))*1440),"")</f>
        <v/>
      </c>
      <c r="E292" s="111">
        <f>IF(OR(B292="",C292="",D292=""),"",VLOOKUP(C292,'Horario Pabellones'!$A$4:$D$17,4,FALSE))</f>
        <v/>
      </c>
      <c r="F292" s="118">
        <f>IFERROR(IF(OR(D292="",E292="",E292=0),"",(D292/60)/(E292/60)),"")</f>
        <v/>
      </c>
      <c r="G292" s="109">
        <f>IF(F292="","",IF(F292&gt;=0.75,"Cumple referencia","Bajo referencia"))</f>
        <v/>
      </c>
      <c r="J292" s="94" t="n"/>
      <c r="K292" s="95" t="n"/>
      <c r="L292" s="95" t="n"/>
      <c r="M292" s="96" t="n"/>
      <c r="N292" s="95" t="n"/>
    </row>
    <row r="293" ht="16" customHeight="1" s="151">
      <c r="A293" s="112">
        <f>IF(OR('Carga Web Cirugias'!A293="",'Carga Web Cirugias'!M293=""),"",_xludf.ISOWEEKNUM('Carga Web Cirugias'!A293))</f>
        <v/>
      </c>
      <c r="B293" s="123">
        <f>IF('Carga Web Cirugias'!A293="","",'Carga Web Cirugias'!A293)</f>
        <v/>
      </c>
      <c r="C293" s="112">
        <f>IF('Carga Web Cirugias'!M293="","",'Carga Web Cirugias'!M293)</f>
        <v/>
      </c>
      <c r="D293" s="114">
        <f>IFERROR(IF(OR(B293="",C293="",COUNTIFS($B$4:B293,B293,$C$4:C293,C293)&gt;1),"",(_xludf.AGGREGATE(14,6,MOD('Carga Web Cirugias'!$S$4:$S$500,1)/(('Carga Web Cirugias'!$A$4:$A$500=B293)*('Carga Web Cirugias'!$M$4:$M$500=C293)*('Carga Web Cirugias'!$R$4:$R$500&lt;&gt;"")*('Carga Web Cirugias'!$S$4:$S$500&lt;&gt;"")),1)-_xludf.AGGREGATE(15,6,MOD('Carga Web Cirugias'!$R$4:$R$500,1)/(('Carga Web Cirugias'!$A$4:$A$500=B293)*('Carga Web Cirugias'!$M$4:$M$500=C293)*('Carga Web Cirugias'!$R$4:$R$500&lt;&gt;"")*('Carga Web Cirugias'!$S$4:$S$500&lt;&gt;"")),1))*1440),"")</f>
        <v/>
      </c>
      <c r="E293" s="114">
        <f>IF(OR(B293="",C293="",D293=""),"",VLOOKUP(C293,'Horario Pabellones'!$A$4:$D$17,4,FALSE))</f>
        <v/>
      </c>
      <c r="F293" s="124">
        <f>IFERROR(IF(OR(D293="",E293="",E293=0),"",(D293/60)/(E293/60)),"")</f>
        <v/>
      </c>
      <c r="G293" s="112">
        <f>IF(F293="","",IF(F293&gt;=0.75,"Cumple referencia","Bajo referencia"))</f>
        <v/>
      </c>
      <c r="J293" s="94" t="n"/>
      <c r="K293" s="95" t="n"/>
      <c r="L293" s="95" t="n"/>
      <c r="M293" s="96" t="n"/>
      <c r="N293" s="95" t="n"/>
    </row>
    <row r="294" ht="16" customHeight="1" s="151">
      <c r="A294" s="109">
        <f>IF(OR('Carga Web Cirugias'!A294="",'Carga Web Cirugias'!M294=""),"",_xludf.ISOWEEKNUM('Carga Web Cirugias'!A294))</f>
        <v/>
      </c>
      <c r="B294" s="117">
        <f>IF('Carga Web Cirugias'!A294="","",'Carga Web Cirugias'!A294)</f>
        <v/>
      </c>
      <c r="C294" s="109">
        <f>IF('Carga Web Cirugias'!M294="","",'Carga Web Cirugias'!M294)</f>
        <v/>
      </c>
      <c r="D294" s="111">
        <f>IFERROR(IF(OR(B294="",C294="",COUNTIFS($B$4:B294,B294,$C$4:C294,C294)&gt;1),"",(_xludf.AGGREGATE(14,6,MOD('Carga Web Cirugias'!$S$4:$S$500,1)/(('Carga Web Cirugias'!$A$4:$A$500=B294)*('Carga Web Cirugias'!$M$4:$M$500=C294)*('Carga Web Cirugias'!$R$4:$R$500&lt;&gt;"")*('Carga Web Cirugias'!$S$4:$S$500&lt;&gt;"")),1)-_xludf.AGGREGATE(15,6,MOD('Carga Web Cirugias'!$R$4:$R$500,1)/(('Carga Web Cirugias'!$A$4:$A$500=B294)*('Carga Web Cirugias'!$M$4:$M$500=C294)*('Carga Web Cirugias'!$R$4:$R$500&lt;&gt;"")*('Carga Web Cirugias'!$S$4:$S$500&lt;&gt;"")),1))*1440),"")</f>
        <v/>
      </c>
      <c r="E294" s="111">
        <f>IF(OR(B294="",C294="",D294=""),"",VLOOKUP(C294,'Horario Pabellones'!$A$4:$D$17,4,FALSE))</f>
        <v/>
      </c>
      <c r="F294" s="118">
        <f>IFERROR(IF(OR(D294="",E294="",E294=0),"",(D294/60)/(E294/60)),"")</f>
        <v/>
      </c>
      <c r="G294" s="109">
        <f>IF(F294="","",IF(F294&gt;=0.75,"Cumple referencia","Bajo referencia"))</f>
        <v/>
      </c>
      <c r="J294" s="94" t="n"/>
      <c r="K294" s="95" t="n"/>
      <c r="L294" s="95" t="n"/>
      <c r="M294" s="96" t="n"/>
      <c r="N294" s="95" t="n"/>
    </row>
    <row r="295" ht="16" customHeight="1" s="151">
      <c r="A295" s="112">
        <f>IF(OR('Carga Web Cirugias'!A295="",'Carga Web Cirugias'!M295=""),"",_xludf.ISOWEEKNUM('Carga Web Cirugias'!A295))</f>
        <v/>
      </c>
      <c r="B295" s="123">
        <f>IF('Carga Web Cirugias'!A295="","",'Carga Web Cirugias'!A295)</f>
        <v/>
      </c>
      <c r="C295" s="112">
        <f>IF('Carga Web Cirugias'!M295="","",'Carga Web Cirugias'!M295)</f>
        <v/>
      </c>
      <c r="D295" s="114">
        <f>IFERROR(IF(OR(B295="",C295="",COUNTIFS($B$4:B295,B295,$C$4:C295,C295)&gt;1),"",(_xludf.AGGREGATE(14,6,MOD('Carga Web Cirugias'!$S$4:$S$500,1)/(('Carga Web Cirugias'!$A$4:$A$500=B295)*('Carga Web Cirugias'!$M$4:$M$500=C295)*('Carga Web Cirugias'!$R$4:$R$500&lt;&gt;"")*('Carga Web Cirugias'!$S$4:$S$500&lt;&gt;"")),1)-_xludf.AGGREGATE(15,6,MOD('Carga Web Cirugias'!$R$4:$R$500,1)/(('Carga Web Cirugias'!$A$4:$A$500=B295)*('Carga Web Cirugias'!$M$4:$M$500=C295)*('Carga Web Cirugias'!$R$4:$R$500&lt;&gt;"")*('Carga Web Cirugias'!$S$4:$S$500&lt;&gt;"")),1))*1440),"")</f>
        <v/>
      </c>
      <c r="E295" s="114">
        <f>IF(OR(B295="",C295="",D295=""),"",VLOOKUP(C295,'Horario Pabellones'!$A$4:$D$17,4,FALSE))</f>
        <v/>
      </c>
      <c r="F295" s="124">
        <f>IFERROR(IF(OR(D295="",E295="",E295=0),"",(D295/60)/(E295/60)),"")</f>
        <v/>
      </c>
      <c r="G295" s="112">
        <f>IF(F295="","",IF(F295&gt;=0.75,"Cumple referencia","Bajo referencia"))</f>
        <v/>
      </c>
      <c r="J295" s="94" t="n"/>
      <c r="K295" s="95" t="n"/>
      <c r="L295" s="95" t="n"/>
      <c r="M295" s="96" t="n"/>
      <c r="N295" s="95" t="n"/>
    </row>
    <row r="296" ht="16" customHeight="1" s="151">
      <c r="A296" s="109">
        <f>IF(OR('Carga Web Cirugias'!A296="",'Carga Web Cirugias'!M296=""),"",_xludf.ISOWEEKNUM('Carga Web Cirugias'!A296))</f>
        <v/>
      </c>
      <c r="B296" s="117">
        <f>IF('Carga Web Cirugias'!A296="","",'Carga Web Cirugias'!A296)</f>
        <v/>
      </c>
      <c r="C296" s="109">
        <f>IF('Carga Web Cirugias'!M296="","",'Carga Web Cirugias'!M296)</f>
        <v/>
      </c>
      <c r="D296" s="111">
        <f>IFERROR(IF(OR(B296="",C296="",COUNTIFS($B$4:B296,B296,$C$4:C296,C296)&gt;1),"",(_xludf.AGGREGATE(14,6,MOD('Carga Web Cirugias'!$S$4:$S$500,1)/(('Carga Web Cirugias'!$A$4:$A$500=B296)*('Carga Web Cirugias'!$M$4:$M$500=C296)*('Carga Web Cirugias'!$R$4:$R$500&lt;&gt;"")*('Carga Web Cirugias'!$S$4:$S$500&lt;&gt;"")),1)-_xludf.AGGREGATE(15,6,MOD('Carga Web Cirugias'!$R$4:$R$500,1)/(('Carga Web Cirugias'!$A$4:$A$500=B296)*('Carga Web Cirugias'!$M$4:$M$500=C296)*('Carga Web Cirugias'!$R$4:$R$500&lt;&gt;"")*('Carga Web Cirugias'!$S$4:$S$500&lt;&gt;"")),1))*1440),"")</f>
        <v/>
      </c>
      <c r="E296" s="111">
        <f>IF(OR(B296="",C296="",D296=""),"",VLOOKUP(C296,'Horario Pabellones'!$A$4:$D$17,4,FALSE))</f>
        <v/>
      </c>
      <c r="F296" s="118">
        <f>IFERROR(IF(OR(D296="",E296="",E296=0),"",(D296/60)/(E296/60)),"")</f>
        <v/>
      </c>
      <c r="G296" s="109">
        <f>IF(F296="","",IF(F296&gt;=0.75,"Cumple referencia","Bajo referencia"))</f>
        <v/>
      </c>
      <c r="J296" s="94" t="n"/>
      <c r="K296" s="95" t="n"/>
      <c r="L296" s="95" t="n"/>
      <c r="M296" s="96" t="n"/>
      <c r="N296" s="95" t="n"/>
    </row>
    <row r="297" ht="16" customHeight="1" s="151">
      <c r="A297" s="112">
        <f>IF(OR('Carga Web Cirugias'!A297="",'Carga Web Cirugias'!M297=""),"",_xludf.ISOWEEKNUM('Carga Web Cirugias'!A297))</f>
        <v/>
      </c>
      <c r="B297" s="123">
        <f>IF('Carga Web Cirugias'!A297="","",'Carga Web Cirugias'!A297)</f>
        <v/>
      </c>
      <c r="C297" s="112">
        <f>IF('Carga Web Cirugias'!M297="","",'Carga Web Cirugias'!M297)</f>
        <v/>
      </c>
      <c r="D297" s="114">
        <f>IFERROR(IF(OR(B297="",C297="",COUNTIFS($B$4:B297,B297,$C$4:C297,C297)&gt;1),"",(_xludf.AGGREGATE(14,6,MOD('Carga Web Cirugias'!$S$4:$S$500,1)/(('Carga Web Cirugias'!$A$4:$A$500=B297)*('Carga Web Cirugias'!$M$4:$M$500=C297)*('Carga Web Cirugias'!$R$4:$R$500&lt;&gt;"")*('Carga Web Cirugias'!$S$4:$S$500&lt;&gt;"")),1)-_xludf.AGGREGATE(15,6,MOD('Carga Web Cirugias'!$R$4:$R$500,1)/(('Carga Web Cirugias'!$A$4:$A$500=B297)*('Carga Web Cirugias'!$M$4:$M$500=C297)*('Carga Web Cirugias'!$R$4:$R$500&lt;&gt;"")*('Carga Web Cirugias'!$S$4:$S$500&lt;&gt;"")),1))*1440),"")</f>
        <v/>
      </c>
      <c r="E297" s="114">
        <f>IF(OR(B297="",C297="",D297=""),"",VLOOKUP(C297,'Horario Pabellones'!$A$4:$D$17,4,FALSE))</f>
        <v/>
      </c>
      <c r="F297" s="124">
        <f>IFERROR(IF(OR(D297="",E297="",E297=0),"",(D297/60)/(E297/60)),"")</f>
        <v/>
      </c>
      <c r="G297" s="112">
        <f>IF(F297="","",IF(F297&gt;=0.75,"Cumple referencia","Bajo referencia"))</f>
        <v/>
      </c>
      <c r="J297" s="94" t="n"/>
      <c r="K297" s="95" t="n"/>
      <c r="L297" s="95" t="n"/>
      <c r="M297" s="96" t="n"/>
      <c r="N297" s="95" t="n"/>
    </row>
    <row r="298" ht="16" customHeight="1" s="151">
      <c r="A298" s="109">
        <f>IF(OR('Carga Web Cirugias'!A298="",'Carga Web Cirugias'!M298=""),"",_xludf.ISOWEEKNUM('Carga Web Cirugias'!A298))</f>
        <v/>
      </c>
      <c r="B298" s="117">
        <f>IF('Carga Web Cirugias'!A298="","",'Carga Web Cirugias'!A298)</f>
        <v/>
      </c>
      <c r="C298" s="109">
        <f>IF('Carga Web Cirugias'!M298="","",'Carga Web Cirugias'!M298)</f>
        <v/>
      </c>
      <c r="D298" s="111">
        <f>IFERROR(IF(OR(B298="",C298="",COUNTIFS($B$4:B298,B298,$C$4:C298,C298)&gt;1),"",(_xludf.AGGREGATE(14,6,MOD('Carga Web Cirugias'!$S$4:$S$500,1)/(('Carga Web Cirugias'!$A$4:$A$500=B298)*('Carga Web Cirugias'!$M$4:$M$500=C298)*('Carga Web Cirugias'!$R$4:$R$500&lt;&gt;"")*('Carga Web Cirugias'!$S$4:$S$500&lt;&gt;"")),1)-_xludf.AGGREGATE(15,6,MOD('Carga Web Cirugias'!$R$4:$R$500,1)/(('Carga Web Cirugias'!$A$4:$A$500=B298)*('Carga Web Cirugias'!$M$4:$M$500=C298)*('Carga Web Cirugias'!$R$4:$R$500&lt;&gt;"")*('Carga Web Cirugias'!$S$4:$S$500&lt;&gt;"")),1))*1440),"")</f>
        <v/>
      </c>
      <c r="E298" s="111">
        <f>IF(OR(B298="",C298="",D298=""),"",VLOOKUP(C298,'Horario Pabellones'!$A$4:$D$17,4,FALSE))</f>
        <v/>
      </c>
      <c r="F298" s="118">
        <f>IFERROR(IF(OR(D298="",E298="",E298=0),"",(D298/60)/(E298/60)),"")</f>
        <v/>
      </c>
      <c r="G298" s="109">
        <f>IF(F298="","",IF(F298&gt;=0.75,"Cumple referencia","Bajo referencia"))</f>
        <v/>
      </c>
      <c r="J298" s="94" t="n"/>
      <c r="K298" s="95" t="n"/>
      <c r="L298" s="95" t="n"/>
      <c r="M298" s="96" t="n"/>
      <c r="N298" s="95" t="n"/>
    </row>
    <row r="299" ht="16" customHeight="1" s="151">
      <c r="A299" s="112">
        <f>IF(OR('Carga Web Cirugias'!A299="",'Carga Web Cirugias'!M299=""),"",_xludf.ISOWEEKNUM('Carga Web Cirugias'!A299))</f>
        <v/>
      </c>
      <c r="B299" s="123">
        <f>IF('Carga Web Cirugias'!A299="","",'Carga Web Cirugias'!A299)</f>
        <v/>
      </c>
      <c r="C299" s="112">
        <f>IF('Carga Web Cirugias'!M299="","",'Carga Web Cirugias'!M299)</f>
        <v/>
      </c>
      <c r="D299" s="114">
        <f>IFERROR(IF(OR(B299="",C299="",COUNTIFS($B$4:B299,B299,$C$4:C299,C299)&gt;1),"",(_xludf.AGGREGATE(14,6,MOD('Carga Web Cirugias'!$S$4:$S$500,1)/(('Carga Web Cirugias'!$A$4:$A$500=B299)*('Carga Web Cirugias'!$M$4:$M$500=C299)*('Carga Web Cirugias'!$R$4:$R$500&lt;&gt;"")*('Carga Web Cirugias'!$S$4:$S$500&lt;&gt;"")),1)-_xludf.AGGREGATE(15,6,MOD('Carga Web Cirugias'!$R$4:$R$500,1)/(('Carga Web Cirugias'!$A$4:$A$500=B299)*('Carga Web Cirugias'!$M$4:$M$500=C299)*('Carga Web Cirugias'!$R$4:$R$500&lt;&gt;"")*('Carga Web Cirugias'!$S$4:$S$500&lt;&gt;"")),1))*1440),"")</f>
        <v/>
      </c>
      <c r="E299" s="114">
        <f>IF(OR(B299="",C299="",D299=""),"",VLOOKUP(C299,'Horario Pabellones'!$A$4:$D$17,4,FALSE))</f>
        <v/>
      </c>
      <c r="F299" s="124">
        <f>IFERROR(IF(OR(D299="",E299="",E299=0),"",(D299/60)/(E299/60)),"")</f>
        <v/>
      </c>
      <c r="G299" s="112">
        <f>IF(F299="","",IF(F299&gt;=0.75,"Cumple referencia","Bajo referencia"))</f>
        <v/>
      </c>
      <c r="J299" s="94" t="n"/>
      <c r="K299" s="95" t="n"/>
      <c r="L299" s="95" t="n"/>
      <c r="M299" s="96" t="n"/>
      <c r="N299" s="95" t="n"/>
    </row>
    <row r="300" ht="16" customHeight="1" s="151">
      <c r="A300" s="109">
        <f>IF(OR('Carga Web Cirugias'!A300="",'Carga Web Cirugias'!M300=""),"",_xludf.ISOWEEKNUM('Carga Web Cirugias'!A300))</f>
        <v/>
      </c>
      <c r="B300" s="117">
        <f>IF('Carga Web Cirugias'!A300="","",'Carga Web Cirugias'!A300)</f>
        <v/>
      </c>
      <c r="C300" s="109">
        <f>IF('Carga Web Cirugias'!M300="","",'Carga Web Cirugias'!M300)</f>
        <v/>
      </c>
      <c r="D300" s="111">
        <f>IFERROR(IF(OR(B300="",C300="",COUNTIFS($B$4:B300,B300,$C$4:C300,C300)&gt;1),"",(_xludf.AGGREGATE(14,6,MOD('Carga Web Cirugias'!$S$4:$S$500,1)/(('Carga Web Cirugias'!$A$4:$A$500=B300)*('Carga Web Cirugias'!$M$4:$M$500=C300)*('Carga Web Cirugias'!$R$4:$R$500&lt;&gt;"")*('Carga Web Cirugias'!$S$4:$S$500&lt;&gt;"")),1)-_xludf.AGGREGATE(15,6,MOD('Carga Web Cirugias'!$R$4:$R$500,1)/(('Carga Web Cirugias'!$A$4:$A$500=B300)*('Carga Web Cirugias'!$M$4:$M$500=C300)*('Carga Web Cirugias'!$R$4:$R$500&lt;&gt;"")*('Carga Web Cirugias'!$S$4:$S$500&lt;&gt;"")),1))*1440),"")</f>
        <v/>
      </c>
      <c r="E300" s="111">
        <f>IF(OR(B300="",C300="",D300=""),"",VLOOKUP(C300,'Horario Pabellones'!$A$4:$D$17,4,FALSE))</f>
        <v/>
      </c>
      <c r="F300" s="118">
        <f>IFERROR(IF(OR(D300="",E300="",E300=0),"",(D300/60)/(E300/60)),"")</f>
        <v/>
      </c>
      <c r="G300" s="109">
        <f>IF(F300="","",IF(F300&gt;=0.75,"Cumple referencia","Bajo referencia"))</f>
        <v/>
      </c>
      <c r="J300" s="94" t="n"/>
      <c r="K300" s="95" t="n"/>
      <c r="L300" s="95" t="n"/>
      <c r="M300" s="96" t="n"/>
      <c r="N300" s="95" t="n"/>
    </row>
    <row r="301" ht="16" customHeight="1" s="151">
      <c r="A301" s="112">
        <f>IF(OR('Carga Web Cirugias'!A301="",'Carga Web Cirugias'!M301=""),"",_xludf.ISOWEEKNUM('Carga Web Cirugias'!A301))</f>
        <v/>
      </c>
      <c r="B301" s="123">
        <f>IF('Carga Web Cirugias'!A301="","",'Carga Web Cirugias'!A301)</f>
        <v/>
      </c>
      <c r="C301" s="112">
        <f>IF('Carga Web Cirugias'!M301="","",'Carga Web Cirugias'!M301)</f>
        <v/>
      </c>
      <c r="D301" s="114">
        <f>IFERROR(IF(OR(B301="",C301="",COUNTIFS($B$4:B301,B301,$C$4:C301,C301)&gt;1),"",(_xludf.AGGREGATE(14,6,MOD('Carga Web Cirugias'!$S$4:$S$500,1)/(('Carga Web Cirugias'!$A$4:$A$500=B301)*('Carga Web Cirugias'!$M$4:$M$500=C301)*('Carga Web Cirugias'!$R$4:$R$500&lt;&gt;"")*('Carga Web Cirugias'!$S$4:$S$500&lt;&gt;"")),1)-_xludf.AGGREGATE(15,6,MOD('Carga Web Cirugias'!$R$4:$R$500,1)/(('Carga Web Cirugias'!$A$4:$A$500=B301)*('Carga Web Cirugias'!$M$4:$M$500=C301)*('Carga Web Cirugias'!$R$4:$R$500&lt;&gt;"")*('Carga Web Cirugias'!$S$4:$S$500&lt;&gt;"")),1))*1440),"")</f>
        <v/>
      </c>
      <c r="E301" s="114">
        <f>IF(OR(B301="",C301="",D301=""),"",VLOOKUP(C301,'Horario Pabellones'!$A$4:$D$17,4,FALSE))</f>
        <v/>
      </c>
      <c r="F301" s="124">
        <f>IFERROR(IF(OR(D301="",E301="",E301=0),"",(D301/60)/(E301/60)),"")</f>
        <v/>
      </c>
      <c r="G301" s="112">
        <f>IF(F301="","",IF(F301&gt;=0.75,"Cumple referencia","Bajo referencia"))</f>
        <v/>
      </c>
      <c r="J301" s="94" t="n"/>
      <c r="K301" s="95" t="n"/>
      <c r="L301" s="95" t="n"/>
      <c r="M301" s="96" t="n"/>
      <c r="N301" s="95" t="n"/>
    </row>
    <row r="302" ht="16" customHeight="1" s="151">
      <c r="A302" s="109">
        <f>IF(OR('Carga Web Cirugias'!A302="",'Carga Web Cirugias'!M302=""),"",_xludf.ISOWEEKNUM('Carga Web Cirugias'!A302))</f>
        <v/>
      </c>
      <c r="B302" s="117">
        <f>IF('Carga Web Cirugias'!A302="","",'Carga Web Cirugias'!A302)</f>
        <v/>
      </c>
      <c r="C302" s="109">
        <f>IF('Carga Web Cirugias'!M302="","",'Carga Web Cirugias'!M302)</f>
        <v/>
      </c>
      <c r="D302" s="111">
        <f>IFERROR(IF(OR(B302="",C302="",COUNTIFS($B$4:B302,B302,$C$4:C302,C302)&gt;1),"",(_xludf.AGGREGATE(14,6,MOD('Carga Web Cirugias'!$S$4:$S$500,1)/(('Carga Web Cirugias'!$A$4:$A$500=B302)*('Carga Web Cirugias'!$M$4:$M$500=C302)*('Carga Web Cirugias'!$R$4:$R$500&lt;&gt;"")*('Carga Web Cirugias'!$S$4:$S$500&lt;&gt;"")),1)-_xludf.AGGREGATE(15,6,MOD('Carga Web Cirugias'!$R$4:$R$500,1)/(('Carga Web Cirugias'!$A$4:$A$500=B302)*('Carga Web Cirugias'!$M$4:$M$500=C302)*('Carga Web Cirugias'!$R$4:$R$500&lt;&gt;"")*('Carga Web Cirugias'!$S$4:$S$500&lt;&gt;"")),1))*1440),"")</f>
        <v/>
      </c>
      <c r="E302" s="111">
        <f>IF(OR(B302="",C302="",D302=""),"",VLOOKUP(C302,'Horario Pabellones'!$A$4:$D$17,4,FALSE))</f>
        <v/>
      </c>
      <c r="F302" s="118">
        <f>IFERROR(IF(OR(D302="",E302="",E302=0),"",(D302/60)/(E302/60)),"")</f>
        <v/>
      </c>
      <c r="G302" s="109">
        <f>IF(F302="","",IF(F302&gt;=0.75,"Cumple referencia","Bajo referencia"))</f>
        <v/>
      </c>
      <c r="J302" s="94" t="n"/>
      <c r="K302" s="95" t="n"/>
      <c r="L302" s="95" t="n"/>
      <c r="M302" s="96" t="n"/>
      <c r="N302" s="95" t="n"/>
    </row>
    <row r="303" ht="16" customHeight="1" s="151">
      <c r="A303" s="112">
        <f>IF(OR('Carga Web Cirugias'!A303="",'Carga Web Cirugias'!M303=""),"",_xludf.ISOWEEKNUM('Carga Web Cirugias'!A303))</f>
        <v/>
      </c>
      <c r="B303" s="123">
        <f>IF('Carga Web Cirugias'!A303="","",'Carga Web Cirugias'!A303)</f>
        <v/>
      </c>
      <c r="C303" s="112">
        <f>IF('Carga Web Cirugias'!M303="","",'Carga Web Cirugias'!M303)</f>
        <v/>
      </c>
      <c r="D303" s="114">
        <f>IFERROR(IF(OR(B303="",C303="",COUNTIFS($B$4:B303,B303,$C$4:C303,C303)&gt;1),"",(_xludf.AGGREGATE(14,6,MOD('Carga Web Cirugias'!$S$4:$S$500,1)/(('Carga Web Cirugias'!$A$4:$A$500=B303)*('Carga Web Cirugias'!$M$4:$M$500=C303)*('Carga Web Cirugias'!$R$4:$R$500&lt;&gt;"")*('Carga Web Cirugias'!$S$4:$S$500&lt;&gt;"")),1)-_xludf.AGGREGATE(15,6,MOD('Carga Web Cirugias'!$R$4:$R$500,1)/(('Carga Web Cirugias'!$A$4:$A$500=B303)*('Carga Web Cirugias'!$M$4:$M$500=C303)*('Carga Web Cirugias'!$R$4:$R$500&lt;&gt;"")*('Carga Web Cirugias'!$S$4:$S$500&lt;&gt;"")),1))*1440),"")</f>
        <v/>
      </c>
      <c r="E303" s="114">
        <f>IF(OR(B303="",C303="",D303=""),"",VLOOKUP(C303,'Horario Pabellones'!$A$4:$D$17,4,FALSE))</f>
        <v/>
      </c>
      <c r="F303" s="124">
        <f>IFERROR(IF(OR(D303="",E303="",E303=0),"",(D303/60)/(E303/60)),"")</f>
        <v/>
      </c>
      <c r="G303" s="112">
        <f>IF(F303="","",IF(F303&gt;=0.75,"Cumple referencia","Bajo referencia"))</f>
        <v/>
      </c>
      <c r="J303" s="94" t="n"/>
      <c r="K303" s="95" t="n"/>
      <c r="L303" s="95" t="n"/>
      <c r="M303" s="96" t="n"/>
      <c r="N303" s="95" t="n"/>
    </row>
    <row r="304" ht="16" customHeight="1" s="151">
      <c r="A304" s="109">
        <f>IF(OR('Carga Web Cirugias'!A304="",'Carga Web Cirugias'!M304=""),"",_xludf.ISOWEEKNUM('Carga Web Cirugias'!A304))</f>
        <v/>
      </c>
      <c r="B304" s="117">
        <f>IF('Carga Web Cirugias'!A304="","",'Carga Web Cirugias'!A304)</f>
        <v/>
      </c>
      <c r="C304" s="109">
        <f>IF('Carga Web Cirugias'!M304="","",'Carga Web Cirugias'!M304)</f>
        <v/>
      </c>
      <c r="D304" s="111">
        <f>IFERROR(IF(OR(B304="",C304="",COUNTIFS($B$4:B304,B304,$C$4:C304,C304)&gt;1),"",(_xludf.AGGREGATE(14,6,MOD('Carga Web Cirugias'!$S$4:$S$500,1)/(('Carga Web Cirugias'!$A$4:$A$500=B304)*('Carga Web Cirugias'!$M$4:$M$500=C304)*('Carga Web Cirugias'!$R$4:$R$500&lt;&gt;"")*('Carga Web Cirugias'!$S$4:$S$500&lt;&gt;"")),1)-_xludf.AGGREGATE(15,6,MOD('Carga Web Cirugias'!$R$4:$R$500,1)/(('Carga Web Cirugias'!$A$4:$A$500=B304)*('Carga Web Cirugias'!$M$4:$M$500=C304)*('Carga Web Cirugias'!$R$4:$R$500&lt;&gt;"")*('Carga Web Cirugias'!$S$4:$S$500&lt;&gt;"")),1))*1440),"")</f>
        <v/>
      </c>
      <c r="E304" s="111">
        <f>IF(OR(B304="",C304="",D304=""),"",VLOOKUP(C304,'Horario Pabellones'!$A$4:$D$17,4,FALSE))</f>
        <v/>
      </c>
      <c r="F304" s="118">
        <f>IFERROR(IF(OR(D304="",E304="",E304=0),"",(D304/60)/(E304/60)),"")</f>
        <v/>
      </c>
      <c r="G304" s="109">
        <f>IF(F304="","",IF(F304&gt;=0.75,"Cumple referencia","Bajo referencia"))</f>
        <v/>
      </c>
      <c r="J304" s="94" t="n"/>
      <c r="K304" s="95" t="n"/>
      <c r="L304" s="95" t="n"/>
      <c r="M304" s="96" t="n"/>
      <c r="N304" s="95" t="n"/>
    </row>
    <row r="305" ht="16" customHeight="1" s="151">
      <c r="A305" s="112">
        <f>IF(OR('Carga Web Cirugias'!A305="",'Carga Web Cirugias'!M305=""),"",_xludf.ISOWEEKNUM('Carga Web Cirugias'!A305))</f>
        <v/>
      </c>
      <c r="B305" s="123">
        <f>IF('Carga Web Cirugias'!A305="","",'Carga Web Cirugias'!A305)</f>
        <v/>
      </c>
      <c r="C305" s="112">
        <f>IF('Carga Web Cirugias'!M305="","",'Carga Web Cirugias'!M305)</f>
        <v/>
      </c>
      <c r="D305" s="114">
        <f>IFERROR(IF(OR(B305="",C305="",COUNTIFS($B$4:B305,B305,$C$4:C305,C305)&gt;1),"",(_xludf.AGGREGATE(14,6,MOD('Carga Web Cirugias'!$S$4:$S$500,1)/(('Carga Web Cirugias'!$A$4:$A$500=B305)*('Carga Web Cirugias'!$M$4:$M$500=C305)*('Carga Web Cirugias'!$R$4:$R$500&lt;&gt;"")*('Carga Web Cirugias'!$S$4:$S$500&lt;&gt;"")),1)-_xludf.AGGREGATE(15,6,MOD('Carga Web Cirugias'!$R$4:$R$500,1)/(('Carga Web Cirugias'!$A$4:$A$500=B305)*('Carga Web Cirugias'!$M$4:$M$500=C305)*('Carga Web Cirugias'!$R$4:$R$500&lt;&gt;"")*('Carga Web Cirugias'!$S$4:$S$500&lt;&gt;"")),1))*1440),"")</f>
        <v/>
      </c>
      <c r="E305" s="114">
        <f>IF(OR(B305="",C305="",D305=""),"",VLOOKUP(C305,'Horario Pabellones'!$A$4:$D$17,4,FALSE))</f>
        <v/>
      </c>
      <c r="F305" s="124">
        <f>IFERROR(IF(OR(D305="",E305="",E305=0),"",(D305/60)/(E305/60)),"")</f>
        <v/>
      </c>
      <c r="G305" s="112">
        <f>IF(F305="","",IF(F305&gt;=0.75,"Cumple referencia","Bajo referencia"))</f>
        <v/>
      </c>
      <c r="J305" s="94" t="n"/>
      <c r="K305" s="95" t="n"/>
      <c r="L305" s="95" t="n"/>
      <c r="M305" s="96" t="n"/>
      <c r="N305" s="95" t="n"/>
    </row>
    <row r="306" ht="16" customHeight="1" s="151">
      <c r="A306" s="109">
        <f>IF(OR('Carga Web Cirugias'!A306="",'Carga Web Cirugias'!M306=""),"",_xludf.ISOWEEKNUM('Carga Web Cirugias'!A306))</f>
        <v/>
      </c>
      <c r="B306" s="117">
        <f>IF('Carga Web Cirugias'!A306="","",'Carga Web Cirugias'!A306)</f>
        <v/>
      </c>
      <c r="C306" s="109">
        <f>IF('Carga Web Cirugias'!M306="","",'Carga Web Cirugias'!M306)</f>
        <v/>
      </c>
      <c r="D306" s="111">
        <f>IFERROR(IF(OR(B306="",C306="",COUNTIFS($B$4:B306,B306,$C$4:C306,C306)&gt;1),"",(_xludf.AGGREGATE(14,6,MOD('Carga Web Cirugias'!$S$4:$S$500,1)/(('Carga Web Cirugias'!$A$4:$A$500=B306)*('Carga Web Cirugias'!$M$4:$M$500=C306)*('Carga Web Cirugias'!$R$4:$R$500&lt;&gt;"")*('Carga Web Cirugias'!$S$4:$S$500&lt;&gt;"")),1)-_xludf.AGGREGATE(15,6,MOD('Carga Web Cirugias'!$R$4:$R$500,1)/(('Carga Web Cirugias'!$A$4:$A$500=B306)*('Carga Web Cirugias'!$M$4:$M$500=C306)*('Carga Web Cirugias'!$R$4:$R$500&lt;&gt;"")*('Carga Web Cirugias'!$S$4:$S$500&lt;&gt;"")),1))*1440),"")</f>
        <v/>
      </c>
      <c r="E306" s="111">
        <f>IF(OR(B306="",C306="",D306=""),"",VLOOKUP(C306,'Horario Pabellones'!$A$4:$D$17,4,FALSE))</f>
        <v/>
      </c>
      <c r="F306" s="118">
        <f>IFERROR(IF(OR(D306="",E306="",E306=0),"",(D306/60)/(E306/60)),"")</f>
        <v/>
      </c>
      <c r="G306" s="109">
        <f>IF(F306="","",IF(F306&gt;=0.75,"Cumple referencia","Bajo referencia"))</f>
        <v/>
      </c>
      <c r="J306" s="94" t="n"/>
      <c r="K306" s="95" t="n"/>
      <c r="L306" s="95" t="n"/>
      <c r="M306" s="96" t="n"/>
      <c r="N306" s="95" t="n"/>
    </row>
    <row r="307" ht="16" customHeight="1" s="151">
      <c r="A307" s="112">
        <f>IF(OR('Carga Web Cirugias'!A307="",'Carga Web Cirugias'!M307=""),"",_xludf.ISOWEEKNUM('Carga Web Cirugias'!A307))</f>
        <v/>
      </c>
      <c r="B307" s="123">
        <f>IF('Carga Web Cirugias'!A307="","",'Carga Web Cirugias'!A307)</f>
        <v/>
      </c>
      <c r="C307" s="112">
        <f>IF('Carga Web Cirugias'!M307="","",'Carga Web Cirugias'!M307)</f>
        <v/>
      </c>
      <c r="D307" s="114">
        <f>IFERROR(IF(OR(B307="",C307="",COUNTIFS($B$4:B307,B307,$C$4:C307,C307)&gt;1),"",(_xludf.AGGREGATE(14,6,MOD('Carga Web Cirugias'!$S$4:$S$500,1)/(('Carga Web Cirugias'!$A$4:$A$500=B307)*('Carga Web Cirugias'!$M$4:$M$500=C307)*('Carga Web Cirugias'!$R$4:$R$500&lt;&gt;"")*('Carga Web Cirugias'!$S$4:$S$500&lt;&gt;"")),1)-_xludf.AGGREGATE(15,6,MOD('Carga Web Cirugias'!$R$4:$R$500,1)/(('Carga Web Cirugias'!$A$4:$A$500=B307)*('Carga Web Cirugias'!$M$4:$M$500=C307)*('Carga Web Cirugias'!$R$4:$R$500&lt;&gt;"")*('Carga Web Cirugias'!$S$4:$S$500&lt;&gt;"")),1))*1440),"")</f>
        <v/>
      </c>
      <c r="E307" s="114">
        <f>IF(OR(B307="",C307="",D307=""),"",VLOOKUP(C307,'Horario Pabellones'!$A$4:$D$17,4,FALSE))</f>
        <v/>
      </c>
      <c r="F307" s="124">
        <f>IFERROR(IF(OR(D307="",E307="",E307=0),"",(D307/60)/(E307/60)),"")</f>
        <v/>
      </c>
      <c r="G307" s="112">
        <f>IF(F307="","",IF(F307&gt;=0.75,"Cumple referencia","Bajo referencia"))</f>
        <v/>
      </c>
      <c r="J307" s="94" t="n"/>
      <c r="K307" s="95" t="n"/>
      <c r="L307" s="95" t="n"/>
      <c r="M307" s="96" t="n"/>
      <c r="N307" s="95" t="n"/>
    </row>
    <row r="308" ht="16" customHeight="1" s="151">
      <c r="A308" s="109">
        <f>IF(OR('Carga Web Cirugias'!A308="",'Carga Web Cirugias'!M308=""),"",_xludf.ISOWEEKNUM('Carga Web Cirugias'!A308))</f>
        <v/>
      </c>
      <c r="B308" s="117">
        <f>IF('Carga Web Cirugias'!A308="","",'Carga Web Cirugias'!A308)</f>
        <v/>
      </c>
      <c r="C308" s="109">
        <f>IF('Carga Web Cirugias'!M308="","",'Carga Web Cirugias'!M308)</f>
        <v/>
      </c>
      <c r="D308" s="111">
        <f>IFERROR(IF(OR(B308="",C308="",COUNTIFS($B$4:B308,B308,$C$4:C308,C308)&gt;1),"",(_xludf.AGGREGATE(14,6,MOD('Carga Web Cirugias'!$S$4:$S$500,1)/(('Carga Web Cirugias'!$A$4:$A$500=B308)*('Carga Web Cirugias'!$M$4:$M$500=C308)*('Carga Web Cirugias'!$R$4:$R$500&lt;&gt;"")*('Carga Web Cirugias'!$S$4:$S$500&lt;&gt;"")),1)-_xludf.AGGREGATE(15,6,MOD('Carga Web Cirugias'!$R$4:$R$500,1)/(('Carga Web Cirugias'!$A$4:$A$500=B308)*('Carga Web Cirugias'!$M$4:$M$500=C308)*('Carga Web Cirugias'!$R$4:$R$500&lt;&gt;"")*('Carga Web Cirugias'!$S$4:$S$500&lt;&gt;"")),1))*1440),"")</f>
        <v/>
      </c>
      <c r="E308" s="111">
        <f>IF(OR(B308="",C308="",D308=""),"",VLOOKUP(C308,'Horario Pabellones'!$A$4:$D$17,4,FALSE))</f>
        <v/>
      </c>
      <c r="F308" s="118">
        <f>IFERROR(IF(OR(D308="",E308="",E308=0),"",(D308/60)/(E308/60)),"")</f>
        <v/>
      </c>
      <c r="G308" s="109">
        <f>IF(F308="","",IF(F308&gt;=0.75,"Cumple referencia","Bajo referencia"))</f>
        <v/>
      </c>
      <c r="J308" s="94" t="n"/>
      <c r="K308" s="95" t="n"/>
      <c r="L308" s="95" t="n"/>
      <c r="M308" s="96" t="n"/>
      <c r="N308" s="95" t="n"/>
    </row>
    <row r="309" ht="16" customHeight="1" s="151">
      <c r="A309" s="112">
        <f>IF(OR('Carga Web Cirugias'!A309="",'Carga Web Cirugias'!M309=""),"",_xludf.ISOWEEKNUM('Carga Web Cirugias'!A309))</f>
        <v/>
      </c>
      <c r="B309" s="123">
        <f>IF('Carga Web Cirugias'!A309="","",'Carga Web Cirugias'!A309)</f>
        <v/>
      </c>
      <c r="C309" s="112">
        <f>IF('Carga Web Cirugias'!M309="","",'Carga Web Cirugias'!M309)</f>
        <v/>
      </c>
      <c r="D309" s="114">
        <f>IFERROR(IF(OR(B309="",C309="",COUNTIFS($B$4:B309,B309,$C$4:C309,C309)&gt;1),"",(_xludf.AGGREGATE(14,6,MOD('Carga Web Cirugias'!$S$4:$S$500,1)/(('Carga Web Cirugias'!$A$4:$A$500=B309)*('Carga Web Cirugias'!$M$4:$M$500=C309)*('Carga Web Cirugias'!$R$4:$R$500&lt;&gt;"")*('Carga Web Cirugias'!$S$4:$S$500&lt;&gt;"")),1)-_xludf.AGGREGATE(15,6,MOD('Carga Web Cirugias'!$R$4:$R$500,1)/(('Carga Web Cirugias'!$A$4:$A$500=B309)*('Carga Web Cirugias'!$M$4:$M$500=C309)*('Carga Web Cirugias'!$R$4:$R$500&lt;&gt;"")*('Carga Web Cirugias'!$S$4:$S$500&lt;&gt;"")),1))*1440),"")</f>
        <v/>
      </c>
      <c r="E309" s="114">
        <f>IF(OR(B309="",C309="",D309=""),"",VLOOKUP(C309,'Horario Pabellones'!$A$4:$D$17,4,FALSE))</f>
        <v/>
      </c>
      <c r="F309" s="124">
        <f>IFERROR(IF(OR(D309="",E309="",E309=0),"",(D309/60)/(E309/60)),"")</f>
        <v/>
      </c>
      <c r="G309" s="112">
        <f>IF(F309="","",IF(F309&gt;=0.75,"Cumple referencia","Bajo referencia"))</f>
        <v/>
      </c>
      <c r="J309" s="94" t="n"/>
      <c r="K309" s="95" t="n"/>
      <c r="L309" s="95" t="n"/>
      <c r="M309" s="96" t="n"/>
      <c r="N309" s="95" t="n"/>
    </row>
    <row r="310" ht="16" customHeight="1" s="151">
      <c r="A310" s="109">
        <f>IF(OR('Carga Web Cirugias'!A310="",'Carga Web Cirugias'!M310=""),"",_xludf.ISOWEEKNUM('Carga Web Cirugias'!A310))</f>
        <v/>
      </c>
      <c r="B310" s="117">
        <f>IF('Carga Web Cirugias'!A310="","",'Carga Web Cirugias'!A310)</f>
        <v/>
      </c>
      <c r="C310" s="109">
        <f>IF('Carga Web Cirugias'!M310="","",'Carga Web Cirugias'!M310)</f>
        <v/>
      </c>
      <c r="D310" s="111">
        <f>IFERROR(IF(OR(B310="",C310="",COUNTIFS($B$4:B310,B310,$C$4:C310,C310)&gt;1),"",(_xludf.AGGREGATE(14,6,MOD('Carga Web Cirugias'!$S$4:$S$500,1)/(('Carga Web Cirugias'!$A$4:$A$500=B310)*('Carga Web Cirugias'!$M$4:$M$500=C310)*('Carga Web Cirugias'!$R$4:$R$500&lt;&gt;"")*('Carga Web Cirugias'!$S$4:$S$500&lt;&gt;"")),1)-_xludf.AGGREGATE(15,6,MOD('Carga Web Cirugias'!$R$4:$R$500,1)/(('Carga Web Cirugias'!$A$4:$A$500=B310)*('Carga Web Cirugias'!$M$4:$M$500=C310)*('Carga Web Cirugias'!$R$4:$R$500&lt;&gt;"")*('Carga Web Cirugias'!$S$4:$S$500&lt;&gt;"")),1))*1440),"")</f>
        <v/>
      </c>
      <c r="E310" s="111">
        <f>IF(OR(B310="",C310="",D310=""),"",VLOOKUP(C310,'Horario Pabellones'!$A$4:$D$17,4,FALSE))</f>
        <v/>
      </c>
      <c r="F310" s="118">
        <f>IFERROR(IF(OR(D310="",E310="",E310=0),"",(D310/60)/(E310/60)),"")</f>
        <v/>
      </c>
      <c r="G310" s="109">
        <f>IF(F310="","",IF(F310&gt;=0.75,"Cumple referencia","Bajo referencia"))</f>
        <v/>
      </c>
      <c r="J310" s="94" t="n"/>
      <c r="K310" s="95" t="n"/>
      <c r="L310" s="95" t="n"/>
      <c r="M310" s="96" t="n"/>
      <c r="N310" s="95" t="n"/>
    </row>
    <row r="311" ht="16" customHeight="1" s="151">
      <c r="A311" s="112">
        <f>IF(OR('Carga Web Cirugias'!A311="",'Carga Web Cirugias'!M311=""),"",_xludf.ISOWEEKNUM('Carga Web Cirugias'!A311))</f>
        <v/>
      </c>
      <c r="B311" s="123">
        <f>IF('Carga Web Cirugias'!A311="","",'Carga Web Cirugias'!A311)</f>
        <v/>
      </c>
      <c r="C311" s="112">
        <f>IF('Carga Web Cirugias'!M311="","",'Carga Web Cirugias'!M311)</f>
        <v/>
      </c>
      <c r="D311" s="114">
        <f>IFERROR(IF(OR(B311="",C311="",COUNTIFS($B$4:B311,B311,$C$4:C311,C311)&gt;1),"",(_xludf.AGGREGATE(14,6,MOD('Carga Web Cirugias'!$S$4:$S$500,1)/(('Carga Web Cirugias'!$A$4:$A$500=B311)*('Carga Web Cirugias'!$M$4:$M$500=C311)*('Carga Web Cirugias'!$R$4:$R$500&lt;&gt;"")*('Carga Web Cirugias'!$S$4:$S$500&lt;&gt;"")),1)-_xludf.AGGREGATE(15,6,MOD('Carga Web Cirugias'!$R$4:$R$500,1)/(('Carga Web Cirugias'!$A$4:$A$500=B311)*('Carga Web Cirugias'!$M$4:$M$500=C311)*('Carga Web Cirugias'!$R$4:$R$500&lt;&gt;"")*('Carga Web Cirugias'!$S$4:$S$500&lt;&gt;"")),1))*1440),"")</f>
        <v/>
      </c>
      <c r="E311" s="114">
        <f>IF(OR(B311="",C311="",D311=""),"",VLOOKUP(C311,'Horario Pabellones'!$A$4:$D$17,4,FALSE))</f>
        <v/>
      </c>
      <c r="F311" s="124">
        <f>IFERROR(IF(OR(D311="",E311="",E311=0),"",(D311/60)/(E311/60)),"")</f>
        <v/>
      </c>
      <c r="G311" s="112">
        <f>IF(F311="","",IF(F311&gt;=0.75,"Cumple referencia","Bajo referencia"))</f>
        <v/>
      </c>
      <c r="J311" s="94" t="n"/>
      <c r="K311" s="95" t="n"/>
      <c r="L311" s="95" t="n"/>
      <c r="M311" s="96" t="n"/>
      <c r="N311" s="95" t="n"/>
    </row>
    <row r="312" ht="16" customHeight="1" s="151">
      <c r="A312" s="109">
        <f>IF(OR('Carga Web Cirugias'!A312="",'Carga Web Cirugias'!M312=""),"",_xludf.ISOWEEKNUM('Carga Web Cirugias'!A312))</f>
        <v/>
      </c>
      <c r="B312" s="117">
        <f>IF('Carga Web Cirugias'!A312="","",'Carga Web Cirugias'!A312)</f>
        <v/>
      </c>
      <c r="C312" s="109">
        <f>IF('Carga Web Cirugias'!M312="","",'Carga Web Cirugias'!M312)</f>
        <v/>
      </c>
      <c r="D312" s="111">
        <f>IFERROR(IF(OR(B312="",C312="",COUNTIFS($B$4:B312,B312,$C$4:C312,C312)&gt;1),"",(_xludf.AGGREGATE(14,6,MOD('Carga Web Cirugias'!$S$4:$S$500,1)/(('Carga Web Cirugias'!$A$4:$A$500=B312)*('Carga Web Cirugias'!$M$4:$M$500=C312)*('Carga Web Cirugias'!$R$4:$R$500&lt;&gt;"")*('Carga Web Cirugias'!$S$4:$S$500&lt;&gt;"")),1)-_xludf.AGGREGATE(15,6,MOD('Carga Web Cirugias'!$R$4:$R$500,1)/(('Carga Web Cirugias'!$A$4:$A$500=B312)*('Carga Web Cirugias'!$M$4:$M$500=C312)*('Carga Web Cirugias'!$R$4:$R$500&lt;&gt;"")*('Carga Web Cirugias'!$S$4:$S$500&lt;&gt;"")),1))*1440),"")</f>
        <v/>
      </c>
      <c r="E312" s="111">
        <f>IF(OR(B312="",C312="",D312=""),"",VLOOKUP(C312,'Horario Pabellones'!$A$4:$D$17,4,FALSE))</f>
        <v/>
      </c>
      <c r="F312" s="118">
        <f>IFERROR(IF(OR(D312="",E312="",E312=0),"",(D312/60)/(E312/60)),"")</f>
        <v/>
      </c>
      <c r="G312" s="109">
        <f>IF(F312="","",IF(F312&gt;=0.75,"Cumple referencia","Bajo referencia"))</f>
        <v/>
      </c>
      <c r="J312" s="94" t="n"/>
      <c r="K312" s="95" t="n"/>
      <c r="L312" s="95" t="n"/>
      <c r="M312" s="96" t="n"/>
      <c r="N312" s="95" t="n"/>
    </row>
    <row r="313" ht="16" customHeight="1" s="151">
      <c r="A313" s="112">
        <f>IF(OR('Carga Web Cirugias'!A313="",'Carga Web Cirugias'!M313=""),"",_xludf.ISOWEEKNUM('Carga Web Cirugias'!A313))</f>
        <v/>
      </c>
      <c r="B313" s="123">
        <f>IF('Carga Web Cirugias'!A313="","",'Carga Web Cirugias'!A313)</f>
        <v/>
      </c>
      <c r="C313" s="112">
        <f>IF('Carga Web Cirugias'!M313="","",'Carga Web Cirugias'!M313)</f>
        <v/>
      </c>
      <c r="D313" s="114">
        <f>IFERROR(IF(OR(B313="",C313="",COUNTIFS($B$4:B313,B313,$C$4:C313,C313)&gt;1),"",(_xludf.AGGREGATE(14,6,MOD('Carga Web Cirugias'!$S$4:$S$500,1)/(('Carga Web Cirugias'!$A$4:$A$500=B313)*('Carga Web Cirugias'!$M$4:$M$500=C313)*('Carga Web Cirugias'!$R$4:$R$500&lt;&gt;"")*('Carga Web Cirugias'!$S$4:$S$500&lt;&gt;"")),1)-_xludf.AGGREGATE(15,6,MOD('Carga Web Cirugias'!$R$4:$R$500,1)/(('Carga Web Cirugias'!$A$4:$A$500=B313)*('Carga Web Cirugias'!$M$4:$M$500=C313)*('Carga Web Cirugias'!$R$4:$R$500&lt;&gt;"")*('Carga Web Cirugias'!$S$4:$S$500&lt;&gt;"")),1))*1440),"")</f>
        <v/>
      </c>
      <c r="E313" s="114">
        <f>IF(OR(B313="",C313="",D313=""),"",VLOOKUP(C313,'Horario Pabellones'!$A$4:$D$17,4,FALSE))</f>
        <v/>
      </c>
      <c r="F313" s="124">
        <f>IFERROR(IF(OR(D313="",E313="",E313=0),"",(D313/60)/(E313/60)),"")</f>
        <v/>
      </c>
      <c r="G313" s="112">
        <f>IF(F313="","",IF(F313&gt;=0.75,"Cumple referencia","Bajo referencia"))</f>
        <v/>
      </c>
      <c r="J313" s="94" t="n"/>
      <c r="K313" s="95" t="n"/>
      <c r="L313" s="95" t="n"/>
      <c r="M313" s="96" t="n"/>
      <c r="N313" s="95" t="n"/>
    </row>
    <row r="314" ht="16" customHeight="1" s="151">
      <c r="A314" s="109">
        <f>IF(OR('Carga Web Cirugias'!A314="",'Carga Web Cirugias'!M314=""),"",_xludf.ISOWEEKNUM('Carga Web Cirugias'!A314))</f>
        <v/>
      </c>
      <c r="B314" s="117">
        <f>IF('Carga Web Cirugias'!A314="","",'Carga Web Cirugias'!A314)</f>
        <v/>
      </c>
      <c r="C314" s="109">
        <f>IF('Carga Web Cirugias'!M314="","",'Carga Web Cirugias'!M314)</f>
        <v/>
      </c>
      <c r="D314" s="111">
        <f>IFERROR(IF(OR(B314="",C314="",COUNTIFS($B$4:B314,B314,$C$4:C314,C314)&gt;1),"",(_xludf.AGGREGATE(14,6,MOD('Carga Web Cirugias'!$S$4:$S$500,1)/(('Carga Web Cirugias'!$A$4:$A$500=B314)*('Carga Web Cirugias'!$M$4:$M$500=C314)*('Carga Web Cirugias'!$R$4:$R$500&lt;&gt;"")*('Carga Web Cirugias'!$S$4:$S$500&lt;&gt;"")),1)-_xludf.AGGREGATE(15,6,MOD('Carga Web Cirugias'!$R$4:$R$500,1)/(('Carga Web Cirugias'!$A$4:$A$500=B314)*('Carga Web Cirugias'!$M$4:$M$500=C314)*('Carga Web Cirugias'!$R$4:$R$500&lt;&gt;"")*('Carga Web Cirugias'!$S$4:$S$500&lt;&gt;"")),1))*1440),"")</f>
        <v/>
      </c>
      <c r="E314" s="111">
        <f>IF(OR(B314="",C314="",D314=""),"",VLOOKUP(C314,'Horario Pabellones'!$A$4:$D$17,4,FALSE))</f>
        <v/>
      </c>
      <c r="F314" s="118">
        <f>IFERROR(IF(OR(D314="",E314="",E314=0),"",(D314/60)/(E314/60)),"")</f>
        <v/>
      </c>
      <c r="G314" s="109">
        <f>IF(F314="","",IF(F314&gt;=0.75,"Cumple referencia","Bajo referencia"))</f>
        <v/>
      </c>
      <c r="J314" s="94" t="n"/>
      <c r="K314" s="95" t="n"/>
      <c r="L314" s="95" t="n"/>
      <c r="M314" s="96" t="n"/>
      <c r="N314" s="95" t="n"/>
    </row>
    <row r="315" ht="16" customHeight="1" s="151">
      <c r="A315" s="112">
        <f>IF(OR('Carga Web Cirugias'!A315="",'Carga Web Cirugias'!M315=""),"",_xludf.ISOWEEKNUM('Carga Web Cirugias'!A315))</f>
        <v/>
      </c>
      <c r="B315" s="123">
        <f>IF('Carga Web Cirugias'!A315="","",'Carga Web Cirugias'!A315)</f>
        <v/>
      </c>
      <c r="C315" s="112">
        <f>IF('Carga Web Cirugias'!M315="","",'Carga Web Cirugias'!M315)</f>
        <v/>
      </c>
      <c r="D315" s="114">
        <f>IFERROR(IF(OR(B315="",C315="",COUNTIFS($B$4:B315,B315,$C$4:C315,C315)&gt;1),"",(_xludf.AGGREGATE(14,6,MOD('Carga Web Cirugias'!$S$4:$S$500,1)/(('Carga Web Cirugias'!$A$4:$A$500=B315)*('Carga Web Cirugias'!$M$4:$M$500=C315)*('Carga Web Cirugias'!$R$4:$R$500&lt;&gt;"")*('Carga Web Cirugias'!$S$4:$S$500&lt;&gt;"")),1)-_xludf.AGGREGATE(15,6,MOD('Carga Web Cirugias'!$R$4:$R$500,1)/(('Carga Web Cirugias'!$A$4:$A$500=B315)*('Carga Web Cirugias'!$M$4:$M$500=C315)*('Carga Web Cirugias'!$R$4:$R$500&lt;&gt;"")*('Carga Web Cirugias'!$S$4:$S$500&lt;&gt;"")),1))*1440),"")</f>
        <v/>
      </c>
      <c r="E315" s="114">
        <f>IF(OR(B315="",C315="",D315=""),"",VLOOKUP(C315,'Horario Pabellones'!$A$4:$D$17,4,FALSE))</f>
        <v/>
      </c>
      <c r="F315" s="124">
        <f>IFERROR(IF(OR(D315="",E315="",E315=0),"",(D315/60)/(E315/60)),"")</f>
        <v/>
      </c>
      <c r="G315" s="112">
        <f>IF(F315="","",IF(F315&gt;=0.75,"Cumple referencia","Bajo referencia"))</f>
        <v/>
      </c>
      <c r="J315" s="94" t="n"/>
      <c r="K315" s="95" t="n"/>
      <c r="L315" s="95" t="n"/>
      <c r="M315" s="96" t="n"/>
      <c r="N315" s="95" t="n"/>
    </row>
    <row r="316" ht="16" customHeight="1" s="151">
      <c r="A316" s="109">
        <f>IF(OR('Carga Web Cirugias'!A316="",'Carga Web Cirugias'!M316=""),"",_xludf.ISOWEEKNUM('Carga Web Cirugias'!A316))</f>
        <v/>
      </c>
      <c r="B316" s="117">
        <f>IF('Carga Web Cirugias'!A316="","",'Carga Web Cirugias'!A316)</f>
        <v/>
      </c>
      <c r="C316" s="109">
        <f>IF('Carga Web Cirugias'!M316="","",'Carga Web Cirugias'!M316)</f>
        <v/>
      </c>
      <c r="D316" s="111">
        <f>IFERROR(IF(OR(B316="",C316="",COUNTIFS($B$4:B316,B316,$C$4:C316,C316)&gt;1),"",(_xludf.AGGREGATE(14,6,MOD('Carga Web Cirugias'!$S$4:$S$500,1)/(('Carga Web Cirugias'!$A$4:$A$500=B316)*('Carga Web Cirugias'!$M$4:$M$500=C316)*('Carga Web Cirugias'!$R$4:$R$500&lt;&gt;"")*('Carga Web Cirugias'!$S$4:$S$500&lt;&gt;"")),1)-_xludf.AGGREGATE(15,6,MOD('Carga Web Cirugias'!$R$4:$R$500,1)/(('Carga Web Cirugias'!$A$4:$A$500=B316)*('Carga Web Cirugias'!$M$4:$M$500=C316)*('Carga Web Cirugias'!$R$4:$R$500&lt;&gt;"")*('Carga Web Cirugias'!$S$4:$S$500&lt;&gt;"")),1))*1440),"")</f>
        <v/>
      </c>
      <c r="E316" s="111">
        <f>IF(OR(B316="",C316="",D316=""),"",VLOOKUP(C316,'Horario Pabellones'!$A$4:$D$17,4,FALSE))</f>
        <v/>
      </c>
      <c r="F316" s="118">
        <f>IFERROR(IF(OR(D316="",E316="",E316=0),"",(D316/60)/(E316/60)),"")</f>
        <v/>
      </c>
      <c r="G316" s="109">
        <f>IF(F316="","",IF(F316&gt;=0.75,"Cumple referencia","Bajo referencia"))</f>
        <v/>
      </c>
      <c r="J316" s="94" t="n"/>
      <c r="K316" s="95" t="n"/>
      <c r="L316" s="95" t="n"/>
      <c r="M316" s="96" t="n"/>
      <c r="N316" s="95" t="n"/>
    </row>
    <row r="317" ht="16" customHeight="1" s="151">
      <c r="A317" s="112">
        <f>IF(OR('Carga Web Cirugias'!A317="",'Carga Web Cirugias'!M317=""),"",_xludf.ISOWEEKNUM('Carga Web Cirugias'!A317))</f>
        <v/>
      </c>
      <c r="B317" s="123">
        <f>IF('Carga Web Cirugias'!A317="","",'Carga Web Cirugias'!A317)</f>
        <v/>
      </c>
      <c r="C317" s="112">
        <f>IF('Carga Web Cirugias'!M317="","",'Carga Web Cirugias'!M317)</f>
        <v/>
      </c>
      <c r="D317" s="114">
        <f>IFERROR(IF(OR(B317="",C317="",COUNTIFS($B$4:B317,B317,$C$4:C317,C317)&gt;1),"",(_xludf.AGGREGATE(14,6,MOD('Carga Web Cirugias'!$S$4:$S$500,1)/(('Carga Web Cirugias'!$A$4:$A$500=B317)*('Carga Web Cirugias'!$M$4:$M$500=C317)*('Carga Web Cirugias'!$R$4:$R$500&lt;&gt;"")*('Carga Web Cirugias'!$S$4:$S$500&lt;&gt;"")),1)-_xludf.AGGREGATE(15,6,MOD('Carga Web Cirugias'!$R$4:$R$500,1)/(('Carga Web Cirugias'!$A$4:$A$500=B317)*('Carga Web Cirugias'!$M$4:$M$500=C317)*('Carga Web Cirugias'!$R$4:$R$500&lt;&gt;"")*('Carga Web Cirugias'!$S$4:$S$500&lt;&gt;"")),1))*1440),"")</f>
        <v/>
      </c>
      <c r="E317" s="114">
        <f>IF(OR(B317="",C317="",D317=""),"",VLOOKUP(C317,'Horario Pabellones'!$A$4:$D$17,4,FALSE))</f>
        <v/>
      </c>
      <c r="F317" s="124">
        <f>IFERROR(IF(OR(D317="",E317="",E317=0),"",(D317/60)/(E317/60)),"")</f>
        <v/>
      </c>
      <c r="G317" s="112">
        <f>IF(F317="","",IF(F317&gt;=0.75,"Cumple referencia","Bajo referencia"))</f>
        <v/>
      </c>
      <c r="J317" s="94" t="n"/>
      <c r="K317" s="95" t="n"/>
      <c r="L317" s="95" t="n"/>
      <c r="M317" s="96" t="n"/>
      <c r="N317" s="95" t="n"/>
    </row>
    <row r="318" ht="16" customHeight="1" s="151">
      <c r="A318" s="109">
        <f>IF(OR('Carga Web Cirugias'!A318="",'Carga Web Cirugias'!M318=""),"",_xludf.ISOWEEKNUM('Carga Web Cirugias'!A318))</f>
        <v/>
      </c>
      <c r="B318" s="117">
        <f>IF('Carga Web Cirugias'!A318="","",'Carga Web Cirugias'!A318)</f>
        <v/>
      </c>
      <c r="C318" s="109">
        <f>IF('Carga Web Cirugias'!M318="","",'Carga Web Cirugias'!M318)</f>
        <v/>
      </c>
      <c r="D318" s="111">
        <f>IFERROR(IF(OR(B318="",C318="",COUNTIFS($B$4:B318,B318,$C$4:C318,C318)&gt;1),"",(_xludf.AGGREGATE(14,6,MOD('Carga Web Cirugias'!$S$4:$S$500,1)/(('Carga Web Cirugias'!$A$4:$A$500=B318)*('Carga Web Cirugias'!$M$4:$M$500=C318)*('Carga Web Cirugias'!$R$4:$R$500&lt;&gt;"")*('Carga Web Cirugias'!$S$4:$S$500&lt;&gt;"")),1)-_xludf.AGGREGATE(15,6,MOD('Carga Web Cirugias'!$R$4:$R$500,1)/(('Carga Web Cirugias'!$A$4:$A$500=B318)*('Carga Web Cirugias'!$M$4:$M$500=C318)*('Carga Web Cirugias'!$R$4:$R$500&lt;&gt;"")*('Carga Web Cirugias'!$S$4:$S$500&lt;&gt;"")),1))*1440),"")</f>
        <v/>
      </c>
      <c r="E318" s="111">
        <f>IF(OR(B318="",C318="",D318=""),"",VLOOKUP(C318,'Horario Pabellones'!$A$4:$D$17,4,FALSE))</f>
        <v/>
      </c>
      <c r="F318" s="118">
        <f>IFERROR(IF(OR(D318="",E318="",E318=0),"",(D318/60)/(E318/60)),"")</f>
        <v/>
      </c>
      <c r="G318" s="109">
        <f>IF(F318="","",IF(F318&gt;=0.75,"Cumple referencia","Bajo referencia"))</f>
        <v/>
      </c>
      <c r="J318" s="94" t="n"/>
      <c r="K318" s="95" t="n"/>
      <c r="L318" s="95" t="n"/>
      <c r="M318" s="96" t="n"/>
      <c r="N318" s="95" t="n"/>
    </row>
    <row r="319" ht="16" customHeight="1" s="151">
      <c r="A319" s="112">
        <f>IF(OR('Carga Web Cirugias'!A319="",'Carga Web Cirugias'!M319=""),"",_xludf.ISOWEEKNUM('Carga Web Cirugias'!A319))</f>
        <v/>
      </c>
      <c r="B319" s="123">
        <f>IF('Carga Web Cirugias'!A319="","",'Carga Web Cirugias'!A319)</f>
        <v/>
      </c>
      <c r="C319" s="112">
        <f>IF('Carga Web Cirugias'!M319="","",'Carga Web Cirugias'!M319)</f>
        <v/>
      </c>
      <c r="D319" s="114">
        <f>IFERROR(IF(OR(B319="",C319="",COUNTIFS($B$4:B319,B319,$C$4:C319,C319)&gt;1),"",(_xludf.AGGREGATE(14,6,MOD('Carga Web Cirugias'!$S$4:$S$500,1)/(('Carga Web Cirugias'!$A$4:$A$500=B319)*('Carga Web Cirugias'!$M$4:$M$500=C319)*('Carga Web Cirugias'!$R$4:$R$500&lt;&gt;"")*('Carga Web Cirugias'!$S$4:$S$500&lt;&gt;"")),1)-_xludf.AGGREGATE(15,6,MOD('Carga Web Cirugias'!$R$4:$R$500,1)/(('Carga Web Cirugias'!$A$4:$A$500=B319)*('Carga Web Cirugias'!$M$4:$M$500=C319)*('Carga Web Cirugias'!$R$4:$R$500&lt;&gt;"")*('Carga Web Cirugias'!$S$4:$S$500&lt;&gt;"")),1))*1440),"")</f>
        <v/>
      </c>
      <c r="E319" s="114">
        <f>IF(OR(B319="",C319="",D319=""),"",VLOOKUP(C319,'Horario Pabellones'!$A$4:$D$17,4,FALSE))</f>
        <v/>
      </c>
      <c r="F319" s="124">
        <f>IFERROR(IF(OR(D319="",E319="",E319=0),"",(D319/60)/(E319/60)),"")</f>
        <v/>
      </c>
      <c r="G319" s="112">
        <f>IF(F319="","",IF(F319&gt;=0.75,"Cumple referencia","Bajo referencia"))</f>
        <v/>
      </c>
      <c r="J319" s="94" t="n"/>
      <c r="K319" s="95" t="n"/>
      <c r="L319" s="95" t="n"/>
      <c r="M319" s="96" t="n"/>
      <c r="N319" s="95" t="n"/>
    </row>
    <row r="320" ht="16" customHeight="1" s="151">
      <c r="A320" s="109">
        <f>IF(OR('Carga Web Cirugias'!A320="",'Carga Web Cirugias'!M320=""),"",_xludf.ISOWEEKNUM('Carga Web Cirugias'!A320))</f>
        <v/>
      </c>
      <c r="B320" s="117">
        <f>IF('Carga Web Cirugias'!A320="","",'Carga Web Cirugias'!A320)</f>
        <v/>
      </c>
      <c r="C320" s="109">
        <f>IF('Carga Web Cirugias'!M320="","",'Carga Web Cirugias'!M320)</f>
        <v/>
      </c>
      <c r="D320" s="111">
        <f>IFERROR(IF(OR(B320="",C320="",COUNTIFS($B$4:B320,B320,$C$4:C320,C320)&gt;1),"",(_xludf.AGGREGATE(14,6,MOD('Carga Web Cirugias'!$S$4:$S$500,1)/(('Carga Web Cirugias'!$A$4:$A$500=B320)*('Carga Web Cirugias'!$M$4:$M$500=C320)*('Carga Web Cirugias'!$R$4:$R$500&lt;&gt;"")*('Carga Web Cirugias'!$S$4:$S$500&lt;&gt;"")),1)-_xludf.AGGREGATE(15,6,MOD('Carga Web Cirugias'!$R$4:$R$500,1)/(('Carga Web Cirugias'!$A$4:$A$500=B320)*('Carga Web Cirugias'!$M$4:$M$500=C320)*('Carga Web Cirugias'!$R$4:$R$500&lt;&gt;"")*('Carga Web Cirugias'!$S$4:$S$500&lt;&gt;"")),1))*1440),"")</f>
        <v/>
      </c>
      <c r="E320" s="111">
        <f>IF(OR(B320="",C320="",D320=""),"",VLOOKUP(C320,'Horario Pabellones'!$A$4:$D$17,4,FALSE))</f>
        <v/>
      </c>
      <c r="F320" s="118">
        <f>IFERROR(IF(OR(D320="",E320="",E320=0),"",(D320/60)/(E320/60)),"")</f>
        <v/>
      </c>
      <c r="G320" s="109">
        <f>IF(F320="","",IF(F320&gt;=0.75,"Cumple referencia","Bajo referencia"))</f>
        <v/>
      </c>
      <c r="J320" s="94" t="n"/>
      <c r="K320" s="95" t="n"/>
      <c r="L320" s="95" t="n"/>
      <c r="M320" s="96" t="n"/>
      <c r="N320" s="95" t="n"/>
    </row>
    <row r="321" ht="16" customHeight="1" s="151">
      <c r="A321" s="112">
        <f>IF(OR('Carga Web Cirugias'!A321="",'Carga Web Cirugias'!M321=""),"",_xludf.ISOWEEKNUM('Carga Web Cirugias'!A321))</f>
        <v/>
      </c>
      <c r="B321" s="123">
        <f>IF('Carga Web Cirugias'!A321="","",'Carga Web Cirugias'!A321)</f>
        <v/>
      </c>
      <c r="C321" s="112">
        <f>IF('Carga Web Cirugias'!M321="","",'Carga Web Cirugias'!M321)</f>
        <v/>
      </c>
      <c r="D321" s="114">
        <f>IFERROR(IF(OR(B321="",C321="",COUNTIFS($B$4:B321,B321,$C$4:C321,C321)&gt;1),"",(_xludf.AGGREGATE(14,6,MOD('Carga Web Cirugias'!$S$4:$S$500,1)/(('Carga Web Cirugias'!$A$4:$A$500=B321)*('Carga Web Cirugias'!$M$4:$M$500=C321)*('Carga Web Cirugias'!$R$4:$R$500&lt;&gt;"")*('Carga Web Cirugias'!$S$4:$S$500&lt;&gt;"")),1)-_xludf.AGGREGATE(15,6,MOD('Carga Web Cirugias'!$R$4:$R$500,1)/(('Carga Web Cirugias'!$A$4:$A$500=B321)*('Carga Web Cirugias'!$M$4:$M$500=C321)*('Carga Web Cirugias'!$R$4:$R$500&lt;&gt;"")*('Carga Web Cirugias'!$S$4:$S$500&lt;&gt;"")),1))*1440),"")</f>
        <v/>
      </c>
      <c r="E321" s="114">
        <f>IF(OR(B321="",C321="",D321=""),"",VLOOKUP(C321,'Horario Pabellones'!$A$4:$D$17,4,FALSE))</f>
        <v/>
      </c>
      <c r="F321" s="124">
        <f>IFERROR(IF(OR(D321="",E321="",E321=0),"",(D321/60)/(E321/60)),"")</f>
        <v/>
      </c>
      <c r="G321" s="112">
        <f>IF(F321="","",IF(F321&gt;=0.75,"Cumple referencia","Bajo referencia"))</f>
        <v/>
      </c>
      <c r="J321" s="94" t="n"/>
      <c r="K321" s="95" t="n"/>
      <c r="L321" s="95" t="n"/>
      <c r="M321" s="96" t="n"/>
      <c r="N321" s="95" t="n"/>
    </row>
    <row r="322" ht="16" customHeight="1" s="151">
      <c r="A322" s="109">
        <f>IF(OR('Carga Web Cirugias'!A322="",'Carga Web Cirugias'!M322=""),"",_xludf.ISOWEEKNUM('Carga Web Cirugias'!A322))</f>
        <v/>
      </c>
      <c r="B322" s="117">
        <f>IF('Carga Web Cirugias'!A322="","",'Carga Web Cirugias'!A322)</f>
        <v/>
      </c>
      <c r="C322" s="109">
        <f>IF('Carga Web Cirugias'!M322="","",'Carga Web Cirugias'!M322)</f>
        <v/>
      </c>
      <c r="D322" s="111">
        <f>IFERROR(IF(OR(B322="",C322="",COUNTIFS($B$4:B322,B322,$C$4:C322,C322)&gt;1),"",(_xludf.AGGREGATE(14,6,MOD('Carga Web Cirugias'!$S$4:$S$500,1)/(('Carga Web Cirugias'!$A$4:$A$500=B322)*('Carga Web Cirugias'!$M$4:$M$500=C322)*('Carga Web Cirugias'!$R$4:$R$500&lt;&gt;"")*('Carga Web Cirugias'!$S$4:$S$500&lt;&gt;"")),1)-_xludf.AGGREGATE(15,6,MOD('Carga Web Cirugias'!$R$4:$R$500,1)/(('Carga Web Cirugias'!$A$4:$A$500=B322)*('Carga Web Cirugias'!$M$4:$M$500=C322)*('Carga Web Cirugias'!$R$4:$R$500&lt;&gt;"")*('Carga Web Cirugias'!$S$4:$S$500&lt;&gt;"")),1))*1440),"")</f>
        <v/>
      </c>
      <c r="E322" s="111">
        <f>IF(OR(B322="",C322="",D322=""),"",VLOOKUP(C322,'Horario Pabellones'!$A$4:$D$17,4,FALSE))</f>
        <v/>
      </c>
      <c r="F322" s="118">
        <f>IFERROR(IF(OR(D322="",E322="",E322=0),"",(D322/60)/(E322/60)),"")</f>
        <v/>
      </c>
      <c r="G322" s="109">
        <f>IF(F322="","",IF(F322&gt;=0.75,"Cumple referencia","Bajo referencia"))</f>
        <v/>
      </c>
      <c r="J322" s="94" t="n"/>
      <c r="K322" s="95" t="n"/>
      <c r="L322" s="95" t="n"/>
      <c r="M322" s="96" t="n"/>
      <c r="N322" s="95" t="n"/>
    </row>
    <row r="323" ht="16" customHeight="1" s="151">
      <c r="A323" s="112">
        <f>IF(OR('Carga Web Cirugias'!A323="",'Carga Web Cirugias'!M323=""),"",_xludf.ISOWEEKNUM('Carga Web Cirugias'!A323))</f>
        <v/>
      </c>
      <c r="B323" s="123">
        <f>IF('Carga Web Cirugias'!A323="","",'Carga Web Cirugias'!A323)</f>
        <v/>
      </c>
      <c r="C323" s="112">
        <f>IF('Carga Web Cirugias'!M323="","",'Carga Web Cirugias'!M323)</f>
        <v/>
      </c>
      <c r="D323" s="114">
        <f>IFERROR(IF(OR(B323="",C323="",COUNTIFS($B$4:B323,B323,$C$4:C323,C323)&gt;1),"",(_xludf.AGGREGATE(14,6,MOD('Carga Web Cirugias'!$S$4:$S$500,1)/(('Carga Web Cirugias'!$A$4:$A$500=B323)*('Carga Web Cirugias'!$M$4:$M$500=C323)*('Carga Web Cirugias'!$R$4:$R$500&lt;&gt;"")*('Carga Web Cirugias'!$S$4:$S$500&lt;&gt;"")),1)-_xludf.AGGREGATE(15,6,MOD('Carga Web Cirugias'!$R$4:$R$500,1)/(('Carga Web Cirugias'!$A$4:$A$500=B323)*('Carga Web Cirugias'!$M$4:$M$500=C323)*('Carga Web Cirugias'!$R$4:$R$500&lt;&gt;"")*('Carga Web Cirugias'!$S$4:$S$500&lt;&gt;"")),1))*1440),"")</f>
        <v/>
      </c>
      <c r="E323" s="114">
        <f>IF(OR(B323="",C323="",D323=""),"",VLOOKUP(C323,'Horario Pabellones'!$A$4:$D$17,4,FALSE))</f>
        <v/>
      </c>
      <c r="F323" s="124">
        <f>IFERROR(IF(OR(D323="",E323="",E323=0),"",(D323/60)/(E323/60)),"")</f>
        <v/>
      </c>
      <c r="G323" s="112">
        <f>IF(F323="","",IF(F323&gt;=0.75,"Cumple referencia","Bajo referencia"))</f>
        <v/>
      </c>
      <c r="J323" s="94" t="n"/>
      <c r="K323" s="95" t="n"/>
      <c r="L323" s="95" t="n"/>
      <c r="M323" s="96" t="n"/>
      <c r="N323" s="95" t="n"/>
    </row>
    <row r="324" ht="16" customHeight="1" s="151">
      <c r="A324" s="109">
        <f>IF(OR('Carga Web Cirugias'!A324="",'Carga Web Cirugias'!M324=""),"",_xludf.ISOWEEKNUM('Carga Web Cirugias'!A324))</f>
        <v/>
      </c>
      <c r="B324" s="117">
        <f>IF('Carga Web Cirugias'!A324="","",'Carga Web Cirugias'!A324)</f>
        <v/>
      </c>
      <c r="C324" s="109">
        <f>IF('Carga Web Cirugias'!M324="","",'Carga Web Cirugias'!M324)</f>
        <v/>
      </c>
      <c r="D324" s="111">
        <f>IFERROR(IF(OR(B324="",C324="",COUNTIFS($B$4:B324,B324,$C$4:C324,C324)&gt;1),"",(_xludf.AGGREGATE(14,6,MOD('Carga Web Cirugias'!$S$4:$S$500,1)/(('Carga Web Cirugias'!$A$4:$A$500=B324)*('Carga Web Cirugias'!$M$4:$M$500=C324)*('Carga Web Cirugias'!$R$4:$R$500&lt;&gt;"")*('Carga Web Cirugias'!$S$4:$S$500&lt;&gt;"")),1)-_xludf.AGGREGATE(15,6,MOD('Carga Web Cirugias'!$R$4:$R$500,1)/(('Carga Web Cirugias'!$A$4:$A$500=B324)*('Carga Web Cirugias'!$M$4:$M$500=C324)*('Carga Web Cirugias'!$R$4:$R$500&lt;&gt;"")*('Carga Web Cirugias'!$S$4:$S$500&lt;&gt;"")),1))*1440),"")</f>
        <v/>
      </c>
      <c r="E324" s="111">
        <f>IF(OR(B324="",C324="",D324=""),"",VLOOKUP(C324,'Horario Pabellones'!$A$4:$D$17,4,FALSE))</f>
        <v/>
      </c>
      <c r="F324" s="118">
        <f>IFERROR(IF(OR(D324="",E324="",E324=0),"",(D324/60)/(E324/60)),"")</f>
        <v/>
      </c>
      <c r="G324" s="109">
        <f>IF(F324="","",IF(F324&gt;=0.75,"Cumple referencia","Bajo referencia"))</f>
        <v/>
      </c>
      <c r="J324" s="94" t="n"/>
      <c r="K324" s="95" t="n"/>
      <c r="L324" s="95" t="n"/>
      <c r="M324" s="96" t="n"/>
      <c r="N324" s="95" t="n"/>
    </row>
    <row r="325" ht="16" customHeight="1" s="151">
      <c r="A325" s="112">
        <f>IF(OR('Carga Web Cirugias'!A325="",'Carga Web Cirugias'!M325=""),"",_xludf.ISOWEEKNUM('Carga Web Cirugias'!A325))</f>
        <v/>
      </c>
      <c r="B325" s="123">
        <f>IF('Carga Web Cirugias'!A325="","",'Carga Web Cirugias'!A325)</f>
        <v/>
      </c>
      <c r="C325" s="112">
        <f>IF('Carga Web Cirugias'!M325="","",'Carga Web Cirugias'!M325)</f>
        <v/>
      </c>
      <c r="D325" s="114">
        <f>IFERROR(IF(OR(B325="",C325="",COUNTIFS($B$4:B325,B325,$C$4:C325,C325)&gt;1),"",(_xludf.AGGREGATE(14,6,MOD('Carga Web Cirugias'!$S$4:$S$500,1)/(('Carga Web Cirugias'!$A$4:$A$500=B325)*('Carga Web Cirugias'!$M$4:$M$500=C325)*('Carga Web Cirugias'!$R$4:$R$500&lt;&gt;"")*('Carga Web Cirugias'!$S$4:$S$500&lt;&gt;"")),1)-_xludf.AGGREGATE(15,6,MOD('Carga Web Cirugias'!$R$4:$R$500,1)/(('Carga Web Cirugias'!$A$4:$A$500=B325)*('Carga Web Cirugias'!$M$4:$M$500=C325)*('Carga Web Cirugias'!$R$4:$R$500&lt;&gt;"")*('Carga Web Cirugias'!$S$4:$S$500&lt;&gt;"")),1))*1440),"")</f>
        <v/>
      </c>
      <c r="E325" s="114">
        <f>IF(OR(B325="",C325="",D325=""),"",VLOOKUP(C325,'Horario Pabellones'!$A$4:$D$17,4,FALSE))</f>
        <v/>
      </c>
      <c r="F325" s="124">
        <f>IFERROR(IF(OR(D325="",E325="",E325=0),"",(D325/60)/(E325/60)),"")</f>
        <v/>
      </c>
      <c r="G325" s="112">
        <f>IF(F325="","",IF(F325&gt;=0.75,"Cumple referencia","Bajo referencia"))</f>
        <v/>
      </c>
      <c r="J325" s="94" t="n"/>
      <c r="K325" s="95" t="n"/>
      <c r="L325" s="95" t="n"/>
      <c r="M325" s="96" t="n"/>
      <c r="N325" s="95" t="n"/>
    </row>
    <row r="326" ht="16" customHeight="1" s="151">
      <c r="A326" s="109">
        <f>IF(OR('Carga Web Cirugias'!A326="",'Carga Web Cirugias'!M326=""),"",_xludf.ISOWEEKNUM('Carga Web Cirugias'!A326))</f>
        <v/>
      </c>
      <c r="B326" s="117">
        <f>IF('Carga Web Cirugias'!A326="","",'Carga Web Cirugias'!A326)</f>
        <v/>
      </c>
      <c r="C326" s="109">
        <f>IF('Carga Web Cirugias'!M326="","",'Carga Web Cirugias'!M326)</f>
        <v/>
      </c>
      <c r="D326" s="111">
        <f>IFERROR(IF(OR(B326="",C326="",COUNTIFS($B$4:B326,B326,$C$4:C326,C326)&gt;1),"",(_xludf.AGGREGATE(14,6,MOD('Carga Web Cirugias'!$S$4:$S$500,1)/(('Carga Web Cirugias'!$A$4:$A$500=B326)*('Carga Web Cirugias'!$M$4:$M$500=C326)*('Carga Web Cirugias'!$R$4:$R$500&lt;&gt;"")*('Carga Web Cirugias'!$S$4:$S$500&lt;&gt;"")),1)-_xludf.AGGREGATE(15,6,MOD('Carga Web Cirugias'!$R$4:$R$500,1)/(('Carga Web Cirugias'!$A$4:$A$500=B326)*('Carga Web Cirugias'!$M$4:$M$500=C326)*('Carga Web Cirugias'!$R$4:$R$500&lt;&gt;"")*('Carga Web Cirugias'!$S$4:$S$500&lt;&gt;"")),1))*1440),"")</f>
        <v/>
      </c>
      <c r="E326" s="111">
        <f>IF(OR(B326="",C326="",D326=""),"",VLOOKUP(C326,'Horario Pabellones'!$A$4:$D$17,4,FALSE))</f>
        <v/>
      </c>
      <c r="F326" s="118">
        <f>IFERROR(IF(OR(D326="",E326="",E326=0),"",(D326/60)/(E326/60)),"")</f>
        <v/>
      </c>
      <c r="G326" s="109">
        <f>IF(F326="","",IF(F326&gt;=0.75,"Cumple referencia","Bajo referencia"))</f>
        <v/>
      </c>
      <c r="J326" s="94" t="n"/>
      <c r="K326" s="95" t="n"/>
      <c r="L326" s="95" t="n"/>
      <c r="M326" s="96" t="n"/>
      <c r="N326" s="95" t="n"/>
    </row>
    <row r="327" ht="16" customHeight="1" s="151">
      <c r="A327" s="112">
        <f>IF(OR('Carga Web Cirugias'!A327="",'Carga Web Cirugias'!M327=""),"",_xludf.ISOWEEKNUM('Carga Web Cirugias'!A327))</f>
        <v/>
      </c>
      <c r="B327" s="123">
        <f>IF('Carga Web Cirugias'!A327="","",'Carga Web Cirugias'!A327)</f>
        <v/>
      </c>
      <c r="C327" s="112">
        <f>IF('Carga Web Cirugias'!M327="","",'Carga Web Cirugias'!M327)</f>
        <v/>
      </c>
      <c r="D327" s="114">
        <f>IFERROR(IF(OR(B327="",C327="",COUNTIFS($B$4:B327,B327,$C$4:C327,C327)&gt;1),"",(_xludf.AGGREGATE(14,6,MOD('Carga Web Cirugias'!$S$4:$S$500,1)/(('Carga Web Cirugias'!$A$4:$A$500=B327)*('Carga Web Cirugias'!$M$4:$M$500=C327)*('Carga Web Cirugias'!$R$4:$R$500&lt;&gt;"")*('Carga Web Cirugias'!$S$4:$S$500&lt;&gt;"")),1)-_xludf.AGGREGATE(15,6,MOD('Carga Web Cirugias'!$R$4:$R$500,1)/(('Carga Web Cirugias'!$A$4:$A$500=B327)*('Carga Web Cirugias'!$M$4:$M$500=C327)*('Carga Web Cirugias'!$R$4:$R$500&lt;&gt;"")*('Carga Web Cirugias'!$S$4:$S$500&lt;&gt;"")),1))*1440),"")</f>
        <v/>
      </c>
      <c r="E327" s="114">
        <f>IF(OR(B327="",C327="",D327=""),"",VLOOKUP(C327,'Horario Pabellones'!$A$4:$D$17,4,FALSE))</f>
        <v/>
      </c>
      <c r="F327" s="124">
        <f>IFERROR(IF(OR(D327="",E327="",E327=0),"",(D327/60)/(E327/60)),"")</f>
        <v/>
      </c>
      <c r="G327" s="112">
        <f>IF(F327="","",IF(F327&gt;=0.75,"Cumple referencia","Bajo referencia"))</f>
        <v/>
      </c>
      <c r="J327" s="94" t="n"/>
      <c r="K327" s="95" t="n"/>
      <c r="L327" s="95" t="n"/>
      <c r="M327" s="96" t="n"/>
      <c r="N327" s="95" t="n"/>
    </row>
    <row r="328" ht="16" customHeight="1" s="151">
      <c r="A328" s="109">
        <f>IF(OR('Carga Web Cirugias'!A328="",'Carga Web Cirugias'!M328=""),"",_xludf.ISOWEEKNUM('Carga Web Cirugias'!A328))</f>
        <v/>
      </c>
      <c r="B328" s="117">
        <f>IF('Carga Web Cirugias'!A328="","",'Carga Web Cirugias'!A328)</f>
        <v/>
      </c>
      <c r="C328" s="109">
        <f>IF('Carga Web Cirugias'!M328="","",'Carga Web Cirugias'!M328)</f>
        <v/>
      </c>
      <c r="D328" s="111">
        <f>IFERROR(IF(OR(B328="",C328="",COUNTIFS($B$4:B328,B328,$C$4:C328,C328)&gt;1),"",(_xludf.AGGREGATE(14,6,MOD('Carga Web Cirugias'!$S$4:$S$500,1)/(('Carga Web Cirugias'!$A$4:$A$500=B328)*('Carga Web Cirugias'!$M$4:$M$500=C328)*('Carga Web Cirugias'!$R$4:$R$500&lt;&gt;"")*('Carga Web Cirugias'!$S$4:$S$500&lt;&gt;"")),1)-_xludf.AGGREGATE(15,6,MOD('Carga Web Cirugias'!$R$4:$R$500,1)/(('Carga Web Cirugias'!$A$4:$A$500=B328)*('Carga Web Cirugias'!$M$4:$M$500=C328)*('Carga Web Cirugias'!$R$4:$R$500&lt;&gt;"")*('Carga Web Cirugias'!$S$4:$S$500&lt;&gt;"")),1))*1440),"")</f>
        <v/>
      </c>
      <c r="E328" s="111">
        <f>IF(OR(B328="",C328="",D328=""),"",VLOOKUP(C328,'Horario Pabellones'!$A$4:$D$17,4,FALSE))</f>
        <v/>
      </c>
      <c r="F328" s="118">
        <f>IFERROR(IF(OR(D328="",E328="",E328=0),"",(D328/60)/(E328/60)),"")</f>
        <v/>
      </c>
      <c r="G328" s="109">
        <f>IF(F328="","",IF(F328&gt;=0.75,"Cumple referencia","Bajo referencia"))</f>
        <v/>
      </c>
      <c r="J328" s="94" t="n"/>
      <c r="K328" s="95" t="n"/>
      <c r="L328" s="95" t="n"/>
      <c r="M328" s="96" t="n"/>
      <c r="N328" s="95" t="n"/>
    </row>
    <row r="329" ht="16" customHeight="1" s="151">
      <c r="A329" s="112">
        <f>IF(OR('Carga Web Cirugias'!A329="",'Carga Web Cirugias'!M329=""),"",_xludf.ISOWEEKNUM('Carga Web Cirugias'!A329))</f>
        <v/>
      </c>
      <c r="B329" s="123">
        <f>IF('Carga Web Cirugias'!A329="","",'Carga Web Cirugias'!A329)</f>
        <v/>
      </c>
      <c r="C329" s="112">
        <f>IF('Carga Web Cirugias'!M329="","",'Carga Web Cirugias'!M329)</f>
        <v/>
      </c>
      <c r="D329" s="114">
        <f>IFERROR(IF(OR(B329="",C329="",COUNTIFS($B$4:B329,B329,$C$4:C329,C329)&gt;1),"",(_xludf.AGGREGATE(14,6,MOD('Carga Web Cirugias'!$S$4:$S$500,1)/(('Carga Web Cirugias'!$A$4:$A$500=B329)*('Carga Web Cirugias'!$M$4:$M$500=C329)*('Carga Web Cirugias'!$R$4:$R$500&lt;&gt;"")*('Carga Web Cirugias'!$S$4:$S$500&lt;&gt;"")),1)-_xludf.AGGREGATE(15,6,MOD('Carga Web Cirugias'!$R$4:$R$500,1)/(('Carga Web Cirugias'!$A$4:$A$500=B329)*('Carga Web Cirugias'!$M$4:$M$500=C329)*('Carga Web Cirugias'!$R$4:$R$500&lt;&gt;"")*('Carga Web Cirugias'!$S$4:$S$500&lt;&gt;"")),1))*1440),"")</f>
        <v/>
      </c>
      <c r="E329" s="114">
        <f>IF(OR(B329="",C329="",D329=""),"",VLOOKUP(C329,'Horario Pabellones'!$A$4:$D$17,4,FALSE))</f>
        <v/>
      </c>
      <c r="F329" s="124">
        <f>IFERROR(IF(OR(D329="",E329="",E329=0),"",(D329/60)/(E329/60)),"")</f>
        <v/>
      </c>
      <c r="G329" s="112">
        <f>IF(F329="","",IF(F329&gt;=0.75,"Cumple referencia","Bajo referencia"))</f>
        <v/>
      </c>
      <c r="J329" s="94" t="n"/>
      <c r="K329" s="95" t="n"/>
      <c r="L329" s="95" t="n"/>
      <c r="M329" s="96" t="n"/>
      <c r="N329" s="95" t="n"/>
    </row>
    <row r="330" ht="16" customHeight="1" s="151">
      <c r="A330" s="109">
        <f>IF(OR('Carga Web Cirugias'!A330="",'Carga Web Cirugias'!M330=""),"",_xludf.ISOWEEKNUM('Carga Web Cirugias'!A330))</f>
        <v/>
      </c>
      <c r="B330" s="117">
        <f>IF('Carga Web Cirugias'!A330="","",'Carga Web Cirugias'!A330)</f>
        <v/>
      </c>
      <c r="C330" s="109">
        <f>IF('Carga Web Cirugias'!M330="","",'Carga Web Cirugias'!M330)</f>
        <v/>
      </c>
      <c r="D330" s="111">
        <f>IFERROR(IF(OR(B330="",C330="",COUNTIFS($B$4:B330,B330,$C$4:C330,C330)&gt;1),"",(_xludf.AGGREGATE(14,6,MOD('Carga Web Cirugias'!$S$4:$S$500,1)/(('Carga Web Cirugias'!$A$4:$A$500=B330)*('Carga Web Cirugias'!$M$4:$M$500=C330)*('Carga Web Cirugias'!$R$4:$R$500&lt;&gt;"")*('Carga Web Cirugias'!$S$4:$S$500&lt;&gt;"")),1)-_xludf.AGGREGATE(15,6,MOD('Carga Web Cirugias'!$R$4:$R$500,1)/(('Carga Web Cirugias'!$A$4:$A$500=B330)*('Carga Web Cirugias'!$M$4:$M$500=C330)*('Carga Web Cirugias'!$R$4:$R$500&lt;&gt;"")*('Carga Web Cirugias'!$S$4:$S$500&lt;&gt;"")),1))*1440),"")</f>
        <v/>
      </c>
      <c r="E330" s="111">
        <f>IF(OR(B330="",C330="",D330=""),"",VLOOKUP(C330,'Horario Pabellones'!$A$4:$D$17,4,FALSE))</f>
        <v/>
      </c>
      <c r="F330" s="118">
        <f>IFERROR(IF(OR(D330="",E330="",E330=0),"",(D330/60)/(E330/60)),"")</f>
        <v/>
      </c>
      <c r="G330" s="109">
        <f>IF(F330="","",IF(F330&gt;=0.75,"Cumple referencia","Bajo referencia"))</f>
        <v/>
      </c>
      <c r="J330" s="94" t="n"/>
      <c r="K330" s="95" t="n"/>
      <c r="L330" s="95" t="n"/>
      <c r="M330" s="96" t="n"/>
      <c r="N330" s="95" t="n"/>
    </row>
    <row r="331" ht="16" customHeight="1" s="151">
      <c r="A331" s="112">
        <f>IF(OR('Carga Web Cirugias'!A331="",'Carga Web Cirugias'!M331=""),"",_xludf.ISOWEEKNUM('Carga Web Cirugias'!A331))</f>
        <v/>
      </c>
      <c r="B331" s="123">
        <f>IF('Carga Web Cirugias'!A331="","",'Carga Web Cirugias'!A331)</f>
        <v/>
      </c>
      <c r="C331" s="112">
        <f>IF('Carga Web Cirugias'!M331="","",'Carga Web Cirugias'!M331)</f>
        <v/>
      </c>
      <c r="D331" s="114">
        <f>IFERROR(IF(OR(B331="",C331="",COUNTIFS($B$4:B331,B331,$C$4:C331,C331)&gt;1),"",(_xludf.AGGREGATE(14,6,MOD('Carga Web Cirugias'!$S$4:$S$500,1)/(('Carga Web Cirugias'!$A$4:$A$500=B331)*('Carga Web Cirugias'!$M$4:$M$500=C331)*('Carga Web Cirugias'!$R$4:$R$500&lt;&gt;"")*('Carga Web Cirugias'!$S$4:$S$500&lt;&gt;"")),1)-_xludf.AGGREGATE(15,6,MOD('Carga Web Cirugias'!$R$4:$R$500,1)/(('Carga Web Cirugias'!$A$4:$A$500=B331)*('Carga Web Cirugias'!$M$4:$M$500=C331)*('Carga Web Cirugias'!$R$4:$R$500&lt;&gt;"")*('Carga Web Cirugias'!$S$4:$S$500&lt;&gt;"")),1))*1440),"")</f>
        <v/>
      </c>
      <c r="E331" s="114">
        <f>IF(OR(B331="",C331="",D331=""),"",VLOOKUP(C331,'Horario Pabellones'!$A$4:$D$17,4,FALSE))</f>
        <v/>
      </c>
      <c r="F331" s="124">
        <f>IFERROR(IF(OR(D331="",E331="",E331=0),"",(D331/60)/(E331/60)),"")</f>
        <v/>
      </c>
      <c r="G331" s="112">
        <f>IF(F331="","",IF(F331&gt;=0.75,"Cumple referencia","Bajo referencia"))</f>
        <v/>
      </c>
      <c r="J331" s="94" t="n"/>
      <c r="K331" s="95" t="n"/>
      <c r="L331" s="95" t="n"/>
      <c r="M331" s="96" t="n"/>
      <c r="N331" s="95" t="n"/>
    </row>
    <row r="332" ht="16" customHeight="1" s="151">
      <c r="A332" s="109">
        <f>IF(OR('Carga Web Cirugias'!A332="",'Carga Web Cirugias'!M332=""),"",_xludf.ISOWEEKNUM('Carga Web Cirugias'!A332))</f>
        <v/>
      </c>
      <c r="B332" s="117">
        <f>IF('Carga Web Cirugias'!A332="","",'Carga Web Cirugias'!A332)</f>
        <v/>
      </c>
      <c r="C332" s="109">
        <f>IF('Carga Web Cirugias'!M332="","",'Carga Web Cirugias'!M332)</f>
        <v/>
      </c>
      <c r="D332" s="111">
        <f>IFERROR(IF(OR(B332="",C332="",COUNTIFS($B$4:B332,B332,$C$4:C332,C332)&gt;1),"",(_xludf.AGGREGATE(14,6,MOD('Carga Web Cirugias'!$S$4:$S$500,1)/(('Carga Web Cirugias'!$A$4:$A$500=B332)*('Carga Web Cirugias'!$M$4:$M$500=C332)*('Carga Web Cirugias'!$R$4:$R$500&lt;&gt;"")*('Carga Web Cirugias'!$S$4:$S$500&lt;&gt;"")),1)-_xludf.AGGREGATE(15,6,MOD('Carga Web Cirugias'!$R$4:$R$500,1)/(('Carga Web Cirugias'!$A$4:$A$500=B332)*('Carga Web Cirugias'!$M$4:$M$500=C332)*('Carga Web Cirugias'!$R$4:$R$500&lt;&gt;"")*('Carga Web Cirugias'!$S$4:$S$500&lt;&gt;"")),1))*1440),"")</f>
        <v/>
      </c>
      <c r="E332" s="111">
        <f>IF(OR(B332="",C332="",D332=""),"",VLOOKUP(C332,'Horario Pabellones'!$A$4:$D$17,4,FALSE))</f>
        <v/>
      </c>
      <c r="F332" s="118">
        <f>IFERROR(IF(OR(D332="",E332="",E332=0),"",(D332/60)/(E332/60)),"")</f>
        <v/>
      </c>
      <c r="G332" s="109">
        <f>IF(F332="","",IF(F332&gt;=0.75,"Cumple referencia","Bajo referencia"))</f>
        <v/>
      </c>
      <c r="J332" s="94" t="n"/>
      <c r="K332" s="95" t="n"/>
      <c r="L332" s="95" t="n"/>
      <c r="M332" s="96" t="n"/>
      <c r="N332" s="95" t="n"/>
    </row>
    <row r="333" ht="16" customHeight="1" s="151">
      <c r="A333" s="112">
        <f>IF(OR('Carga Web Cirugias'!A333="",'Carga Web Cirugias'!M333=""),"",_xludf.ISOWEEKNUM('Carga Web Cirugias'!A333))</f>
        <v/>
      </c>
      <c r="B333" s="123">
        <f>IF('Carga Web Cirugias'!A333="","",'Carga Web Cirugias'!A333)</f>
        <v/>
      </c>
      <c r="C333" s="112">
        <f>IF('Carga Web Cirugias'!M333="","",'Carga Web Cirugias'!M333)</f>
        <v/>
      </c>
      <c r="D333" s="114">
        <f>IFERROR(IF(OR(B333="",C333="",COUNTIFS($B$4:B333,B333,$C$4:C333,C333)&gt;1),"",(_xludf.AGGREGATE(14,6,MOD('Carga Web Cirugias'!$S$4:$S$500,1)/(('Carga Web Cirugias'!$A$4:$A$500=B333)*('Carga Web Cirugias'!$M$4:$M$500=C333)*('Carga Web Cirugias'!$R$4:$R$500&lt;&gt;"")*('Carga Web Cirugias'!$S$4:$S$500&lt;&gt;"")),1)-_xludf.AGGREGATE(15,6,MOD('Carga Web Cirugias'!$R$4:$R$500,1)/(('Carga Web Cirugias'!$A$4:$A$500=B333)*('Carga Web Cirugias'!$M$4:$M$500=C333)*('Carga Web Cirugias'!$R$4:$R$500&lt;&gt;"")*('Carga Web Cirugias'!$S$4:$S$500&lt;&gt;"")),1))*1440),"")</f>
        <v/>
      </c>
      <c r="E333" s="114">
        <f>IF(OR(B333="",C333="",D333=""),"",VLOOKUP(C333,'Horario Pabellones'!$A$4:$D$17,4,FALSE))</f>
        <v/>
      </c>
      <c r="F333" s="124">
        <f>IFERROR(IF(OR(D333="",E333="",E333=0),"",(D333/60)/(E333/60)),"")</f>
        <v/>
      </c>
      <c r="G333" s="112">
        <f>IF(F333="","",IF(F333&gt;=0.75,"Cumple referencia","Bajo referencia"))</f>
        <v/>
      </c>
      <c r="J333" s="94" t="n"/>
      <c r="K333" s="95" t="n"/>
      <c r="L333" s="95" t="n"/>
      <c r="M333" s="96" t="n"/>
      <c r="N333" s="95" t="n"/>
    </row>
    <row r="334" ht="16" customHeight="1" s="151">
      <c r="A334" s="109">
        <f>IF(OR('Carga Web Cirugias'!A334="",'Carga Web Cirugias'!M334=""),"",_xludf.ISOWEEKNUM('Carga Web Cirugias'!A334))</f>
        <v/>
      </c>
      <c r="B334" s="117">
        <f>IF('Carga Web Cirugias'!A334="","",'Carga Web Cirugias'!A334)</f>
        <v/>
      </c>
      <c r="C334" s="109">
        <f>IF('Carga Web Cirugias'!M334="","",'Carga Web Cirugias'!M334)</f>
        <v/>
      </c>
      <c r="D334" s="111">
        <f>IFERROR(IF(OR(B334="",C334="",COUNTIFS($B$4:B334,B334,$C$4:C334,C334)&gt;1),"",(_xludf.AGGREGATE(14,6,MOD('Carga Web Cirugias'!$S$4:$S$500,1)/(('Carga Web Cirugias'!$A$4:$A$500=B334)*('Carga Web Cirugias'!$M$4:$M$500=C334)*('Carga Web Cirugias'!$R$4:$R$500&lt;&gt;"")*('Carga Web Cirugias'!$S$4:$S$500&lt;&gt;"")),1)-_xludf.AGGREGATE(15,6,MOD('Carga Web Cirugias'!$R$4:$R$500,1)/(('Carga Web Cirugias'!$A$4:$A$500=B334)*('Carga Web Cirugias'!$M$4:$M$500=C334)*('Carga Web Cirugias'!$R$4:$R$500&lt;&gt;"")*('Carga Web Cirugias'!$S$4:$S$500&lt;&gt;"")),1))*1440),"")</f>
        <v/>
      </c>
      <c r="E334" s="111">
        <f>IF(OR(B334="",C334="",D334=""),"",VLOOKUP(C334,'Horario Pabellones'!$A$4:$D$17,4,FALSE))</f>
        <v/>
      </c>
      <c r="F334" s="118">
        <f>IFERROR(IF(OR(D334="",E334="",E334=0),"",(D334/60)/(E334/60)),"")</f>
        <v/>
      </c>
      <c r="G334" s="109">
        <f>IF(F334="","",IF(F334&gt;=0.75,"Cumple referencia","Bajo referencia"))</f>
        <v/>
      </c>
      <c r="J334" s="94" t="n"/>
      <c r="K334" s="95" t="n"/>
      <c r="L334" s="95" t="n"/>
      <c r="M334" s="96" t="n"/>
      <c r="N334" s="95" t="n"/>
    </row>
    <row r="335" ht="16" customHeight="1" s="151">
      <c r="A335" s="112">
        <f>IF(OR('Carga Web Cirugias'!A335="",'Carga Web Cirugias'!M335=""),"",_xludf.ISOWEEKNUM('Carga Web Cirugias'!A335))</f>
        <v/>
      </c>
      <c r="B335" s="123">
        <f>IF('Carga Web Cirugias'!A335="","",'Carga Web Cirugias'!A335)</f>
        <v/>
      </c>
      <c r="C335" s="112">
        <f>IF('Carga Web Cirugias'!M335="","",'Carga Web Cirugias'!M335)</f>
        <v/>
      </c>
      <c r="D335" s="114">
        <f>IFERROR(IF(OR(B335="",C335="",COUNTIFS($B$4:B335,B335,$C$4:C335,C335)&gt;1),"",(_xludf.AGGREGATE(14,6,MOD('Carga Web Cirugias'!$S$4:$S$500,1)/(('Carga Web Cirugias'!$A$4:$A$500=B335)*('Carga Web Cirugias'!$M$4:$M$500=C335)*('Carga Web Cirugias'!$R$4:$R$500&lt;&gt;"")*('Carga Web Cirugias'!$S$4:$S$500&lt;&gt;"")),1)-_xludf.AGGREGATE(15,6,MOD('Carga Web Cirugias'!$R$4:$R$500,1)/(('Carga Web Cirugias'!$A$4:$A$500=B335)*('Carga Web Cirugias'!$M$4:$M$500=C335)*('Carga Web Cirugias'!$R$4:$R$500&lt;&gt;"")*('Carga Web Cirugias'!$S$4:$S$500&lt;&gt;"")),1))*1440),"")</f>
        <v/>
      </c>
      <c r="E335" s="114">
        <f>IF(OR(B335="",C335="",D335=""),"",VLOOKUP(C335,'Horario Pabellones'!$A$4:$D$17,4,FALSE))</f>
        <v/>
      </c>
      <c r="F335" s="124">
        <f>IFERROR(IF(OR(D335="",E335="",E335=0),"",(D335/60)/(E335/60)),"")</f>
        <v/>
      </c>
      <c r="G335" s="112">
        <f>IF(F335="","",IF(F335&gt;=0.75,"Cumple referencia","Bajo referencia"))</f>
        <v/>
      </c>
      <c r="J335" s="94" t="n"/>
      <c r="K335" s="95" t="n"/>
      <c r="L335" s="95" t="n"/>
      <c r="M335" s="96" t="n"/>
      <c r="N335" s="95" t="n"/>
    </row>
    <row r="336" ht="16" customHeight="1" s="151">
      <c r="A336" s="109">
        <f>IF(OR('Carga Web Cirugias'!A336="",'Carga Web Cirugias'!M336=""),"",_xludf.ISOWEEKNUM('Carga Web Cirugias'!A336))</f>
        <v/>
      </c>
      <c r="B336" s="117">
        <f>IF('Carga Web Cirugias'!A336="","",'Carga Web Cirugias'!A336)</f>
        <v/>
      </c>
      <c r="C336" s="109">
        <f>IF('Carga Web Cirugias'!M336="","",'Carga Web Cirugias'!M336)</f>
        <v/>
      </c>
      <c r="D336" s="111">
        <f>IFERROR(IF(OR(B336="",C336="",COUNTIFS($B$4:B336,B336,$C$4:C336,C336)&gt;1),"",(_xludf.AGGREGATE(14,6,MOD('Carga Web Cirugias'!$S$4:$S$500,1)/(('Carga Web Cirugias'!$A$4:$A$500=B336)*('Carga Web Cirugias'!$M$4:$M$500=C336)*('Carga Web Cirugias'!$R$4:$R$500&lt;&gt;"")*('Carga Web Cirugias'!$S$4:$S$500&lt;&gt;"")),1)-_xludf.AGGREGATE(15,6,MOD('Carga Web Cirugias'!$R$4:$R$500,1)/(('Carga Web Cirugias'!$A$4:$A$500=B336)*('Carga Web Cirugias'!$M$4:$M$500=C336)*('Carga Web Cirugias'!$R$4:$R$500&lt;&gt;"")*('Carga Web Cirugias'!$S$4:$S$500&lt;&gt;"")),1))*1440),"")</f>
        <v/>
      </c>
      <c r="E336" s="111">
        <f>IF(OR(B336="",C336="",D336=""),"",VLOOKUP(C336,'Horario Pabellones'!$A$4:$D$17,4,FALSE))</f>
        <v/>
      </c>
      <c r="F336" s="118">
        <f>IFERROR(IF(OR(D336="",E336="",E336=0),"",(D336/60)/(E336/60)),"")</f>
        <v/>
      </c>
      <c r="G336" s="109">
        <f>IF(F336="","",IF(F336&gt;=0.75,"Cumple referencia","Bajo referencia"))</f>
        <v/>
      </c>
      <c r="J336" s="94" t="n"/>
      <c r="K336" s="95" t="n"/>
      <c r="L336" s="95" t="n"/>
      <c r="M336" s="96" t="n"/>
      <c r="N336" s="95" t="n"/>
    </row>
    <row r="337" ht="16" customHeight="1" s="151">
      <c r="A337" s="112">
        <f>IF(OR('Carga Web Cirugias'!A337="",'Carga Web Cirugias'!M337=""),"",_xludf.ISOWEEKNUM('Carga Web Cirugias'!A337))</f>
        <v/>
      </c>
      <c r="B337" s="123">
        <f>IF('Carga Web Cirugias'!A337="","",'Carga Web Cirugias'!A337)</f>
        <v/>
      </c>
      <c r="C337" s="112">
        <f>IF('Carga Web Cirugias'!M337="","",'Carga Web Cirugias'!M337)</f>
        <v/>
      </c>
      <c r="D337" s="114">
        <f>IFERROR(IF(OR(B337="",C337="",COUNTIFS($B$4:B337,B337,$C$4:C337,C337)&gt;1),"",(_xludf.AGGREGATE(14,6,MOD('Carga Web Cirugias'!$S$4:$S$500,1)/(('Carga Web Cirugias'!$A$4:$A$500=B337)*('Carga Web Cirugias'!$M$4:$M$500=C337)*('Carga Web Cirugias'!$R$4:$R$500&lt;&gt;"")*('Carga Web Cirugias'!$S$4:$S$500&lt;&gt;"")),1)-_xludf.AGGREGATE(15,6,MOD('Carga Web Cirugias'!$R$4:$R$500,1)/(('Carga Web Cirugias'!$A$4:$A$500=B337)*('Carga Web Cirugias'!$M$4:$M$500=C337)*('Carga Web Cirugias'!$R$4:$R$500&lt;&gt;"")*('Carga Web Cirugias'!$S$4:$S$500&lt;&gt;"")),1))*1440),"")</f>
        <v/>
      </c>
      <c r="E337" s="114">
        <f>IF(OR(B337="",C337="",D337=""),"",VLOOKUP(C337,'Horario Pabellones'!$A$4:$D$17,4,FALSE))</f>
        <v/>
      </c>
      <c r="F337" s="124">
        <f>IFERROR(IF(OR(D337="",E337="",E337=0),"",(D337/60)/(E337/60)),"")</f>
        <v/>
      </c>
      <c r="G337" s="112">
        <f>IF(F337="","",IF(F337&gt;=0.75,"Cumple referencia","Bajo referencia"))</f>
        <v/>
      </c>
      <c r="J337" s="94" t="n"/>
      <c r="K337" s="95" t="n"/>
      <c r="L337" s="95" t="n"/>
      <c r="M337" s="96" t="n"/>
      <c r="N337" s="95" t="n"/>
    </row>
    <row r="338" ht="16" customHeight="1" s="151">
      <c r="A338" s="109">
        <f>IF(OR('Carga Web Cirugias'!A338="",'Carga Web Cirugias'!M338=""),"",_xludf.ISOWEEKNUM('Carga Web Cirugias'!A338))</f>
        <v/>
      </c>
      <c r="B338" s="117">
        <f>IF('Carga Web Cirugias'!A338="","",'Carga Web Cirugias'!A338)</f>
        <v/>
      </c>
      <c r="C338" s="109">
        <f>IF('Carga Web Cirugias'!M338="","",'Carga Web Cirugias'!M338)</f>
        <v/>
      </c>
      <c r="D338" s="111">
        <f>IFERROR(IF(OR(B338="",C338="",COUNTIFS($B$4:B338,B338,$C$4:C338,C338)&gt;1),"",(_xludf.AGGREGATE(14,6,MOD('Carga Web Cirugias'!$S$4:$S$500,1)/(('Carga Web Cirugias'!$A$4:$A$500=B338)*('Carga Web Cirugias'!$M$4:$M$500=C338)*('Carga Web Cirugias'!$R$4:$R$500&lt;&gt;"")*('Carga Web Cirugias'!$S$4:$S$500&lt;&gt;"")),1)-_xludf.AGGREGATE(15,6,MOD('Carga Web Cirugias'!$R$4:$R$500,1)/(('Carga Web Cirugias'!$A$4:$A$500=B338)*('Carga Web Cirugias'!$M$4:$M$500=C338)*('Carga Web Cirugias'!$R$4:$R$500&lt;&gt;"")*('Carga Web Cirugias'!$S$4:$S$500&lt;&gt;"")),1))*1440),"")</f>
        <v/>
      </c>
      <c r="E338" s="111">
        <f>IF(OR(B338="",C338="",D338=""),"",VLOOKUP(C338,'Horario Pabellones'!$A$4:$D$17,4,FALSE))</f>
        <v/>
      </c>
      <c r="F338" s="118">
        <f>IFERROR(IF(OR(D338="",E338="",E338=0),"",(D338/60)/(E338/60)),"")</f>
        <v/>
      </c>
      <c r="G338" s="109">
        <f>IF(F338="","",IF(F338&gt;=0.75,"Cumple referencia","Bajo referencia"))</f>
        <v/>
      </c>
      <c r="J338" s="94" t="n"/>
      <c r="K338" s="95" t="n"/>
      <c r="L338" s="95" t="n"/>
      <c r="M338" s="96" t="n"/>
      <c r="N338" s="95" t="n"/>
    </row>
    <row r="339" ht="16" customHeight="1" s="151">
      <c r="A339" s="112">
        <f>IF(OR('Carga Web Cirugias'!A339="",'Carga Web Cirugias'!M339=""),"",_xludf.ISOWEEKNUM('Carga Web Cirugias'!A339))</f>
        <v/>
      </c>
      <c r="B339" s="123">
        <f>IF('Carga Web Cirugias'!A339="","",'Carga Web Cirugias'!A339)</f>
        <v/>
      </c>
      <c r="C339" s="112">
        <f>IF('Carga Web Cirugias'!M339="","",'Carga Web Cirugias'!M339)</f>
        <v/>
      </c>
      <c r="D339" s="114">
        <f>IFERROR(IF(OR(B339="",C339="",COUNTIFS($B$4:B339,B339,$C$4:C339,C339)&gt;1),"",(_xludf.AGGREGATE(14,6,MOD('Carga Web Cirugias'!$S$4:$S$500,1)/(('Carga Web Cirugias'!$A$4:$A$500=B339)*('Carga Web Cirugias'!$M$4:$M$500=C339)*('Carga Web Cirugias'!$R$4:$R$500&lt;&gt;"")*('Carga Web Cirugias'!$S$4:$S$500&lt;&gt;"")),1)-_xludf.AGGREGATE(15,6,MOD('Carga Web Cirugias'!$R$4:$R$500,1)/(('Carga Web Cirugias'!$A$4:$A$500=B339)*('Carga Web Cirugias'!$M$4:$M$500=C339)*('Carga Web Cirugias'!$R$4:$R$500&lt;&gt;"")*('Carga Web Cirugias'!$S$4:$S$500&lt;&gt;"")),1))*1440),"")</f>
        <v/>
      </c>
      <c r="E339" s="114">
        <f>IF(OR(B339="",C339="",D339=""),"",VLOOKUP(C339,'Horario Pabellones'!$A$4:$D$17,4,FALSE))</f>
        <v/>
      </c>
      <c r="F339" s="124">
        <f>IFERROR(IF(OR(D339="",E339="",E339=0),"",(D339/60)/(E339/60)),"")</f>
        <v/>
      </c>
      <c r="G339" s="112">
        <f>IF(F339="","",IF(F339&gt;=0.75,"Cumple referencia","Bajo referencia"))</f>
        <v/>
      </c>
      <c r="J339" s="94" t="n"/>
      <c r="K339" s="95" t="n"/>
      <c r="L339" s="95" t="n"/>
      <c r="M339" s="96" t="n"/>
      <c r="N339" s="95" t="n"/>
    </row>
    <row r="340" ht="16" customHeight="1" s="151">
      <c r="A340" s="109">
        <f>IF(OR('Carga Web Cirugias'!A340="",'Carga Web Cirugias'!M340=""),"",_xludf.ISOWEEKNUM('Carga Web Cirugias'!A340))</f>
        <v/>
      </c>
      <c r="B340" s="117">
        <f>IF('Carga Web Cirugias'!A340="","",'Carga Web Cirugias'!A340)</f>
        <v/>
      </c>
      <c r="C340" s="109">
        <f>IF('Carga Web Cirugias'!M340="","",'Carga Web Cirugias'!M340)</f>
        <v/>
      </c>
      <c r="D340" s="111">
        <f>IFERROR(IF(OR(B340="",C340="",COUNTIFS($B$4:B340,B340,$C$4:C340,C340)&gt;1),"",(_xludf.AGGREGATE(14,6,MOD('Carga Web Cirugias'!$S$4:$S$500,1)/(('Carga Web Cirugias'!$A$4:$A$500=B340)*('Carga Web Cirugias'!$M$4:$M$500=C340)*('Carga Web Cirugias'!$R$4:$R$500&lt;&gt;"")*('Carga Web Cirugias'!$S$4:$S$500&lt;&gt;"")),1)-_xludf.AGGREGATE(15,6,MOD('Carga Web Cirugias'!$R$4:$R$500,1)/(('Carga Web Cirugias'!$A$4:$A$500=B340)*('Carga Web Cirugias'!$M$4:$M$500=C340)*('Carga Web Cirugias'!$R$4:$R$500&lt;&gt;"")*('Carga Web Cirugias'!$S$4:$S$500&lt;&gt;"")),1))*1440),"")</f>
        <v/>
      </c>
      <c r="E340" s="111">
        <f>IF(OR(B340="",C340="",D340=""),"",VLOOKUP(C340,'Horario Pabellones'!$A$4:$D$17,4,FALSE))</f>
        <v/>
      </c>
      <c r="F340" s="118">
        <f>IFERROR(IF(OR(D340="",E340="",E340=0),"",(D340/60)/(E340/60)),"")</f>
        <v/>
      </c>
      <c r="G340" s="109">
        <f>IF(F340="","",IF(F340&gt;=0.75,"Cumple referencia","Bajo referencia"))</f>
        <v/>
      </c>
      <c r="J340" s="94" t="n"/>
      <c r="K340" s="95" t="n"/>
      <c r="L340" s="95" t="n"/>
      <c r="M340" s="96" t="n"/>
      <c r="N340" s="95" t="n"/>
    </row>
    <row r="341" ht="16" customHeight="1" s="151">
      <c r="A341" s="112">
        <f>IF(OR('Carga Web Cirugias'!A341="",'Carga Web Cirugias'!M341=""),"",_xludf.ISOWEEKNUM('Carga Web Cirugias'!A341))</f>
        <v/>
      </c>
      <c r="B341" s="123">
        <f>IF('Carga Web Cirugias'!A341="","",'Carga Web Cirugias'!A341)</f>
        <v/>
      </c>
      <c r="C341" s="112">
        <f>IF('Carga Web Cirugias'!M341="","",'Carga Web Cirugias'!M341)</f>
        <v/>
      </c>
      <c r="D341" s="114">
        <f>IFERROR(IF(OR(B341="",C341="",COUNTIFS($B$4:B341,B341,$C$4:C341,C341)&gt;1),"",(_xludf.AGGREGATE(14,6,MOD('Carga Web Cirugias'!$S$4:$S$500,1)/(('Carga Web Cirugias'!$A$4:$A$500=B341)*('Carga Web Cirugias'!$M$4:$M$500=C341)*('Carga Web Cirugias'!$R$4:$R$500&lt;&gt;"")*('Carga Web Cirugias'!$S$4:$S$500&lt;&gt;"")),1)-_xludf.AGGREGATE(15,6,MOD('Carga Web Cirugias'!$R$4:$R$500,1)/(('Carga Web Cirugias'!$A$4:$A$500=B341)*('Carga Web Cirugias'!$M$4:$M$500=C341)*('Carga Web Cirugias'!$R$4:$R$500&lt;&gt;"")*('Carga Web Cirugias'!$S$4:$S$500&lt;&gt;"")),1))*1440),"")</f>
        <v/>
      </c>
      <c r="E341" s="114">
        <f>IF(OR(B341="",C341="",D341=""),"",VLOOKUP(C341,'Horario Pabellones'!$A$4:$D$17,4,FALSE))</f>
        <v/>
      </c>
      <c r="F341" s="124">
        <f>IFERROR(IF(OR(D341="",E341="",E341=0),"",(D341/60)/(E341/60)),"")</f>
        <v/>
      </c>
      <c r="G341" s="112">
        <f>IF(F341="","",IF(F341&gt;=0.75,"Cumple referencia","Bajo referencia"))</f>
        <v/>
      </c>
      <c r="J341" s="94" t="n"/>
      <c r="K341" s="95" t="n"/>
      <c r="L341" s="95" t="n"/>
      <c r="M341" s="96" t="n"/>
      <c r="N341" s="95" t="n"/>
    </row>
    <row r="342" ht="16" customHeight="1" s="151">
      <c r="A342" s="109">
        <f>IF(OR('Carga Web Cirugias'!A342="",'Carga Web Cirugias'!M342=""),"",_xludf.ISOWEEKNUM('Carga Web Cirugias'!A342))</f>
        <v/>
      </c>
      <c r="B342" s="117">
        <f>IF('Carga Web Cirugias'!A342="","",'Carga Web Cirugias'!A342)</f>
        <v/>
      </c>
      <c r="C342" s="109">
        <f>IF('Carga Web Cirugias'!M342="","",'Carga Web Cirugias'!M342)</f>
        <v/>
      </c>
      <c r="D342" s="111">
        <f>IFERROR(IF(OR(B342="",C342="",COUNTIFS($B$4:B342,B342,$C$4:C342,C342)&gt;1),"",(_xludf.AGGREGATE(14,6,MOD('Carga Web Cirugias'!$S$4:$S$500,1)/(('Carga Web Cirugias'!$A$4:$A$500=B342)*('Carga Web Cirugias'!$M$4:$M$500=C342)*('Carga Web Cirugias'!$R$4:$R$500&lt;&gt;"")*('Carga Web Cirugias'!$S$4:$S$500&lt;&gt;"")),1)-_xludf.AGGREGATE(15,6,MOD('Carga Web Cirugias'!$R$4:$R$500,1)/(('Carga Web Cirugias'!$A$4:$A$500=B342)*('Carga Web Cirugias'!$M$4:$M$500=C342)*('Carga Web Cirugias'!$R$4:$R$500&lt;&gt;"")*('Carga Web Cirugias'!$S$4:$S$500&lt;&gt;"")),1))*1440),"")</f>
        <v/>
      </c>
      <c r="E342" s="111">
        <f>IF(OR(B342="",C342="",D342=""),"",VLOOKUP(C342,'Horario Pabellones'!$A$4:$D$17,4,FALSE))</f>
        <v/>
      </c>
      <c r="F342" s="118">
        <f>IFERROR(IF(OR(D342="",E342="",E342=0),"",(D342/60)/(E342/60)),"")</f>
        <v/>
      </c>
      <c r="G342" s="109">
        <f>IF(F342="","",IF(F342&gt;=0.75,"Cumple referencia","Bajo referencia"))</f>
        <v/>
      </c>
      <c r="J342" s="94" t="n"/>
      <c r="K342" s="95" t="n"/>
      <c r="L342" s="95" t="n"/>
      <c r="M342" s="96" t="n"/>
      <c r="N342" s="95" t="n"/>
    </row>
    <row r="343" ht="16" customHeight="1" s="151">
      <c r="A343" s="112">
        <f>IF(OR('Carga Web Cirugias'!A343="",'Carga Web Cirugias'!M343=""),"",_xludf.ISOWEEKNUM('Carga Web Cirugias'!A343))</f>
        <v/>
      </c>
      <c r="B343" s="123">
        <f>IF('Carga Web Cirugias'!A343="","",'Carga Web Cirugias'!A343)</f>
        <v/>
      </c>
      <c r="C343" s="112">
        <f>IF('Carga Web Cirugias'!M343="","",'Carga Web Cirugias'!M343)</f>
        <v/>
      </c>
      <c r="D343" s="114">
        <f>IFERROR(IF(OR(B343="",C343="",COUNTIFS($B$4:B343,B343,$C$4:C343,C343)&gt;1),"",(_xludf.AGGREGATE(14,6,MOD('Carga Web Cirugias'!$S$4:$S$500,1)/(('Carga Web Cirugias'!$A$4:$A$500=B343)*('Carga Web Cirugias'!$M$4:$M$500=C343)*('Carga Web Cirugias'!$R$4:$R$500&lt;&gt;"")*('Carga Web Cirugias'!$S$4:$S$500&lt;&gt;"")),1)-_xludf.AGGREGATE(15,6,MOD('Carga Web Cirugias'!$R$4:$R$500,1)/(('Carga Web Cirugias'!$A$4:$A$500=B343)*('Carga Web Cirugias'!$M$4:$M$500=C343)*('Carga Web Cirugias'!$R$4:$R$500&lt;&gt;"")*('Carga Web Cirugias'!$S$4:$S$500&lt;&gt;"")),1))*1440),"")</f>
        <v/>
      </c>
      <c r="E343" s="114">
        <f>IF(OR(B343="",C343="",D343=""),"",VLOOKUP(C343,'Horario Pabellones'!$A$4:$D$17,4,FALSE))</f>
        <v/>
      </c>
      <c r="F343" s="124">
        <f>IFERROR(IF(OR(D343="",E343="",E343=0),"",(D343/60)/(E343/60)),"")</f>
        <v/>
      </c>
      <c r="G343" s="112">
        <f>IF(F343="","",IF(F343&gt;=0.75,"Cumple referencia","Bajo referencia"))</f>
        <v/>
      </c>
      <c r="J343" s="94" t="n"/>
      <c r="K343" s="95" t="n"/>
      <c r="L343" s="95" t="n"/>
      <c r="M343" s="96" t="n"/>
      <c r="N343" s="95" t="n"/>
    </row>
    <row r="344" ht="16" customHeight="1" s="151">
      <c r="A344" s="109">
        <f>IF(OR('Carga Web Cirugias'!A344="",'Carga Web Cirugias'!M344=""),"",_xludf.ISOWEEKNUM('Carga Web Cirugias'!A344))</f>
        <v/>
      </c>
      <c r="B344" s="117">
        <f>IF('Carga Web Cirugias'!A344="","",'Carga Web Cirugias'!A344)</f>
        <v/>
      </c>
      <c r="C344" s="109">
        <f>IF('Carga Web Cirugias'!M344="","",'Carga Web Cirugias'!M344)</f>
        <v/>
      </c>
      <c r="D344" s="111">
        <f>IFERROR(IF(OR(B344="",C344="",COUNTIFS($B$4:B344,B344,$C$4:C344,C344)&gt;1),"",(_xludf.AGGREGATE(14,6,MOD('Carga Web Cirugias'!$S$4:$S$500,1)/(('Carga Web Cirugias'!$A$4:$A$500=B344)*('Carga Web Cirugias'!$M$4:$M$500=C344)*('Carga Web Cirugias'!$R$4:$R$500&lt;&gt;"")*('Carga Web Cirugias'!$S$4:$S$500&lt;&gt;"")),1)-_xludf.AGGREGATE(15,6,MOD('Carga Web Cirugias'!$R$4:$R$500,1)/(('Carga Web Cirugias'!$A$4:$A$500=B344)*('Carga Web Cirugias'!$M$4:$M$500=C344)*('Carga Web Cirugias'!$R$4:$R$500&lt;&gt;"")*('Carga Web Cirugias'!$S$4:$S$500&lt;&gt;"")),1))*1440),"")</f>
        <v/>
      </c>
      <c r="E344" s="111">
        <f>IF(OR(B344="",C344="",D344=""),"",VLOOKUP(C344,'Horario Pabellones'!$A$4:$D$17,4,FALSE))</f>
        <v/>
      </c>
      <c r="F344" s="118">
        <f>IFERROR(IF(OR(D344="",E344="",E344=0),"",(D344/60)/(E344/60)),"")</f>
        <v/>
      </c>
      <c r="G344" s="109">
        <f>IF(F344="","",IF(F344&gt;=0.75,"Cumple referencia","Bajo referencia"))</f>
        <v/>
      </c>
      <c r="J344" s="94" t="n"/>
      <c r="K344" s="95" t="n"/>
      <c r="L344" s="95" t="n"/>
      <c r="M344" s="96" t="n"/>
      <c r="N344" s="95" t="n"/>
    </row>
    <row r="345" ht="16" customHeight="1" s="151">
      <c r="A345" s="112">
        <f>IF(OR('Carga Web Cirugias'!A345="",'Carga Web Cirugias'!M345=""),"",_xludf.ISOWEEKNUM('Carga Web Cirugias'!A345))</f>
        <v/>
      </c>
      <c r="B345" s="123">
        <f>IF('Carga Web Cirugias'!A345="","",'Carga Web Cirugias'!A345)</f>
        <v/>
      </c>
      <c r="C345" s="112">
        <f>IF('Carga Web Cirugias'!M345="","",'Carga Web Cirugias'!M345)</f>
        <v/>
      </c>
      <c r="D345" s="114">
        <f>IFERROR(IF(OR(B345="",C345="",COUNTIFS($B$4:B345,B345,$C$4:C345,C345)&gt;1),"",(_xludf.AGGREGATE(14,6,MOD('Carga Web Cirugias'!$S$4:$S$500,1)/(('Carga Web Cirugias'!$A$4:$A$500=B345)*('Carga Web Cirugias'!$M$4:$M$500=C345)*('Carga Web Cirugias'!$R$4:$R$500&lt;&gt;"")*('Carga Web Cirugias'!$S$4:$S$500&lt;&gt;"")),1)-_xludf.AGGREGATE(15,6,MOD('Carga Web Cirugias'!$R$4:$R$500,1)/(('Carga Web Cirugias'!$A$4:$A$500=B345)*('Carga Web Cirugias'!$M$4:$M$500=C345)*('Carga Web Cirugias'!$R$4:$R$500&lt;&gt;"")*('Carga Web Cirugias'!$S$4:$S$500&lt;&gt;"")),1))*1440),"")</f>
        <v/>
      </c>
      <c r="E345" s="114">
        <f>IF(OR(B345="",C345="",D345=""),"",VLOOKUP(C345,'Horario Pabellones'!$A$4:$D$17,4,FALSE))</f>
        <v/>
      </c>
      <c r="F345" s="124">
        <f>IFERROR(IF(OR(D345="",E345="",E345=0),"",(D345/60)/(E345/60)),"")</f>
        <v/>
      </c>
      <c r="G345" s="112">
        <f>IF(F345="","",IF(F345&gt;=0.75,"Cumple referencia","Bajo referencia"))</f>
        <v/>
      </c>
      <c r="J345" s="94" t="n"/>
      <c r="K345" s="95" t="n"/>
      <c r="L345" s="95" t="n"/>
      <c r="M345" s="96" t="n"/>
      <c r="N345" s="95" t="n"/>
    </row>
    <row r="346" ht="16" customHeight="1" s="151">
      <c r="A346" s="109">
        <f>IF(OR('Carga Web Cirugias'!A346="",'Carga Web Cirugias'!M346=""),"",_xludf.ISOWEEKNUM('Carga Web Cirugias'!A346))</f>
        <v/>
      </c>
      <c r="B346" s="117">
        <f>IF('Carga Web Cirugias'!A346="","",'Carga Web Cirugias'!A346)</f>
        <v/>
      </c>
      <c r="C346" s="109">
        <f>IF('Carga Web Cirugias'!M346="","",'Carga Web Cirugias'!M346)</f>
        <v/>
      </c>
      <c r="D346" s="111">
        <f>IFERROR(IF(OR(B346="",C346="",COUNTIFS($B$4:B346,B346,$C$4:C346,C346)&gt;1),"",(_xludf.AGGREGATE(14,6,MOD('Carga Web Cirugias'!$S$4:$S$500,1)/(('Carga Web Cirugias'!$A$4:$A$500=B346)*('Carga Web Cirugias'!$M$4:$M$500=C346)*('Carga Web Cirugias'!$R$4:$R$500&lt;&gt;"")*('Carga Web Cirugias'!$S$4:$S$500&lt;&gt;"")),1)-_xludf.AGGREGATE(15,6,MOD('Carga Web Cirugias'!$R$4:$R$500,1)/(('Carga Web Cirugias'!$A$4:$A$500=B346)*('Carga Web Cirugias'!$M$4:$M$500=C346)*('Carga Web Cirugias'!$R$4:$R$500&lt;&gt;"")*('Carga Web Cirugias'!$S$4:$S$500&lt;&gt;"")),1))*1440),"")</f>
        <v/>
      </c>
      <c r="E346" s="111">
        <f>IF(OR(B346="",C346="",D346=""),"",VLOOKUP(C346,'Horario Pabellones'!$A$4:$D$17,4,FALSE))</f>
        <v/>
      </c>
      <c r="F346" s="118">
        <f>IFERROR(IF(OR(D346="",E346="",E346=0),"",(D346/60)/(E346/60)),"")</f>
        <v/>
      </c>
      <c r="G346" s="109">
        <f>IF(F346="","",IF(F346&gt;=0.75,"Cumple referencia","Bajo referencia"))</f>
        <v/>
      </c>
      <c r="J346" s="94" t="n"/>
      <c r="K346" s="95" t="n"/>
      <c r="L346" s="95" t="n"/>
      <c r="M346" s="96" t="n"/>
      <c r="N346" s="95" t="n"/>
    </row>
    <row r="347" ht="16" customHeight="1" s="151">
      <c r="A347" s="112">
        <f>IF(OR('Carga Web Cirugias'!A347="",'Carga Web Cirugias'!M347=""),"",_xludf.ISOWEEKNUM('Carga Web Cirugias'!A347))</f>
        <v/>
      </c>
      <c r="B347" s="123">
        <f>IF('Carga Web Cirugias'!A347="","",'Carga Web Cirugias'!A347)</f>
        <v/>
      </c>
      <c r="C347" s="112">
        <f>IF('Carga Web Cirugias'!M347="","",'Carga Web Cirugias'!M347)</f>
        <v/>
      </c>
      <c r="D347" s="114">
        <f>IFERROR(IF(OR(B347="",C347="",COUNTIFS($B$4:B347,B347,$C$4:C347,C347)&gt;1),"",(_xludf.AGGREGATE(14,6,MOD('Carga Web Cirugias'!$S$4:$S$500,1)/(('Carga Web Cirugias'!$A$4:$A$500=B347)*('Carga Web Cirugias'!$M$4:$M$500=C347)*('Carga Web Cirugias'!$R$4:$R$500&lt;&gt;"")*('Carga Web Cirugias'!$S$4:$S$500&lt;&gt;"")),1)-_xludf.AGGREGATE(15,6,MOD('Carga Web Cirugias'!$R$4:$R$500,1)/(('Carga Web Cirugias'!$A$4:$A$500=B347)*('Carga Web Cirugias'!$M$4:$M$500=C347)*('Carga Web Cirugias'!$R$4:$R$500&lt;&gt;"")*('Carga Web Cirugias'!$S$4:$S$500&lt;&gt;"")),1))*1440),"")</f>
        <v/>
      </c>
      <c r="E347" s="114">
        <f>IF(OR(B347="",C347="",D347=""),"",VLOOKUP(C347,'Horario Pabellones'!$A$4:$D$17,4,FALSE))</f>
        <v/>
      </c>
      <c r="F347" s="124">
        <f>IFERROR(IF(OR(D347="",E347="",E347=0),"",(D347/60)/(E347/60)),"")</f>
        <v/>
      </c>
      <c r="G347" s="112">
        <f>IF(F347="","",IF(F347&gt;=0.75,"Cumple referencia","Bajo referencia"))</f>
        <v/>
      </c>
      <c r="J347" s="94" t="n"/>
      <c r="K347" s="95" t="n"/>
      <c r="L347" s="95" t="n"/>
      <c r="M347" s="96" t="n"/>
      <c r="N347" s="95" t="n"/>
    </row>
    <row r="348" ht="16" customHeight="1" s="151">
      <c r="A348" s="109">
        <f>IF(OR('Carga Web Cirugias'!A348="",'Carga Web Cirugias'!M348=""),"",_xludf.ISOWEEKNUM('Carga Web Cirugias'!A348))</f>
        <v/>
      </c>
      <c r="B348" s="117">
        <f>IF('Carga Web Cirugias'!A348="","",'Carga Web Cirugias'!A348)</f>
        <v/>
      </c>
      <c r="C348" s="109">
        <f>IF('Carga Web Cirugias'!M348="","",'Carga Web Cirugias'!M348)</f>
        <v/>
      </c>
      <c r="D348" s="111">
        <f>IFERROR(IF(OR(B348="",C348="",COUNTIFS($B$4:B348,B348,$C$4:C348,C348)&gt;1),"",(_xludf.AGGREGATE(14,6,MOD('Carga Web Cirugias'!$S$4:$S$500,1)/(('Carga Web Cirugias'!$A$4:$A$500=B348)*('Carga Web Cirugias'!$M$4:$M$500=C348)*('Carga Web Cirugias'!$R$4:$R$500&lt;&gt;"")*('Carga Web Cirugias'!$S$4:$S$500&lt;&gt;"")),1)-_xludf.AGGREGATE(15,6,MOD('Carga Web Cirugias'!$R$4:$R$500,1)/(('Carga Web Cirugias'!$A$4:$A$500=B348)*('Carga Web Cirugias'!$M$4:$M$500=C348)*('Carga Web Cirugias'!$R$4:$R$500&lt;&gt;"")*('Carga Web Cirugias'!$S$4:$S$500&lt;&gt;"")),1))*1440),"")</f>
        <v/>
      </c>
      <c r="E348" s="111">
        <f>IF(OR(B348="",C348="",D348=""),"",VLOOKUP(C348,'Horario Pabellones'!$A$4:$D$17,4,FALSE))</f>
        <v/>
      </c>
      <c r="F348" s="118">
        <f>IFERROR(IF(OR(D348="",E348="",E348=0),"",(D348/60)/(E348/60)),"")</f>
        <v/>
      </c>
      <c r="G348" s="109">
        <f>IF(F348="","",IF(F348&gt;=0.75,"Cumple referencia","Bajo referencia"))</f>
        <v/>
      </c>
      <c r="J348" s="94" t="n"/>
      <c r="K348" s="95" t="n"/>
      <c r="L348" s="95" t="n"/>
      <c r="M348" s="96" t="n"/>
      <c r="N348" s="95" t="n"/>
    </row>
    <row r="349" ht="16" customHeight="1" s="151">
      <c r="A349" s="112">
        <f>IF(OR('Carga Web Cirugias'!A349="",'Carga Web Cirugias'!M349=""),"",_xludf.ISOWEEKNUM('Carga Web Cirugias'!A349))</f>
        <v/>
      </c>
      <c r="B349" s="123">
        <f>IF('Carga Web Cirugias'!A349="","",'Carga Web Cirugias'!A349)</f>
        <v/>
      </c>
      <c r="C349" s="112">
        <f>IF('Carga Web Cirugias'!M349="","",'Carga Web Cirugias'!M349)</f>
        <v/>
      </c>
      <c r="D349" s="114">
        <f>IFERROR(IF(OR(B349="",C349="",COUNTIFS($B$4:B349,B349,$C$4:C349,C349)&gt;1),"",(_xludf.AGGREGATE(14,6,MOD('Carga Web Cirugias'!$S$4:$S$500,1)/(('Carga Web Cirugias'!$A$4:$A$500=B349)*('Carga Web Cirugias'!$M$4:$M$500=C349)*('Carga Web Cirugias'!$R$4:$R$500&lt;&gt;"")*('Carga Web Cirugias'!$S$4:$S$500&lt;&gt;"")),1)-_xludf.AGGREGATE(15,6,MOD('Carga Web Cirugias'!$R$4:$R$500,1)/(('Carga Web Cirugias'!$A$4:$A$500=B349)*('Carga Web Cirugias'!$M$4:$M$500=C349)*('Carga Web Cirugias'!$R$4:$R$500&lt;&gt;"")*('Carga Web Cirugias'!$S$4:$S$500&lt;&gt;"")),1))*1440),"")</f>
        <v/>
      </c>
      <c r="E349" s="114">
        <f>IF(OR(B349="",C349="",D349=""),"",VLOOKUP(C349,'Horario Pabellones'!$A$4:$D$17,4,FALSE))</f>
        <v/>
      </c>
      <c r="F349" s="124">
        <f>IFERROR(IF(OR(D349="",E349="",E349=0),"",(D349/60)/(E349/60)),"")</f>
        <v/>
      </c>
      <c r="G349" s="112">
        <f>IF(F349="","",IF(F349&gt;=0.75,"Cumple referencia","Bajo referencia"))</f>
        <v/>
      </c>
      <c r="J349" s="94" t="n"/>
      <c r="K349" s="95" t="n"/>
      <c r="L349" s="95" t="n"/>
      <c r="M349" s="96" t="n"/>
      <c r="N349" s="95" t="n"/>
    </row>
    <row r="350" ht="16" customHeight="1" s="151">
      <c r="A350" s="109">
        <f>IF(OR('Carga Web Cirugias'!A350="",'Carga Web Cirugias'!M350=""),"",_xludf.ISOWEEKNUM('Carga Web Cirugias'!A350))</f>
        <v/>
      </c>
      <c r="B350" s="117">
        <f>IF('Carga Web Cirugias'!A350="","",'Carga Web Cirugias'!A350)</f>
        <v/>
      </c>
      <c r="C350" s="109">
        <f>IF('Carga Web Cirugias'!M350="","",'Carga Web Cirugias'!M350)</f>
        <v/>
      </c>
      <c r="D350" s="111">
        <f>IFERROR(IF(OR(B350="",C350="",COUNTIFS($B$4:B350,B350,$C$4:C350,C350)&gt;1),"",(_xludf.AGGREGATE(14,6,MOD('Carga Web Cirugias'!$S$4:$S$500,1)/(('Carga Web Cirugias'!$A$4:$A$500=B350)*('Carga Web Cirugias'!$M$4:$M$500=C350)*('Carga Web Cirugias'!$R$4:$R$500&lt;&gt;"")*('Carga Web Cirugias'!$S$4:$S$500&lt;&gt;"")),1)-_xludf.AGGREGATE(15,6,MOD('Carga Web Cirugias'!$R$4:$R$500,1)/(('Carga Web Cirugias'!$A$4:$A$500=B350)*('Carga Web Cirugias'!$M$4:$M$500=C350)*('Carga Web Cirugias'!$R$4:$R$500&lt;&gt;"")*('Carga Web Cirugias'!$S$4:$S$500&lt;&gt;"")),1))*1440),"")</f>
        <v/>
      </c>
      <c r="E350" s="111">
        <f>IF(OR(B350="",C350="",D350=""),"",VLOOKUP(C350,'Horario Pabellones'!$A$4:$D$17,4,FALSE))</f>
        <v/>
      </c>
      <c r="F350" s="118">
        <f>IFERROR(IF(OR(D350="",E350="",E350=0),"",(D350/60)/(E350/60)),"")</f>
        <v/>
      </c>
      <c r="G350" s="109">
        <f>IF(F350="","",IF(F350&gt;=0.75,"Cumple referencia","Bajo referencia"))</f>
        <v/>
      </c>
      <c r="J350" s="94" t="n"/>
      <c r="K350" s="95" t="n"/>
      <c r="L350" s="95" t="n"/>
      <c r="M350" s="96" t="n"/>
      <c r="N350" s="95" t="n"/>
    </row>
    <row r="351" ht="16" customHeight="1" s="151">
      <c r="A351" s="112">
        <f>IF(OR('Carga Web Cirugias'!A351="",'Carga Web Cirugias'!M351=""),"",_xludf.ISOWEEKNUM('Carga Web Cirugias'!A351))</f>
        <v/>
      </c>
      <c r="B351" s="123">
        <f>IF('Carga Web Cirugias'!A351="","",'Carga Web Cirugias'!A351)</f>
        <v/>
      </c>
      <c r="C351" s="112">
        <f>IF('Carga Web Cirugias'!M351="","",'Carga Web Cirugias'!M351)</f>
        <v/>
      </c>
      <c r="D351" s="114">
        <f>IFERROR(IF(OR(B351="",C351="",COUNTIFS($B$4:B351,B351,$C$4:C351,C351)&gt;1),"",(_xludf.AGGREGATE(14,6,MOD('Carga Web Cirugias'!$S$4:$S$500,1)/(('Carga Web Cirugias'!$A$4:$A$500=B351)*('Carga Web Cirugias'!$M$4:$M$500=C351)*('Carga Web Cirugias'!$R$4:$R$500&lt;&gt;"")*('Carga Web Cirugias'!$S$4:$S$500&lt;&gt;"")),1)-_xludf.AGGREGATE(15,6,MOD('Carga Web Cirugias'!$R$4:$R$500,1)/(('Carga Web Cirugias'!$A$4:$A$500=B351)*('Carga Web Cirugias'!$M$4:$M$500=C351)*('Carga Web Cirugias'!$R$4:$R$500&lt;&gt;"")*('Carga Web Cirugias'!$S$4:$S$500&lt;&gt;"")),1))*1440),"")</f>
        <v/>
      </c>
      <c r="E351" s="114">
        <f>IF(OR(B351="",C351="",D351=""),"",VLOOKUP(C351,'Horario Pabellones'!$A$4:$D$17,4,FALSE))</f>
        <v/>
      </c>
      <c r="F351" s="124">
        <f>IFERROR(IF(OR(D351="",E351="",E351=0),"",(D351/60)/(E351/60)),"")</f>
        <v/>
      </c>
      <c r="G351" s="112">
        <f>IF(F351="","",IF(F351&gt;=0.75,"Cumple referencia","Bajo referencia"))</f>
        <v/>
      </c>
      <c r="J351" s="94" t="n"/>
      <c r="K351" s="95" t="n"/>
      <c r="L351" s="95" t="n"/>
      <c r="M351" s="96" t="n"/>
      <c r="N351" s="95" t="n"/>
    </row>
    <row r="352" ht="16" customHeight="1" s="151">
      <c r="A352" s="109">
        <f>IF(OR('Carga Web Cirugias'!A352="",'Carga Web Cirugias'!M352=""),"",_xludf.ISOWEEKNUM('Carga Web Cirugias'!A352))</f>
        <v/>
      </c>
      <c r="B352" s="117">
        <f>IF('Carga Web Cirugias'!A352="","",'Carga Web Cirugias'!A352)</f>
        <v/>
      </c>
      <c r="C352" s="109">
        <f>IF('Carga Web Cirugias'!M352="","",'Carga Web Cirugias'!M352)</f>
        <v/>
      </c>
      <c r="D352" s="111">
        <f>IFERROR(IF(OR(B352="",C352="",COUNTIFS($B$4:B352,B352,$C$4:C352,C352)&gt;1),"",(_xludf.AGGREGATE(14,6,MOD('Carga Web Cirugias'!$S$4:$S$500,1)/(('Carga Web Cirugias'!$A$4:$A$500=B352)*('Carga Web Cirugias'!$M$4:$M$500=C352)*('Carga Web Cirugias'!$R$4:$R$500&lt;&gt;"")*('Carga Web Cirugias'!$S$4:$S$500&lt;&gt;"")),1)-_xludf.AGGREGATE(15,6,MOD('Carga Web Cirugias'!$R$4:$R$500,1)/(('Carga Web Cirugias'!$A$4:$A$500=B352)*('Carga Web Cirugias'!$M$4:$M$500=C352)*('Carga Web Cirugias'!$R$4:$R$500&lt;&gt;"")*('Carga Web Cirugias'!$S$4:$S$500&lt;&gt;"")),1))*1440),"")</f>
        <v/>
      </c>
      <c r="E352" s="111">
        <f>IF(OR(B352="",C352="",D352=""),"",VLOOKUP(C352,'Horario Pabellones'!$A$4:$D$17,4,FALSE))</f>
        <v/>
      </c>
      <c r="F352" s="118">
        <f>IFERROR(IF(OR(D352="",E352="",E352=0),"",(D352/60)/(E352/60)),"")</f>
        <v/>
      </c>
      <c r="G352" s="109">
        <f>IF(F352="","",IF(F352&gt;=0.75,"Cumple referencia","Bajo referencia"))</f>
        <v/>
      </c>
      <c r="J352" s="94" t="n"/>
      <c r="K352" s="95" t="n"/>
      <c r="L352" s="95" t="n"/>
      <c r="M352" s="96" t="n"/>
      <c r="N352" s="95" t="n"/>
    </row>
    <row r="353" ht="16" customHeight="1" s="151">
      <c r="A353" s="112">
        <f>IF(OR('Carga Web Cirugias'!A353="",'Carga Web Cirugias'!M353=""),"",_xludf.ISOWEEKNUM('Carga Web Cirugias'!A353))</f>
        <v/>
      </c>
      <c r="B353" s="123">
        <f>IF('Carga Web Cirugias'!A353="","",'Carga Web Cirugias'!A353)</f>
        <v/>
      </c>
      <c r="C353" s="112">
        <f>IF('Carga Web Cirugias'!M353="","",'Carga Web Cirugias'!M353)</f>
        <v/>
      </c>
      <c r="D353" s="114">
        <f>IFERROR(IF(OR(B353="",C353="",COUNTIFS($B$4:B353,B353,$C$4:C353,C353)&gt;1),"",(_xludf.AGGREGATE(14,6,MOD('Carga Web Cirugias'!$S$4:$S$500,1)/(('Carga Web Cirugias'!$A$4:$A$500=B353)*('Carga Web Cirugias'!$M$4:$M$500=C353)*('Carga Web Cirugias'!$R$4:$R$500&lt;&gt;"")*('Carga Web Cirugias'!$S$4:$S$500&lt;&gt;"")),1)-_xludf.AGGREGATE(15,6,MOD('Carga Web Cirugias'!$R$4:$R$500,1)/(('Carga Web Cirugias'!$A$4:$A$500=B353)*('Carga Web Cirugias'!$M$4:$M$500=C353)*('Carga Web Cirugias'!$R$4:$R$500&lt;&gt;"")*('Carga Web Cirugias'!$S$4:$S$500&lt;&gt;"")),1))*1440),"")</f>
        <v/>
      </c>
      <c r="E353" s="114">
        <f>IF(OR(B353="",C353="",D353=""),"",VLOOKUP(C353,'Horario Pabellones'!$A$4:$D$17,4,FALSE))</f>
        <v/>
      </c>
      <c r="F353" s="124">
        <f>IFERROR(IF(OR(D353="",E353="",E353=0),"",(D353/60)/(E353/60)),"")</f>
        <v/>
      </c>
      <c r="G353" s="112">
        <f>IF(F353="","",IF(F353&gt;=0.75,"Cumple referencia","Bajo referencia"))</f>
        <v/>
      </c>
      <c r="J353" s="94" t="n"/>
      <c r="K353" s="95" t="n"/>
      <c r="L353" s="95" t="n"/>
      <c r="M353" s="96" t="n"/>
      <c r="N353" s="95" t="n"/>
    </row>
    <row r="354" ht="16" customHeight="1" s="151">
      <c r="A354" s="109">
        <f>IF(OR('Carga Web Cirugias'!A354="",'Carga Web Cirugias'!M354=""),"",_xludf.ISOWEEKNUM('Carga Web Cirugias'!A354))</f>
        <v/>
      </c>
      <c r="B354" s="117">
        <f>IF('Carga Web Cirugias'!A354="","",'Carga Web Cirugias'!A354)</f>
        <v/>
      </c>
      <c r="C354" s="109">
        <f>IF('Carga Web Cirugias'!M354="","",'Carga Web Cirugias'!M354)</f>
        <v/>
      </c>
      <c r="D354" s="111">
        <f>IFERROR(IF(OR(B354="",C354="",COUNTIFS($B$4:B354,B354,$C$4:C354,C354)&gt;1),"",(_xludf.AGGREGATE(14,6,MOD('Carga Web Cirugias'!$S$4:$S$500,1)/(('Carga Web Cirugias'!$A$4:$A$500=B354)*('Carga Web Cirugias'!$M$4:$M$500=C354)*('Carga Web Cirugias'!$R$4:$R$500&lt;&gt;"")*('Carga Web Cirugias'!$S$4:$S$500&lt;&gt;"")),1)-_xludf.AGGREGATE(15,6,MOD('Carga Web Cirugias'!$R$4:$R$500,1)/(('Carga Web Cirugias'!$A$4:$A$500=B354)*('Carga Web Cirugias'!$M$4:$M$500=C354)*('Carga Web Cirugias'!$R$4:$R$500&lt;&gt;"")*('Carga Web Cirugias'!$S$4:$S$500&lt;&gt;"")),1))*1440),"")</f>
        <v/>
      </c>
      <c r="E354" s="111">
        <f>IF(OR(B354="",C354="",D354=""),"",VLOOKUP(C354,'Horario Pabellones'!$A$4:$D$17,4,FALSE))</f>
        <v/>
      </c>
      <c r="F354" s="118">
        <f>IFERROR(IF(OR(D354="",E354="",E354=0),"",(D354/60)/(E354/60)),"")</f>
        <v/>
      </c>
      <c r="G354" s="109">
        <f>IF(F354="","",IF(F354&gt;=0.75,"Cumple referencia","Bajo referencia"))</f>
        <v/>
      </c>
      <c r="J354" s="94" t="n"/>
      <c r="K354" s="95" t="n"/>
      <c r="L354" s="95" t="n"/>
      <c r="M354" s="96" t="n"/>
      <c r="N354" s="95" t="n"/>
    </row>
    <row r="355" ht="16" customHeight="1" s="151">
      <c r="A355" s="112">
        <f>IF(OR('Carga Web Cirugias'!A355="",'Carga Web Cirugias'!M355=""),"",_xludf.ISOWEEKNUM('Carga Web Cirugias'!A355))</f>
        <v/>
      </c>
      <c r="B355" s="123">
        <f>IF('Carga Web Cirugias'!A355="","",'Carga Web Cirugias'!A355)</f>
        <v/>
      </c>
      <c r="C355" s="112">
        <f>IF('Carga Web Cirugias'!M355="","",'Carga Web Cirugias'!M355)</f>
        <v/>
      </c>
      <c r="D355" s="114">
        <f>IFERROR(IF(OR(B355="",C355="",COUNTIFS($B$4:B355,B355,$C$4:C355,C355)&gt;1),"",(_xludf.AGGREGATE(14,6,MOD('Carga Web Cirugias'!$S$4:$S$500,1)/(('Carga Web Cirugias'!$A$4:$A$500=B355)*('Carga Web Cirugias'!$M$4:$M$500=C355)*('Carga Web Cirugias'!$R$4:$R$500&lt;&gt;"")*('Carga Web Cirugias'!$S$4:$S$500&lt;&gt;"")),1)-_xludf.AGGREGATE(15,6,MOD('Carga Web Cirugias'!$R$4:$R$500,1)/(('Carga Web Cirugias'!$A$4:$A$500=B355)*('Carga Web Cirugias'!$M$4:$M$500=C355)*('Carga Web Cirugias'!$R$4:$R$500&lt;&gt;"")*('Carga Web Cirugias'!$S$4:$S$500&lt;&gt;"")),1))*1440),"")</f>
        <v/>
      </c>
      <c r="E355" s="114">
        <f>IF(OR(B355="",C355="",D355=""),"",VLOOKUP(C355,'Horario Pabellones'!$A$4:$D$17,4,FALSE))</f>
        <v/>
      </c>
      <c r="F355" s="124">
        <f>IFERROR(IF(OR(D355="",E355="",E355=0),"",(D355/60)/(E355/60)),"")</f>
        <v/>
      </c>
      <c r="G355" s="112">
        <f>IF(F355="","",IF(F355&gt;=0.75,"Cumple referencia","Bajo referencia"))</f>
        <v/>
      </c>
      <c r="J355" s="94" t="n"/>
      <c r="K355" s="95" t="n"/>
      <c r="L355" s="95" t="n"/>
      <c r="M355" s="96" t="n"/>
      <c r="N355" s="95" t="n"/>
    </row>
    <row r="356" ht="16" customHeight="1" s="151">
      <c r="A356" s="109">
        <f>IF(OR('Carga Web Cirugias'!A356="",'Carga Web Cirugias'!M356=""),"",_xludf.ISOWEEKNUM('Carga Web Cirugias'!A356))</f>
        <v/>
      </c>
      <c r="B356" s="117">
        <f>IF('Carga Web Cirugias'!A356="","",'Carga Web Cirugias'!A356)</f>
        <v/>
      </c>
      <c r="C356" s="109">
        <f>IF('Carga Web Cirugias'!M356="","",'Carga Web Cirugias'!M356)</f>
        <v/>
      </c>
      <c r="D356" s="111">
        <f>IFERROR(IF(OR(B356="",C356="",COUNTIFS($B$4:B356,B356,$C$4:C356,C356)&gt;1),"",(_xludf.AGGREGATE(14,6,MOD('Carga Web Cirugias'!$S$4:$S$500,1)/(('Carga Web Cirugias'!$A$4:$A$500=B356)*('Carga Web Cirugias'!$M$4:$M$500=C356)*('Carga Web Cirugias'!$R$4:$R$500&lt;&gt;"")*('Carga Web Cirugias'!$S$4:$S$500&lt;&gt;"")),1)-_xludf.AGGREGATE(15,6,MOD('Carga Web Cirugias'!$R$4:$R$500,1)/(('Carga Web Cirugias'!$A$4:$A$500=B356)*('Carga Web Cirugias'!$M$4:$M$500=C356)*('Carga Web Cirugias'!$R$4:$R$500&lt;&gt;"")*('Carga Web Cirugias'!$S$4:$S$500&lt;&gt;"")),1))*1440),"")</f>
        <v/>
      </c>
      <c r="E356" s="111">
        <f>IF(OR(B356="",C356="",D356=""),"",VLOOKUP(C356,'Horario Pabellones'!$A$4:$D$17,4,FALSE))</f>
        <v/>
      </c>
      <c r="F356" s="118">
        <f>IFERROR(IF(OR(D356="",E356="",E356=0),"",(D356/60)/(E356/60)),"")</f>
        <v/>
      </c>
      <c r="G356" s="109">
        <f>IF(F356="","",IF(F356&gt;=0.75,"Cumple referencia","Bajo referencia"))</f>
        <v/>
      </c>
      <c r="J356" s="94" t="n"/>
      <c r="K356" s="95" t="n"/>
      <c r="L356" s="95" t="n"/>
      <c r="M356" s="96" t="n"/>
      <c r="N356" s="95" t="n"/>
    </row>
    <row r="357" ht="16" customHeight="1" s="151">
      <c r="A357" s="112">
        <f>IF(OR('Carga Web Cirugias'!A357="",'Carga Web Cirugias'!M357=""),"",_xludf.ISOWEEKNUM('Carga Web Cirugias'!A357))</f>
        <v/>
      </c>
      <c r="B357" s="123">
        <f>IF('Carga Web Cirugias'!A357="","",'Carga Web Cirugias'!A357)</f>
        <v/>
      </c>
      <c r="C357" s="112">
        <f>IF('Carga Web Cirugias'!M357="","",'Carga Web Cirugias'!M357)</f>
        <v/>
      </c>
      <c r="D357" s="114">
        <f>IFERROR(IF(OR(B357="",C357="",COUNTIFS($B$4:B357,B357,$C$4:C357,C357)&gt;1),"",(_xludf.AGGREGATE(14,6,MOD('Carga Web Cirugias'!$S$4:$S$500,1)/(('Carga Web Cirugias'!$A$4:$A$500=B357)*('Carga Web Cirugias'!$M$4:$M$500=C357)*('Carga Web Cirugias'!$R$4:$R$500&lt;&gt;"")*('Carga Web Cirugias'!$S$4:$S$500&lt;&gt;"")),1)-_xludf.AGGREGATE(15,6,MOD('Carga Web Cirugias'!$R$4:$R$500,1)/(('Carga Web Cirugias'!$A$4:$A$500=B357)*('Carga Web Cirugias'!$M$4:$M$500=C357)*('Carga Web Cirugias'!$R$4:$R$500&lt;&gt;"")*('Carga Web Cirugias'!$S$4:$S$500&lt;&gt;"")),1))*1440),"")</f>
        <v/>
      </c>
      <c r="E357" s="114">
        <f>IF(OR(B357="",C357="",D357=""),"",VLOOKUP(C357,'Horario Pabellones'!$A$4:$D$17,4,FALSE))</f>
        <v/>
      </c>
      <c r="F357" s="124">
        <f>IFERROR(IF(OR(D357="",E357="",E357=0),"",(D357/60)/(E357/60)),"")</f>
        <v/>
      </c>
      <c r="G357" s="112">
        <f>IF(F357="","",IF(F357&gt;=0.75,"Cumple referencia","Bajo referencia"))</f>
        <v/>
      </c>
      <c r="J357" s="94" t="n"/>
      <c r="K357" s="95" t="n"/>
      <c r="L357" s="95" t="n"/>
      <c r="M357" s="96" t="n"/>
      <c r="N357" s="95" t="n"/>
    </row>
    <row r="358" ht="16" customHeight="1" s="151">
      <c r="A358" s="109">
        <f>IF(OR('Carga Web Cirugias'!A358="",'Carga Web Cirugias'!M358=""),"",_xludf.ISOWEEKNUM('Carga Web Cirugias'!A358))</f>
        <v/>
      </c>
      <c r="B358" s="117">
        <f>IF('Carga Web Cirugias'!A358="","",'Carga Web Cirugias'!A358)</f>
        <v/>
      </c>
      <c r="C358" s="109">
        <f>IF('Carga Web Cirugias'!M358="","",'Carga Web Cirugias'!M358)</f>
        <v/>
      </c>
      <c r="D358" s="111">
        <f>IFERROR(IF(OR(B358="",C358="",COUNTIFS($B$4:B358,B358,$C$4:C358,C358)&gt;1),"",(_xludf.AGGREGATE(14,6,MOD('Carga Web Cirugias'!$S$4:$S$500,1)/(('Carga Web Cirugias'!$A$4:$A$500=B358)*('Carga Web Cirugias'!$M$4:$M$500=C358)*('Carga Web Cirugias'!$R$4:$R$500&lt;&gt;"")*('Carga Web Cirugias'!$S$4:$S$500&lt;&gt;"")),1)-_xludf.AGGREGATE(15,6,MOD('Carga Web Cirugias'!$R$4:$R$500,1)/(('Carga Web Cirugias'!$A$4:$A$500=B358)*('Carga Web Cirugias'!$M$4:$M$500=C358)*('Carga Web Cirugias'!$R$4:$R$500&lt;&gt;"")*('Carga Web Cirugias'!$S$4:$S$500&lt;&gt;"")),1))*1440),"")</f>
        <v/>
      </c>
      <c r="E358" s="111">
        <f>IF(OR(B358="",C358="",D358=""),"",VLOOKUP(C358,'Horario Pabellones'!$A$4:$D$17,4,FALSE))</f>
        <v/>
      </c>
      <c r="F358" s="118">
        <f>IFERROR(IF(OR(D358="",E358="",E358=0),"",(D358/60)/(E358/60)),"")</f>
        <v/>
      </c>
      <c r="G358" s="109">
        <f>IF(F358="","",IF(F358&gt;=0.75,"Cumple referencia","Bajo referencia"))</f>
        <v/>
      </c>
      <c r="J358" s="94" t="n"/>
      <c r="K358" s="95" t="n"/>
      <c r="L358" s="95" t="n"/>
      <c r="M358" s="96" t="n"/>
      <c r="N358" s="95" t="n"/>
    </row>
    <row r="359" ht="16" customHeight="1" s="151">
      <c r="A359" s="112">
        <f>IF(OR('Carga Web Cirugias'!A359="",'Carga Web Cirugias'!M359=""),"",_xludf.ISOWEEKNUM('Carga Web Cirugias'!A359))</f>
        <v/>
      </c>
      <c r="B359" s="123">
        <f>IF('Carga Web Cirugias'!A359="","",'Carga Web Cirugias'!A359)</f>
        <v/>
      </c>
      <c r="C359" s="112">
        <f>IF('Carga Web Cirugias'!M359="","",'Carga Web Cirugias'!M359)</f>
        <v/>
      </c>
      <c r="D359" s="114">
        <f>IFERROR(IF(OR(B359="",C359="",COUNTIFS($B$4:B359,B359,$C$4:C359,C359)&gt;1),"",(_xludf.AGGREGATE(14,6,MOD('Carga Web Cirugias'!$S$4:$S$500,1)/(('Carga Web Cirugias'!$A$4:$A$500=B359)*('Carga Web Cirugias'!$M$4:$M$500=C359)*('Carga Web Cirugias'!$R$4:$R$500&lt;&gt;"")*('Carga Web Cirugias'!$S$4:$S$500&lt;&gt;"")),1)-_xludf.AGGREGATE(15,6,MOD('Carga Web Cirugias'!$R$4:$R$500,1)/(('Carga Web Cirugias'!$A$4:$A$500=B359)*('Carga Web Cirugias'!$M$4:$M$500=C359)*('Carga Web Cirugias'!$R$4:$R$500&lt;&gt;"")*('Carga Web Cirugias'!$S$4:$S$500&lt;&gt;"")),1))*1440),"")</f>
        <v/>
      </c>
      <c r="E359" s="114">
        <f>IF(OR(B359="",C359="",D359=""),"",VLOOKUP(C359,'Horario Pabellones'!$A$4:$D$17,4,FALSE))</f>
        <v/>
      </c>
      <c r="F359" s="124">
        <f>IFERROR(IF(OR(D359="",E359="",E359=0),"",(D359/60)/(E359/60)),"")</f>
        <v/>
      </c>
      <c r="G359" s="112">
        <f>IF(F359="","",IF(F359&gt;=0.75,"Cumple referencia","Bajo referencia"))</f>
        <v/>
      </c>
      <c r="J359" s="94" t="n"/>
      <c r="K359" s="95" t="n"/>
      <c r="L359" s="95" t="n"/>
      <c r="M359" s="96" t="n"/>
      <c r="N359" s="95" t="n"/>
    </row>
    <row r="360" ht="16" customHeight="1" s="151">
      <c r="A360" s="109">
        <f>IF(OR('Carga Web Cirugias'!A360="",'Carga Web Cirugias'!M360=""),"",_xludf.ISOWEEKNUM('Carga Web Cirugias'!A360))</f>
        <v/>
      </c>
      <c r="B360" s="117">
        <f>IF('Carga Web Cirugias'!A360="","",'Carga Web Cirugias'!A360)</f>
        <v/>
      </c>
      <c r="C360" s="109">
        <f>IF('Carga Web Cirugias'!M360="","",'Carga Web Cirugias'!M360)</f>
        <v/>
      </c>
      <c r="D360" s="111">
        <f>IFERROR(IF(OR(B360="",C360="",COUNTIFS($B$4:B360,B360,$C$4:C360,C360)&gt;1),"",(_xludf.AGGREGATE(14,6,MOD('Carga Web Cirugias'!$S$4:$S$500,1)/(('Carga Web Cirugias'!$A$4:$A$500=B360)*('Carga Web Cirugias'!$M$4:$M$500=C360)*('Carga Web Cirugias'!$R$4:$R$500&lt;&gt;"")*('Carga Web Cirugias'!$S$4:$S$500&lt;&gt;"")),1)-_xludf.AGGREGATE(15,6,MOD('Carga Web Cirugias'!$R$4:$R$500,1)/(('Carga Web Cirugias'!$A$4:$A$500=B360)*('Carga Web Cirugias'!$M$4:$M$500=C360)*('Carga Web Cirugias'!$R$4:$R$500&lt;&gt;"")*('Carga Web Cirugias'!$S$4:$S$500&lt;&gt;"")),1))*1440),"")</f>
        <v/>
      </c>
      <c r="E360" s="111">
        <f>IF(OR(B360="",C360="",D360=""),"",VLOOKUP(C360,'Horario Pabellones'!$A$4:$D$17,4,FALSE))</f>
        <v/>
      </c>
      <c r="F360" s="118">
        <f>IFERROR(IF(OR(D360="",E360="",E360=0),"",(D360/60)/(E360/60)),"")</f>
        <v/>
      </c>
      <c r="G360" s="109">
        <f>IF(F360="","",IF(F360&gt;=0.75,"Cumple referencia","Bajo referencia"))</f>
        <v/>
      </c>
      <c r="J360" s="94" t="n"/>
      <c r="K360" s="95" t="n"/>
      <c r="L360" s="95" t="n"/>
      <c r="M360" s="96" t="n"/>
      <c r="N360" s="95" t="n"/>
    </row>
    <row r="361" ht="16" customHeight="1" s="151">
      <c r="A361" s="112">
        <f>IF(OR('Carga Web Cirugias'!A361="",'Carga Web Cirugias'!M361=""),"",_xludf.ISOWEEKNUM('Carga Web Cirugias'!A361))</f>
        <v/>
      </c>
      <c r="B361" s="123">
        <f>IF('Carga Web Cirugias'!A361="","",'Carga Web Cirugias'!A361)</f>
        <v/>
      </c>
      <c r="C361" s="112">
        <f>IF('Carga Web Cirugias'!M361="","",'Carga Web Cirugias'!M361)</f>
        <v/>
      </c>
      <c r="D361" s="114">
        <f>IFERROR(IF(OR(B361="",C361="",COUNTIFS($B$4:B361,B361,$C$4:C361,C361)&gt;1),"",(_xludf.AGGREGATE(14,6,MOD('Carga Web Cirugias'!$S$4:$S$500,1)/(('Carga Web Cirugias'!$A$4:$A$500=B361)*('Carga Web Cirugias'!$M$4:$M$500=C361)*('Carga Web Cirugias'!$R$4:$R$500&lt;&gt;"")*('Carga Web Cirugias'!$S$4:$S$500&lt;&gt;"")),1)-_xludf.AGGREGATE(15,6,MOD('Carga Web Cirugias'!$R$4:$R$500,1)/(('Carga Web Cirugias'!$A$4:$A$500=B361)*('Carga Web Cirugias'!$M$4:$M$500=C361)*('Carga Web Cirugias'!$R$4:$R$500&lt;&gt;"")*('Carga Web Cirugias'!$S$4:$S$500&lt;&gt;"")),1))*1440),"")</f>
        <v/>
      </c>
      <c r="E361" s="114">
        <f>IF(OR(B361="",C361="",D361=""),"",VLOOKUP(C361,'Horario Pabellones'!$A$4:$D$17,4,FALSE))</f>
        <v/>
      </c>
      <c r="F361" s="124">
        <f>IFERROR(IF(OR(D361="",E361="",E361=0),"",(D361/60)/(E361/60)),"")</f>
        <v/>
      </c>
      <c r="G361" s="112">
        <f>IF(F361="","",IF(F361&gt;=0.75,"Cumple referencia","Bajo referencia"))</f>
        <v/>
      </c>
      <c r="J361" s="94" t="n"/>
      <c r="K361" s="95" t="n"/>
      <c r="L361" s="95" t="n"/>
      <c r="M361" s="96" t="n"/>
      <c r="N361" s="95" t="n"/>
    </row>
    <row r="362" ht="16" customHeight="1" s="151">
      <c r="A362" s="109">
        <f>IF(OR('Carga Web Cirugias'!A362="",'Carga Web Cirugias'!M362=""),"",_xludf.ISOWEEKNUM('Carga Web Cirugias'!A362))</f>
        <v/>
      </c>
      <c r="B362" s="117">
        <f>IF('Carga Web Cirugias'!A362="","",'Carga Web Cirugias'!A362)</f>
        <v/>
      </c>
      <c r="C362" s="109">
        <f>IF('Carga Web Cirugias'!M362="","",'Carga Web Cirugias'!M362)</f>
        <v/>
      </c>
      <c r="D362" s="111">
        <f>IFERROR(IF(OR(B362="",C362="",COUNTIFS($B$4:B362,B362,$C$4:C362,C362)&gt;1),"",(_xludf.AGGREGATE(14,6,MOD('Carga Web Cirugias'!$S$4:$S$500,1)/(('Carga Web Cirugias'!$A$4:$A$500=B362)*('Carga Web Cirugias'!$M$4:$M$500=C362)*('Carga Web Cirugias'!$R$4:$R$500&lt;&gt;"")*('Carga Web Cirugias'!$S$4:$S$500&lt;&gt;"")),1)-_xludf.AGGREGATE(15,6,MOD('Carga Web Cirugias'!$R$4:$R$500,1)/(('Carga Web Cirugias'!$A$4:$A$500=B362)*('Carga Web Cirugias'!$M$4:$M$500=C362)*('Carga Web Cirugias'!$R$4:$R$500&lt;&gt;"")*('Carga Web Cirugias'!$S$4:$S$500&lt;&gt;"")),1))*1440),"")</f>
        <v/>
      </c>
      <c r="E362" s="111">
        <f>IF(OR(B362="",C362="",D362=""),"",VLOOKUP(C362,'Horario Pabellones'!$A$4:$D$17,4,FALSE))</f>
        <v/>
      </c>
      <c r="F362" s="118">
        <f>IFERROR(IF(OR(D362="",E362="",E362=0),"",(D362/60)/(E362/60)),"")</f>
        <v/>
      </c>
      <c r="G362" s="109">
        <f>IF(F362="","",IF(F362&gt;=0.75,"Cumple referencia","Bajo referencia"))</f>
        <v/>
      </c>
      <c r="J362" s="94" t="n"/>
      <c r="K362" s="95" t="n"/>
      <c r="L362" s="95" t="n"/>
      <c r="M362" s="96" t="n"/>
      <c r="N362" s="95" t="n"/>
    </row>
    <row r="363" ht="16" customHeight="1" s="151">
      <c r="A363" s="112">
        <f>IF(OR('Carga Web Cirugias'!A363="",'Carga Web Cirugias'!M363=""),"",_xludf.ISOWEEKNUM('Carga Web Cirugias'!A363))</f>
        <v/>
      </c>
      <c r="B363" s="123">
        <f>IF('Carga Web Cirugias'!A363="","",'Carga Web Cirugias'!A363)</f>
        <v/>
      </c>
      <c r="C363" s="112">
        <f>IF('Carga Web Cirugias'!M363="","",'Carga Web Cirugias'!M363)</f>
        <v/>
      </c>
      <c r="D363" s="114">
        <f>IFERROR(IF(OR(B363="",C363="",COUNTIFS($B$4:B363,B363,$C$4:C363,C363)&gt;1),"",(_xludf.AGGREGATE(14,6,MOD('Carga Web Cirugias'!$S$4:$S$500,1)/(('Carga Web Cirugias'!$A$4:$A$500=B363)*('Carga Web Cirugias'!$M$4:$M$500=C363)*('Carga Web Cirugias'!$R$4:$R$500&lt;&gt;"")*('Carga Web Cirugias'!$S$4:$S$500&lt;&gt;"")),1)-_xludf.AGGREGATE(15,6,MOD('Carga Web Cirugias'!$R$4:$R$500,1)/(('Carga Web Cirugias'!$A$4:$A$500=B363)*('Carga Web Cirugias'!$M$4:$M$500=C363)*('Carga Web Cirugias'!$R$4:$R$500&lt;&gt;"")*('Carga Web Cirugias'!$S$4:$S$500&lt;&gt;"")),1))*1440),"")</f>
        <v/>
      </c>
      <c r="E363" s="114">
        <f>IF(OR(B363="",C363="",D363=""),"",VLOOKUP(C363,'Horario Pabellones'!$A$4:$D$17,4,FALSE))</f>
        <v/>
      </c>
      <c r="F363" s="124">
        <f>IFERROR(IF(OR(D363="",E363="",E363=0),"",(D363/60)/(E363/60)),"")</f>
        <v/>
      </c>
      <c r="G363" s="112">
        <f>IF(F363="","",IF(F363&gt;=0.75,"Cumple referencia","Bajo referencia"))</f>
        <v/>
      </c>
      <c r="J363" s="94" t="n"/>
      <c r="K363" s="95" t="n"/>
      <c r="L363" s="95" t="n"/>
      <c r="M363" s="96" t="n"/>
      <c r="N363" s="95" t="n"/>
    </row>
    <row r="364" ht="16" customHeight="1" s="151">
      <c r="A364" s="109">
        <f>IF(OR('Carga Web Cirugias'!A364="",'Carga Web Cirugias'!M364=""),"",_xludf.ISOWEEKNUM('Carga Web Cirugias'!A364))</f>
        <v/>
      </c>
      <c r="B364" s="117">
        <f>IF('Carga Web Cirugias'!A364="","",'Carga Web Cirugias'!A364)</f>
        <v/>
      </c>
      <c r="C364" s="109">
        <f>IF('Carga Web Cirugias'!M364="","",'Carga Web Cirugias'!M364)</f>
        <v/>
      </c>
      <c r="D364" s="111">
        <f>IFERROR(IF(OR(B364="",C364="",COUNTIFS($B$4:B364,B364,$C$4:C364,C364)&gt;1),"",(_xludf.AGGREGATE(14,6,MOD('Carga Web Cirugias'!$S$4:$S$500,1)/(('Carga Web Cirugias'!$A$4:$A$500=B364)*('Carga Web Cirugias'!$M$4:$M$500=C364)*('Carga Web Cirugias'!$R$4:$R$500&lt;&gt;"")*('Carga Web Cirugias'!$S$4:$S$500&lt;&gt;"")),1)-_xludf.AGGREGATE(15,6,MOD('Carga Web Cirugias'!$R$4:$R$500,1)/(('Carga Web Cirugias'!$A$4:$A$500=B364)*('Carga Web Cirugias'!$M$4:$M$500=C364)*('Carga Web Cirugias'!$R$4:$R$500&lt;&gt;"")*('Carga Web Cirugias'!$S$4:$S$500&lt;&gt;"")),1))*1440),"")</f>
        <v/>
      </c>
      <c r="E364" s="111">
        <f>IF(OR(B364="",C364="",D364=""),"",VLOOKUP(C364,'Horario Pabellones'!$A$4:$D$17,4,FALSE))</f>
        <v/>
      </c>
      <c r="F364" s="118">
        <f>IFERROR(IF(OR(D364="",E364="",E364=0),"",(D364/60)/(E364/60)),"")</f>
        <v/>
      </c>
      <c r="G364" s="109">
        <f>IF(F364="","",IF(F364&gt;=0.75,"Cumple referencia","Bajo referencia"))</f>
        <v/>
      </c>
      <c r="J364" s="94" t="n"/>
      <c r="K364" s="95" t="n"/>
      <c r="L364" s="95" t="n"/>
      <c r="M364" s="96" t="n"/>
      <c r="N364" s="95" t="n"/>
    </row>
    <row r="365" ht="16" customHeight="1" s="151">
      <c r="A365" s="112">
        <f>IF(OR('Carga Web Cirugias'!A365="",'Carga Web Cirugias'!M365=""),"",_xludf.ISOWEEKNUM('Carga Web Cirugias'!A365))</f>
        <v/>
      </c>
      <c r="B365" s="123">
        <f>IF('Carga Web Cirugias'!A365="","",'Carga Web Cirugias'!A365)</f>
        <v/>
      </c>
      <c r="C365" s="112">
        <f>IF('Carga Web Cirugias'!M365="","",'Carga Web Cirugias'!M365)</f>
        <v/>
      </c>
      <c r="D365" s="114">
        <f>IFERROR(IF(OR(B365="",C365="",COUNTIFS($B$4:B365,B365,$C$4:C365,C365)&gt;1),"",(_xludf.AGGREGATE(14,6,MOD('Carga Web Cirugias'!$S$4:$S$500,1)/(('Carga Web Cirugias'!$A$4:$A$500=B365)*('Carga Web Cirugias'!$M$4:$M$500=C365)*('Carga Web Cirugias'!$R$4:$R$500&lt;&gt;"")*('Carga Web Cirugias'!$S$4:$S$500&lt;&gt;"")),1)-_xludf.AGGREGATE(15,6,MOD('Carga Web Cirugias'!$R$4:$R$500,1)/(('Carga Web Cirugias'!$A$4:$A$500=B365)*('Carga Web Cirugias'!$M$4:$M$500=C365)*('Carga Web Cirugias'!$R$4:$R$500&lt;&gt;"")*('Carga Web Cirugias'!$S$4:$S$500&lt;&gt;"")),1))*1440),"")</f>
        <v/>
      </c>
      <c r="E365" s="114">
        <f>IF(OR(B365="",C365="",D365=""),"",VLOOKUP(C365,'Horario Pabellones'!$A$4:$D$17,4,FALSE))</f>
        <v/>
      </c>
      <c r="F365" s="124">
        <f>IFERROR(IF(OR(D365="",E365="",E365=0),"",(D365/60)/(E365/60)),"")</f>
        <v/>
      </c>
      <c r="G365" s="112">
        <f>IF(F365="","",IF(F365&gt;=0.75,"Cumple referencia","Bajo referencia"))</f>
        <v/>
      </c>
      <c r="J365" s="94" t="n"/>
      <c r="K365" s="95" t="n"/>
      <c r="L365" s="95" t="n"/>
      <c r="M365" s="96" t="n"/>
      <c r="N365" s="95" t="n"/>
    </row>
    <row r="366" ht="16" customHeight="1" s="151">
      <c r="A366" s="109">
        <f>IF(OR('Carga Web Cirugias'!A366="",'Carga Web Cirugias'!M366=""),"",_xludf.ISOWEEKNUM('Carga Web Cirugias'!A366))</f>
        <v/>
      </c>
      <c r="B366" s="117">
        <f>IF('Carga Web Cirugias'!A366="","",'Carga Web Cirugias'!A366)</f>
        <v/>
      </c>
      <c r="C366" s="109">
        <f>IF('Carga Web Cirugias'!M366="","",'Carga Web Cirugias'!M366)</f>
        <v/>
      </c>
      <c r="D366" s="111">
        <f>IFERROR(IF(OR(B366="",C366="",COUNTIFS($B$4:B366,B366,$C$4:C366,C366)&gt;1),"",(_xludf.AGGREGATE(14,6,MOD('Carga Web Cirugias'!$S$4:$S$500,1)/(('Carga Web Cirugias'!$A$4:$A$500=B366)*('Carga Web Cirugias'!$M$4:$M$500=C366)*('Carga Web Cirugias'!$R$4:$R$500&lt;&gt;"")*('Carga Web Cirugias'!$S$4:$S$500&lt;&gt;"")),1)-_xludf.AGGREGATE(15,6,MOD('Carga Web Cirugias'!$R$4:$R$500,1)/(('Carga Web Cirugias'!$A$4:$A$500=B366)*('Carga Web Cirugias'!$M$4:$M$500=C366)*('Carga Web Cirugias'!$R$4:$R$500&lt;&gt;"")*('Carga Web Cirugias'!$S$4:$S$500&lt;&gt;"")),1))*1440),"")</f>
        <v/>
      </c>
      <c r="E366" s="111">
        <f>IF(OR(B366="",C366="",D366=""),"",VLOOKUP(C366,'Horario Pabellones'!$A$4:$D$17,4,FALSE))</f>
        <v/>
      </c>
      <c r="F366" s="118">
        <f>IFERROR(IF(OR(D366="",E366="",E366=0),"",(D366/60)/(E366/60)),"")</f>
        <v/>
      </c>
      <c r="G366" s="109">
        <f>IF(F366="","",IF(F366&gt;=0.75,"Cumple referencia","Bajo referencia"))</f>
        <v/>
      </c>
      <c r="J366" s="94" t="n"/>
      <c r="K366" s="95" t="n"/>
      <c r="L366" s="95" t="n"/>
      <c r="M366" s="96" t="n"/>
      <c r="N366" s="95" t="n"/>
    </row>
    <row r="367" ht="16" customHeight="1" s="151">
      <c r="A367" s="112">
        <f>IF(OR('Carga Web Cirugias'!A367="",'Carga Web Cirugias'!M367=""),"",_xludf.ISOWEEKNUM('Carga Web Cirugias'!A367))</f>
        <v/>
      </c>
      <c r="B367" s="123">
        <f>IF('Carga Web Cirugias'!A367="","",'Carga Web Cirugias'!A367)</f>
        <v/>
      </c>
      <c r="C367" s="112">
        <f>IF('Carga Web Cirugias'!M367="","",'Carga Web Cirugias'!M367)</f>
        <v/>
      </c>
      <c r="D367" s="114">
        <f>IFERROR(IF(OR(B367="",C367="",COUNTIFS($B$4:B367,B367,$C$4:C367,C367)&gt;1),"",(_xludf.AGGREGATE(14,6,MOD('Carga Web Cirugias'!$S$4:$S$500,1)/(('Carga Web Cirugias'!$A$4:$A$500=B367)*('Carga Web Cirugias'!$M$4:$M$500=C367)*('Carga Web Cirugias'!$R$4:$R$500&lt;&gt;"")*('Carga Web Cirugias'!$S$4:$S$500&lt;&gt;"")),1)-_xludf.AGGREGATE(15,6,MOD('Carga Web Cirugias'!$R$4:$R$500,1)/(('Carga Web Cirugias'!$A$4:$A$500=B367)*('Carga Web Cirugias'!$M$4:$M$500=C367)*('Carga Web Cirugias'!$R$4:$R$500&lt;&gt;"")*('Carga Web Cirugias'!$S$4:$S$500&lt;&gt;"")),1))*1440),"")</f>
        <v/>
      </c>
      <c r="E367" s="114">
        <f>IF(OR(B367="",C367="",D367=""),"",VLOOKUP(C367,'Horario Pabellones'!$A$4:$D$17,4,FALSE))</f>
        <v/>
      </c>
      <c r="F367" s="124">
        <f>IFERROR(IF(OR(D367="",E367="",E367=0),"",(D367/60)/(E367/60)),"")</f>
        <v/>
      </c>
      <c r="G367" s="112">
        <f>IF(F367="","",IF(F367&gt;=0.75,"Cumple referencia","Bajo referencia"))</f>
        <v/>
      </c>
      <c r="J367" s="94" t="n"/>
      <c r="K367" s="95" t="n"/>
      <c r="L367" s="95" t="n"/>
      <c r="M367" s="96" t="n"/>
      <c r="N367" s="95" t="n"/>
    </row>
    <row r="368" ht="16" customHeight="1" s="151">
      <c r="A368" s="109">
        <f>IF(OR('Carga Web Cirugias'!A368="",'Carga Web Cirugias'!M368=""),"",_xludf.ISOWEEKNUM('Carga Web Cirugias'!A368))</f>
        <v/>
      </c>
      <c r="B368" s="117">
        <f>IF('Carga Web Cirugias'!A368="","",'Carga Web Cirugias'!A368)</f>
        <v/>
      </c>
      <c r="C368" s="109">
        <f>IF('Carga Web Cirugias'!M368="","",'Carga Web Cirugias'!M368)</f>
        <v/>
      </c>
      <c r="D368" s="111">
        <f>IFERROR(IF(OR(B368="",C368="",COUNTIFS($B$4:B368,B368,$C$4:C368,C368)&gt;1),"",(_xludf.AGGREGATE(14,6,MOD('Carga Web Cirugias'!$S$4:$S$500,1)/(('Carga Web Cirugias'!$A$4:$A$500=B368)*('Carga Web Cirugias'!$M$4:$M$500=C368)*('Carga Web Cirugias'!$R$4:$R$500&lt;&gt;"")*('Carga Web Cirugias'!$S$4:$S$500&lt;&gt;"")),1)-_xludf.AGGREGATE(15,6,MOD('Carga Web Cirugias'!$R$4:$R$500,1)/(('Carga Web Cirugias'!$A$4:$A$500=B368)*('Carga Web Cirugias'!$M$4:$M$500=C368)*('Carga Web Cirugias'!$R$4:$R$500&lt;&gt;"")*('Carga Web Cirugias'!$S$4:$S$500&lt;&gt;"")),1))*1440),"")</f>
        <v/>
      </c>
      <c r="E368" s="111">
        <f>IF(OR(B368="",C368="",D368=""),"",VLOOKUP(C368,'Horario Pabellones'!$A$4:$D$17,4,FALSE))</f>
        <v/>
      </c>
      <c r="F368" s="118">
        <f>IFERROR(IF(OR(D368="",E368="",E368=0),"",(D368/60)/(E368/60)),"")</f>
        <v/>
      </c>
      <c r="G368" s="109">
        <f>IF(F368="","",IF(F368&gt;=0.75,"Cumple referencia","Bajo referencia"))</f>
        <v/>
      </c>
      <c r="J368" s="94" t="n"/>
      <c r="K368" s="95" t="n"/>
      <c r="L368" s="95" t="n"/>
      <c r="M368" s="96" t="n"/>
      <c r="N368" s="95" t="n"/>
    </row>
    <row r="369" ht="16" customHeight="1" s="151">
      <c r="A369" s="112">
        <f>IF(OR('Carga Web Cirugias'!A369="",'Carga Web Cirugias'!M369=""),"",_xludf.ISOWEEKNUM('Carga Web Cirugias'!A369))</f>
        <v/>
      </c>
      <c r="B369" s="123">
        <f>IF('Carga Web Cirugias'!A369="","",'Carga Web Cirugias'!A369)</f>
        <v/>
      </c>
      <c r="C369" s="112">
        <f>IF('Carga Web Cirugias'!M369="","",'Carga Web Cirugias'!M369)</f>
        <v/>
      </c>
      <c r="D369" s="114">
        <f>IFERROR(IF(OR(B369="",C369="",COUNTIFS($B$4:B369,B369,$C$4:C369,C369)&gt;1),"",(_xludf.AGGREGATE(14,6,MOD('Carga Web Cirugias'!$S$4:$S$500,1)/(('Carga Web Cirugias'!$A$4:$A$500=B369)*('Carga Web Cirugias'!$M$4:$M$500=C369)*('Carga Web Cirugias'!$R$4:$R$500&lt;&gt;"")*('Carga Web Cirugias'!$S$4:$S$500&lt;&gt;"")),1)-_xludf.AGGREGATE(15,6,MOD('Carga Web Cirugias'!$R$4:$R$500,1)/(('Carga Web Cirugias'!$A$4:$A$500=B369)*('Carga Web Cirugias'!$M$4:$M$500=C369)*('Carga Web Cirugias'!$R$4:$R$500&lt;&gt;"")*('Carga Web Cirugias'!$S$4:$S$500&lt;&gt;"")),1))*1440),"")</f>
        <v/>
      </c>
      <c r="E369" s="114">
        <f>IF(OR(B369="",C369="",D369=""),"",VLOOKUP(C369,'Horario Pabellones'!$A$4:$D$17,4,FALSE))</f>
        <v/>
      </c>
      <c r="F369" s="124">
        <f>IFERROR(IF(OR(D369="",E369="",E369=0),"",(D369/60)/(E369/60)),"")</f>
        <v/>
      </c>
      <c r="G369" s="112">
        <f>IF(F369="","",IF(F369&gt;=0.75,"Cumple referencia","Bajo referencia"))</f>
        <v/>
      </c>
      <c r="J369" s="94" t="n"/>
      <c r="K369" s="95" t="n"/>
      <c r="L369" s="95" t="n"/>
      <c r="M369" s="96" t="n"/>
      <c r="N369" s="95" t="n"/>
    </row>
    <row r="370" ht="16" customHeight="1" s="151">
      <c r="A370" s="109">
        <f>IF(OR('Carga Web Cirugias'!A370="",'Carga Web Cirugias'!M370=""),"",_xludf.ISOWEEKNUM('Carga Web Cirugias'!A370))</f>
        <v/>
      </c>
      <c r="B370" s="117">
        <f>IF('Carga Web Cirugias'!A370="","",'Carga Web Cirugias'!A370)</f>
        <v/>
      </c>
      <c r="C370" s="109">
        <f>IF('Carga Web Cirugias'!M370="","",'Carga Web Cirugias'!M370)</f>
        <v/>
      </c>
      <c r="D370" s="111">
        <f>IFERROR(IF(OR(B370="",C370="",COUNTIFS($B$4:B370,B370,$C$4:C370,C370)&gt;1),"",(_xludf.AGGREGATE(14,6,MOD('Carga Web Cirugias'!$S$4:$S$500,1)/(('Carga Web Cirugias'!$A$4:$A$500=B370)*('Carga Web Cirugias'!$M$4:$M$500=C370)*('Carga Web Cirugias'!$R$4:$R$500&lt;&gt;"")*('Carga Web Cirugias'!$S$4:$S$500&lt;&gt;"")),1)-_xludf.AGGREGATE(15,6,MOD('Carga Web Cirugias'!$R$4:$R$500,1)/(('Carga Web Cirugias'!$A$4:$A$500=B370)*('Carga Web Cirugias'!$M$4:$M$500=C370)*('Carga Web Cirugias'!$R$4:$R$500&lt;&gt;"")*('Carga Web Cirugias'!$S$4:$S$500&lt;&gt;"")),1))*1440),"")</f>
        <v/>
      </c>
      <c r="E370" s="111">
        <f>IF(OR(B370="",C370="",D370=""),"",VLOOKUP(C370,'Horario Pabellones'!$A$4:$D$17,4,FALSE))</f>
        <v/>
      </c>
      <c r="F370" s="118">
        <f>IFERROR(IF(OR(D370="",E370="",E370=0),"",(D370/60)/(E370/60)),"")</f>
        <v/>
      </c>
      <c r="G370" s="109">
        <f>IF(F370="","",IF(F370&gt;=0.75,"Cumple referencia","Bajo referencia"))</f>
        <v/>
      </c>
      <c r="J370" s="94" t="n"/>
      <c r="K370" s="95" t="n"/>
      <c r="L370" s="95" t="n"/>
      <c r="M370" s="96" t="n"/>
      <c r="N370" s="95" t="n"/>
    </row>
    <row r="371" ht="16" customHeight="1" s="151">
      <c r="A371" s="112">
        <f>IF(OR('Carga Web Cirugias'!A371="",'Carga Web Cirugias'!M371=""),"",_xludf.ISOWEEKNUM('Carga Web Cirugias'!A371))</f>
        <v/>
      </c>
      <c r="B371" s="123">
        <f>IF('Carga Web Cirugias'!A371="","",'Carga Web Cirugias'!A371)</f>
        <v/>
      </c>
      <c r="C371" s="112">
        <f>IF('Carga Web Cirugias'!M371="","",'Carga Web Cirugias'!M371)</f>
        <v/>
      </c>
      <c r="D371" s="114">
        <f>IFERROR(IF(OR(B371="",C371="",COUNTIFS($B$4:B371,B371,$C$4:C371,C371)&gt;1),"",(_xludf.AGGREGATE(14,6,MOD('Carga Web Cirugias'!$S$4:$S$500,1)/(('Carga Web Cirugias'!$A$4:$A$500=B371)*('Carga Web Cirugias'!$M$4:$M$500=C371)*('Carga Web Cirugias'!$R$4:$R$500&lt;&gt;"")*('Carga Web Cirugias'!$S$4:$S$500&lt;&gt;"")),1)-_xludf.AGGREGATE(15,6,MOD('Carga Web Cirugias'!$R$4:$R$500,1)/(('Carga Web Cirugias'!$A$4:$A$500=B371)*('Carga Web Cirugias'!$M$4:$M$500=C371)*('Carga Web Cirugias'!$R$4:$R$500&lt;&gt;"")*('Carga Web Cirugias'!$S$4:$S$500&lt;&gt;"")),1))*1440),"")</f>
        <v/>
      </c>
      <c r="E371" s="114">
        <f>IF(OR(B371="",C371="",D371=""),"",VLOOKUP(C371,'Horario Pabellones'!$A$4:$D$17,4,FALSE))</f>
        <v/>
      </c>
      <c r="F371" s="124">
        <f>IFERROR(IF(OR(D371="",E371="",E371=0),"",(D371/60)/(E371/60)),"")</f>
        <v/>
      </c>
      <c r="G371" s="112">
        <f>IF(F371="","",IF(F371&gt;=0.75,"Cumple referencia","Bajo referencia"))</f>
        <v/>
      </c>
      <c r="J371" s="94" t="n"/>
      <c r="K371" s="95" t="n"/>
      <c r="L371" s="95" t="n"/>
      <c r="M371" s="96" t="n"/>
      <c r="N371" s="95" t="n"/>
    </row>
    <row r="372" ht="16" customHeight="1" s="151">
      <c r="A372" s="109">
        <f>IF(OR('Carga Web Cirugias'!A372="",'Carga Web Cirugias'!M372=""),"",_xludf.ISOWEEKNUM('Carga Web Cirugias'!A372))</f>
        <v/>
      </c>
      <c r="B372" s="117">
        <f>IF('Carga Web Cirugias'!A372="","",'Carga Web Cirugias'!A372)</f>
        <v/>
      </c>
      <c r="C372" s="109">
        <f>IF('Carga Web Cirugias'!M372="","",'Carga Web Cirugias'!M372)</f>
        <v/>
      </c>
      <c r="D372" s="111">
        <f>IFERROR(IF(OR(B372="",C372="",COUNTIFS($B$4:B372,B372,$C$4:C372,C372)&gt;1),"",(_xludf.AGGREGATE(14,6,MOD('Carga Web Cirugias'!$S$4:$S$500,1)/(('Carga Web Cirugias'!$A$4:$A$500=B372)*('Carga Web Cirugias'!$M$4:$M$500=C372)*('Carga Web Cirugias'!$R$4:$R$500&lt;&gt;"")*('Carga Web Cirugias'!$S$4:$S$500&lt;&gt;"")),1)-_xludf.AGGREGATE(15,6,MOD('Carga Web Cirugias'!$R$4:$R$500,1)/(('Carga Web Cirugias'!$A$4:$A$500=B372)*('Carga Web Cirugias'!$M$4:$M$500=C372)*('Carga Web Cirugias'!$R$4:$R$500&lt;&gt;"")*('Carga Web Cirugias'!$S$4:$S$500&lt;&gt;"")),1))*1440),"")</f>
        <v/>
      </c>
      <c r="E372" s="111">
        <f>IF(OR(B372="",C372="",D372=""),"",VLOOKUP(C372,'Horario Pabellones'!$A$4:$D$17,4,FALSE))</f>
        <v/>
      </c>
      <c r="F372" s="118">
        <f>IFERROR(IF(OR(D372="",E372="",E372=0),"",(D372/60)/(E372/60)),"")</f>
        <v/>
      </c>
      <c r="G372" s="109">
        <f>IF(F372="","",IF(F372&gt;=0.75,"Cumple referencia","Bajo referencia"))</f>
        <v/>
      </c>
      <c r="J372" s="94" t="n"/>
      <c r="K372" s="95" t="n"/>
      <c r="L372" s="95" t="n"/>
      <c r="M372" s="96" t="n"/>
      <c r="N372" s="95" t="n"/>
    </row>
    <row r="373" ht="16" customHeight="1" s="151">
      <c r="A373" s="112">
        <f>IF(OR('Carga Web Cirugias'!A373="",'Carga Web Cirugias'!M373=""),"",_xludf.ISOWEEKNUM('Carga Web Cirugias'!A373))</f>
        <v/>
      </c>
      <c r="B373" s="123">
        <f>IF('Carga Web Cirugias'!A373="","",'Carga Web Cirugias'!A373)</f>
        <v/>
      </c>
      <c r="C373" s="112">
        <f>IF('Carga Web Cirugias'!M373="","",'Carga Web Cirugias'!M373)</f>
        <v/>
      </c>
      <c r="D373" s="114">
        <f>IFERROR(IF(OR(B373="",C373="",COUNTIFS($B$4:B373,B373,$C$4:C373,C373)&gt;1),"",(_xludf.AGGREGATE(14,6,MOD('Carga Web Cirugias'!$S$4:$S$500,1)/(('Carga Web Cirugias'!$A$4:$A$500=B373)*('Carga Web Cirugias'!$M$4:$M$500=C373)*('Carga Web Cirugias'!$R$4:$R$500&lt;&gt;"")*('Carga Web Cirugias'!$S$4:$S$500&lt;&gt;"")),1)-_xludf.AGGREGATE(15,6,MOD('Carga Web Cirugias'!$R$4:$R$500,1)/(('Carga Web Cirugias'!$A$4:$A$500=B373)*('Carga Web Cirugias'!$M$4:$M$500=C373)*('Carga Web Cirugias'!$R$4:$R$500&lt;&gt;"")*('Carga Web Cirugias'!$S$4:$S$500&lt;&gt;"")),1))*1440),"")</f>
        <v/>
      </c>
      <c r="E373" s="114">
        <f>IF(OR(B373="",C373="",D373=""),"",VLOOKUP(C373,'Horario Pabellones'!$A$4:$D$17,4,FALSE))</f>
        <v/>
      </c>
      <c r="F373" s="124">
        <f>IFERROR(IF(OR(D373="",E373="",E373=0),"",(D373/60)/(E373/60)),"")</f>
        <v/>
      </c>
      <c r="G373" s="112">
        <f>IF(F373="","",IF(F373&gt;=0.75,"Cumple referencia","Bajo referencia"))</f>
        <v/>
      </c>
      <c r="J373" s="94" t="n"/>
      <c r="K373" s="95" t="n"/>
      <c r="L373" s="95" t="n"/>
      <c r="M373" s="96" t="n"/>
      <c r="N373" s="95" t="n"/>
    </row>
    <row r="374" ht="16" customHeight="1" s="151">
      <c r="A374" s="109">
        <f>IF(OR('Carga Web Cirugias'!A374="",'Carga Web Cirugias'!M374=""),"",_xludf.ISOWEEKNUM('Carga Web Cirugias'!A374))</f>
        <v/>
      </c>
      <c r="B374" s="117">
        <f>IF('Carga Web Cirugias'!A374="","",'Carga Web Cirugias'!A374)</f>
        <v/>
      </c>
      <c r="C374" s="109">
        <f>IF('Carga Web Cirugias'!M374="","",'Carga Web Cirugias'!M374)</f>
        <v/>
      </c>
      <c r="D374" s="111">
        <f>IFERROR(IF(OR(B374="",C374="",COUNTIFS($B$4:B374,B374,$C$4:C374,C374)&gt;1),"",(_xludf.AGGREGATE(14,6,MOD('Carga Web Cirugias'!$S$4:$S$500,1)/(('Carga Web Cirugias'!$A$4:$A$500=B374)*('Carga Web Cirugias'!$M$4:$M$500=C374)*('Carga Web Cirugias'!$R$4:$R$500&lt;&gt;"")*('Carga Web Cirugias'!$S$4:$S$500&lt;&gt;"")),1)-_xludf.AGGREGATE(15,6,MOD('Carga Web Cirugias'!$R$4:$R$500,1)/(('Carga Web Cirugias'!$A$4:$A$500=B374)*('Carga Web Cirugias'!$M$4:$M$500=C374)*('Carga Web Cirugias'!$R$4:$R$500&lt;&gt;"")*('Carga Web Cirugias'!$S$4:$S$500&lt;&gt;"")),1))*1440),"")</f>
        <v/>
      </c>
      <c r="E374" s="111">
        <f>IF(OR(B374="",C374="",D374=""),"",VLOOKUP(C374,'Horario Pabellones'!$A$4:$D$17,4,FALSE))</f>
        <v/>
      </c>
      <c r="F374" s="118">
        <f>IFERROR(IF(OR(D374="",E374="",E374=0),"",(D374/60)/(E374/60)),"")</f>
        <v/>
      </c>
      <c r="G374" s="109">
        <f>IF(F374="","",IF(F374&gt;=0.75,"Cumple referencia","Bajo referencia"))</f>
        <v/>
      </c>
      <c r="J374" s="94" t="n"/>
      <c r="K374" s="95" t="n"/>
      <c r="L374" s="95" t="n"/>
      <c r="M374" s="96" t="n"/>
      <c r="N374" s="95" t="n"/>
    </row>
    <row r="375" ht="16" customHeight="1" s="151">
      <c r="A375" s="112">
        <f>IF(OR('Carga Web Cirugias'!A375="",'Carga Web Cirugias'!M375=""),"",_xludf.ISOWEEKNUM('Carga Web Cirugias'!A375))</f>
        <v/>
      </c>
      <c r="B375" s="123">
        <f>IF('Carga Web Cirugias'!A375="","",'Carga Web Cirugias'!A375)</f>
        <v/>
      </c>
      <c r="C375" s="112">
        <f>IF('Carga Web Cirugias'!M375="","",'Carga Web Cirugias'!M375)</f>
        <v/>
      </c>
      <c r="D375" s="114">
        <f>IFERROR(IF(OR(B375="",C375="",COUNTIFS($B$4:B375,B375,$C$4:C375,C375)&gt;1),"",(_xludf.AGGREGATE(14,6,MOD('Carga Web Cirugias'!$S$4:$S$500,1)/(('Carga Web Cirugias'!$A$4:$A$500=B375)*('Carga Web Cirugias'!$M$4:$M$500=C375)*('Carga Web Cirugias'!$R$4:$R$500&lt;&gt;"")*('Carga Web Cirugias'!$S$4:$S$500&lt;&gt;"")),1)-_xludf.AGGREGATE(15,6,MOD('Carga Web Cirugias'!$R$4:$R$500,1)/(('Carga Web Cirugias'!$A$4:$A$500=B375)*('Carga Web Cirugias'!$M$4:$M$500=C375)*('Carga Web Cirugias'!$R$4:$R$500&lt;&gt;"")*('Carga Web Cirugias'!$S$4:$S$500&lt;&gt;"")),1))*1440),"")</f>
        <v/>
      </c>
      <c r="E375" s="114">
        <f>IF(OR(B375="",C375="",D375=""),"",VLOOKUP(C375,'Horario Pabellones'!$A$4:$D$17,4,FALSE))</f>
        <v/>
      </c>
      <c r="F375" s="124">
        <f>IFERROR(IF(OR(D375="",E375="",E375=0),"",(D375/60)/(E375/60)),"")</f>
        <v/>
      </c>
      <c r="G375" s="112">
        <f>IF(F375="","",IF(F375&gt;=0.75,"Cumple referencia","Bajo referencia"))</f>
        <v/>
      </c>
      <c r="J375" s="94" t="n"/>
      <c r="K375" s="95" t="n"/>
      <c r="L375" s="95" t="n"/>
      <c r="M375" s="96" t="n"/>
      <c r="N375" s="95" t="n"/>
    </row>
    <row r="376" ht="16" customHeight="1" s="151">
      <c r="A376" s="109">
        <f>IF(OR('Carga Web Cirugias'!A376="",'Carga Web Cirugias'!M376=""),"",_xludf.ISOWEEKNUM('Carga Web Cirugias'!A376))</f>
        <v/>
      </c>
      <c r="B376" s="117">
        <f>IF('Carga Web Cirugias'!A376="","",'Carga Web Cirugias'!A376)</f>
        <v/>
      </c>
      <c r="C376" s="109">
        <f>IF('Carga Web Cirugias'!M376="","",'Carga Web Cirugias'!M376)</f>
        <v/>
      </c>
      <c r="D376" s="111">
        <f>IFERROR(IF(OR(B376="",C376="",COUNTIFS($B$4:B376,B376,$C$4:C376,C376)&gt;1),"",(_xludf.AGGREGATE(14,6,MOD('Carga Web Cirugias'!$S$4:$S$500,1)/(('Carga Web Cirugias'!$A$4:$A$500=B376)*('Carga Web Cirugias'!$M$4:$M$500=C376)*('Carga Web Cirugias'!$R$4:$R$500&lt;&gt;"")*('Carga Web Cirugias'!$S$4:$S$500&lt;&gt;"")),1)-_xludf.AGGREGATE(15,6,MOD('Carga Web Cirugias'!$R$4:$R$500,1)/(('Carga Web Cirugias'!$A$4:$A$500=B376)*('Carga Web Cirugias'!$M$4:$M$500=C376)*('Carga Web Cirugias'!$R$4:$R$500&lt;&gt;"")*('Carga Web Cirugias'!$S$4:$S$500&lt;&gt;"")),1))*1440),"")</f>
        <v/>
      </c>
      <c r="E376" s="111">
        <f>IF(OR(B376="",C376="",D376=""),"",VLOOKUP(C376,'Horario Pabellones'!$A$4:$D$17,4,FALSE))</f>
        <v/>
      </c>
      <c r="F376" s="118">
        <f>IFERROR(IF(OR(D376="",E376="",E376=0),"",(D376/60)/(E376/60)),"")</f>
        <v/>
      </c>
      <c r="G376" s="109">
        <f>IF(F376="","",IF(F376&gt;=0.75,"Cumple referencia","Bajo referencia"))</f>
        <v/>
      </c>
      <c r="J376" s="94" t="n"/>
      <c r="K376" s="95" t="n"/>
      <c r="L376" s="95" t="n"/>
      <c r="M376" s="96" t="n"/>
      <c r="N376" s="95" t="n"/>
    </row>
    <row r="377" ht="16" customHeight="1" s="151">
      <c r="A377" s="112">
        <f>IF(OR('Carga Web Cirugias'!A377="",'Carga Web Cirugias'!M377=""),"",_xludf.ISOWEEKNUM('Carga Web Cirugias'!A377))</f>
        <v/>
      </c>
      <c r="B377" s="123">
        <f>IF('Carga Web Cirugias'!A377="","",'Carga Web Cirugias'!A377)</f>
        <v/>
      </c>
      <c r="C377" s="112">
        <f>IF('Carga Web Cirugias'!M377="","",'Carga Web Cirugias'!M377)</f>
        <v/>
      </c>
      <c r="D377" s="114">
        <f>IFERROR(IF(OR(B377="",C377="",COUNTIFS($B$4:B377,B377,$C$4:C377,C377)&gt;1),"",(_xludf.AGGREGATE(14,6,MOD('Carga Web Cirugias'!$S$4:$S$500,1)/(('Carga Web Cirugias'!$A$4:$A$500=B377)*('Carga Web Cirugias'!$M$4:$M$500=C377)*('Carga Web Cirugias'!$R$4:$R$500&lt;&gt;"")*('Carga Web Cirugias'!$S$4:$S$500&lt;&gt;"")),1)-_xludf.AGGREGATE(15,6,MOD('Carga Web Cirugias'!$R$4:$R$500,1)/(('Carga Web Cirugias'!$A$4:$A$500=B377)*('Carga Web Cirugias'!$M$4:$M$500=C377)*('Carga Web Cirugias'!$R$4:$R$500&lt;&gt;"")*('Carga Web Cirugias'!$S$4:$S$500&lt;&gt;"")),1))*1440),"")</f>
        <v/>
      </c>
      <c r="E377" s="114">
        <f>IF(OR(B377="",C377="",D377=""),"",VLOOKUP(C377,'Horario Pabellones'!$A$4:$D$17,4,FALSE))</f>
        <v/>
      </c>
      <c r="F377" s="124">
        <f>IFERROR(IF(OR(D377="",E377="",E377=0),"",(D377/60)/(E377/60)),"")</f>
        <v/>
      </c>
      <c r="G377" s="112">
        <f>IF(F377="","",IF(F377&gt;=0.75,"Cumple referencia","Bajo referencia"))</f>
        <v/>
      </c>
      <c r="J377" s="94" t="n"/>
      <c r="K377" s="95" t="n"/>
      <c r="L377" s="95" t="n"/>
      <c r="M377" s="96" t="n"/>
      <c r="N377" s="95" t="n"/>
    </row>
    <row r="378" ht="16" customHeight="1" s="151">
      <c r="A378" s="109">
        <f>IF(OR('Carga Web Cirugias'!A378="",'Carga Web Cirugias'!M378=""),"",_xludf.ISOWEEKNUM('Carga Web Cirugias'!A378))</f>
        <v/>
      </c>
      <c r="B378" s="117">
        <f>IF('Carga Web Cirugias'!A378="","",'Carga Web Cirugias'!A378)</f>
        <v/>
      </c>
      <c r="C378" s="109">
        <f>IF('Carga Web Cirugias'!M378="","",'Carga Web Cirugias'!M378)</f>
        <v/>
      </c>
      <c r="D378" s="111">
        <f>IFERROR(IF(OR(B378="",C378="",COUNTIFS($B$4:B378,B378,$C$4:C378,C378)&gt;1),"",(_xludf.AGGREGATE(14,6,MOD('Carga Web Cirugias'!$S$4:$S$500,1)/(('Carga Web Cirugias'!$A$4:$A$500=B378)*('Carga Web Cirugias'!$M$4:$M$500=C378)*('Carga Web Cirugias'!$R$4:$R$500&lt;&gt;"")*('Carga Web Cirugias'!$S$4:$S$500&lt;&gt;"")),1)-_xludf.AGGREGATE(15,6,MOD('Carga Web Cirugias'!$R$4:$R$500,1)/(('Carga Web Cirugias'!$A$4:$A$500=B378)*('Carga Web Cirugias'!$M$4:$M$500=C378)*('Carga Web Cirugias'!$R$4:$R$500&lt;&gt;"")*('Carga Web Cirugias'!$S$4:$S$500&lt;&gt;"")),1))*1440),"")</f>
        <v/>
      </c>
      <c r="E378" s="111">
        <f>IF(OR(B378="",C378="",D378=""),"",VLOOKUP(C378,'Horario Pabellones'!$A$4:$D$17,4,FALSE))</f>
        <v/>
      </c>
      <c r="F378" s="118">
        <f>IFERROR(IF(OR(D378="",E378="",E378=0),"",(D378/60)/(E378/60)),"")</f>
        <v/>
      </c>
      <c r="G378" s="109">
        <f>IF(F378="","",IF(F378&gt;=0.75,"Cumple referencia","Bajo referencia"))</f>
        <v/>
      </c>
      <c r="J378" s="94" t="n"/>
      <c r="K378" s="95" t="n"/>
      <c r="L378" s="95" t="n"/>
      <c r="M378" s="96" t="n"/>
      <c r="N378" s="95" t="n"/>
    </row>
    <row r="379" ht="16" customHeight="1" s="151">
      <c r="A379" s="112">
        <f>IF(OR('Carga Web Cirugias'!A379="",'Carga Web Cirugias'!M379=""),"",_xludf.ISOWEEKNUM('Carga Web Cirugias'!A379))</f>
        <v/>
      </c>
      <c r="B379" s="123">
        <f>IF('Carga Web Cirugias'!A379="","",'Carga Web Cirugias'!A379)</f>
        <v/>
      </c>
      <c r="C379" s="112">
        <f>IF('Carga Web Cirugias'!M379="","",'Carga Web Cirugias'!M379)</f>
        <v/>
      </c>
      <c r="D379" s="114">
        <f>IFERROR(IF(OR(B379="",C379="",COUNTIFS($B$4:B379,B379,$C$4:C379,C379)&gt;1),"",(_xludf.AGGREGATE(14,6,MOD('Carga Web Cirugias'!$S$4:$S$500,1)/(('Carga Web Cirugias'!$A$4:$A$500=B379)*('Carga Web Cirugias'!$M$4:$M$500=C379)*('Carga Web Cirugias'!$R$4:$R$500&lt;&gt;"")*('Carga Web Cirugias'!$S$4:$S$500&lt;&gt;"")),1)-_xludf.AGGREGATE(15,6,MOD('Carga Web Cirugias'!$R$4:$R$500,1)/(('Carga Web Cirugias'!$A$4:$A$500=B379)*('Carga Web Cirugias'!$M$4:$M$500=C379)*('Carga Web Cirugias'!$R$4:$R$500&lt;&gt;"")*('Carga Web Cirugias'!$S$4:$S$500&lt;&gt;"")),1))*1440),"")</f>
        <v/>
      </c>
      <c r="E379" s="114">
        <f>IF(OR(B379="",C379="",D379=""),"",VLOOKUP(C379,'Horario Pabellones'!$A$4:$D$17,4,FALSE))</f>
        <v/>
      </c>
      <c r="F379" s="124">
        <f>IFERROR(IF(OR(D379="",E379="",E379=0),"",(D379/60)/(E379/60)),"")</f>
        <v/>
      </c>
      <c r="G379" s="112">
        <f>IF(F379="","",IF(F379&gt;=0.75,"Cumple referencia","Bajo referencia"))</f>
        <v/>
      </c>
      <c r="J379" s="94" t="n"/>
      <c r="K379" s="95" t="n"/>
      <c r="L379" s="95" t="n"/>
      <c r="M379" s="96" t="n"/>
      <c r="N379" s="95" t="n"/>
    </row>
    <row r="380" ht="16" customHeight="1" s="151">
      <c r="A380" s="109">
        <f>IF(OR('Carga Web Cirugias'!A380="",'Carga Web Cirugias'!M380=""),"",_xludf.ISOWEEKNUM('Carga Web Cirugias'!A380))</f>
        <v/>
      </c>
      <c r="B380" s="117">
        <f>IF('Carga Web Cirugias'!A380="","",'Carga Web Cirugias'!A380)</f>
        <v/>
      </c>
      <c r="C380" s="109">
        <f>IF('Carga Web Cirugias'!M380="","",'Carga Web Cirugias'!M380)</f>
        <v/>
      </c>
      <c r="D380" s="111">
        <f>IFERROR(IF(OR(B380="",C380="",COUNTIFS($B$4:B380,B380,$C$4:C380,C380)&gt;1),"",(_xludf.AGGREGATE(14,6,MOD('Carga Web Cirugias'!$S$4:$S$500,1)/(('Carga Web Cirugias'!$A$4:$A$500=B380)*('Carga Web Cirugias'!$M$4:$M$500=C380)*('Carga Web Cirugias'!$R$4:$R$500&lt;&gt;"")*('Carga Web Cirugias'!$S$4:$S$500&lt;&gt;"")),1)-_xludf.AGGREGATE(15,6,MOD('Carga Web Cirugias'!$R$4:$R$500,1)/(('Carga Web Cirugias'!$A$4:$A$500=B380)*('Carga Web Cirugias'!$M$4:$M$500=C380)*('Carga Web Cirugias'!$R$4:$R$500&lt;&gt;"")*('Carga Web Cirugias'!$S$4:$S$500&lt;&gt;"")),1))*1440),"")</f>
        <v/>
      </c>
      <c r="E380" s="111">
        <f>IF(OR(B380="",C380="",D380=""),"",VLOOKUP(C380,'Horario Pabellones'!$A$4:$D$17,4,FALSE))</f>
        <v/>
      </c>
      <c r="F380" s="118">
        <f>IFERROR(IF(OR(D380="",E380="",E380=0),"",(D380/60)/(E380/60)),"")</f>
        <v/>
      </c>
      <c r="G380" s="109">
        <f>IF(F380="","",IF(F380&gt;=0.75,"Cumple referencia","Bajo referencia"))</f>
        <v/>
      </c>
      <c r="J380" s="94" t="n"/>
      <c r="K380" s="95" t="n"/>
      <c r="L380" s="95" t="n"/>
      <c r="M380" s="96" t="n"/>
      <c r="N380" s="95" t="n"/>
    </row>
    <row r="381" ht="16" customHeight="1" s="151">
      <c r="A381" s="112">
        <f>IF(OR('Carga Web Cirugias'!A381="",'Carga Web Cirugias'!M381=""),"",_xludf.ISOWEEKNUM('Carga Web Cirugias'!A381))</f>
        <v/>
      </c>
      <c r="B381" s="123">
        <f>IF('Carga Web Cirugias'!A381="","",'Carga Web Cirugias'!A381)</f>
        <v/>
      </c>
      <c r="C381" s="112">
        <f>IF('Carga Web Cirugias'!M381="","",'Carga Web Cirugias'!M381)</f>
        <v/>
      </c>
      <c r="D381" s="114">
        <f>IFERROR(IF(OR(B381="",C381="",COUNTIFS($B$4:B381,B381,$C$4:C381,C381)&gt;1),"",(_xludf.AGGREGATE(14,6,MOD('Carga Web Cirugias'!$S$4:$S$500,1)/(('Carga Web Cirugias'!$A$4:$A$500=B381)*('Carga Web Cirugias'!$M$4:$M$500=C381)*('Carga Web Cirugias'!$R$4:$R$500&lt;&gt;"")*('Carga Web Cirugias'!$S$4:$S$500&lt;&gt;"")),1)-_xludf.AGGREGATE(15,6,MOD('Carga Web Cirugias'!$R$4:$R$500,1)/(('Carga Web Cirugias'!$A$4:$A$500=B381)*('Carga Web Cirugias'!$M$4:$M$500=C381)*('Carga Web Cirugias'!$R$4:$R$500&lt;&gt;"")*('Carga Web Cirugias'!$S$4:$S$500&lt;&gt;"")),1))*1440),"")</f>
        <v/>
      </c>
      <c r="E381" s="114">
        <f>IF(OR(B381="",C381="",D381=""),"",VLOOKUP(C381,'Horario Pabellones'!$A$4:$D$17,4,FALSE))</f>
        <v/>
      </c>
      <c r="F381" s="124">
        <f>IFERROR(IF(OR(D381="",E381="",E381=0),"",(D381/60)/(E381/60)),"")</f>
        <v/>
      </c>
      <c r="G381" s="112">
        <f>IF(F381="","",IF(F381&gt;=0.75,"Cumple referencia","Bajo referencia"))</f>
        <v/>
      </c>
      <c r="J381" s="94" t="n"/>
      <c r="K381" s="95" t="n"/>
      <c r="L381" s="95" t="n"/>
      <c r="M381" s="96" t="n"/>
      <c r="N381" s="95" t="n"/>
    </row>
    <row r="382" ht="16" customHeight="1" s="151">
      <c r="A382" s="109">
        <f>IF(OR('Carga Web Cirugias'!A382="",'Carga Web Cirugias'!M382=""),"",_xludf.ISOWEEKNUM('Carga Web Cirugias'!A382))</f>
        <v/>
      </c>
      <c r="B382" s="117">
        <f>IF('Carga Web Cirugias'!A382="","",'Carga Web Cirugias'!A382)</f>
        <v/>
      </c>
      <c r="C382" s="109">
        <f>IF('Carga Web Cirugias'!M382="","",'Carga Web Cirugias'!M382)</f>
        <v/>
      </c>
      <c r="D382" s="111">
        <f>IFERROR(IF(OR(B382="",C382="",COUNTIFS($B$4:B382,B382,$C$4:C382,C382)&gt;1),"",(_xludf.AGGREGATE(14,6,MOD('Carga Web Cirugias'!$S$4:$S$500,1)/(('Carga Web Cirugias'!$A$4:$A$500=B382)*('Carga Web Cirugias'!$M$4:$M$500=C382)*('Carga Web Cirugias'!$R$4:$R$500&lt;&gt;"")*('Carga Web Cirugias'!$S$4:$S$500&lt;&gt;"")),1)-_xludf.AGGREGATE(15,6,MOD('Carga Web Cirugias'!$R$4:$R$500,1)/(('Carga Web Cirugias'!$A$4:$A$500=B382)*('Carga Web Cirugias'!$M$4:$M$500=C382)*('Carga Web Cirugias'!$R$4:$R$500&lt;&gt;"")*('Carga Web Cirugias'!$S$4:$S$500&lt;&gt;"")),1))*1440),"")</f>
        <v/>
      </c>
      <c r="E382" s="111">
        <f>IF(OR(B382="",C382="",D382=""),"",VLOOKUP(C382,'Horario Pabellones'!$A$4:$D$17,4,FALSE))</f>
        <v/>
      </c>
      <c r="F382" s="118">
        <f>IFERROR(IF(OR(D382="",E382="",E382=0),"",(D382/60)/(E382/60)),"")</f>
        <v/>
      </c>
      <c r="G382" s="109">
        <f>IF(F382="","",IF(F382&gt;=0.75,"Cumple referencia","Bajo referencia"))</f>
        <v/>
      </c>
      <c r="J382" s="94" t="n"/>
      <c r="K382" s="95" t="n"/>
      <c r="L382" s="95" t="n"/>
      <c r="M382" s="96" t="n"/>
      <c r="N382" s="95" t="n"/>
    </row>
    <row r="383" ht="16" customHeight="1" s="151">
      <c r="A383" s="112">
        <f>IF(OR('Carga Web Cirugias'!A383="",'Carga Web Cirugias'!M383=""),"",_xludf.ISOWEEKNUM('Carga Web Cirugias'!A383))</f>
        <v/>
      </c>
      <c r="B383" s="123">
        <f>IF('Carga Web Cirugias'!A383="","",'Carga Web Cirugias'!A383)</f>
        <v/>
      </c>
      <c r="C383" s="112">
        <f>IF('Carga Web Cirugias'!M383="","",'Carga Web Cirugias'!M383)</f>
        <v/>
      </c>
      <c r="D383" s="114">
        <f>IFERROR(IF(OR(B383="",C383="",COUNTIFS($B$4:B383,B383,$C$4:C383,C383)&gt;1),"",(_xludf.AGGREGATE(14,6,MOD('Carga Web Cirugias'!$S$4:$S$500,1)/(('Carga Web Cirugias'!$A$4:$A$500=B383)*('Carga Web Cirugias'!$M$4:$M$500=C383)*('Carga Web Cirugias'!$R$4:$R$500&lt;&gt;"")*('Carga Web Cirugias'!$S$4:$S$500&lt;&gt;"")),1)-_xludf.AGGREGATE(15,6,MOD('Carga Web Cirugias'!$R$4:$R$500,1)/(('Carga Web Cirugias'!$A$4:$A$500=B383)*('Carga Web Cirugias'!$M$4:$M$500=C383)*('Carga Web Cirugias'!$R$4:$R$500&lt;&gt;"")*('Carga Web Cirugias'!$S$4:$S$500&lt;&gt;"")),1))*1440),"")</f>
        <v/>
      </c>
      <c r="E383" s="114">
        <f>IF(OR(B383="",C383="",D383=""),"",VLOOKUP(C383,'Horario Pabellones'!$A$4:$D$17,4,FALSE))</f>
        <v/>
      </c>
      <c r="F383" s="124">
        <f>IFERROR(IF(OR(D383="",E383="",E383=0),"",(D383/60)/(E383/60)),"")</f>
        <v/>
      </c>
      <c r="G383" s="112">
        <f>IF(F383="","",IF(F383&gt;=0.75,"Cumple referencia","Bajo referencia"))</f>
        <v/>
      </c>
      <c r="J383" s="94" t="n"/>
      <c r="K383" s="95" t="n"/>
      <c r="L383" s="95" t="n"/>
      <c r="M383" s="96" t="n"/>
      <c r="N383" s="95" t="n"/>
    </row>
    <row r="384" ht="16" customHeight="1" s="151">
      <c r="A384" s="109">
        <f>IF(OR('Carga Web Cirugias'!A384="",'Carga Web Cirugias'!M384=""),"",_xludf.ISOWEEKNUM('Carga Web Cirugias'!A384))</f>
        <v/>
      </c>
      <c r="B384" s="117">
        <f>IF('Carga Web Cirugias'!A384="","",'Carga Web Cirugias'!A384)</f>
        <v/>
      </c>
      <c r="C384" s="109">
        <f>IF('Carga Web Cirugias'!M384="","",'Carga Web Cirugias'!M384)</f>
        <v/>
      </c>
      <c r="D384" s="111">
        <f>IFERROR(IF(OR(B384="",C384="",COUNTIFS($B$4:B384,B384,$C$4:C384,C384)&gt;1),"",(_xludf.AGGREGATE(14,6,MOD('Carga Web Cirugias'!$S$4:$S$500,1)/(('Carga Web Cirugias'!$A$4:$A$500=B384)*('Carga Web Cirugias'!$M$4:$M$500=C384)*('Carga Web Cirugias'!$R$4:$R$500&lt;&gt;"")*('Carga Web Cirugias'!$S$4:$S$500&lt;&gt;"")),1)-_xludf.AGGREGATE(15,6,MOD('Carga Web Cirugias'!$R$4:$R$500,1)/(('Carga Web Cirugias'!$A$4:$A$500=B384)*('Carga Web Cirugias'!$M$4:$M$500=C384)*('Carga Web Cirugias'!$R$4:$R$500&lt;&gt;"")*('Carga Web Cirugias'!$S$4:$S$500&lt;&gt;"")),1))*1440),"")</f>
        <v/>
      </c>
      <c r="E384" s="111">
        <f>IF(OR(B384="",C384="",D384=""),"",VLOOKUP(C384,'Horario Pabellones'!$A$4:$D$17,4,FALSE))</f>
        <v/>
      </c>
      <c r="F384" s="118">
        <f>IFERROR(IF(OR(D384="",E384="",E384=0),"",(D384/60)/(E384/60)),"")</f>
        <v/>
      </c>
      <c r="G384" s="109">
        <f>IF(F384="","",IF(F384&gt;=0.75,"Cumple referencia","Bajo referencia"))</f>
        <v/>
      </c>
      <c r="J384" s="94" t="n"/>
      <c r="K384" s="95" t="n"/>
      <c r="L384" s="95" t="n"/>
      <c r="M384" s="96" t="n"/>
      <c r="N384" s="95" t="n"/>
    </row>
    <row r="385" ht="16" customHeight="1" s="151">
      <c r="A385" s="112">
        <f>IF(OR('Carga Web Cirugias'!A385="",'Carga Web Cirugias'!M385=""),"",_xludf.ISOWEEKNUM('Carga Web Cirugias'!A385))</f>
        <v/>
      </c>
      <c r="B385" s="123">
        <f>IF('Carga Web Cirugias'!A385="","",'Carga Web Cirugias'!A385)</f>
        <v/>
      </c>
      <c r="C385" s="112">
        <f>IF('Carga Web Cirugias'!M385="","",'Carga Web Cirugias'!M385)</f>
        <v/>
      </c>
      <c r="D385" s="114">
        <f>IFERROR(IF(OR(B385="",C385="",COUNTIFS($B$4:B385,B385,$C$4:C385,C385)&gt;1),"",(_xludf.AGGREGATE(14,6,MOD('Carga Web Cirugias'!$S$4:$S$500,1)/(('Carga Web Cirugias'!$A$4:$A$500=B385)*('Carga Web Cirugias'!$M$4:$M$500=C385)*('Carga Web Cirugias'!$R$4:$R$500&lt;&gt;"")*('Carga Web Cirugias'!$S$4:$S$500&lt;&gt;"")),1)-_xludf.AGGREGATE(15,6,MOD('Carga Web Cirugias'!$R$4:$R$500,1)/(('Carga Web Cirugias'!$A$4:$A$500=B385)*('Carga Web Cirugias'!$M$4:$M$500=C385)*('Carga Web Cirugias'!$R$4:$R$500&lt;&gt;"")*('Carga Web Cirugias'!$S$4:$S$500&lt;&gt;"")),1))*1440),"")</f>
        <v/>
      </c>
      <c r="E385" s="114">
        <f>IF(OR(B385="",C385="",D385=""),"",VLOOKUP(C385,'Horario Pabellones'!$A$4:$D$17,4,FALSE))</f>
        <v/>
      </c>
      <c r="F385" s="124">
        <f>IFERROR(IF(OR(D385="",E385="",E385=0),"",(D385/60)/(E385/60)),"")</f>
        <v/>
      </c>
      <c r="G385" s="112">
        <f>IF(F385="","",IF(F385&gt;=0.75,"Cumple referencia","Bajo referencia"))</f>
        <v/>
      </c>
      <c r="J385" s="94" t="n"/>
      <c r="K385" s="95" t="n"/>
      <c r="L385" s="95" t="n"/>
      <c r="M385" s="96" t="n"/>
      <c r="N385" s="95" t="n"/>
    </row>
    <row r="386" ht="16" customHeight="1" s="151">
      <c r="A386" s="109">
        <f>IF(OR('Carga Web Cirugias'!A386="",'Carga Web Cirugias'!M386=""),"",_xludf.ISOWEEKNUM('Carga Web Cirugias'!A386))</f>
        <v/>
      </c>
      <c r="B386" s="117">
        <f>IF('Carga Web Cirugias'!A386="","",'Carga Web Cirugias'!A386)</f>
        <v/>
      </c>
      <c r="C386" s="109">
        <f>IF('Carga Web Cirugias'!M386="","",'Carga Web Cirugias'!M386)</f>
        <v/>
      </c>
      <c r="D386" s="111">
        <f>IFERROR(IF(OR(B386="",C386="",COUNTIFS($B$4:B386,B386,$C$4:C386,C386)&gt;1),"",(_xludf.AGGREGATE(14,6,MOD('Carga Web Cirugias'!$S$4:$S$500,1)/(('Carga Web Cirugias'!$A$4:$A$500=B386)*('Carga Web Cirugias'!$M$4:$M$500=C386)*('Carga Web Cirugias'!$R$4:$R$500&lt;&gt;"")*('Carga Web Cirugias'!$S$4:$S$500&lt;&gt;"")),1)-_xludf.AGGREGATE(15,6,MOD('Carga Web Cirugias'!$R$4:$R$500,1)/(('Carga Web Cirugias'!$A$4:$A$500=B386)*('Carga Web Cirugias'!$M$4:$M$500=C386)*('Carga Web Cirugias'!$R$4:$R$500&lt;&gt;"")*('Carga Web Cirugias'!$S$4:$S$500&lt;&gt;"")),1))*1440),"")</f>
        <v/>
      </c>
      <c r="E386" s="111">
        <f>IF(OR(B386="",C386="",D386=""),"",VLOOKUP(C386,'Horario Pabellones'!$A$4:$D$17,4,FALSE))</f>
        <v/>
      </c>
      <c r="F386" s="118">
        <f>IFERROR(IF(OR(D386="",E386="",E386=0),"",(D386/60)/(E386/60)),"")</f>
        <v/>
      </c>
      <c r="G386" s="109">
        <f>IF(F386="","",IF(F386&gt;=0.75,"Cumple referencia","Bajo referencia"))</f>
        <v/>
      </c>
      <c r="J386" s="94" t="n"/>
      <c r="K386" s="95" t="n"/>
      <c r="L386" s="95" t="n"/>
      <c r="M386" s="96" t="n"/>
      <c r="N386" s="95" t="n"/>
    </row>
    <row r="387" ht="16" customHeight="1" s="151">
      <c r="A387" s="112">
        <f>IF(OR('Carga Web Cirugias'!A387="",'Carga Web Cirugias'!M387=""),"",_xludf.ISOWEEKNUM('Carga Web Cirugias'!A387))</f>
        <v/>
      </c>
      <c r="B387" s="123">
        <f>IF('Carga Web Cirugias'!A387="","",'Carga Web Cirugias'!A387)</f>
        <v/>
      </c>
      <c r="C387" s="112">
        <f>IF('Carga Web Cirugias'!M387="","",'Carga Web Cirugias'!M387)</f>
        <v/>
      </c>
      <c r="D387" s="114">
        <f>IFERROR(IF(OR(B387="",C387="",COUNTIFS($B$4:B387,B387,$C$4:C387,C387)&gt;1),"",(_xludf.AGGREGATE(14,6,MOD('Carga Web Cirugias'!$S$4:$S$500,1)/(('Carga Web Cirugias'!$A$4:$A$500=B387)*('Carga Web Cirugias'!$M$4:$M$500=C387)*('Carga Web Cirugias'!$R$4:$R$500&lt;&gt;"")*('Carga Web Cirugias'!$S$4:$S$500&lt;&gt;"")),1)-_xludf.AGGREGATE(15,6,MOD('Carga Web Cirugias'!$R$4:$R$500,1)/(('Carga Web Cirugias'!$A$4:$A$500=B387)*('Carga Web Cirugias'!$M$4:$M$500=C387)*('Carga Web Cirugias'!$R$4:$R$500&lt;&gt;"")*('Carga Web Cirugias'!$S$4:$S$500&lt;&gt;"")),1))*1440),"")</f>
        <v/>
      </c>
      <c r="E387" s="114">
        <f>IF(OR(B387="",C387="",D387=""),"",VLOOKUP(C387,'Horario Pabellones'!$A$4:$D$17,4,FALSE))</f>
        <v/>
      </c>
      <c r="F387" s="124">
        <f>IFERROR(IF(OR(D387="",E387="",E387=0),"",(D387/60)/(E387/60)),"")</f>
        <v/>
      </c>
      <c r="G387" s="112">
        <f>IF(F387="","",IF(F387&gt;=0.75,"Cumple referencia","Bajo referencia"))</f>
        <v/>
      </c>
      <c r="J387" s="94" t="n"/>
      <c r="K387" s="95" t="n"/>
      <c r="L387" s="95" t="n"/>
      <c r="M387" s="96" t="n"/>
      <c r="N387" s="95" t="n"/>
    </row>
    <row r="388" ht="16" customHeight="1" s="151">
      <c r="A388" s="109">
        <f>IF(OR('Carga Web Cirugias'!A388="",'Carga Web Cirugias'!M388=""),"",_xludf.ISOWEEKNUM('Carga Web Cirugias'!A388))</f>
        <v/>
      </c>
      <c r="B388" s="117">
        <f>IF('Carga Web Cirugias'!A388="","",'Carga Web Cirugias'!A388)</f>
        <v/>
      </c>
      <c r="C388" s="109">
        <f>IF('Carga Web Cirugias'!M388="","",'Carga Web Cirugias'!M388)</f>
        <v/>
      </c>
      <c r="D388" s="111">
        <f>IFERROR(IF(OR(B388="",C388="",COUNTIFS($B$4:B388,B388,$C$4:C388,C388)&gt;1),"",(_xludf.AGGREGATE(14,6,MOD('Carga Web Cirugias'!$S$4:$S$500,1)/(('Carga Web Cirugias'!$A$4:$A$500=B388)*('Carga Web Cirugias'!$M$4:$M$500=C388)*('Carga Web Cirugias'!$R$4:$R$500&lt;&gt;"")*('Carga Web Cirugias'!$S$4:$S$500&lt;&gt;"")),1)-_xludf.AGGREGATE(15,6,MOD('Carga Web Cirugias'!$R$4:$R$500,1)/(('Carga Web Cirugias'!$A$4:$A$500=B388)*('Carga Web Cirugias'!$M$4:$M$500=C388)*('Carga Web Cirugias'!$R$4:$R$500&lt;&gt;"")*('Carga Web Cirugias'!$S$4:$S$500&lt;&gt;"")),1))*1440),"")</f>
        <v/>
      </c>
      <c r="E388" s="111">
        <f>IF(OR(B388="",C388="",D388=""),"",VLOOKUP(C388,'Horario Pabellones'!$A$4:$D$17,4,FALSE))</f>
        <v/>
      </c>
      <c r="F388" s="118">
        <f>IFERROR(IF(OR(D388="",E388="",E388=0),"",(D388/60)/(E388/60)),"")</f>
        <v/>
      </c>
      <c r="G388" s="109">
        <f>IF(F388="","",IF(F388&gt;=0.75,"Cumple referencia","Bajo referencia"))</f>
        <v/>
      </c>
      <c r="J388" s="94" t="n"/>
      <c r="K388" s="95" t="n"/>
      <c r="L388" s="95" t="n"/>
      <c r="M388" s="96" t="n"/>
      <c r="N388" s="95" t="n"/>
    </row>
    <row r="389" ht="16" customHeight="1" s="151">
      <c r="A389" s="112">
        <f>IF(OR('Carga Web Cirugias'!A389="",'Carga Web Cirugias'!M389=""),"",_xludf.ISOWEEKNUM('Carga Web Cirugias'!A389))</f>
        <v/>
      </c>
      <c r="B389" s="123">
        <f>IF('Carga Web Cirugias'!A389="","",'Carga Web Cirugias'!A389)</f>
        <v/>
      </c>
      <c r="C389" s="112">
        <f>IF('Carga Web Cirugias'!M389="","",'Carga Web Cirugias'!M389)</f>
        <v/>
      </c>
      <c r="D389" s="114">
        <f>IFERROR(IF(OR(B389="",C389="",COUNTIFS($B$4:B389,B389,$C$4:C389,C389)&gt;1),"",(_xludf.AGGREGATE(14,6,MOD('Carga Web Cirugias'!$S$4:$S$500,1)/(('Carga Web Cirugias'!$A$4:$A$500=B389)*('Carga Web Cirugias'!$M$4:$M$500=C389)*('Carga Web Cirugias'!$R$4:$R$500&lt;&gt;"")*('Carga Web Cirugias'!$S$4:$S$500&lt;&gt;"")),1)-_xludf.AGGREGATE(15,6,MOD('Carga Web Cirugias'!$R$4:$R$500,1)/(('Carga Web Cirugias'!$A$4:$A$500=B389)*('Carga Web Cirugias'!$M$4:$M$500=C389)*('Carga Web Cirugias'!$R$4:$R$500&lt;&gt;"")*('Carga Web Cirugias'!$S$4:$S$500&lt;&gt;"")),1))*1440),"")</f>
        <v/>
      </c>
      <c r="E389" s="114">
        <f>IF(OR(B389="",C389="",D389=""),"",VLOOKUP(C389,'Horario Pabellones'!$A$4:$D$17,4,FALSE))</f>
        <v/>
      </c>
      <c r="F389" s="124">
        <f>IFERROR(IF(OR(D389="",E389="",E389=0),"",(D389/60)/(E389/60)),"")</f>
        <v/>
      </c>
      <c r="G389" s="112">
        <f>IF(F389="","",IF(F389&gt;=0.75,"Cumple referencia","Bajo referencia"))</f>
        <v/>
      </c>
      <c r="J389" s="94" t="n"/>
      <c r="K389" s="95" t="n"/>
      <c r="L389" s="95" t="n"/>
      <c r="M389" s="96" t="n"/>
      <c r="N389" s="95" t="n"/>
    </row>
    <row r="390" ht="16" customHeight="1" s="151">
      <c r="A390" s="109">
        <f>IF(OR('Carga Web Cirugias'!A390="",'Carga Web Cirugias'!M390=""),"",_xludf.ISOWEEKNUM('Carga Web Cirugias'!A390))</f>
        <v/>
      </c>
      <c r="B390" s="117">
        <f>IF('Carga Web Cirugias'!A390="","",'Carga Web Cirugias'!A390)</f>
        <v/>
      </c>
      <c r="C390" s="109">
        <f>IF('Carga Web Cirugias'!M390="","",'Carga Web Cirugias'!M390)</f>
        <v/>
      </c>
      <c r="D390" s="111">
        <f>IFERROR(IF(OR(B390="",C390="",COUNTIFS($B$4:B390,B390,$C$4:C390,C390)&gt;1),"",(_xludf.AGGREGATE(14,6,MOD('Carga Web Cirugias'!$S$4:$S$500,1)/(('Carga Web Cirugias'!$A$4:$A$500=B390)*('Carga Web Cirugias'!$M$4:$M$500=C390)*('Carga Web Cirugias'!$R$4:$R$500&lt;&gt;"")*('Carga Web Cirugias'!$S$4:$S$500&lt;&gt;"")),1)-_xludf.AGGREGATE(15,6,MOD('Carga Web Cirugias'!$R$4:$R$500,1)/(('Carga Web Cirugias'!$A$4:$A$500=B390)*('Carga Web Cirugias'!$M$4:$M$500=C390)*('Carga Web Cirugias'!$R$4:$R$500&lt;&gt;"")*('Carga Web Cirugias'!$S$4:$S$500&lt;&gt;"")),1))*1440),"")</f>
        <v/>
      </c>
      <c r="E390" s="111">
        <f>IF(OR(B390="",C390="",D390=""),"",VLOOKUP(C390,'Horario Pabellones'!$A$4:$D$17,4,FALSE))</f>
        <v/>
      </c>
      <c r="F390" s="118">
        <f>IFERROR(IF(OR(D390="",E390="",E390=0),"",(D390/60)/(E390/60)),"")</f>
        <v/>
      </c>
      <c r="G390" s="109">
        <f>IF(F390="","",IF(F390&gt;=0.75,"Cumple referencia","Bajo referencia"))</f>
        <v/>
      </c>
      <c r="J390" s="94" t="n"/>
      <c r="K390" s="95" t="n"/>
      <c r="L390" s="95" t="n"/>
      <c r="M390" s="96" t="n"/>
      <c r="N390" s="95" t="n"/>
    </row>
    <row r="391" ht="16" customHeight="1" s="151">
      <c r="A391" s="112">
        <f>IF(OR('Carga Web Cirugias'!A391="",'Carga Web Cirugias'!M391=""),"",_xludf.ISOWEEKNUM('Carga Web Cirugias'!A391))</f>
        <v/>
      </c>
      <c r="B391" s="123">
        <f>IF('Carga Web Cirugias'!A391="","",'Carga Web Cirugias'!A391)</f>
        <v/>
      </c>
      <c r="C391" s="112">
        <f>IF('Carga Web Cirugias'!M391="","",'Carga Web Cirugias'!M391)</f>
        <v/>
      </c>
      <c r="D391" s="114">
        <f>IFERROR(IF(OR(B391="",C391="",COUNTIFS($B$4:B391,B391,$C$4:C391,C391)&gt;1),"",(_xludf.AGGREGATE(14,6,MOD('Carga Web Cirugias'!$S$4:$S$500,1)/(('Carga Web Cirugias'!$A$4:$A$500=B391)*('Carga Web Cirugias'!$M$4:$M$500=C391)*('Carga Web Cirugias'!$R$4:$R$500&lt;&gt;"")*('Carga Web Cirugias'!$S$4:$S$500&lt;&gt;"")),1)-_xludf.AGGREGATE(15,6,MOD('Carga Web Cirugias'!$R$4:$R$500,1)/(('Carga Web Cirugias'!$A$4:$A$500=B391)*('Carga Web Cirugias'!$M$4:$M$500=C391)*('Carga Web Cirugias'!$R$4:$R$500&lt;&gt;"")*('Carga Web Cirugias'!$S$4:$S$500&lt;&gt;"")),1))*1440),"")</f>
        <v/>
      </c>
      <c r="E391" s="114">
        <f>IF(OR(B391="",C391="",D391=""),"",VLOOKUP(C391,'Horario Pabellones'!$A$4:$D$17,4,FALSE))</f>
        <v/>
      </c>
      <c r="F391" s="124">
        <f>IFERROR(IF(OR(D391="",E391="",E391=0),"",(D391/60)/(E391/60)),"")</f>
        <v/>
      </c>
      <c r="G391" s="112">
        <f>IF(F391="","",IF(F391&gt;=0.75,"Cumple referencia","Bajo referencia"))</f>
        <v/>
      </c>
      <c r="J391" s="94" t="n"/>
      <c r="K391" s="95" t="n"/>
      <c r="L391" s="95" t="n"/>
      <c r="M391" s="96" t="n"/>
      <c r="N391" s="95" t="n"/>
    </row>
    <row r="392" ht="16" customHeight="1" s="151">
      <c r="A392" s="109">
        <f>IF(OR('Carga Web Cirugias'!A392="",'Carga Web Cirugias'!M392=""),"",_xludf.ISOWEEKNUM('Carga Web Cirugias'!A392))</f>
        <v/>
      </c>
      <c r="B392" s="117">
        <f>IF('Carga Web Cirugias'!A392="","",'Carga Web Cirugias'!A392)</f>
        <v/>
      </c>
      <c r="C392" s="109">
        <f>IF('Carga Web Cirugias'!M392="","",'Carga Web Cirugias'!M392)</f>
        <v/>
      </c>
      <c r="D392" s="111">
        <f>IFERROR(IF(OR(B392="",C392="",COUNTIFS($B$4:B392,B392,$C$4:C392,C392)&gt;1),"",(_xludf.AGGREGATE(14,6,MOD('Carga Web Cirugias'!$S$4:$S$500,1)/(('Carga Web Cirugias'!$A$4:$A$500=B392)*('Carga Web Cirugias'!$M$4:$M$500=C392)*('Carga Web Cirugias'!$R$4:$R$500&lt;&gt;"")*('Carga Web Cirugias'!$S$4:$S$500&lt;&gt;"")),1)-_xludf.AGGREGATE(15,6,MOD('Carga Web Cirugias'!$R$4:$R$500,1)/(('Carga Web Cirugias'!$A$4:$A$500=B392)*('Carga Web Cirugias'!$M$4:$M$500=C392)*('Carga Web Cirugias'!$R$4:$R$500&lt;&gt;"")*('Carga Web Cirugias'!$S$4:$S$500&lt;&gt;"")),1))*1440),"")</f>
        <v/>
      </c>
      <c r="E392" s="111">
        <f>IF(OR(B392="",C392="",D392=""),"",VLOOKUP(C392,'Horario Pabellones'!$A$4:$D$17,4,FALSE))</f>
        <v/>
      </c>
      <c r="F392" s="118">
        <f>IFERROR(IF(OR(D392="",E392="",E392=0),"",(D392/60)/(E392/60)),"")</f>
        <v/>
      </c>
      <c r="G392" s="109">
        <f>IF(F392="","",IF(F392&gt;=0.75,"Cumple referencia","Bajo referencia"))</f>
        <v/>
      </c>
      <c r="J392" s="94" t="n"/>
      <c r="K392" s="95" t="n"/>
      <c r="L392" s="95" t="n"/>
      <c r="M392" s="96" t="n"/>
      <c r="N392" s="95" t="n"/>
    </row>
    <row r="393" ht="16" customHeight="1" s="151">
      <c r="A393" s="112">
        <f>IF(OR('Carga Web Cirugias'!A393="",'Carga Web Cirugias'!M393=""),"",_xludf.ISOWEEKNUM('Carga Web Cirugias'!A393))</f>
        <v/>
      </c>
      <c r="B393" s="123">
        <f>IF('Carga Web Cirugias'!A393="","",'Carga Web Cirugias'!A393)</f>
        <v/>
      </c>
      <c r="C393" s="112">
        <f>IF('Carga Web Cirugias'!M393="","",'Carga Web Cirugias'!M393)</f>
        <v/>
      </c>
      <c r="D393" s="114">
        <f>IFERROR(IF(OR(B393="",C393="",COUNTIFS($B$4:B393,B393,$C$4:C393,C393)&gt;1),"",(_xludf.AGGREGATE(14,6,MOD('Carga Web Cirugias'!$S$4:$S$500,1)/(('Carga Web Cirugias'!$A$4:$A$500=B393)*('Carga Web Cirugias'!$M$4:$M$500=C393)*('Carga Web Cirugias'!$R$4:$R$500&lt;&gt;"")*('Carga Web Cirugias'!$S$4:$S$500&lt;&gt;"")),1)-_xludf.AGGREGATE(15,6,MOD('Carga Web Cirugias'!$R$4:$R$500,1)/(('Carga Web Cirugias'!$A$4:$A$500=B393)*('Carga Web Cirugias'!$M$4:$M$500=C393)*('Carga Web Cirugias'!$R$4:$R$500&lt;&gt;"")*('Carga Web Cirugias'!$S$4:$S$500&lt;&gt;"")),1))*1440),"")</f>
        <v/>
      </c>
      <c r="E393" s="114">
        <f>IF(OR(B393="",C393="",D393=""),"",VLOOKUP(C393,'Horario Pabellones'!$A$4:$D$17,4,FALSE))</f>
        <v/>
      </c>
      <c r="F393" s="124">
        <f>IFERROR(IF(OR(D393="",E393="",E393=0),"",(D393/60)/(E393/60)),"")</f>
        <v/>
      </c>
      <c r="G393" s="112">
        <f>IF(F393="","",IF(F393&gt;=0.75,"Cumple referencia","Bajo referencia"))</f>
        <v/>
      </c>
      <c r="J393" s="94" t="n"/>
      <c r="K393" s="95" t="n"/>
      <c r="L393" s="95" t="n"/>
      <c r="M393" s="96" t="n"/>
      <c r="N393" s="95" t="n"/>
    </row>
    <row r="394" ht="16" customHeight="1" s="151">
      <c r="A394" s="109">
        <f>IF(OR('Carga Web Cirugias'!A394="",'Carga Web Cirugias'!M394=""),"",_xludf.ISOWEEKNUM('Carga Web Cirugias'!A394))</f>
        <v/>
      </c>
      <c r="B394" s="117">
        <f>IF('Carga Web Cirugias'!A394="","",'Carga Web Cirugias'!A394)</f>
        <v/>
      </c>
      <c r="C394" s="109">
        <f>IF('Carga Web Cirugias'!M394="","",'Carga Web Cirugias'!M394)</f>
        <v/>
      </c>
      <c r="D394" s="111">
        <f>IFERROR(IF(OR(B394="",C394="",COUNTIFS($B$4:B394,B394,$C$4:C394,C394)&gt;1),"",(_xludf.AGGREGATE(14,6,MOD('Carga Web Cirugias'!$S$4:$S$500,1)/(('Carga Web Cirugias'!$A$4:$A$500=B394)*('Carga Web Cirugias'!$M$4:$M$500=C394)*('Carga Web Cirugias'!$R$4:$R$500&lt;&gt;"")*('Carga Web Cirugias'!$S$4:$S$500&lt;&gt;"")),1)-_xludf.AGGREGATE(15,6,MOD('Carga Web Cirugias'!$R$4:$R$500,1)/(('Carga Web Cirugias'!$A$4:$A$500=B394)*('Carga Web Cirugias'!$M$4:$M$500=C394)*('Carga Web Cirugias'!$R$4:$R$500&lt;&gt;"")*('Carga Web Cirugias'!$S$4:$S$500&lt;&gt;"")),1))*1440),"")</f>
        <v/>
      </c>
      <c r="E394" s="111">
        <f>IF(OR(B394="",C394="",D394=""),"",VLOOKUP(C394,'Horario Pabellones'!$A$4:$D$17,4,FALSE))</f>
        <v/>
      </c>
      <c r="F394" s="118">
        <f>IFERROR(IF(OR(D394="",E394="",E394=0),"",(D394/60)/(E394/60)),"")</f>
        <v/>
      </c>
      <c r="G394" s="109">
        <f>IF(F394="","",IF(F394&gt;=0.75,"Cumple referencia","Bajo referencia"))</f>
        <v/>
      </c>
      <c r="J394" s="94" t="n"/>
      <c r="K394" s="95" t="n"/>
      <c r="L394" s="95" t="n"/>
      <c r="M394" s="96" t="n"/>
      <c r="N394" s="95" t="n"/>
    </row>
    <row r="395" ht="16" customHeight="1" s="151">
      <c r="A395" s="112">
        <f>IF(OR('Carga Web Cirugias'!A395="",'Carga Web Cirugias'!M395=""),"",_xludf.ISOWEEKNUM('Carga Web Cirugias'!A395))</f>
        <v/>
      </c>
      <c r="B395" s="123">
        <f>IF('Carga Web Cirugias'!A395="","",'Carga Web Cirugias'!A395)</f>
        <v/>
      </c>
      <c r="C395" s="112">
        <f>IF('Carga Web Cirugias'!M395="","",'Carga Web Cirugias'!M395)</f>
        <v/>
      </c>
      <c r="D395" s="114">
        <f>IFERROR(IF(OR(B395="",C395="",COUNTIFS($B$4:B395,B395,$C$4:C395,C395)&gt;1),"",(_xludf.AGGREGATE(14,6,MOD('Carga Web Cirugias'!$S$4:$S$500,1)/(('Carga Web Cirugias'!$A$4:$A$500=B395)*('Carga Web Cirugias'!$M$4:$M$500=C395)*('Carga Web Cirugias'!$R$4:$R$500&lt;&gt;"")*('Carga Web Cirugias'!$S$4:$S$500&lt;&gt;"")),1)-_xludf.AGGREGATE(15,6,MOD('Carga Web Cirugias'!$R$4:$R$500,1)/(('Carga Web Cirugias'!$A$4:$A$500=B395)*('Carga Web Cirugias'!$M$4:$M$500=C395)*('Carga Web Cirugias'!$R$4:$R$500&lt;&gt;"")*('Carga Web Cirugias'!$S$4:$S$500&lt;&gt;"")),1))*1440),"")</f>
        <v/>
      </c>
      <c r="E395" s="114">
        <f>IF(OR(B395="",C395="",D395=""),"",VLOOKUP(C395,'Horario Pabellones'!$A$4:$D$17,4,FALSE))</f>
        <v/>
      </c>
      <c r="F395" s="124">
        <f>IFERROR(IF(OR(D395="",E395="",E395=0),"",(D395/60)/(E395/60)),"")</f>
        <v/>
      </c>
      <c r="G395" s="112">
        <f>IF(F395="","",IF(F395&gt;=0.75,"Cumple referencia","Bajo referencia"))</f>
        <v/>
      </c>
      <c r="J395" s="94" t="n"/>
      <c r="K395" s="95" t="n"/>
      <c r="L395" s="95" t="n"/>
      <c r="M395" s="96" t="n"/>
      <c r="N395" s="95" t="n"/>
    </row>
    <row r="396" ht="16" customHeight="1" s="151">
      <c r="A396" s="109">
        <f>IF(OR('Carga Web Cirugias'!A396="",'Carga Web Cirugias'!M396=""),"",_xludf.ISOWEEKNUM('Carga Web Cirugias'!A396))</f>
        <v/>
      </c>
      <c r="B396" s="117">
        <f>IF('Carga Web Cirugias'!A396="","",'Carga Web Cirugias'!A396)</f>
        <v/>
      </c>
      <c r="C396" s="109">
        <f>IF('Carga Web Cirugias'!M396="","",'Carga Web Cirugias'!M396)</f>
        <v/>
      </c>
      <c r="D396" s="111">
        <f>IFERROR(IF(OR(B396="",C396="",COUNTIFS($B$4:B396,B396,$C$4:C396,C396)&gt;1),"",(_xludf.AGGREGATE(14,6,MOD('Carga Web Cirugias'!$S$4:$S$500,1)/(('Carga Web Cirugias'!$A$4:$A$500=B396)*('Carga Web Cirugias'!$M$4:$M$500=C396)*('Carga Web Cirugias'!$R$4:$R$500&lt;&gt;"")*('Carga Web Cirugias'!$S$4:$S$500&lt;&gt;"")),1)-_xludf.AGGREGATE(15,6,MOD('Carga Web Cirugias'!$R$4:$R$500,1)/(('Carga Web Cirugias'!$A$4:$A$500=B396)*('Carga Web Cirugias'!$M$4:$M$500=C396)*('Carga Web Cirugias'!$R$4:$R$500&lt;&gt;"")*('Carga Web Cirugias'!$S$4:$S$500&lt;&gt;"")),1))*1440),"")</f>
        <v/>
      </c>
      <c r="E396" s="111">
        <f>IF(OR(B396="",C396="",D396=""),"",VLOOKUP(C396,'Horario Pabellones'!$A$4:$D$17,4,FALSE))</f>
        <v/>
      </c>
      <c r="F396" s="118">
        <f>IFERROR(IF(OR(D396="",E396="",E396=0),"",(D396/60)/(E396/60)),"")</f>
        <v/>
      </c>
      <c r="G396" s="109">
        <f>IF(F396="","",IF(F396&gt;=0.75,"Cumple referencia","Bajo referencia"))</f>
        <v/>
      </c>
      <c r="J396" s="94" t="n"/>
      <c r="K396" s="95" t="n"/>
      <c r="L396" s="95" t="n"/>
      <c r="M396" s="96" t="n"/>
      <c r="N396" s="95" t="n"/>
    </row>
    <row r="397" ht="16" customHeight="1" s="151">
      <c r="A397" s="112">
        <f>IF(OR('Carga Web Cirugias'!A397="",'Carga Web Cirugias'!M397=""),"",_xludf.ISOWEEKNUM('Carga Web Cirugias'!A397))</f>
        <v/>
      </c>
      <c r="B397" s="123">
        <f>IF('Carga Web Cirugias'!A397="","",'Carga Web Cirugias'!A397)</f>
        <v/>
      </c>
      <c r="C397" s="112">
        <f>IF('Carga Web Cirugias'!M397="","",'Carga Web Cirugias'!M397)</f>
        <v/>
      </c>
      <c r="D397" s="114">
        <f>IFERROR(IF(OR(B397="",C397="",COUNTIFS($B$4:B397,B397,$C$4:C397,C397)&gt;1),"",(_xludf.AGGREGATE(14,6,MOD('Carga Web Cirugias'!$S$4:$S$500,1)/(('Carga Web Cirugias'!$A$4:$A$500=B397)*('Carga Web Cirugias'!$M$4:$M$500=C397)*('Carga Web Cirugias'!$R$4:$R$500&lt;&gt;"")*('Carga Web Cirugias'!$S$4:$S$500&lt;&gt;"")),1)-_xludf.AGGREGATE(15,6,MOD('Carga Web Cirugias'!$R$4:$R$500,1)/(('Carga Web Cirugias'!$A$4:$A$500=B397)*('Carga Web Cirugias'!$M$4:$M$500=C397)*('Carga Web Cirugias'!$R$4:$R$500&lt;&gt;"")*('Carga Web Cirugias'!$S$4:$S$500&lt;&gt;"")),1))*1440),"")</f>
        <v/>
      </c>
      <c r="E397" s="114">
        <f>IF(OR(B397="",C397="",D397=""),"",VLOOKUP(C397,'Horario Pabellones'!$A$4:$D$17,4,FALSE))</f>
        <v/>
      </c>
      <c r="F397" s="124">
        <f>IFERROR(IF(OR(D397="",E397="",E397=0),"",(D397/60)/(E397/60)),"")</f>
        <v/>
      </c>
      <c r="G397" s="112">
        <f>IF(F397="","",IF(F397&gt;=0.75,"Cumple referencia","Bajo referencia"))</f>
        <v/>
      </c>
      <c r="J397" s="94" t="n"/>
      <c r="K397" s="95" t="n"/>
      <c r="L397" s="95" t="n"/>
      <c r="M397" s="96" t="n"/>
      <c r="N397" s="95" t="n"/>
    </row>
    <row r="398" ht="16" customHeight="1" s="151">
      <c r="A398" s="109">
        <f>IF(OR('Carga Web Cirugias'!A398="",'Carga Web Cirugias'!M398=""),"",_xludf.ISOWEEKNUM('Carga Web Cirugias'!A398))</f>
        <v/>
      </c>
      <c r="B398" s="117">
        <f>IF('Carga Web Cirugias'!A398="","",'Carga Web Cirugias'!A398)</f>
        <v/>
      </c>
      <c r="C398" s="109">
        <f>IF('Carga Web Cirugias'!M398="","",'Carga Web Cirugias'!M398)</f>
        <v/>
      </c>
      <c r="D398" s="111">
        <f>IFERROR(IF(OR(B398="",C398="",COUNTIFS($B$4:B398,B398,$C$4:C398,C398)&gt;1),"",(_xludf.AGGREGATE(14,6,MOD('Carga Web Cirugias'!$S$4:$S$500,1)/(('Carga Web Cirugias'!$A$4:$A$500=B398)*('Carga Web Cirugias'!$M$4:$M$500=C398)*('Carga Web Cirugias'!$R$4:$R$500&lt;&gt;"")*('Carga Web Cirugias'!$S$4:$S$500&lt;&gt;"")),1)-_xludf.AGGREGATE(15,6,MOD('Carga Web Cirugias'!$R$4:$R$500,1)/(('Carga Web Cirugias'!$A$4:$A$500=B398)*('Carga Web Cirugias'!$M$4:$M$500=C398)*('Carga Web Cirugias'!$R$4:$R$500&lt;&gt;"")*('Carga Web Cirugias'!$S$4:$S$500&lt;&gt;"")),1))*1440),"")</f>
        <v/>
      </c>
      <c r="E398" s="111">
        <f>IF(OR(B398="",C398="",D398=""),"",VLOOKUP(C398,'Horario Pabellones'!$A$4:$D$17,4,FALSE))</f>
        <v/>
      </c>
      <c r="F398" s="118">
        <f>IFERROR(IF(OR(D398="",E398="",E398=0),"",(D398/60)/(E398/60)),"")</f>
        <v/>
      </c>
      <c r="G398" s="109">
        <f>IF(F398="","",IF(F398&gt;=0.75,"Cumple referencia","Bajo referencia"))</f>
        <v/>
      </c>
      <c r="J398" s="94" t="n"/>
      <c r="K398" s="95" t="n"/>
      <c r="L398" s="95" t="n"/>
      <c r="M398" s="96" t="n"/>
      <c r="N398" s="95" t="n"/>
    </row>
    <row r="399" ht="16" customHeight="1" s="151">
      <c r="A399" s="112">
        <f>IF(OR('Carga Web Cirugias'!A399="",'Carga Web Cirugias'!M399=""),"",_xludf.ISOWEEKNUM('Carga Web Cirugias'!A399))</f>
        <v/>
      </c>
      <c r="B399" s="123">
        <f>IF('Carga Web Cirugias'!A399="","",'Carga Web Cirugias'!A399)</f>
        <v/>
      </c>
      <c r="C399" s="112">
        <f>IF('Carga Web Cirugias'!M399="","",'Carga Web Cirugias'!M399)</f>
        <v/>
      </c>
      <c r="D399" s="114">
        <f>IFERROR(IF(OR(B399="",C399="",COUNTIFS($B$4:B399,B399,$C$4:C399,C399)&gt;1),"",(_xludf.AGGREGATE(14,6,MOD('Carga Web Cirugias'!$S$4:$S$500,1)/(('Carga Web Cirugias'!$A$4:$A$500=B399)*('Carga Web Cirugias'!$M$4:$M$500=C399)*('Carga Web Cirugias'!$R$4:$R$500&lt;&gt;"")*('Carga Web Cirugias'!$S$4:$S$500&lt;&gt;"")),1)-_xludf.AGGREGATE(15,6,MOD('Carga Web Cirugias'!$R$4:$R$500,1)/(('Carga Web Cirugias'!$A$4:$A$500=B399)*('Carga Web Cirugias'!$M$4:$M$500=C399)*('Carga Web Cirugias'!$R$4:$R$500&lt;&gt;"")*('Carga Web Cirugias'!$S$4:$S$500&lt;&gt;"")),1))*1440),"")</f>
        <v/>
      </c>
      <c r="E399" s="114">
        <f>IF(OR(B399="",C399="",D399=""),"",VLOOKUP(C399,'Horario Pabellones'!$A$4:$D$17,4,FALSE))</f>
        <v/>
      </c>
      <c r="F399" s="124">
        <f>IFERROR(IF(OR(D399="",E399="",E399=0),"",(D399/60)/(E399/60)),"")</f>
        <v/>
      </c>
      <c r="G399" s="112">
        <f>IF(F399="","",IF(F399&gt;=0.75,"Cumple referencia","Bajo referencia"))</f>
        <v/>
      </c>
      <c r="J399" s="94" t="n"/>
      <c r="K399" s="95" t="n"/>
      <c r="L399" s="95" t="n"/>
      <c r="M399" s="96" t="n"/>
      <c r="N399" s="95" t="n"/>
    </row>
    <row r="400" ht="16" customHeight="1" s="151">
      <c r="A400" s="109">
        <f>IF(OR('Carga Web Cirugias'!A400="",'Carga Web Cirugias'!M400=""),"",_xludf.ISOWEEKNUM('Carga Web Cirugias'!A400))</f>
        <v/>
      </c>
      <c r="B400" s="117">
        <f>IF('Carga Web Cirugias'!A400="","",'Carga Web Cirugias'!A400)</f>
        <v/>
      </c>
      <c r="C400" s="109">
        <f>IF('Carga Web Cirugias'!M400="","",'Carga Web Cirugias'!M400)</f>
        <v/>
      </c>
      <c r="D400" s="111">
        <f>IFERROR(IF(OR(B400="",C400="",COUNTIFS($B$4:B400,B400,$C$4:C400,C400)&gt;1),"",(_xludf.AGGREGATE(14,6,MOD('Carga Web Cirugias'!$S$4:$S$500,1)/(('Carga Web Cirugias'!$A$4:$A$500=B400)*('Carga Web Cirugias'!$M$4:$M$500=C400)*('Carga Web Cirugias'!$R$4:$R$500&lt;&gt;"")*('Carga Web Cirugias'!$S$4:$S$500&lt;&gt;"")),1)-_xludf.AGGREGATE(15,6,MOD('Carga Web Cirugias'!$R$4:$R$500,1)/(('Carga Web Cirugias'!$A$4:$A$500=B400)*('Carga Web Cirugias'!$M$4:$M$500=C400)*('Carga Web Cirugias'!$R$4:$R$500&lt;&gt;"")*('Carga Web Cirugias'!$S$4:$S$500&lt;&gt;"")),1))*1440),"")</f>
        <v/>
      </c>
      <c r="E400" s="111">
        <f>IF(OR(B400="",C400="",D400=""),"",VLOOKUP(C400,'Horario Pabellones'!$A$4:$D$17,4,FALSE))</f>
        <v/>
      </c>
      <c r="F400" s="118">
        <f>IFERROR(IF(OR(D400="",E400="",E400=0),"",(D400/60)/(E400/60)),"")</f>
        <v/>
      </c>
      <c r="G400" s="109">
        <f>IF(F400="","",IF(F400&gt;=0.75,"Cumple referencia","Bajo referencia"))</f>
        <v/>
      </c>
      <c r="J400" s="94" t="n"/>
      <c r="K400" s="95" t="n"/>
      <c r="L400" s="95" t="n"/>
      <c r="M400" s="96" t="n"/>
      <c r="N400" s="95" t="n"/>
    </row>
    <row r="401" ht="16" customHeight="1" s="151">
      <c r="A401" s="112">
        <f>IF(OR('Carga Web Cirugias'!A401="",'Carga Web Cirugias'!M401=""),"",_xludf.ISOWEEKNUM('Carga Web Cirugias'!A401))</f>
        <v/>
      </c>
      <c r="B401" s="123">
        <f>IF('Carga Web Cirugias'!A401="","",'Carga Web Cirugias'!A401)</f>
        <v/>
      </c>
      <c r="C401" s="112">
        <f>IF('Carga Web Cirugias'!M401="","",'Carga Web Cirugias'!M401)</f>
        <v/>
      </c>
      <c r="D401" s="114">
        <f>IFERROR(IF(OR(B401="",C401="",COUNTIFS($B$4:B401,B401,$C$4:C401,C401)&gt;1),"",(_xludf.AGGREGATE(14,6,MOD('Carga Web Cirugias'!$S$4:$S$500,1)/(('Carga Web Cirugias'!$A$4:$A$500=B401)*('Carga Web Cirugias'!$M$4:$M$500=C401)*('Carga Web Cirugias'!$R$4:$R$500&lt;&gt;"")*('Carga Web Cirugias'!$S$4:$S$500&lt;&gt;"")),1)-_xludf.AGGREGATE(15,6,MOD('Carga Web Cirugias'!$R$4:$R$500,1)/(('Carga Web Cirugias'!$A$4:$A$500=B401)*('Carga Web Cirugias'!$M$4:$M$500=C401)*('Carga Web Cirugias'!$R$4:$R$500&lt;&gt;"")*('Carga Web Cirugias'!$S$4:$S$500&lt;&gt;"")),1))*1440),"")</f>
        <v/>
      </c>
      <c r="E401" s="114">
        <f>IF(OR(B401="",C401="",D401=""),"",VLOOKUP(C401,'Horario Pabellones'!$A$4:$D$17,4,FALSE))</f>
        <v/>
      </c>
      <c r="F401" s="124">
        <f>IFERROR(IF(OR(D401="",E401="",E401=0),"",(D401/60)/(E401/60)),"")</f>
        <v/>
      </c>
      <c r="G401" s="112">
        <f>IF(F401="","",IF(F401&gt;=0.75,"Cumple referencia","Bajo referencia"))</f>
        <v/>
      </c>
      <c r="J401" s="94" t="n"/>
      <c r="K401" s="95" t="n"/>
      <c r="L401" s="95" t="n"/>
      <c r="M401" s="96" t="n"/>
      <c r="N401" s="95" t="n"/>
    </row>
    <row r="402" ht="16" customHeight="1" s="151">
      <c r="A402" s="109">
        <f>IF(OR('Carga Web Cirugias'!A402="",'Carga Web Cirugias'!M402=""),"",_xludf.ISOWEEKNUM('Carga Web Cirugias'!A402))</f>
        <v/>
      </c>
      <c r="B402" s="117">
        <f>IF('Carga Web Cirugias'!A402="","",'Carga Web Cirugias'!A402)</f>
        <v/>
      </c>
      <c r="C402" s="109">
        <f>IF('Carga Web Cirugias'!M402="","",'Carga Web Cirugias'!M402)</f>
        <v/>
      </c>
      <c r="D402" s="111">
        <f>IFERROR(IF(OR(B402="",C402="",COUNTIFS($B$4:B402,B402,$C$4:C402,C402)&gt;1),"",(_xludf.AGGREGATE(14,6,MOD('Carga Web Cirugias'!$S$4:$S$500,1)/(('Carga Web Cirugias'!$A$4:$A$500=B402)*('Carga Web Cirugias'!$M$4:$M$500=C402)*('Carga Web Cirugias'!$R$4:$R$500&lt;&gt;"")*('Carga Web Cirugias'!$S$4:$S$500&lt;&gt;"")),1)-_xludf.AGGREGATE(15,6,MOD('Carga Web Cirugias'!$R$4:$R$500,1)/(('Carga Web Cirugias'!$A$4:$A$500=B402)*('Carga Web Cirugias'!$M$4:$M$500=C402)*('Carga Web Cirugias'!$R$4:$R$500&lt;&gt;"")*('Carga Web Cirugias'!$S$4:$S$500&lt;&gt;"")),1))*1440),"")</f>
        <v/>
      </c>
      <c r="E402" s="111">
        <f>IF(OR(B402="",C402="",D402=""),"",VLOOKUP(C402,'Horario Pabellones'!$A$4:$D$17,4,FALSE))</f>
        <v/>
      </c>
      <c r="F402" s="118">
        <f>IFERROR(IF(OR(D402="",E402="",E402=0),"",(D402/60)/(E402/60)),"")</f>
        <v/>
      </c>
      <c r="G402" s="109">
        <f>IF(F402="","",IF(F402&gt;=0.75,"Cumple referencia","Bajo referencia"))</f>
        <v/>
      </c>
      <c r="J402" s="94" t="n"/>
      <c r="K402" s="95" t="n"/>
      <c r="L402" s="95" t="n"/>
      <c r="M402" s="96" t="n"/>
      <c r="N402" s="95" t="n"/>
    </row>
    <row r="403" ht="16" customHeight="1" s="151">
      <c r="A403" s="112">
        <f>IF(OR('Carga Web Cirugias'!A403="",'Carga Web Cirugias'!M403=""),"",_xludf.ISOWEEKNUM('Carga Web Cirugias'!A403))</f>
        <v/>
      </c>
      <c r="B403" s="123">
        <f>IF('Carga Web Cirugias'!A403="","",'Carga Web Cirugias'!A403)</f>
        <v/>
      </c>
      <c r="C403" s="112">
        <f>IF('Carga Web Cirugias'!M403="","",'Carga Web Cirugias'!M403)</f>
        <v/>
      </c>
      <c r="D403" s="114">
        <f>IFERROR(IF(OR(B403="",C403="",COUNTIFS($B$4:B403,B403,$C$4:C403,C403)&gt;1),"",(_xludf.AGGREGATE(14,6,MOD('Carga Web Cirugias'!$S$4:$S$500,1)/(('Carga Web Cirugias'!$A$4:$A$500=B403)*('Carga Web Cirugias'!$M$4:$M$500=C403)*('Carga Web Cirugias'!$R$4:$R$500&lt;&gt;"")*('Carga Web Cirugias'!$S$4:$S$500&lt;&gt;"")),1)-_xludf.AGGREGATE(15,6,MOD('Carga Web Cirugias'!$R$4:$R$500,1)/(('Carga Web Cirugias'!$A$4:$A$500=B403)*('Carga Web Cirugias'!$M$4:$M$500=C403)*('Carga Web Cirugias'!$R$4:$R$500&lt;&gt;"")*('Carga Web Cirugias'!$S$4:$S$500&lt;&gt;"")),1))*1440),"")</f>
        <v/>
      </c>
      <c r="E403" s="114">
        <f>IF(OR(B403="",C403="",D403=""),"",VLOOKUP(C403,'Horario Pabellones'!$A$4:$D$17,4,FALSE))</f>
        <v/>
      </c>
      <c r="F403" s="124">
        <f>IFERROR(IF(OR(D403="",E403="",E403=0),"",(D403/60)/(E403/60)),"")</f>
        <v/>
      </c>
      <c r="G403" s="112">
        <f>IF(F403="","",IF(F403&gt;=0.75,"Cumple referencia","Bajo referencia"))</f>
        <v/>
      </c>
      <c r="J403" s="94" t="n"/>
      <c r="K403" s="95" t="n"/>
      <c r="L403" s="95" t="n"/>
      <c r="M403" s="96" t="n"/>
      <c r="N403" s="95" t="n"/>
    </row>
    <row r="404" ht="16" customHeight="1" s="151">
      <c r="A404" s="109">
        <f>IF(OR('Carga Web Cirugias'!A404="",'Carga Web Cirugias'!M404=""),"",_xludf.ISOWEEKNUM('Carga Web Cirugias'!A404))</f>
        <v/>
      </c>
      <c r="B404" s="117">
        <f>IF('Carga Web Cirugias'!A404="","",'Carga Web Cirugias'!A404)</f>
        <v/>
      </c>
      <c r="C404" s="109">
        <f>IF('Carga Web Cirugias'!M404="","",'Carga Web Cirugias'!M404)</f>
        <v/>
      </c>
      <c r="D404" s="111">
        <f>IFERROR(IF(OR(B404="",C404="",COUNTIFS($B$4:B404,B404,$C$4:C404,C404)&gt;1),"",(_xludf.AGGREGATE(14,6,MOD('Carga Web Cirugias'!$S$4:$S$500,1)/(('Carga Web Cirugias'!$A$4:$A$500=B404)*('Carga Web Cirugias'!$M$4:$M$500=C404)*('Carga Web Cirugias'!$R$4:$R$500&lt;&gt;"")*('Carga Web Cirugias'!$S$4:$S$500&lt;&gt;"")),1)-_xludf.AGGREGATE(15,6,MOD('Carga Web Cirugias'!$R$4:$R$500,1)/(('Carga Web Cirugias'!$A$4:$A$500=B404)*('Carga Web Cirugias'!$M$4:$M$500=C404)*('Carga Web Cirugias'!$R$4:$R$500&lt;&gt;"")*('Carga Web Cirugias'!$S$4:$S$500&lt;&gt;"")),1))*1440),"")</f>
        <v/>
      </c>
      <c r="E404" s="111">
        <f>IF(OR(B404="",C404="",D404=""),"",VLOOKUP(C404,'Horario Pabellones'!$A$4:$D$17,4,FALSE))</f>
        <v/>
      </c>
      <c r="F404" s="118">
        <f>IFERROR(IF(OR(D404="",E404="",E404=0),"",(D404/60)/(E404/60)),"")</f>
        <v/>
      </c>
      <c r="G404" s="109">
        <f>IF(F404="","",IF(F404&gt;=0.75,"Cumple referencia","Bajo referencia"))</f>
        <v/>
      </c>
      <c r="J404" s="94" t="n"/>
      <c r="K404" s="95" t="n"/>
      <c r="L404" s="95" t="n"/>
      <c r="M404" s="96" t="n"/>
      <c r="N404" s="95" t="n"/>
    </row>
    <row r="405" ht="16" customHeight="1" s="151">
      <c r="A405" s="112">
        <f>IF(OR('Carga Web Cirugias'!A405="",'Carga Web Cirugias'!M405=""),"",_xludf.ISOWEEKNUM('Carga Web Cirugias'!A405))</f>
        <v/>
      </c>
      <c r="B405" s="123">
        <f>IF('Carga Web Cirugias'!A405="","",'Carga Web Cirugias'!A405)</f>
        <v/>
      </c>
      <c r="C405" s="112">
        <f>IF('Carga Web Cirugias'!M405="","",'Carga Web Cirugias'!M405)</f>
        <v/>
      </c>
      <c r="D405" s="114">
        <f>IFERROR(IF(OR(B405="",C405="",COUNTIFS($B$4:B405,B405,$C$4:C405,C405)&gt;1),"",(_xludf.AGGREGATE(14,6,MOD('Carga Web Cirugias'!$S$4:$S$500,1)/(('Carga Web Cirugias'!$A$4:$A$500=B405)*('Carga Web Cirugias'!$M$4:$M$500=C405)*('Carga Web Cirugias'!$R$4:$R$500&lt;&gt;"")*('Carga Web Cirugias'!$S$4:$S$500&lt;&gt;"")),1)-_xludf.AGGREGATE(15,6,MOD('Carga Web Cirugias'!$R$4:$R$500,1)/(('Carga Web Cirugias'!$A$4:$A$500=B405)*('Carga Web Cirugias'!$M$4:$M$500=C405)*('Carga Web Cirugias'!$R$4:$R$500&lt;&gt;"")*('Carga Web Cirugias'!$S$4:$S$500&lt;&gt;"")),1))*1440),"")</f>
        <v/>
      </c>
      <c r="E405" s="114">
        <f>IF(OR(B405="",C405="",D405=""),"",VLOOKUP(C405,'Horario Pabellones'!$A$4:$D$17,4,FALSE))</f>
        <v/>
      </c>
      <c r="F405" s="124">
        <f>IFERROR(IF(OR(D405="",E405="",E405=0),"",(D405/60)/(E405/60)),"")</f>
        <v/>
      </c>
      <c r="G405" s="112">
        <f>IF(F405="","",IF(F405&gt;=0.75,"Cumple referencia","Bajo referencia"))</f>
        <v/>
      </c>
      <c r="J405" s="94" t="n"/>
      <c r="K405" s="95" t="n"/>
      <c r="L405" s="95" t="n"/>
      <c r="M405" s="96" t="n"/>
      <c r="N405" s="95" t="n"/>
    </row>
    <row r="406" ht="16" customHeight="1" s="151">
      <c r="A406" s="109">
        <f>IF(OR('Carga Web Cirugias'!A406="",'Carga Web Cirugias'!M406=""),"",_xludf.ISOWEEKNUM('Carga Web Cirugias'!A406))</f>
        <v/>
      </c>
      <c r="B406" s="117">
        <f>IF('Carga Web Cirugias'!A406="","",'Carga Web Cirugias'!A406)</f>
        <v/>
      </c>
      <c r="C406" s="109">
        <f>IF('Carga Web Cirugias'!M406="","",'Carga Web Cirugias'!M406)</f>
        <v/>
      </c>
      <c r="D406" s="111">
        <f>IFERROR(IF(OR(B406="",C406="",COUNTIFS($B$4:B406,B406,$C$4:C406,C406)&gt;1),"",(_xludf.AGGREGATE(14,6,MOD('Carga Web Cirugias'!$S$4:$S$500,1)/(('Carga Web Cirugias'!$A$4:$A$500=B406)*('Carga Web Cirugias'!$M$4:$M$500=C406)*('Carga Web Cirugias'!$R$4:$R$500&lt;&gt;"")*('Carga Web Cirugias'!$S$4:$S$500&lt;&gt;"")),1)-_xludf.AGGREGATE(15,6,MOD('Carga Web Cirugias'!$R$4:$R$500,1)/(('Carga Web Cirugias'!$A$4:$A$500=B406)*('Carga Web Cirugias'!$M$4:$M$500=C406)*('Carga Web Cirugias'!$R$4:$R$500&lt;&gt;"")*('Carga Web Cirugias'!$S$4:$S$500&lt;&gt;"")),1))*1440),"")</f>
        <v/>
      </c>
      <c r="E406" s="111">
        <f>IF(OR(B406="",C406="",D406=""),"",VLOOKUP(C406,'Horario Pabellones'!$A$4:$D$17,4,FALSE))</f>
        <v/>
      </c>
      <c r="F406" s="118">
        <f>IFERROR(IF(OR(D406="",E406="",E406=0),"",(D406/60)/(E406/60)),"")</f>
        <v/>
      </c>
      <c r="G406" s="109">
        <f>IF(F406="","",IF(F406&gt;=0.75,"Cumple referencia","Bajo referencia"))</f>
        <v/>
      </c>
      <c r="J406" s="94" t="n"/>
      <c r="K406" s="95" t="n"/>
      <c r="L406" s="95" t="n"/>
      <c r="M406" s="96" t="n"/>
      <c r="N406" s="95" t="n"/>
    </row>
    <row r="407" ht="16" customHeight="1" s="151">
      <c r="A407" s="112">
        <f>IF(OR('Carga Web Cirugias'!A407="",'Carga Web Cirugias'!M407=""),"",_xludf.ISOWEEKNUM('Carga Web Cirugias'!A407))</f>
        <v/>
      </c>
      <c r="B407" s="123">
        <f>IF('Carga Web Cirugias'!A407="","",'Carga Web Cirugias'!A407)</f>
        <v/>
      </c>
      <c r="C407" s="112">
        <f>IF('Carga Web Cirugias'!M407="","",'Carga Web Cirugias'!M407)</f>
        <v/>
      </c>
      <c r="D407" s="114">
        <f>IFERROR(IF(OR(B407="",C407="",COUNTIFS($B$4:B407,B407,$C$4:C407,C407)&gt;1),"",(_xludf.AGGREGATE(14,6,MOD('Carga Web Cirugias'!$S$4:$S$500,1)/(('Carga Web Cirugias'!$A$4:$A$500=B407)*('Carga Web Cirugias'!$M$4:$M$500=C407)*('Carga Web Cirugias'!$R$4:$R$500&lt;&gt;"")*('Carga Web Cirugias'!$S$4:$S$500&lt;&gt;"")),1)-_xludf.AGGREGATE(15,6,MOD('Carga Web Cirugias'!$R$4:$R$500,1)/(('Carga Web Cirugias'!$A$4:$A$500=B407)*('Carga Web Cirugias'!$M$4:$M$500=C407)*('Carga Web Cirugias'!$R$4:$R$500&lt;&gt;"")*('Carga Web Cirugias'!$S$4:$S$500&lt;&gt;"")),1))*1440),"")</f>
        <v/>
      </c>
      <c r="E407" s="114">
        <f>IF(OR(B407="",C407="",D407=""),"",VLOOKUP(C407,'Horario Pabellones'!$A$4:$D$17,4,FALSE))</f>
        <v/>
      </c>
      <c r="F407" s="124">
        <f>IFERROR(IF(OR(D407="",E407="",E407=0),"",(D407/60)/(E407/60)),"")</f>
        <v/>
      </c>
      <c r="G407" s="112">
        <f>IF(F407="","",IF(F407&gt;=0.75,"Cumple referencia","Bajo referencia"))</f>
        <v/>
      </c>
      <c r="J407" s="94" t="n"/>
      <c r="K407" s="95" t="n"/>
      <c r="L407" s="95" t="n"/>
      <c r="M407" s="96" t="n"/>
      <c r="N407" s="95" t="n"/>
    </row>
    <row r="408" ht="16" customHeight="1" s="151">
      <c r="A408" s="109">
        <f>IF(OR('Carga Web Cirugias'!A408="",'Carga Web Cirugias'!M408=""),"",_xludf.ISOWEEKNUM('Carga Web Cirugias'!A408))</f>
        <v/>
      </c>
      <c r="B408" s="117">
        <f>IF('Carga Web Cirugias'!A408="","",'Carga Web Cirugias'!A408)</f>
        <v/>
      </c>
      <c r="C408" s="109">
        <f>IF('Carga Web Cirugias'!M408="","",'Carga Web Cirugias'!M408)</f>
        <v/>
      </c>
      <c r="D408" s="111">
        <f>IFERROR(IF(OR(B408="",C408="",COUNTIFS($B$4:B408,B408,$C$4:C408,C408)&gt;1),"",(_xludf.AGGREGATE(14,6,MOD('Carga Web Cirugias'!$S$4:$S$500,1)/(('Carga Web Cirugias'!$A$4:$A$500=B408)*('Carga Web Cirugias'!$M$4:$M$500=C408)*('Carga Web Cirugias'!$R$4:$R$500&lt;&gt;"")*('Carga Web Cirugias'!$S$4:$S$500&lt;&gt;"")),1)-_xludf.AGGREGATE(15,6,MOD('Carga Web Cirugias'!$R$4:$R$500,1)/(('Carga Web Cirugias'!$A$4:$A$500=B408)*('Carga Web Cirugias'!$M$4:$M$500=C408)*('Carga Web Cirugias'!$R$4:$R$500&lt;&gt;"")*('Carga Web Cirugias'!$S$4:$S$500&lt;&gt;"")),1))*1440),"")</f>
        <v/>
      </c>
      <c r="E408" s="111">
        <f>IF(OR(B408="",C408="",D408=""),"",VLOOKUP(C408,'Horario Pabellones'!$A$4:$D$17,4,FALSE))</f>
        <v/>
      </c>
      <c r="F408" s="118">
        <f>IFERROR(IF(OR(D408="",E408="",E408=0),"",(D408/60)/(E408/60)),"")</f>
        <v/>
      </c>
      <c r="G408" s="109">
        <f>IF(F408="","",IF(F408&gt;=0.75,"Cumple referencia","Bajo referencia"))</f>
        <v/>
      </c>
      <c r="J408" s="94" t="n"/>
      <c r="K408" s="95" t="n"/>
      <c r="L408" s="95" t="n"/>
      <c r="M408" s="96" t="n"/>
      <c r="N408" s="95" t="n"/>
    </row>
    <row r="409" ht="16" customHeight="1" s="151">
      <c r="A409" s="112">
        <f>IF(OR('Carga Web Cirugias'!A409="",'Carga Web Cirugias'!M409=""),"",_xludf.ISOWEEKNUM('Carga Web Cirugias'!A409))</f>
        <v/>
      </c>
      <c r="B409" s="123">
        <f>IF('Carga Web Cirugias'!A409="","",'Carga Web Cirugias'!A409)</f>
        <v/>
      </c>
      <c r="C409" s="112">
        <f>IF('Carga Web Cirugias'!M409="","",'Carga Web Cirugias'!M409)</f>
        <v/>
      </c>
      <c r="D409" s="114">
        <f>IFERROR(IF(OR(B409="",C409="",COUNTIFS($B$4:B409,B409,$C$4:C409,C409)&gt;1),"",(_xludf.AGGREGATE(14,6,MOD('Carga Web Cirugias'!$S$4:$S$500,1)/(('Carga Web Cirugias'!$A$4:$A$500=B409)*('Carga Web Cirugias'!$M$4:$M$500=C409)*('Carga Web Cirugias'!$R$4:$R$500&lt;&gt;"")*('Carga Web Cirugias'!$S$4:$S$500&lt;&gt;"")),1)-_xludf.AGGREGATE(15,6,MOD('Carga Web Cirugias'!$R$4:$R$500,1)/(('Carga Web Cirugias'!$A$4:$A$500=B409)*('Carga Web Cirugias'!$M$4:$M$500=C409)*('Carga Web Cirugias'!$R$4:$R$500&lt;&gt;"")*('Carga Web Cirugias'!$S$4:$S$500&lt;&gt;"")),1))*1440),"")</f>
        <v/>
      </c>
      <c r="E409" s="114">
        <f>IF(OR(B409="",C409="",D409=""),"",VLOOKUP(C409,'Horario Pabellones'!$A$4:$D$17,4,FALSE))</f>
        <v/>
      </c>
      <c r="F409" s="124">
        <f>IFERROR(IF(OR(D409="",E409="",E409=0),"",(D409/60)/(E409/60)),"")</f>
        <v/>
      </c>
      <c r="G409" s="112">
        <f>IF(F409="","",IF(F409&gt;=0.75,"Cumple referencia","Bajo referencia"))</f>
        <v/>
      </c>
      <c r="J409" s="94" t="n"/>
      <c r="K409" s="95" t="n"/>
      <c r="L409" s="95" t="n"/>
      <c r="M409" s="96" t="n"/>
      <c r="N409" s="95" t="n"/>
    </row>
    <row r="410" ht="16" customHeight="1" s="151">
      <c r="A410" s="109">
        <f>IF(OR('Carga Web Cirugias'!A410="",'Carga Web Cirugias'!M410=""),"",_xludf.ISOWEEKNUM('Carga Web Cirugias'!A410))</f>
        <v/>
      </c>
      <c r="B410" s="117">
        <f>IF('Carga Web Cirugias'!A410="","",'Carga Web Cirugias'!A410)</f>
        <v/>
      </c>
      <c r="C410" s="109">
        <f>IF('Carga Web Cirugias'!M410="","",'Carga Web Cirugias'!M410)</f>
        <v/>
      </c>
      <c r="D410" s="111">
        <f>IFERROR(IF(OR(B410="",C410="",COUNTIFS($B$4:B410,B410,$C$4:C410,C410)&gt;1),"",(_xludf.AGGREGATE(14,6,MOD('Carga Web Cirugias'!$S$4:$S$500,1)/(('Carga Web Cirugias'!$A$4:$A$500=B410)*('Carga Web Cirugias'!$M$4:$M$500=C410)*('Carga Web Cirugias'!$R$4:$R$500&lt;&gt;"")*('Carga Web Cirugias'!$S$4:$S$500&lt;&gt;"")),1)-_xludf.AGGREGATE(15,6,MOD('Carga Web Cirugias'!$R$4:$R$500,1)/(('Carga Web Cirugias'!$A$4:$A$500=B410)*('Carga Web Cirugias'!$M$4:$M$500=C410)*('Carga Web Cirugias'!$R$4:$R$500&lt;&gt;"")*('Carga Web Cirugias'!$S$4:$S$500&lt;&gt;"")),1))*1440),"")</f>
        <v/>
      </c>
      <c r="E410" s="111">
        <f>IF(OR(B410="",C410="",D410=""),"",VLOOKUP(C410,'Horario Pabellones'!$A$4:$D$17,4,FALSE))</f>
        <v/>
      </c>
      <c r="F410" s="118">
        <f>IFERROR(IF(OR(D410="",E410="",E410=0),"",(D410/60)/(E410/60)),"")</f>
        <v/>
      </c>
      <c r="G410" s="109">
        <f>IF(F410="","",IF(F410&gt;=0.75,"Cumple referencia","Bajo referencia"))</f>
        <v/>
      </c>
      <c r="J410" s="94" t="n"/>
      <c r="K410" s="95" t="n"/>
      <c r="L410" s="95" t="n"/>
      <c r="M410" s="96" t="n"/>
      <c r="N410" s="95" t="n"/>
    </row>
    <row r="411" ht="16" customHeight="1" s="151">
      <c r="A411" s="112">
        <f>IF(OR('Carga Web Cirugias'!A411="",'Carga Web Cirugias'!M411=""),"",_xludf.ISOWEEKNUM('Carga Web Cirugias'!A411))</f>
        <v/>
      </c>
      <c r="B411" s="123">
        <f>IF('Carga Web Cirugias'!A411="","",'Carga Web Cirugias'!A411)</f>
        <v/>
      </c>
      <c r="C411" s="112">
        <f>IF('Carga Web Cirugias'!M411="","",'Carga Web Cirugias'!M411)</f>
        <v/>
      </c>
      <c r="D411" s="114">
        <f>IFERROR(IF(OR(B411="",C411="",COUNTIFS($B$4:B411,B411,$C$4:C411,C411)&gt;1),"",(_xludf.AGGREGATE(14,6,MOD('Carga Web Cirugias'!$S$4:$S$500,1)/(('Carga Web Cirugias'!$A$4:$A$500=B411)*('Carga Web Cirugias'!$M$4:$M$500=C411)*('Carga Web Cirugias'!$R$4:$R$500&lt;&gt;"")*('Carga Web Cirugias'!$S$4:$S$500&lt;&gt;"")),1)-_xludf.AGGREGATE(15,6,MOD('Carga Web Cirugias'!$R$4:$R$500,1)/(('Carga Web Cirugias'!$A$4:$A$500=B411)*('Carga Web Cirugias'!$M$4:$M$500=C411)*('Carga Web Cirugias'!$R$4:$R$500&lt;&gt;"")*('Carga Web Cirugias'!$S$4:$S$500&lt;&gt;"")),1))*1440),"")</f>
        <v/>
      </c>
      <c r="E411" s="114">
        <f>IF(OR(B411="",C411="",D411=""),"",VLOOKUP(C411,'Horario Pabellones'!$A$4:$D$17,4,FALSE))</f>
        <v/>
      </c>
      <c r="F411" s="124">
        <f>IFERROR(IF(OR(D411="",E411="",E411=0),"",(D411/60)/(E411/60)),"")</f>
        <v/>
      </c>
      <c r="G411" s="112">
        <f>IF(F411="","",IF(F411&gt;=0.75,"Cumple referencia","Bajo referencia"))</f>
        <v/>
      </c>
      <c r="J411" s="94" t="n"/>
      <c r="K411" s="95" t="n"/>
      <c r="L411" s="95" t="n"/>
      <c r="M411" s="96" t="n"/>
      <c r="N411" s="95" t="n"/>
    </row>
    <row r="412" ht="16" customHeight="1" s="151">
      <c r="A412" s="109">
        <f>IF(OR('Carga Web Cirugias'!A412="",'Carga Web Cirugias'!M412=""),"",_xludf.ISOWEEKNUM('Carga Web Cirugias'!A412))</f>
        <v/>
      </c>
      <c r="B412" s="117">
        <f>IF('Carga Web Cirugias'!A412="","",'Carga Web Cirugias'!A412)</f>
        <v/>
      </c>
      <c r="C412" s="109">
        <f>IF('Carga Web Cirugias'!M412="","",'Carga Web Cirugias'!M412)</f>
        <v/>
      </c>
      <c r="D412" s="111">
        <f>IFERROR(IF(OR(B412="",C412="",COUNTIFS($B$4:B412,B412,$C$4:C412,C412)&gt;1),"",(_xludf.AGGREGATE(14,6,MOD('Carga Web Cirugias'!$S$4:$S$500,1)/(('Carga Web Cirugias'!$A$4:$A$500=B412)*('Carga Web Cirugias'!$M$4:$M$500=C412)*('Carga Web Cirugias'!$R$4:$R$500&lt;&gt;"")*('Carga Web Cirugias'!$S$4:$S$500&lt;&gt;"")),1)-_xludf.AGGREGATE(15,6,MOD('Carga Web Cirugias'!$R$4:$R$500,1)/(('Carga Web Cirugias'!$A$4:$A$500=B412)*('Carga Web Cirugias'!$M$4:$M$500=C412)*('Carga Web Cirugias'!$R$4:$R$500&lt;&gt;"")*('Carga Web Cirugias'!$S$4:$S$500&lt;&gt;"")),1))*1440),"")</f>
        <v/>
      </c>
      <c r="E412" s="111">
        <f>IF(OR(B412="",C412="",D412=""),"",VLOOKUP(C412,'Horario Pabellones'!$A$4:$D$17,4,FALSE))</f>
        <v/>
      </c>
      <c r="F412" s="118">
        <f>IFERROR(IF(OR(D412="",E412="",E412=0),"",(D412/60)/(E412/60)),"")</f>
        <v/>
      </c>
      <c r="G412" s="109">
        <f>IF(F412="","",IF(F412&gt;=0.75,"Cumple referencia","Bajo referencia"))</f>
        <v/>
      </c>
      <c r="J412" s="94" t="n"/>
      <c r="K412" s="95" t="n"/>
      <c r="L412" s="95" t="n"/>
      <c r="M412" s="96" t="n"/>
      <c r="N412" s="95" t="n"/>
    </row>
    <row r="413" ht="16" customHeight="1" s="151">
      <c r="A413" s="112">
        <f>IF(OR('Carga Web Cirugias'!A413="",'Carga Web Cirugias'!M413=""),"",_xludf.ISOWEEKNUM('Carga Web Cirugias'!A413))</f>
        <v/>
      </c>
      <c r="B413" s="123">
        <f>IF('Carga Web Cirugias'!A413="","",'Carga Web Cirugias'!A413)</f>
        <v/>
      </c>
      <c r="C413" s="112">
        <f>IF('Carga Web Cirugias'!M413="","",'Carga Web Cirugias'!M413)</f>
        <v/>
      </c>
      <c r="D413" s="114">
        <f>IFERROR(IF(OR(B413="",C413="",COUNTIFS($B$4:B413,B413,$C$4:C413,C413)&gt;1),"",(_xludf.AGGREGATE(14,6,MOD('Carga Web Cirugias'!$S$4:$S$500,1)/(('Carga Web Cirugias'!$A$4:$A$500=B413)*('Carga Web Cirugias'!$M$4:$M$500=C413)*('Carga Web Cirugias'!$R$4:$R$500&lt;&gt;"")*('Carga Web Cirugias'!$S$4:$S$500&lt;&gt;"")),1)-_xludf.AGGREGATE(15,6,MOD('Carga Web Cirugias'!$R$4:$R$500,1)/(('Carga Web Cirugias'!$A$4:$A$500=B413)*('Carga Web Cirugias'!$M$4:$M$500=C413)*('Carga Web Cirugias'!$R$4:$R$500&lt;&gt;"")*('Carga Web Cirugias'!$S$4:$S$500&lt;&gt;"")),1))*1440),"")</f>
        <v/>
      </c>
      <c r="E413" s="114">
        <f>IF(OR(B413="",C413="",D413=""),"",VLOOKUP(C413,'Horario Pabellones'!$A$4:$D$17,4,FALSE))</f>
        <v/>
      </c>
      <c r="F413" s="124">
        <f>IFERROR(IF(OR(D413="",E413="",E413=0),"",(D413/60)/(E413/60)),"")</f>
        <v/>
      </c>
      <c r="G413" s="112">
        <f>IF(F413="","",IF(F413&gt;=0.75,"Cumple referencia","Bajo referencia"))</f>
        <v/>
      </c>
      <c r="J413" s="94" t="n"/>
      <c r="K413" s="95" t="n"/>
      <c r="L413" s="95" t="n"/>
      <c r="M413" s="96" t="n"/>
      <c r="N413" s="95" t="n"/>
    </row>
    <row r="414" ht="16" customHeight="1" s="151">
      <c r="A414" s="109">
        <f>IF(OR('Carga Web Cirugias'!A414="",'Carga Web Cirugias'!M414=""),"",_xludf.ISOWEEKNUM('Carga Web Cirugias'!A414))</f>
        <v/>
      </c>
      <c r="B414" s="117">
        <f>IF('Carga Web Cirugias'!A414="","",'Carga Web Cirugias'!A414)</f>
        <v/>
      </c>
      <c r="C414" s="109">
        <f>IF('Carga Web Cirugias'!M414="","",'Carga Web Cirugias'!M414)</f>
        <v/>
      </c>
      <c r="D414" s="111">
        <f>IFERROR(IF(OR(B414="",C414="",COUNTIFS($B$4:B414,B414,$C$4:C414,C414)&gt;1),"",(_xludf.AGGREGATE(14,6,MOD('Carga Web Cirugias'!$S$4:$S$500,1)/(('Carga Web Cirugias'!$A$4:$A$500=B414)*('Carga Web Cirugias'!$M$4:$M$500=C414)*('Carga Web Cirugias'!$R$4:$R$500&lt;&gt;"")*('Carga Web Cirugias'!$S$4:$S$500&lt;&gt;"")),1)-_xludf.AGGREGATE(15,6,MOD('Carga Web Cirugias'!$R$4:$R$500,1)/(('Carga Web Cirugias'!$A$4:$A$500=B414)*('Carga Web Cirugias'!$M$4:$M$500=C414)*('Carga Web Cirugias'!$R$4:$R$500&lt;&gt;"")*('Carga Web Cirugias'!$S$4:$S$500&lt;&gt;"")),1))*1440),"")</f>
        <v/>
      </c>
      <c r="E414" s="111">
        <f>IF(OR(B414="",C414="",D414=""),"",VLOOKUP(C414,'Horario Pabellones'!$A$4:$D$17,4,FALSE))</f>
        <v/>
      </c>
      <c r="F414" s="118">
        <f>IFERROR(IF(OR(D414="",E414="",E414=0),"",(D414/60)/(E414/60)),"")</f>
        <v/>
      </c>
      <c r="G414" s="109">
        <f>IF(F414="","",IF(F414&gt;=0.75,"Cumple referencia","Bajo referencia"))</f>
        <v/>
      </c>
      <c r="J414" s="94" t="n"/>
      <c r="K414" s="95" t="n"/>
      <c r="L414" s="95" t="n"/>
      <c r="M414" s="96" t="n"/>
      <c r="N414" s="95" t="n"/>
    </row>
    <row r="415" ht="16" customHeight="1" s="151">
      <c r="A415" s="112">
        <f>IF(OR('Carga Web Cirugias'!A415="",'Carga Web Cirugias'!M415=""),"",_xludf.ISOWEEKNUM('Carga Web Cirugias'!A415))</f>
        <v/>
      </c>
      <c r="B415" s="123">
        <f>IF('Carga Web Cirugias'!A415="","",'Carga Web Cirugias'!A415)</f>
        <v/>
      </c>
      <c r="C415" s="112">
        <f>IF('Carga Web Cirugias'!M415="","",'Carga Web Cirugias'!M415)</f>
        <v/>
      </c>
      <c r="D415" s="114">
        <f>IFERROR(IF(OR(B415="",C415="",COUNTIFS($B$4:B415,B415,$C$4:C415,C415)&gt;1),"",(_xludf.AGGREGATE(14,6,MOD('Carga Web Cirugias'!$S$4:$S$500,1)/(('Carga Web Cirugias'!$A$4:$A$500=B415)*('Carga Web Cirugias'!$M$4:$M$500=C415)*('Carga Web Cirugias'!$R$4:$R$500&lt;&gt;"")*('Carga Web Cirugias'!$S$4:$S$500&lt;&gt;"")),1)-_xludf.AGGREGATE(15,6,MOD('Carga Web Cirugias'!$R$4:$R$500,1)/(('Carga Web Cirugias'!$A$4:$A$500=B415)*('Carga Web Cirugias'!$M$4:$M$500=C415)*('Carga Web Cirugias'!$R$4:$R$500&lt;&gt;"")*('Carga Web Cirugias'!$S$4:$S$500&lt;&gt;"")),1))*1440),"")</f>
        <v/>
      </c>
      <c r="E415" s="114">
        <f>IF(OR(B415="",C415="",D415=""),"",VLOOKUP(C415,'Horario Pabellones'!$A$4:$D$17,4,FALSE))</f>
        <v/>
      </c>
      <c r="F415" s="124">
        <f>IFERROR(IF(OR(D415="",E415="",E415=0),"",(D415/60)/(E415/60)),"")</f>
        <v/>
      </c>
      <c r="G415" s="112">
        <f>IF(F415="","",IF(F415&gt;=0.75,"Cumple referencia","Bajo referencia"))</f>
        <v/>
      </c>
      <c r="J415" s="94" t="n"/>
      <c r="K415" s="95" t="n"/>
      <c r="L415" s="95" t="n"/>
      <c r="M415" s="96" t="n"/>
      <c r="N415" s="95" t="n"/>
    </row>
    <row r="416" ht="16" customHeight="1" s="151">
      <c r="A416" s="109">
        <f>IF(OR('Carga Web Cirugias'!A416="",'Carga Web Cirugias'!M416=""),"",_xludf.ISOWEEKNUM('Carga Web Cirugias'!A416))</f>
        <v/>
      </c>
      <c r="B416" s="117">
        <f>IF('Carga Web Cirugias'!A416="","",'Carga Web Cirugias'!A416)</f>
        <v/>
      </c>
      <c r="C416" s="109">
        <f>IF('Carga Web Cirugias'!M416="","",'Carga Web Cirugias'!M416)</f>
        <v/>
      </c>
      <c r="D416" s="111">
        <f>IFERROR(IF(OR(B416="",C416="",COUNTIFS($B$4:B416,B416,$C$4:C416,C416)&gt;1),"",(_xludf.AGGREGATE(14,6,MOD('Carga Web Cirugias'!$S$4:$S$500,1)/(('Carga Web Cirugias'!$A$4:$A$500=B416)*('Carga Web Cirugias'!$M$4:$M$500=C416)*('Carga Web Cirugias'!$R$4:$R$500&lt;&gt;"")*('Carga Web Cirugias'!$S$4:$S$500&lt;&gt;"")),1)-_xludf.AGGREGATE(15,6,MOD('Carga Web Cirugias'!$R$4:$R$500,1)/(('Carga Web Cirugias'!$A$4:$A$500=B416)*('Carga Web Cirugias'!$M$4:$M$500=C416)*('Carga Web Cirugias'!$R$4:$R$500&lt;&gt;"")*('Carga Web Cirugias'!$S$4:$S$500&lt;&gt;"")),1))*1440),"")</f>
        <v/>
      </c>
      <c r="E416" s="111">
        <f>IF(OR(B416="",C416="",D416=""),"",VLOOKUP(C416,'Horario Pabellones'!$A$4:$D$17,4,FALSE))</f>
        <v/>
      </c>
      <c r="F416" s="118">
        <f>IFERROR(IF(OR(D416="",E416="",E416=0),"",(D416/60)/(E416/60)),"")</f>
        <v/>
      </c>
      <c r="G416" s="109">
        <f>IF(F416="","",IF(F416&gt;=0.75,"Cumple referencia","Bajo referencia"))</f>
        <v/>
      </c>
      <c r="J416" s="94" t="n"/>
      <c r="K416" s="95" t="n"/>
      <c r="L416" s="95" t="n"/>
      <c r="M416" s="96" t="n"/>
      <c r="N416" s="95" t="n"/>
    </row>
    <row r="417" ht="16" customHeight="1" s="151">
      <c r="A417" s="112">
        <f>IF(OR('Carga Web Cirugias'!A417="",'Carga Web Cirugias'!M417=""),"",_xludf.ISOWEEKNUM('Carga Web Cirugias'!A417))</f>
        <v/>
      </c>
      <c r="B417" s="123">
        <f>IF('Carga Web Cirugias'!A417="","",'Carga Web Cirugias'!A417)</f>
        <v/>
      </c>
      <c r="C417" s="112">
        <f>IF('Carga Web Cirugias'!M417="","",'Carga Web Cirugias'!M417)</f>
        <v/>
      </c>
      <c r="D417" s="114">
        <f>IFERROR(IF(OR(B417="",C417="",COUNTIFS($B$4:B417,B417,$C$4:C417,C417)&gt;1),"",(_xludf.AGGREGATE(14,6,MOD('Carga Web Cirugias'!$S$4:$S$500,1)/(('Carga Web Cirugias'!$A$4:$A$500=B417)*('Carga Web Cirugias'!$M$4:$M$500=C417)*('Carga Web Cirugias'!$R$4:$R$500&lt;&gt;"")*('Carga Web Cirugias'!$S$4:$S$500&lt;&gt;"")),1)-_xludf.AGGREGATE(15,6,MOD('Carga Web Cirugias'!$R$4:$R$500,1)/(('Carga Web Cirugias'!$A$4:$A$500=B417)*('Carga Web Cirugias'!$M$4:$M$500=C417)*('Carga Web Cirugias'!$R$4:$R$500&lt;&gt;"")*('Carga Web Cirugias'!$S$4:$S$500&lt;&gt;"")),1))*1440),"")</f>
        <v/>
      </c>
      <c r="E417" s="114">
        <f>IF(OR(B417="",C417="",D417=""),"",VLOOKUP(C417,'Horario Pabellones'!$A$4:$D$17,4,FALSE))</f>
        <v/>
      </c>
      <c r="F417" s="124">
        <f>IFERROR(IF(OR(D417="",E417="",E417=0),"",(D417/60)/(E417/60)),"")</f>
        <v/>
      </c>
      <c r="G417" s="112">
        <f>IF(F417="","",IF(F417&gt;=0.75,"Cumple referencia","Bajo referencia"))</f>
        <v/>
      </c>
      <c r="J417" s="94" t="n"/>
      <c r="K417" s="95" t="n"/>
      <c r="L417" s="95" t="n"/>
      <c r="M417" s="96" t="n"/>
      <c r="N417" s="95" t="n"/>
    </row>
    <row r="418" ht="16" customHeight="1" s="151">
      <c r="A418" s="109">
        <f>IF(OR('Carga Web Cirugias'!A418="",'Carga Web Cirugias'!M418=""),"",_xludf.ISOWEEKNUM('Carga Web Cirugias'!A418))</f>
        <v/>
      </c>
      <c r="B418" s="117">
        <f>IF('Carga Web Cirugias'!A418="","",'Carga Web Cirugias'!A418)</f>
        <v/>
      </c>
      <c r="C418" s="109">
        <f>IF('Carga Web Cirugias'!M418="","",'Carga Web Cirugias'!M418)</f>
        <v/>
      </c>
      <c r="D418" s="111">
        <f>IFERROR(IF(OR(B418="",C418="",COUNTIFS($B$4:B418,B418,$C$4:C418,C418)&gt;1),"",(_xludf.AGGREGATE(14,6,MOD('Carga Web Cirugias'!$S$4:$S$500,1)/(('Carga Web Cirugias'!$A$4:$A$500=B418)*('Carga Web Cirugias'!$M$4:$M$500=C418)*('Carga Web Cirugias'!$R$4:$R$500&lt;&gt;"")*('Carga Web Cirugias'!$S$4:$S$500&lt;&gt;"")),1)-_xludf.AGGREGATE(15,6,MOD('Carga Web Cirugias'!$R$4:$R$500,1)/(('Carga Web Cirugias'!$A$4:$A$500=B418)*('Carga Web Cirugias'!$M$4:$M$500=C418)*('Carga Web Cirugias'!$R$4:$R$500&lt;&gt;"")*('Carga Web Cirugias'!$S$4:$S$500&lt;&gt;"")),1))*1440),"")</f>
        <v/>
      </c>
      <c r="E418" s="111">
        <f>IF(OR(B418="",C418="",D418=""),"",VLOOKUP(C418,'Horario Pabellones'!$A$4:$D$17,4,FALSE))</f>
        <v/>
      </c>
      <c r="F418" s="118">
        <f>IFERROR(IF(OR(D418="",E418="",E418=0),"",(D418/60)/(E418/60)),"")</f>
        <v/>
      </c>
      <c r="G418" s="109">
        <f>IF(F418="","",IF(F418&gt;=0.75,"Cumple referencia","Bajo referencia"))</f>
        <v/>
      </c>
      <c r="J418" s="94" t="n"/>
      <c r="K418" s="95" t="n"/>
      <c r="L418" s="95" t="n"/>
      <c r="M418" s="96" t="n"/>
      <c r="N418" s="95" t="n"/>
    </row>
    <row r="419" ht="16" customHeight="1" s="151">
      <c r="A419" s="112">
        <f>IF(OR('Carga Web Cirugias'!A419="",'Carga Web Cirugias'!M419=""),"",_xludf.ISOWEEKNUM('Carga Web Cirugias'!A419))</f>
        <v/>
      </c>
      <c r="B419" s="123">
        <f>IF('Carga Web Cirugias'!A419="","",'Carga Web Cirugias'!A419)</f>
        <v/>
      </c>
      <c r="C419" s="112">
        <f>IF('Carga Web Cirugias'!M419="","",'Carga Web Cirugias'!M419)</f>
        <v/>
      </c>
      <c r="D419" s="114">
        <f>IFERROR(IF(OR(B419="",C419="",COUNTIFS($B$4:B419,B419,$C$4:C419,C419)&gt;1),"",(_xludf.AGGREGATE(14,6,MOD('Carga Web Cirugias'!$S$4:$S$500,1)/(('Carga Web Cirugias'!$A$4:$A$500=B419)*('Carga Web Cirugias'!$M$4:$M$500=C419)*('Carga Web Cirugias'!$R$4:$R$500&lt;&gt;"")*('Carga Web Cirugias'!$S$4:$S$500&lt;&gt;"")),1)-_xludf.AGGREGATE(15,6,MOD('Carga Web Cirugias'!$R$4:$R$500,1)/(('Carga Web Cirugias'!$A$4:$A$500=B419)*('Carga Web Cirugias'!$M$4:$M$500=C419)*('Carga Web Cirugias'!$R$4:$R$500&lt;&gt;"")*('Carga Web Cirugias'!$S$4:$S$500&lt;&gt;"")),1))*1440),"")</f>
        <v/>
      </c>
      <c r="E419" s="114">
        <f>IF(OR(B419="",C419="",D419=""),"",VLOOKUP(C419,'Horario Pabellones'!$A$4:$D$17,4,FALSE))</f>
        <v/>
      </c>
      <c r="F419" s="124">
        <f>IFERROR(IF(OR(D419="",E419="",E419=0),"",(D419/60)/(E419/60)),"")</f>
        <v/>
      </c>
      <c r="G419" s="112">
        <f>IF(F419="","",IF(F419&gt;=0.75,"Cumple referencia","Bajo referencia"))</f>
        <v/>
      </c>
      <c r="J419" s="94" t="n"/>
      <c r="K419" s="95" t="n"/>
      <c r="L419" s="95" t="n"/>
      <c r="M419" s="96" t="n"/>
      <c r="N419" s="95" t="n"/>
    </row>
    <row r="420" ht="16" customHeight="1" s="151">
      <c r="A420" s="109">
        <f>IF(OR('Carga Web Cirugias'!A420="",'Carga Web Cirugias'!M420=""),"",_xludf.ISOWEEKNUM('Carga Web Cirugias'!A420))</f>
        <v/>
      </c>
      <c r="B420" s="117">
        <f>IF('Carga Web Cirugias'!A420="","",'Carga Web Cirugias'!A420)</f>
        <v/>
      </c>
      <c r="C420" s="109">
        <f>IF('Carga Web Cirugias'!M420="","",'Carga Web Cirugias'!M420)</f>
        <v/>
      </c>
      <c r="D420" s="111">
        <f>IFERROR(IF(OR(B420="",C420="",COUNTIFS($B$4:B420,B420,$C$4:C420,C420)&gt;1),"",(_xludf.AGGREGATE(14,6,MOD('Carga Web Cirugias'!$S$4:$S$500,1)/(('Carga Web Cirugias'!$A$4:$A$500=B420)*('Carga Web Cirugias'!$M$4:$M$500=C420)*('Carga Web Cirugias'!$R$4:$R$500&lt;&gt;"")*('Carga Web Cirugias'!$S$4:$S$500&lt;&gt;"")),1)-_xludf.AGGREGATE(15,6,MOD('Carga Web Cirugias'!$R$4:$R$500,1)/(('Carga Web Cirugias'!$A$4:$A$500=B420)*('Carga Web Cirugias'!$M$4:$M$500=C420)*('Carga Web Cirugias'!$R$4:$R$500&lt;&gt;"")*('Carga Web Cirugias'!$S$4:$S$500&lt;&gt;"")),1))*1440),"")</f>
        <v/>
      </c>
      <c r="E420" s="111">
        <f>IF(OR(B420="",C420="",D420=""),"",VLOOKUP(C420,'Horario Pabellones'!$A$4:$D$17,4,FALSE))</f>
        <v/>
      </c>
      <c r="F420" s="118">
        <f>IFERROR(IF(OR(D420="",E420="",E420=0),"",(D420/60)/(E420/60)),"")</f>
        <v/>
      </c>
      <c r="G420" s="109">
        <f>IF(F420="","",IF(F420&gt;=0.75,"Cumple referencia","Bajo referencia"))</f>
        <v/>
      </c>
      <c r="J420" s="94" t="n"/>
      <c r="K420" s="95" t="n"/>
      <c r="L420" s="95" t="n"/>
      <c r="M420" s="96" t="n"/>
      <c r="N420" s="95" t="n"/>
    </row>
    <row r="421" ht="16" customHeight="1" s="151">
      <c r="A421" s="112">
        <f>IF(OR('Carga Web Cirugias'!A421="",'Carga Web Cirugias'!M421=""),"",_xludf.ISOWEEKNUM('Carga Web Cirugias'!A421))</f>
        <v/>
      </c>
      <c r="B421" s="123">
        <f>IF('Carga Web Cirugias'!A421="","",'Carga Web Cirugias'!A421)</f>
        <v/>
      </c>
      <c r="C421" s="112">
        <f>IF('Carga Web Cirugias'!M421="","",'Carga Web Cirugias'!M421)</f>
        <v/>
      </c>
      <c r="D421" s="114">
        <f>IFERROR(IF(OR(B421="",C421="",COUNTIFS($B$4:B421,B421,$C$4:C421,C421)&gt;1),"",(_xludf.AGGREGATE(14,6,MOD('Carga Web Cirugias'!$S$4:$S$500,1)/(('Carga Web Cirugias'!$A$4:$A$500=B421)*('Carga Web Cirugias'!$M$4:$M$500=C421)*('Carga Web Cirugias'!$R$4:$R$500&lt;&gt;"")*('Carga Web Cirugias'!$S$4:$S$500&lt;&gt;"")),1)-_xludf.AGGREGATE(15,6,MOD('Carga Web Cirugias'!$R$4:$R$500,1)/(('Carga Web Cirugias'!$A$4:$A$500=B421)*('Carga Web Cirugias'!$M$4:$M$500=C421)*('Carga Web Cirugias'!$R$4:$R$500&lt;&gt;"")*('Carga Web Cirugias'!$S$4:$S$500&lt;&gt;"")),1))*1440),"")</f>
        <v/>
      </c>
      <c r="E421" s="114">
        <f>IF(OR(B421="",C421="",D421=""),"",VLOOKUP(C421,'Horario Pabellones'!$A$4:$D$17,4,FALSE))</f>
        <v/>
      </c>
      <c r="F421" s="124">
        <f>IFERROR(IF(OR(D421="",E421="",E421=0),"",(D421/60)/(E421/60)),"")</f>
        <v/>
      </c>
      <c r="G421" s="112">
        <f>IF(F421="","",IF(F421&gt;=0.75,"Cumple referencia","Bajo referencia"))</f>
        <v/>
      </c>
      <c r="J421" s="94" t="n"/>
      <c r="K421" s="95" t="n"/>
      <c r="L421" s="95" t="n"/>
      <c r="M421" s="96" t="n"/>
      <c r="N421" s="95" t="n"/>
    </row>
    <row r="422" ht="16" customHeight="1" s="151">
      <c r="A422" s="109">
        <f>IF(OR('Carga Web Cirugias'!A422="",'Carga Web Cirugias'!M422=""),"",_xludf.ISOWEEKNUM('Carga Web Cirugias'!A422))</f>
        <v/>
      </c>
      <c r="B422" s="117">
        <f>IF('Carga Web Cirugias'!A422="","",'Carga Web Cirugias'!A422)</f>
        <v/>
      </c>
      <c r="C422" s="109">
        <f>IF('Carga Web Cirugias'!M422="","",'Carga Web Cirugias'!M422)</f>
        <v/>
      </c>
      <c r="D422" s="111">
        <f>IFERROR(IF(OR(B422="",C422="",COUNTIFS($B$4:B422,B422,$C$4:C422,C422)&gt;1),"",(_xludf.AGGREGATE(14,6,MOD('Carga Web Cirugias'!$S$4:$S$500,1)/(('Carga Web Cirugias'!$A$4:$A$500=B422)*('Carga Web Cirugias'!$M$4:$M$500=C422)*('Carga Web Cirugias'!$R$4:$R$500&lt;&gt;"")*('Carga Web Cirugias'!$S$4:$S$500&lt;&gt;"")),1)-_xludf.AGGREGATE(15,6,MOD('Carga Web Cirugias'!$R$4:$R$500,1)/(('Carga Web Cirugias'!$A$4:$A$500=B422)*('Carga Web Cirugias'!$M$4:$M$500=C422)*('Carga Web Cirugias'!$R$4:$R$500&lt;&gt;"")*('Carga Web Cirugias'!$S$4:$S$500&lt;&gt;"")),1))*1440),"")</f>
        <v/>
      </c>
      <c r="E422" s="111">
        <f>IF(OR(B422="",C422="",D422=""),"",VLOOKUP(C422,'Horario Pabellones'!$A$4:$D$17,4,FALSE))</f>
        <v/>
      </c>
      <c r="F422" s="118">
        <f>IFERROR(IF(OR(D422="",E422="",E422=0),"",(D422/60)/(E422/60)),"")</f>
        <v/>
      </c>
      <c r="G422" s="109">
        <f>IF(F422="","",IF(F422&gt;=0.75,"Cumple referencia","Bajo referencia"))</f>
        <v/>
      </c>
      <c r="J422" s="94" t="n"/>
      <c r="K422" s="95" t="n"/>
      <c r="L422" s="95" t="n"/>
      <c r="M422" s="96" t="n"/>
      <c r="N422" s="95" t="n"/>
    </row>
    <row r="423" ht="16" customHeight="1" s="151">
      <c r="A423" s="112">
        <f>IF(OR('Carga Web Cirugias'!A423="",'Carga Web Cirugias'!M423=""),"",_xludf.ISOWEEKNUM('Carga Web Cirugias'!A423))</f>
        <v/>
      </c>
      <c r="B423" s="123">
        <f>IF('Carga Web Cirugias'!A423="","",'Carga Web Cirugias'!A423)</f>
        <v/>
      </c>
      <c r="C423" s="112">
        <f>IF('Carga Web Cirugias'!M423="","",'Carga Web Cirugias'!M423)</f>
        <v/>
      </c>
      <c r="D423" s="114">
        <f>IFERROR(IF(OR(B423="",C423="",COUNTIFS($B$4:B423,B423,$C$4:C423,C423)&gt;1),"",(_xludf.AGGREGATE(14,6,MOD('Carga Web Cirugias'!$S$4:$S$500,1)/(('Carga Web Cirugias'!$A$4:$A$500=B423)*('Carga Web Cirugias'!$M$4:$M$500=C423)*('Carga Web Cirugias'!$R$4:$R$500&lt;&gt;"")*('Carga Web Cirugias'!$S$4:$S$500&lt;&gt;"")),1)-_xludf.AGGREGATE(15,6,MOD('Carga Web Cirugias'!$R$4:$R$500,1)/(('Carga Web Cirugias'!$A$4:$A$500=B423)*('Carga Web Cirugias'!$M$4:$M$500=C423)*('Carga Web Cirugias'!$R$4:$R$500&lt;&gt;"")*('Carga Web Cirugias'!$S$4:$S$500&lt;&gt;"")),1))*1440),"")</f>
        <v/>
      </c>
      <c r="E423" s="114">
        <f>IF(OR(B423="",C423="",D423=""),"",VLOOKUP(C423,'Horario Pabellones'!$A$4:$D$17,4,FALSE))</f>
        <v/>
      </c>
      <c r="F423" s="124">
        <f>IFERROR(IF(OR(D423="",E423="",E423=0),"",(D423/60)/(E423/60)),"")</f>
        <v/>
      </c>
      <c r="G423" s="112">
        <f>IF(F423="","",IF(F423&gt;=0.75,"Cumple referencia","Bajo referencia"))</f>
        <v/>
      </c>
      <c r="J423" s="94" t="n"/>
      <c r="K423" s="95" t="n"/>
      <c r="L423" s="95" t="n"/>
      <c r="M423" s="96" t="n"/>
      <c r="N423" s="95" t="n"/>
    </row>
    <row r="424" ht="16" customHeight="1" s="151">
      <c r="A424" s="109">
        <f>IF(OR('Carga Web Cirugias'!A424="",'Carga Web Cirugias'!M424=""),"",_xludf.ISOWEEKNUM('Carga Web Cirugias'!A424))</f>
        <v/>
      </c>
      <c r="B424" s="117">
        <f>IF('Carga Web Cirugias'!A424="","",'Carga Web Cirugias'!A424)</f>
        <v/>
      </c>
      <c r="C424" s="109">
        <f>IF('Carga Web Cirugias'!M424="","",'Carga Web Cirugias'!M424)</f>
        <v/>
      </c>
      <c r="D424" s="111">
        <f>IFERROR(IF(OR(B424="",C424="",COUNTIFS($B$4:B424,B424,$C$4:C424,C424)&gt;1),"",(_xludf.AGGREGATE(14,6,MOD('Carga Web Cirugias'!$S$4:$S$500,1)/(('Carga Web Cirugias'!$A$4:$A$500=B424)*('Carga Web Cirugias'!$M$4:$M$500=C424)*('Carga Web Cirugias'!$R$4:$R$500&lt;&gt;"")*('Carga Web Cirugias'!$S$4:$S$500&lt;&gt;"")),1)-_xludf.AGGREGATE(15,6,MOD('Carga Web Cirugias'!$R$4:$R$500,1)/(('Carga Web Cirugias'!$A$4:$A$500=B424)*('Carga Web Cirugias'!$M$4:$M$500=C424)*('Carga Web Cirugias'!$R$4:$R$500&lt;&gt;"")*('Carga Web Cirugias'!$S$4:$S$500&lt;&gt;"")),1))*1440),"")</f>
        <v/>
      </c>
      <c r="E424" s="111">
        <f>IF(OR(B424="",C424="",D424=""),"",VLOOKUP(C424,'Horario Pabellones'!$A$4:$D$17,4,FALSE))</f>
        <v/>
      </c>
      <c r="F424" s="118">
        <f>IFERROR(IF(OR(D424="",E424="",E424=0),"",(D424/60)/(E424/60)),"")</f>
        <v/>
      </c>
      <c r="G424" s="109">
        <f>IF(F424="","",IF(F424&gt;=0.75,"Cumple referencia","Bajo referencia"))</f>
        <v/>
      </c>
      <c r="J424" s="94" t="n"/>
      <c r="K424" s="95" t="n"/>
      <c r="L424" s="95" t="n"/>
      <c r="M424" s="96" t="n"/>
      <c r="N424" s="95" t="n"/>
    </row>
    <row r="425" ht="16" customHeight="1" s="151">
      <c r="A425" s="112">
        <f>IF(OR('Carga Web Cirugias'!A425="",'Carga Web Cirugias'!M425=""),"",_xludf.ISOWEEKNUM('Carga Web Cirugias'!A425))</f>
        <v/>
      </c>
      <c r="B425" s="123">
        <f>IF('Carga Web Cirugias'!A425="","",'Carga Web Cirugias'!A425)</f>
        <v/>
      </c>
      <c r="C425" s="112">
        <f>IF('Carga Web Cirugias'!M425="","",'Carga Web Cirugias'!M425)</f>
        <v/>
      </c>
      <c r="D425" s="114">
        <f>IFERROR(IF(OR(B425="",C425="",COUNTIFS($B$4:B425,B425,$C$4:C425,C425)&gt;1),"",(_xludf.AGGREGATE(14,6,MOD('Carga Web Cirugias'!$S$4:$S$500,1)/(('Carga Web Cirugias'!$A$4:$A$500=B425)*('Carga Web Cirugias'!$M$4:$M$500=C425)*('Carga Web Cirugias'!$R$4:$R$500&lt;&gt;"")*('Carga Web Cirugias'!$S$4:$S$500&lt;&gt;"")),1)-_xludf.AGGREGATE(15,6,MOD('Carga Web Cirugias'!$R$4:$R$500,1)/(('Carga Web Cirugias'!$A$4:$A$500=B425)*('Carga Web Cirugias'!$M$4:$M$500=C425)*('Carga Web Cirugias'!$R$4:$R$500&lt;&gt;"")*('Carga Web Cirugias'!$S$4:$S$500&lt;&gt;"")),1))*1440),"")</f>
        <v/>
      </c>
      <c r="E425" s="114">
        <f>IF(OR(B425="",C425="",D425=""),"",VLOOKUP(C425,'Horario Pabellones'!$A$4:$D$17,4,FALSE))</f>
        <v/>
      </c>
      <c r="F425" s="124">
        <f>IFERROR(IF(OR(D425="",E425="",E425=0),"",(D425/60)/(E425/60)),"")</f>
        <v/>
      </c>
      <c r="G425" s="112">
        <f>IF(F425="","",IF(F425&gt;=0.75,"Cumple referencia","Bajo referencia"))</f>
        <v/>
      </c>
      <c r="J425" s="94" t="n"/>
      <c r="K425" s="95" t="n"/>
      <c r="L425" s="95" t="n"/>
      <c r="M425" s="96" t="n"/>
      <c r="N425" s="95" t="n"/>
    </row>
    <row r="426" ht="16" customHeight="1" s="151">
      <c r="A426" s="109">
        <f>IF(OR('Carga Web Cirugias'!A426="",'Carga Web Cirugias'!M426=""),"",_xludf.ISOWEEKNUM('Carga Web Cirugias'!A426))</f>
        <v/>
      </c>
      <c r="B426" s="117">
        <f>IF('Carga Web Cirugias'!A426="","",'Carga Web Cirugias'!A426)</f>
        <v/>
      </c>
      <c r="C426" s="109">
        <f>IF('Carga Web Cirugias'!M426="","",'Carga Web Cirugias'!M426)</f>
        <v/>
      </c>
      <c r="D426" s="111">
        <f>IFERROR(IF(OR(B426="",C426="",COUNTIFS($B$4:B426,B426,$C$4:C426,C426)&gt;1),"",(_xludf.AGGREGATE(14,6,MOD('Carga Web Cirugias'!$S$4:$S$500,1)/(('Carga Web Cirugias'!$A$4:$A$500=B426)*('Carga Web Cirugias'!$M$4:$M$500=C426)*('Carga Web Cirugias'!$R$4:$R$500&lt;&gt;"")*('Carga Web Cirugias'!$S$4:$S$500&lt;&gt;"")),1)-_xludf.AGGREGATE(15,6,MOD('Carga Web Cirugias'!$R$4:$R$500,1)/(('Carga Web Cirugias'!$A$4:$A$500=B426)*('Carga Web Cirugias'!$M$4:$M$500=C426)*('Carga Web Cirugias'!$R$4:$R$500&lt;&gt;"")*('Carga Web Cirugias'!$S$4:$S$500&lt;&gt;"")),1))*1440),"")</f>
        <v/>
      </c>
      <c r="E426" s="111">
        <f>IF(OR(B426="",C426="",D426=""),"",VLOOKUP(C426,'Horario Pabellones'!$A$4:$D$17,4,FALSE))</f>
        <v/>
      </c>
      <c r="F426" s="118">
        <f>IFERROR(IF(OR(D426="",E426="",E426=0),"",(D426/60)/(E426/60)),"")</f>
        <v/>
      </c>
      <c r="G426" s="109">
        <f>IF(F426="","",IF(F426&gt;=0.75,"Cumple referencia","Bajo referencia"))</f>
        <v/>
      </c>
      <c r="J426" s="94" t="n"/>
      <c r="K426" s="95" t="n"/>
      <c r="L426" s="95" t="n"/>
      <c r="M426" s="96" t="n"/>
      <c r="N426" s="95" t="n"/>
    </row>
    <row r="427" ht="16" customHeight="1" s="151">
      <c r="A427" s="112">
        <f>IF(OR('Carga Web Cirugias'!A427="",'Carga Web Cirugias'!M427=""),"",_xludf.ISOWEEKNUM('Carga Web Cirugias'!A427))</f>
        <v/>
      </c>
      <c r="B427" s="123">
        <f>IF('Carga Web Cirugias'!A427="","",'Carga Web Cirugias'!A427)</f>
        <v/>
      </c>
      <c r="C427" s="112">
        <f>IF('Carga Web Cirugias'!M427="","",'Carga Web Cirugias'!M427)</f>
        <v/>
      </c>
      <c r="D427" s="114">
        <f>IFERROR(IF(OR(B427="",C427="",COUNTIFS($B$4:B427,B427,$C$4:C427,C427)&gt;1),"",(_xludf.AGGREGATE(14,6,MOD('Carga Web Cirugias'!$S$4:$S$500,1)/(('Carga Web Cirugias'!$A$4:$A$500=B427)*('Carga Web Cirugias'!$M$4:$M$500=C427)*('Carga Web Cirugias'!$R$4:$R$500&lt;&gt;"")*('Carga Web Cirugias'!$S$4:$S$500&lt;&gt;"")),1)-_xludf.AGGREGATE(15,6,MOD('Carga Web Cirugias'!$R$4:$R$500,1)/(('Carga Web Cirugias'!$A$4:$A$500=B427)*('Carga Web Cirugias'!$M$4:$M$500=C427)*('Carga Web Cirugias'!$R$4:$R$500&lt;&gt;"")*('Carga Web Cirugias'!$S$4:$S$500&lt;&gt;"")),1))*1440),"")</f>
        <v/>
      </c>
      <c r="E427" s="114">
        <f>IF(OR(B427="",C427="",D427=""),"",VLOOKUP(C427,'Horario Pabellones'!$A$4:$D$17,4,FALSE))</f>
        <v/>
      </c>
      <c r="F427" s="124">
        <f>IFERROR(IF(OR(D427="",E427="",E427=0),"",(D427/60)/(E427/60)),"")</f>
        <v/>
      </c>
      <c r="G427" s="112">
        <f>IF(F427="","",IF(F427&gt;=0.75,"Cumple referencia","Bajo referencia"))</f>
        <v/>
      </c>
      <c r="J427" s="94" t="n"/>
      <c r="K427" s="95" t="n"/>
      <c r="L427" s="95" t="n"/>
      <c r="M427" s="96" t="n"/>
      <c r="N427" s="95" t="n"/>
    </row>
    <row r="428" ht="16" customHeight="1" s="151">
      <c r="A428" s="109">
        <f>IF(OR('Carga Web Cirugias'!A428="",'Carga Web Cirugias'!M428=""),"",_xludf.ISOWEEKNUM('Carga Web Cirugias'!A428))</f>
        <v/>
      </c>
      <c r="B428" s="117">
        <f>IF('Carga Web Cirugias'!A428="","",'Carga Web Cirugias'!A428)</f>
        <v/>
      </c>
      <c r="C428" s="109">
        <f>IF('Carga Web Cirugias'!M428="","",'Carga Web Cirugias'!M428)</f>
        <v/>
      </c>
      <c r="D428" s="111">
        <f>IFERROR(IF(OR(B428="",C428="",COUNTIFS($B$4:B428,B428,$C$4:C428,C428)&gt;1),"",(_xludf.AGGREGATE(14,6,MOD('Carga Web Cirugias'!$S$4:$S$500,1)/(('Carga Web Cirugias'!$A$4:$A$500=B428)*('Carga Web Cirugias'!$M$4:$M$500=C428)*('Carga Web Cirugias'!$R$4:$R$500&lt;&gt;"")*('Carga Web Cirugias'!$S$4:$S$500&lt;&gt;"")),1)-_xludf.AGGREGATE(15,6,MOD('Carga Web Cirugias'!$R$4:$R$500,1)/(('Carga Web Cirugias'!$A$4:$A$500=B428)*('Carga Web Cirugias'!$M$4:$M$500=C428)*('Carga Web Cirugias'!$R$4:$R$500&lt;&gt;"")*('Carga Web Cirugias'!$S$4:$S$500&lt;&gt;"")),1))*1440),"")</f>
        <v/>
      </c>
      <c r="E428" s="111">
        <f>IF(OR(B428="",C428="",D428=""),"",VLOOKUP(C428,'Horario Pabellones'!$A$4:$D$17,4,FALSE))</f>
        <v/>
      </c>
      <c r="F428" s="118">
        <f>IFERROR(IF(OR(D428="",E428="",E428=0),"",(D428/60)/(E428/60)),"")</f>
        <v/>
      </c>
      <c r="G428" s="109">
        <f>IF(F428="","",IF(F428&gt;=0.75,"Cumple referencia","Bajo referencia"))</f>
        <v/>
      </c>
      <c r="J428" s="94" t="n"/>
      <c r="K428" s="95" t="n"/>
      <c r="L428" s="95" t="n"/>
      <c r="M428" s="96" t="n"/>
      <c r="N428" s="95" t="n"/>
    </row>
    <row r="429" ht="16" customHeight="1" s="151">
      <c r="A429" s="112">
        <f>IF(OR('Carga Web Cirugias'!A429="",'Carga Web Cirugias'!M429=""),"",_xludf.ISOWEEKNUM('Carga Web Cirugias'!A429))</f>
        <v/>
      </c>
      <c r="B429" s="123">
        <f>IF('Carga Web Cirugias'!A429="","",'Carga Web Cirugias'!A429)</f>
        <v/>
      </c>
      <c r="C429" s="112">
        <f>IF('Carga Web Cirugias'!M429="","",'Carga Web Cirugias'!M429)</f>
        <v/>
      </c>
      <c r="D429" s="114">
        <f>IFERROR(IF(OR(B429="",C429="",COUNTIFS($B$4:B429,B429,$C$4:C429,C429)&gt;1),"",(_xludf.AGGREGATE(14,6,MOD('Carga Web Cirugias'!$S$4:$S$500,1)/(('Carga Web Cirugias'!$A$4:$A$500=B429)*('Carga Web Cirugias'!$M$4:$M$500=C429)*('Carga Web Cirugias'!$R$4:$R$500&lt;&gt;"")*('Carga Web Cirugias'!$S$4:$S$500&lt;&gt;"")),1)-_xludf.AGGREGATE(15,6,MOD('Carga Web Cirugias'!$R$4:$R$500,1)/(('Carga Web Cirugias'!$A$4:$A$500=B429)*('Carga Web Cirugias'!$M$4:$M$500=C429)*('Carga Web Cirugias'!$R$4:$R$500&lt;&gt;"")*('Carga Web Cirugias'!$S$4:$S$500&lt;&gt;"")),1))*1440),"")</f>
        <v/>
      </c>
      <c r="E429" s="114">
        <f>IF(OR(B429="",C429="",D429=""),"",VLOOKUP(C429,'Horario Pabellones'!$A$4:$D$17,4,FALSE))</f>
        <v/>
      </c>
      <c r="F429" s="124">
        <f>IFERROR(IF(OR(D429="",E429="",E429=0),"",(D429/60)/(E429/60)),"")</f>
        <v/>
      </c>
      <c r="G429" s="112">
        <f>IF(F429="","",IF(F429&gt;=0.75,"Cumple referencia","Bajo referencia"))</f>
        <v/>
      </c>
      <c r="J429" s="94" t="n"/>
      <c r="K429" s="95" t="n"/>
      <c r="L429" s="95" t="n"/>
      <c r="M429" s="96" t="n"/>
      <c r="N429" s="95" t="n"/>
    </row>
    <row r="430" ht="16" customHeight="1" s="151">
      <c r="A430" s="109">
        <f>IF(OR('Carga Web Cirugias'!A430="",'Carga Web Cirugias'!M430=""),"",_xludf.ISOWEEKNUM('Carga Web Cirugias'!A430))</f>
        <v/>
      </c>
      <c r="B430" s="117">
        <f>IF('Carga Web Cirugias'!A430="","",'Carga Web Cirugias'!A430)</f>
        <v/>
      </c>
      <c r="C430" s="109">
        <f>IF('Carga Web Cirugias'!M430="","",'Carga Web Cirugias'!M430)</f>
        <v/>
      </c>
      <c r="D430" s="111">
        <f>IFERROR(IF(OR(B430="",C430="",COUNTIFS($B$4:B430,B430,$C$4:C430,C430)&gt;1),"",(_xludf.AGGREGATE(14,6,MOD('Carga Web Cirugias'!$S$4:$S$500,1)/(('Carga Web Cirugias'!$A$4:$A$500=B430)*('Carga Web Cirugias'!$M$4:$M$500=C430)*('Carga Web Cirugias'!$R$4:$R$500&lt;&gt;"")*('Carga Web Cirugias'!$S$4:$S$500&lt;&gt;"")),1)-_xludf.AGGREGATE(15,6,MOD('Carga Web Cirugias'!$R$4:$R$500,1)/(('Carga Web Cirugias'!$A$4:$A$500=B430)*('Carga Web Cirugias'!$M$4:$M$500=C430)*('Carga Web Cirugias'!$R$4:$R$500&lt;&gt;"")*('Carga Web Cirugias'!$S$4:$S$500&lt;&gt;"")),1))*1440),"")</f>
        <v/>
      </c>
      <c r="E430" s="111">
        <f>IF(OR(B430="",C430="",D430=""),"",VLOOKUP(C430,'Horario Pabellones'!$A$4:$D$17,4,FALSE))</f>
        <v/>
      </c>
      <c r="F430" s="118">
        <f>IFERROR(IF(OR(D430="",E430="",E430=0),"",(D430/60)/(E430/60)),"")</f>
        <v/>
      </c>
      <c r="G430" s="109">
        <f>IF(F430="","",IF(F430&gt;=0.75,"Cumple referencia","Bajo referencia"))</f>
        <v/>
      </c>
      <c r="J430" s="94" t="n"/>
      <c r="K430" s="95" t="n"/>
      <c r="L430" s="95" t="n"/>
      <c r="M430" s="96" t="n"/>
      <c r="N430" s="95" t="n"/>
    </row>
    <row r="431" ht="16" customHeight="1" s="151">
      <c r="A431" s="112">
        <f>IF(OR('Carga Web Cirugias'!A431="",'Carga Web Cirugias'!M431=""),"",_xludf.ISOWEEKNUM('Carga Web Cirugias'!A431))</f>
        <v/>
      </c>
      <c r="B431" s="123">
        <f>IF('Carga Web Cirugias'!A431="","",'Carga Web Cirugias'!A431)</f>
        <v/>
      </c>
      <c r="C431" s="112">
        <f>IF('Carga Web Cirugias'!M431="","",'Carga Web Cirugias'!M431)</f>
        <v/>
      </c>
      <c r="D431" s="114">
        <f>IFERROR(IF(OR(B431="",C431="",COUNTIFS($B$4:B431,B431,$C$4:C431,C431)&gt;1),"",(_xludf.AGGREGATE(14,6,MOD('Carga Web Cirugias'!$S$4:$S$500,1)/(('Carga Web Cirugias'!$A$4:$A$500=B431)*('Carga Web Cirugias'!$M$4:$M$500=C431)*('Carga Web Cirugias'!$R$4:$R$500&lt;&gt;"")*('Carga Web Cirugias'!$S$4:$S$500&lt;&gt;"")),1)-_xludf.AGGREGATE(15,6,MOD('Carga Web Cirugias'!$R$4:$R$500,1)/(('Carga Web Cirugias'!$A$4:$A$500=B431)*('Carga Web Cirugias'!$M$4:$M$500=C431)*('Carga Web Cirugias'!$R$4:$R$500&lt;&gt;"")*('Carga Web Cirugias'!$S$4:$S$500&lt;&gt;"")),1))*1440),"")</f>
        <v/>
      </c>
      <c r="E431" s="114">
        <f>IF(OR(B431="",C431="",D431=""),"",VLOOKUP(C431,'Horario Pabellones'!$A$4:$D$17,4,FALSE))</f>
        <v/>
      </c>
      <c r="F431" s="124">
        <f>IFERROR(IF(OR(D431="",E431="",E431=0),"",(D431/60)/(E431/60)),"")</f>
        <v/>
      </c>
      <c r="G431" s="112">
        <f>IF(F431="","",IF(F431&gt;=0.75,"Cumple referencia","Bajo referencia"))</f>
        <v/>
      </c>
      <c r="J431" s="94" t="n"/>
      <c r="K431" s="95" t="n"/>
      <c r="L431" s="95" t="n"/>
      <c r="M431" s="96" t="n"/>
      <c r="N431" s="95" t="n"/>
    </row>
    <row r="432" ht="16" customHeight="1" s="151">
      <c r="A432" s="109">
        <f>IF(OR('Carga Web Cirugias'!A432="",'Carga Web Cirugias'!M432=""),"",_xludf.ISOWEEKNUM('Carga Web Cirugias'!A432))</f>
        <v/>
      </c>
      <c r="B432" s="117">
        <f>IF('Carga Web Cirugias'!A432="","",'Carga Web Cirugias'!A432)</f>
        <v/>
      </c>
      <c r="C432" s="109">
        <f>IF('Carga Web Cirugias'!M432="","",'Carga Web Cirugias'!M432)</f>
        <v/>
      </c>
      <c r="D432" s="111">
        <f>IFERROR(IF(OR(B432="",C432="",COUNTIFS($B$4:B432,B432,$C$4:C432,C432)&gt;1),"",(_xludf.AGGREGATE(14,6,MOD('Carga Web Cirugias'!$S$4:$S$500,1)/(('Carga Web Cirugias'!$A$4:$A$500=B432)*('Carga Web Cirugias'!$M$4:$M$500=C432)*('Carga Web Cirugias'!$R$4:$R$500&lt;&gt;"")*('Carga Web Cirugias'!$S$4:$S$500&lt;&gt;"")),1)-_xludf.AGGREGATE(15,6,MOD('Carga Web Cirugias'!$R$4:$R$500,1)/(('Carga Web Cirugias'!$A$4:$A$500=B432)*('Carga Web Cirugias'!$M$4:$M$500=C432)*('Carga Web Cirugias'!$R$4:$R$500&lt;&gt;"")*('Carga Web Cirugias'!$S$4:$S$500&lt;&gt;"")),1))*1440),"")</f>
        <v/>
      </c>
      <c r="E432" s="111">
        <f>IF(OR(B432="",C432="",D432=""),"",VLOOKUP(C432,'Horario Pabellones'!$A$4:$D$17,4,FALSE))</f>
        <v/>
      </c>
      <c r="F432" s="118">
        <f>IFERROR(IF(OR(D432="",E432="",E432=0),"",(D432/60)/(E432/60)),"")</f>
        <v/>
      </c>
      <c r="G432" s="109">
        <f>IF(F432="","",IF(F432&gt;=0.75,"Cumple referencia","Bajo referencia"))</f>
        <v/>
      </c>
      <c r="J432" s="94" t="n"/>
      <c r="K432" s="95" t="n"/>
      <c r="L432" s="95" t="n"/>
      <c r="M432" s="96" t="n"/>
      <c r="N432" s="95" t="n"/>
    </row>
    <row r="433" ht="16" customHeight="1" s="151">
      <c r="A433" s="112">
        <f>IF(OR('Carga Web Cirugias'!A433="",'Carga Web Cirugias'!M433=""),"",_xludf.ISOWEEKNUM('Carga Web Cirugias'!A433))</f>
        <v/>
      </c>
      <c r="B433" s="123">
        <f>IF('Carga Web Cirugias'!A433="","",'Carga Web Cirugias'!A433)</f>
        <v/>
      </c>
      <c r="C433" s="112">
        <f>IF('Carga Web Cirugias'!M433="","",'Carga Web Cirugias'!M433)</f>
        <v/>
      </c>
      <c r="D433" s="114">
        <f>IFERROR(IF(OR(B433="",C433="",COUNTIFS($B$4:B433,B433,$C$4:C433,C433)&gt;1),"",(_xludf.AGGREGATE(14,6,MOD('Carga Web Cirugias'!$S$4:$S$500,1)/(('Carga Web Cirugias'!$A$4:$A$500=B433)*('Carga Web Cirugias'!$M$4:$M$500=C433)*('Carga Web Cirugias'!$R$4:$R$500&lt;&gt;"")*('Carga Web Cirugias'!$S$4:$S$500&lt;&gt;"")),1)-_xludf.AGGREGATE(15,6,MOD('Carga Web Cirugias'!$R$4:$R$500,1)/(('Carga Web Cirugias'!$A$4:$A$500=B433)*('Carga Web Cirugias'!$M$4:$M$500=C433)*('Carga Web Cirugias'!$R$4:$R$500&lt;&gt;"")*('Carga Web Cirugias'!$S$4:$S$500&lt;&gt;"")),1))*1440),"")</f>
        <v/>
      </c>
      <c r="E433" s="114">
        <f>IF(OR(B433="",C433="",D433=""),"",VLOOKUP(C433,'Horario Pabellones'!$A$4:$D$17,4,FALSE))</f>
        <v/>
      </c>
      <c r="F433" s="124">
        <f>IFERROR(IF(OR(D433="",E433="",E433=0),"",(D433/60)/(E433/60)),"")</f>
        <v/>
      </c>
      <c r="G433" s="112">
        <f>IF(F433="","",IF(F433&gt;=0.75,"Cumple referencia","Bajo referencia"))</f>
        <v/>
      </c>
      <c r="J433" s="94" t="n"/>
      <c r="K433" s="95" t="n"/>
      <c r="L433" s="95" t="n"/>
      <c r="M433" s="96" t="n"/>
      <c r="N433" s="95" t="n"/>
    </row>
    <row r="434" ht="16" customHeight="1" s="151">
      <c r="A434" s="109">
        <f>IF(OR('Carga Web Cirugias'!A434="",'Carga Web Cirugias'!M434=""),"",_xludf.ISOWEEKNUM('Carga Web Cirugias'!A434))</f>
        <v/>
      </c>
      <c r="B434" s="117">
        <f>IF('Carga Web Cirugias'!A434="","",'Carga Web Cirugias'!A434)</f>
        <v/>
      </c>
      <c r="C434" s="109">
        <f>IF('Carga Web Cirugias'!M434="","",'Carga Web Cirugias'!M434)</f>
        <v/>
      </c>
      <c r="D434" s="111">
        <f>IFERROR(IF(OR(B434="",C434="",COUNTIFS($B$4:B434,B434,$C$4:C434,C434)&gt;1),"",(_xludf.AGGREGATE(14,6,MOD('Carga Web Cirugias'!$S$4:$S$500,1)/(('Carga Web Cirugias'!$A$4:$A$500=B434)*('Carga Web Cirugias'!$M$4:$M$500=C434)*('Carga Web Cirugias'!$R$4:$R$500&lt;&gt;"")*('Carga Web Cirugias'!$S$4:$S$500&lt;&gt;"")),1)-_xludf.AGGREGATE(15,6,MOD('Carga Web Cirugias'!$R$4:$R$500,1)/(('Carga Web Cirugias'!$A$4:$A$500=B434)*('Carga Web Cirugias'!$M$4:$M$500=C434)*('Carga Web Cirugias'!$R$4:$R$500&lt;&gt;"")*('Carga Web Cirugias'!$S$4:$S$500&lt;&gt;"")),1))*1440),"")</f>
        <v/>
      </c>
      <c r="E434" s="111">
        <f>IF(OR(B434="",C434="",D434=""),"",VLOOKUP(C434,'Horario Pabellones'!$A$4:$D$17,4,FALSE))</f>
        <v/>
      </c>
      <c r="F434" s="118">
        <f>IFERROR(IF(OR(D434="",E434="",E434=0),"",(D434/60)/(E434/60)),"")</f>
        <v/>
      </c>
      <c r="G434" s="109">
        <f>IF(F434="","",IF(F434&gt;=0.75,"Cumple referencia","Bajo referencia"))</f>
        <v/>
      </c>
      <c r="J434" s="94" t="n"/>
      <c r="K434" s="95" t="n"/>
      <c r="L434" s="95" t="n"/>
      <c r="M434" s="96" t="n"/>
      <c r="N434" s="95" t="n"/>
    </row>
    <row r="435" ht="16" customHeight="1" s="151">
      <c r="A435" s="112">
        <f>IF(OR('Carga Web Cirugias'!A435="",'Carga Web Cirugias'!M435=""),"",_xludf.ISOWEEKNUM('Carga Web Cirugias'!A435))</f>
        <v/>
      </c>
      <c r="B435" s="123">
        <f>IF('Carga Web Cirugias'!A435="","",'Carga Web Cirugias'!A435)</f>
        <v/>
      </c>
      <c r="C435" s="112">
        <f>IF('Carga Web Cirugias'!M435="","",'Carga Web Cirugias'!M435)</f>
        <v/>
      </c>
      <c r="D435" s="114">
        <f>IFERROR(IF(OR(B435="",C435="",COUNTIFS($B$4:B435,B435,$C$4:C435,C435)&gt;1),"",(_xludf.AGGREGATE(14,6,MOD('Carga Web Cirugias'!$S$4:$S$500,1)/(('Carga Web Cirugias'!$A$4:$A$500=B435)*('Carga Web Cirugias'!$M$4:$M$500=C435)*('Carga Web Cirugias'!$R$4:$R$500&lt;&gt;"")*('Carga Web Cirugias'!$S$4:$S$500&lt;&gt;"")),1)-_xludf.AGGREGATE(15,6,MOD('Carga Web Cirugias'!$R$4:$R$500,1)/(('Carga Web Cirugias'!$A$4:$A$500=B435)*('Carga Web Cirugias'!$M$4:$M$500=C435)*('Carga Web Cirugias'!$R$4:$R$500&lt;&gt;"")*('Carga Web Cirugias'!$S$4:$S$500&lt;&gt;"")),1))*1440),"")</f>
        <v/>
      </c>
      <c r="E435" s="114">
        <f>IF(OR(B435="",C435="",D435=""),"",VLOOKUP(C435,'Horario Pabellones'!$A$4:$D$17,4,FALSE))</f>
        <v/>
      </c>
      <c r="F435" s="124">
        <f>IFERROR(IF(OR(D435="",E435="",E435=0),"",(D435/60)/(E435/60)),"")</f>
        <v/>
      </c>
      <c r="G435" s="112">
        <f>IF(F435="","",IF(F435&gt;=0.75,"Cumple referencia","Bajo referencia"))</f>
        <v/>
      </c>
      <c r="J435" s="94" t="n"/>
      <c r="K435" s="95" t="n"/>
      <c r="L435" s="95" t="n"/>
      <c r="M435" s="96" t="n"/>
      <c r="N435" s="95" t="n"/>
    </row>
    <row r="436" ht="16" customHeight="1" s="151">
      <c r="A436" s="109">
        <f>IF(OR('Carga Web Cirugias'!A436="",'Carga Web Cirugias'!M436=""),"",_xludf.ISOWEEKNUM('Carga Web Cirugias'!A436))</f>
        <v/>
      </c>
      <c r="B436" s="117">
        <f>IF('Carga Web Cirugias'!A436="","",'Carga Web Cirugias'!A436)</f>
        <v/>
      </c>
      <c r="C436" s="109">
        <f>IF('Carga Web Cirugias'!M436="","",'Carga Web Cirugias'!M436)</f>
        <v/>
      </c>
      <c r="D436" s="111">
        <f>IFERROR(IF(OR(B436="",C436="",COUNTIFS($B$4:B436,B436,$C$4:C436,C436)&gt;1),"",(_xludf.AGGREGATE(14,6,MOD('Carga Web Cirugias'!$S$4:$S$500,1)/(('Carga Web Cirugias'!$A$4:$A$500=B436)*('Carga Web Cirugias'!$M$4:$M$500=C436)*('Carga Web Cirugias'!$R$4:$R$500&lt;&gt;"")*('Carga Web Cirugias'!$S$4:$S$500&lt;&gt;"")),1)-_xludf.AGGREGATE(15,6,MOD('Carga Web Cirugias'!$R$4:$R$500,1)/(('Carga Web Cirugias'!$A$4:$A$500=B436)*('Carga Web Cirugias'!$M$4:$M$500=C436)*('Carga Web Cirugias'!$R$4:$R$500&lt;&gt;"")*('Carga Web Cirugias'!$S$4:$S$500&lt;&gt;"")),1))*1440),"")</f>
        <v/>
      </c>
      <c r="E436" s="111">
        <f>IF(OR(B436="",C436="",D436=""),"",VLOOKUP(C436,'Horario Pabellones'!$A$4:$D$17,4,FALSE))</f>
        <v/>
      </c>
      <c r="F436" s="118">
        <f>IFERROR(IF(OR(D436="",E436="",E436=0),"",(D436/60)/(E436/60)),"")</f>
        <v/>
      </c>
      <c r="G436" s="109">
        <f>IF(F436="","",IF(F436&gt;=0.75,"Cumple referencia","Bajo referencia"))</f>
        <v/>
      </c>
      <c r="J436" s="94" t="n"/>
      <c r="K436" s="95" t="n"/>
      <c r="L436" s="95" t="n"/>
      <c r="M436" s="96" t="n"/>
      <c r="N436" s="95" t="n"/>
    </row>
    <row r="437" ht="16" customHeight="1" s="151">
      <c r="A437" s="112">
        <f>IF(OR('Carga Web Cirugias'!A437="",'Carga Web Cirugias'!M437=""),"",_xludf.ISOWEEKNUM('Carga Web Cirugias'!A437))</f>
        <v/>
      </c>
      <c r="B437" s="123">
        <f>IF('Carga Web Cirugias'!A437="","",'Carga Web Cirugias'!A437)</f>
        <v/>
      </c>
      <c r="C437" s="112">
        <f>IF('Carga Web Cirugias'!M437="","",'Carga Web Cirugias'!M437)</f>
        <v/>
      </c>
      <c r="D437" s="114">
        <f>IFERROR(IF(OR(B437="",C437="",COUNTIFS($B$4:B437,B437,$C$4:C437,C437)&gt;1),"",(_xludf.AGGREGATE(14,6,MOD('Carga Web Cirugias'!$S$4:$S$500,1)/(('Carga Web Cirugias'!$A$4:$A$500=B437)*('Carga Web Cirugias'!$M$4:$M$500=C437)*('Carga Web Cirugias'!$R$4:$R$500&lt;&gt;"")*('Carga Web Cirugias'!$S$4:$S$500&lt;&gt;"")),1)-_xludf.AGGREGATE(15,6,MOD('Carga Web Cirugias'!$R$4:$R$500,1)/(('Carga Web Cirugias'!$A$4:$A$500=B437)*('Carga Web Cirugias'!$M$4:$M$500=C437)*('Carga Web Cirugias'!$R$4:$R$500&lt;&gt;"")*('Carga Web Cirugias'!$S$4:$S$500&lt;&gt;"")),1))*1440),"")</f>
        <v/>
      </c>
      <c r="E437" s="114">
        <f>IF(OR(B437="",C437="",D437=""),"",VLOOKUP(C437,'Horario Pabellones'!$A$4:$D$17,4,FALSE))</f>
        <v/>
      </c>
      <c r="F437" s="124">
        <f>IFERROR(IF(OR(D437="",E437="",E437=0),"",(D437/60)/(E437/60)),"")</f>
        <v/>
      </c>
      <c r="G437" s="112">
        <f>IF(F437="","",IF(F437&gt;=0.75,"Cumple referencia","Bajo referencia"))</f>
        <v/>
      </c>
      <c r="J437" s="94" t="n"/>
      <c r="K437" s="95" t="n"/>
      <c r="L437" s="95" t="n"/>
      <c r="M437" s="96" t="n"/>
      <c r="N437" s="95" t="n"/>
    </row>
    <row r="438" ht="16" customHeight="1" s="151">
      <c r="A438" s="109">
        <f>IF(OR('Carga Web Cirugias'!A438="",'Carga Web Cirugias'!M438=""),"",_xludf.ISOWEEKNUM('Carga Web Cirugias'!A438))</f>
        <v/>
      </c>
      <c r="B438" s="117">
        <f>IF('Carga Web Cirugias'!A438="","",'Carga Web Cirugias'!A438)</f>
        <v/>
      </c>
      <c r="C438" s="109">
        <f>IF('Carga Web Cirugias'!M438="","",'Carga Web Cirugias'!M438)</f>
        <v/>
      </c>
      <c r="D438" s="111">
        <f>IFERROR(IF(OR(B438="",C438="",COUNTIFS($B$4:B438,B438,$C$4:C438,C438)&gt;1),"",(_xludf.AGGREGATE(14,6,MOD('Carga Web Cirugias'!$S$4:$S$500,1)/(('Carga Web Cirugias'!$A$4:$A$500=B438)*('Carga Web Cirugias'!$M$4:$M$500=C438)*('Carga Web Cirugias'!$R$4:$R$500&lt;&gt;"")*('Carga Web Cirugias'!$S$4:$S$500&lt;&gt;"")),1)-_xludf.AGGREGATE(15,6,MOD('Carga Web Cirugias'!$R$4:$R$500,1)/(('Carga Web Cirugias'!$A$4:$A$500=B438)*('Carga Web Cirugias'!$M$4:$M$500=C438)*('Carga Web Cirugias'!$R$4:$R$500&lt;&gt;"")*('Carga Web Cirugias'!$S$4:$S$500&lt;&gt;"")),1))*1440),"")</f>
        <v/>
      </c>
      <c r="E438" s="111">
        <f>IF(OR(B438="",C438="",D438=""),"",VLOOKUP(C438,'Horario Pabellones'!$A$4:$D$17,4,FALSE))</f>
        <v/>
      </c>
      <c r="F438" s="118">
        <f>IFERROR(IF(OR(D438="",E438="",E438=0),"",(D438/60)/(E438/60)),"")</f>
        <v/>
      </c>
      <c r="G438" s="109">
        <f>IF(F438="","",IF(F438&gt;=0.75,"Cumple referencia","Bajo referencia"))</f>
        <v/>
      </c>
      <c r="J438" s="94" t="n"/>
      <c r="K438" s="95" t="n"/>
      <c r="L438" s="95" t="n"/>
      <c r="M438" s="96" t="n"/>
      <c r="N438" s="95" t="n"/>
    </row>
    <row r="439" ht="16" customHeight="1" s="151">
      <c r="A439" s="112">
        <f>IF(OR('Carga Web Cirugias'!A439="",'Carga Web Cirugias'!M439=""),"",_xludf.ISOWEEKNUM('Carga Web Cirugias'!A439))</f>
        <v/>
      </c>
      <c r="B439" s="123">
        <f>IF('Carga Web Cirugias'!A439="","",'Carga Web Cirugias'!A439)</f>
        <v/>
      </c>
      <c r="C439" s="112">
        <f>IF('Carga Web Cirugias'!M439="","",'Carga Web Cirugias'!M439)</f>
        <v/>
      </c>
      <c r="D439" s="114">
        <f>IFERROR(IF(OR(B439="",C439="",COUNTIFS($B$4:B439,B439,$C$4:C439,C439)&gt;1),"",(_xludf.AGGREGATE(14,6,MOD('Carga Web Cirugias'!$S$4:$S$500,1)/(('Carga Web Cirugias'!$A$4:$A$500=B439)*('Carga Web Cirugias'!$M$4:$M$500=C439)*('Carga Web Cirugias'!$R$4:$R$500&lt;&gt;"")*('Carga Web Cirugias'!$S$4:$S$500&lt;&gt;"")),1)-_xludf.AGGREGATE(15,6,MOD('Carga Web Cirugias'!$R$4:$R$500,1)/(('Carga Web Cirugias'!$A$4:$A$500=B439)*('Carga Web Cirugias'!$M$4:$M$500=C439)*('Carga Web Cirugias'!$R$4:$R$500&lt;&gt;"")*('Carga Web Cirugias'!$S$4:$S$500&lt;&gt;"")),1))*1440),"")</f>
        <v/>
      </c>
      <c r="E439" s="114">
        <f>IF(OR(B439="",C439="",D439=""),"",VLOOKUP(C439,'Horario Pabellones'!$A$4:$D$17,4,FALSE))</f>
        <v/>
      </c>
      <c r="F439" s="124">
        <f>IFERROR(IF(OR(D439="",E439="",E439=0),"",(D439/60)/(E439/60)),"")</f>
        <v/>
      </c>
      <c r="G439" s="112">
        <f>IF(F439="","",IF(F439&gt;=0.75,"Cumple referencia","Bajo referencia"))</f>
        <v/>
      </c>
      <c r="J439" s="94" t="n"/>
      <c r="K439" s="95" t="n"/>
      <c r="L439" s="95" t="n"/>
      <c r="M439" s="96" t="n"/>
      <c r="N439" s="95" t="n"/>
    </row>
    <row r="440" ht="16" customHeight="1" s="151">
      <c r="A440" s="109">
        <f>IF(OR('Carga Web Cirugias'!A440="",'Carga Web Cirugias'!M440=""),"",_xludf.ISOWEEKNUM('Carga Web Cirugias'!A440))</f>
        <v/>
      </c>
      <c r="B440" s="117">
        <f>IF('Carga Web Cirugias'!A440="","",'Carga Web Cirugias'!A440)</f>
        <v/>
      </c>
      <c r="C440" s="109">
        <f>IF('Carga Web Cirugias'!M440="","",'Carga Web Cirugias'!M440)</f>
        <v/>
      </c>
      <c r="D440" s="111">
        <f>IFERROR(IF(OR(B440="",C440="",COUNTIFS($B$4:B440,B440,$C$4:C440,C440)&gt;1),"",(_xludf.AGGREGATE(14,6,MOD('Carga Web Cirugias'!$S$4:$S$500,1)/(('Carga Web Cirugias'!$A$4:$A$500=B440)*('Carga Web Cirugias'!$M$4:$M$500=C440)*('Carga Web Cirugias'!$R$4:$R$500&lt;&gt;"")*('Carga Web Cirugias'!$S$4:$S$500&lt;&gt;"")),1)-_xludf.AGGREGATE(15,6,MOD('Carga Web Cirugias'!$R$4:$R$500,1)/(('Carga Web Cirugias'!$A$4:$A$500=B440)*('Carga Web Cirugias'!$M$4:$M$500=C440)*('Carga Web Cirugias'!$R$4:$R$500&lt;&gt;"")*('Carga Web Cirugias'!$S$4:$S$500&lt;&gt;"")),1))*1440),"")</f>
        <v/>
      </c>
      <c r="E440" s="111">
        <f>IF(OR(B440="",C440="",D440=""),"",VLOOKUP(C440,'Horario Pabellones'!$A$4:$D$17,4,FALSE))</f>
        <v/>
      </c>
      <c r="F440" s="118">
        <f>IFERROR(IF(OR(D440="",E440="",E440=0),"",(D440/60)/(E440/60)),"")</f>
        <v/>
      </c>
      <c r="G440" s="109">
        <f>IF(F440="","",IF(F440&gt;=0.75,"Cumple referencia","Bajo referencia"))</f>
        <v/>
      </c>
      <c r="J440" s="94" t="n"/>
      <c r="K440" s="95" t="n"/>
      <c r="L440" s="95" t="n"/>
      <c r="M440" s="96" t="n"/>
      <c r="N440" s="95" t="n"/>
    </row>
    <row r="441" ht="16" customHeight="1" s="151">
      <c r="A441" s="112">
        <f>IF(OR('Carga Web Cirugias'!A441="",'Carga Web Cirugias'!M441=""),"",_xludf.ISOWEEKNUM('Carga Web Cirugias'!A441))</f>
        <v/>
      </c>
      <c r="B441" s="123">
        <f>IF('Carga Web Cirugias'!A441="","",'Carga Web Cirugias'!A441)</f>
        <v/>
      </c>
      <c r="C441" s="112">
        <f>IF('Carga Web Cirugias'!M441="","",'Carga Web Cirugias'!M441)</f>
        <v/>
      </c>
      <c r="D441" s="114">
        <f>IFERROR(IF(OR(B441="",C441="",COUNTIFS($B$4:B441,B441,$C$4:C441,C441)&gt;1),"",(_xludf.AGGREGATE(14,6,MOD('Carga Web Cirugias'!$S$4:$S$500,1)/(('Carga Web Cirugias'!$A$4:$A$500=B441)*('Carga Web Cirugias'!$M$4:$M$500=C441)*('Carga Web Cirugias'!$R$4:$R$500&lt;&gt;"")*('Carga Web Cirugias'!$S$4:$S$500&lt;&gt;"")),1)-_xludf.AGGREGATE(15,6,MOD('Carga Web Cirugias'!$R$4:$R$500,1)/(('Carga Web Cirugias'!$A$4:$A$500=B441)*('Carga Web Cirugias'!$M$4:$M$500=C441)*('Carga Web Cirugias'!$R$4:$R$500&lt;&gt;"")*('Carga Web Cirugias'!$S$4:$S$500&lt;&gt;"")),1))*1440),"")</f>
        <v/>
      </c>
      <c r="E441" s="114">
        <f>IF(OR(B441="",C441="",D441=""),"",VLOOKUP(C441,'Horario Pabellones'!$A$4:$D$17,4,FALSE))</f>
        <v/>
      </c>
      <c r="F441" s="124">
        <f>IFERROR(IF(OR(D441="",E441="",E441=0),"",(D441/60)/(E441/60)),"")</f>
        <v/>
      </c>
      <c r="G441" s="112">
        <f>IF(F441="","",IF(F441&gt;=0.75,"Cumple referencia","Bajo referencia"))</f>
        <v/>
      </c>
      <c r="J441" s="94" t="n"/>
      <c r="K441" s="95" t="n"/>
      <c r="L441" s="95" t="n"/>
      <c r="M441" s="96" t="n"/>
      <c r="N441" s="95" t="n"/>
    </row>
    <row r="442" ht="16" customHeight="1" s="151">
      <c r="A442" s="109">
        <f>IF(OR('Carga Web Cirugias'!A442="",'Carga Web Cirugias'!M442=""),"",_xludf.ISOWEEKNUM('Carga Web Cirugias'!A442))</f>
        <v/>
      </c>
      <c r="B442" s="117">
        <f>IF('Carga Web Cirugias'!A442="","",'Carga Web Cirugias'!A442)</f>
        <v/>
      </c>
      <c r="C442" s="109">
        <f>IF('Carga Web Cirugias'!M442="","",'Carga Web Cirugias'!M442)</f>
        <v/>
      </c>
      <c r="D442" s="111">
        <f>IFERROR(IF(OR(B442="",C442="",COUNTIFS($B$4:B442,B442,$C$4:C442,C442)&gt;1),"",(_xludf.AGGREGATE(14,6,MOD('Carga Web Cirugias'!$S$4:$S$500,1)/(('Carga Web Cirugias'!$A$4:$A$500=B442)*('Carga Web Cirugias'!$M$4:$M$500=C442)*('Carga Web Cirugias'!$R$4:$R$500&lt;&gt;"")*('Carga Web Cirugias'!$S$4:$S$500&lt;&gt;"")),1)-_xludf.AGGREGATE(15,6,MOD('Carga Web Cirugias'!$R$4:$R$500,1)/(('Carga Web Cirugias'!$A$4:$A$500=B442)*('Carga Web Cirugias'!$M$4:$M$500=C442)*('Carga Web Cirugias'!$R$4:$R$500&lt;&gt;"")*('Carga Web Cirugias'!$S$4:$S$500&lt;&gt;"")),1))*1440),"")</f>
        <v/>
      </c>
      <c r="E442" s="111">
        <f>IF(OR(B442="",C442="",D442=""),"",VLOOKUP(C442,'Horario Pabellones'!$A$4:$D$17,4,FALSE))</f>
        <v/>
      </c>
      <c r="F442" s="118">
        <f>IFERROR(IF(OR(D442="",E442="",E442=0),"",(D442/60)/(E442/60)),"")</f>
        <v/>
      </c>
      <c r="G442" s="109">
        <f>IF(F442="","",IF(F442&gt;=0.75,"Cumple referencia","Bajo referencia"))</f>
        <v/>
      </c>
      <c r="J442" s="94" t="n"/>
      <c r="K442" s="95" t="n"/>
      <c r="L442" s="95" t="n"/>
      <c r="M442" s="96" t="n"/>
      <c r="N442" s="95" t="n"/>
    </row>
    <row r="443" ht="16" customHeight="1" s="151">
      <c r="A443" s="112">
        <f>IF(OR('Carga Web Cirugias'!A443="",'Carga Web Cirugias'!M443=""),"",_xludf.ISOWEEKNUM('Carga Web Cirugias'!A443))</f>
        <v/>
      </c>
      <c r="B443" s="123">
        <f>IF('Carga Web Cirugias'!A443="","",'Carga Web Cirugias'!A443)</f>
        <v/>
      </c>
      <c r="C443" s="112">
        <f>IF('Carga Web Cirugias'!M443="","",'Carga Web Cirugias'!M443)</f>
        <v/>
      </c>
      <c r="D443" s="114">
        <f>IFERROR(IF(OR(B443="",C443="",COUNTIFS($B$4:B443,B443,$C$4:C443,C443)&gt;1),"",(_xludf.AGGREGATE(14,6,MOD('Carga Web Cirugias'!$S$4:$S$500,1)/(('Carga Web Cirugias'!$A$4:$A$500=B443)*('Carga Web Cirugias'!$M$4:$M$500=C443)*('Carga Web Cirugias'!$R$4:$R$500&lt;&gt;"")*('Carga Web Cirugias'!$S$4:$S$500&lt;&gt;"")),1)-_xludf.AGGREGATE(15,6,MOD('Carga Web Cirugias'!$R$4:$R$500,1)/(('Carga Web Cirugias'!$A$4:$A$500=B443)*('Carga Web Cirugias'!$M$4:$M$500=C443)*('Carga Web Cirugias'!$R$4:$R$500&lt;&gt;"")*('Carga Web Cirugias'!$S$4:$S$500&lt;&gt;"")),1))*1440),"")</f>
        <v/>
      </c>
      <c r="E443" s="114">
        <f>IF(OR(B443="",C443="",D443=""),"",VLOOKUP(C443,'Horario Pabellones'!$A$4:$D$17,4,FALSE))</f>
        <v/>
      </c>
      <c r="F443" s="124">
        <f>IFERROR(IF(OR(D443="",E443="",E443=0),"",(D443/60)/(E443/60)),"")</f>
        <v/>
      </c>
      <c r="G443" s="112">
        <f>IF(F443="","",IF(F443&gt;=0.75,"Cumple referencia","Bajo referencia"))</f>
        <v/>
      </c>
      <c r="J443" s="94" t="n"/>
      <c r="K443" s="95" t="n"/>
      <c r="L443" s="95" t="n"/>
      <c r="M443" s="96" t="n"/>
      <c r="N443" s="95" t="n"/>
    </row>
    <row r="444" ht="16" customHeight="1" s="151">
      <c r="A444" s="109">
        <f>IF(OR('Carga Web Cirugias'!A444="",'Carga Web Cirugias'!M444=""),"",_xludf.ISOWEEKNUM('Carga Web Cirugias'!A444))</f>
        <v/>
      </c>
      <c r="B444" s="117">
        <f>IF('Carga Web Cirugias'!A444="","",'Carga Web Cirugias'!A444)</f>
        <v/>
      </c>
      <c r="C444" s="109">
        <f>IF('Carga Web Cirugias'!M444="","",'Carga Web Cirugias'!M444)</f>
        <v/>
      </c>
      <c r="D444" s="111">
        <f>IFERROR(IF(OR(B444="",C444="",COUNTIFS($B$4:B444,B444,$C$4:C444,C444)&gt;1),"",(_xludf.AGGREGATE(14,6,MOD('Carga Web Cirugias'!$S$4:$S$500,1)/(('Carga Web Cirugias'!$A$4:$A$500=B444)*('Carga Web Cirugias'!$M$4:$M$500=C444)*('Carga Web Cirugias'!$R$4:$R$500&lt;&gt;"")*('Carga Web Cirugias'!$S$4:$S$500&lt;&gt;"")),1)-_xludf.AGGREGATE(15,6,MOD('Carga Web Cirugias'!$R$4:$R$500,1)/(('Carga Web Cirugias'!$A$4:$A$500=B444)*('Carga Web Cirugias'!$M$4:$M$500=C444)*('Carga Web Cirugias'!$R$4:$R$500&lt;&gt;"")*('Carga Web Cirugias'!$S$4:$S$500&lt;&gt;"")),1))*1440),"")</f>
        <v/>
      </c>
      <c r="E444" s="111">
        <f>IF(OR(B444="",C444="",D444=""),"",VLOOKUP(C444,'Horario Pabellones'!$A$4:$D$17,4,FALSE))</f>
        <v/>
      </c>
      <c r="F444" s="118">
        <f>IFERROR(IF(OR(D444="",E444="",E444=0),"",(D444/60)/(E444/60)),"")</f>
        <v/>
      </c>
      <c r="G444" s="109">
        <f>IF(F444="","",IF(F444&gt;=0.75,"Cumple referencia","Bajo referencia"))</f>
        <v/>
      </c>
      <c r="J444" s="94" t="n"/>
      <c r="K444" s="95" t="n"/>
      <c r="L444" s="95" t="n"/>
      <c r="M444" s="96" t="n"/>
      <c r="N444" s="95" t="n"/>
    </row>
    <row r="445" ht="16" customHeight="1" s="151">
      <c r="A445" s="112">
        <f>IF(OR('Carga Web Cirugias'!A445="",'Carga Web Cirugias'!M445=""),"",_xludf.ISOWEEKNUM('Carga Web Cirugias'!A445))</f>
        <v/>
      </c>
      <c r="B445" s="123">
        <f>IF('Carga Web Cirugias'!A445="","",'Carga Web Cirugias'!A445)</f>
        <v/>
      </c>
      <c r="C445" s="112">
        <f>IF('Carga Web Cirugias'!M445="","",'Carga Web Cirugias'!M445)</f>
        <v/>
      </c>
      <c r="D445" s="114">
        <f>IFERROR(IF(OR(B445="",C445="",COUNTIFS($B$4:B445,B445,$C$4:C445,C445)&gt;1),"",(_xludf.AGGREGATE(14,6,MOD('Carga Web Cirugias'!$S$4:$S$500,1)/(('Carga Web Cirugias'!$A$4:$A$500=B445)*('Carga Web Cirugias'!$M$4:$M$500=C445)*('Carga Web Cirugias'!$R$4:$R$500&lt;&gt;"")*('Carga Web Cirugias'!$S$4:$S$500&lt;&gt;"")),1)-_xludf.AGGREGATE(15,6,MOD('Carga Web Cirugias'!$R$4:$R$500,1)/(('Carga Web Cirugias'!$A$4:$A$500=B445)*('Carga Web Cirugias'!$M$4:$M$500=C445)*('Carga Web Cirugias'!$R$4:$R$500&lt;&gt;"")*('Carga Web Cirugias'!$S$4:$S$500&lt;&gt;"")),1))*1440),"")</f>
        <v/>
      </c>
      <c r="E445" s="114">
        <f>IF(OR(B445="",C445="",D445=""),"",VLOOKUP(C445,'Horario Pabellones'!$A$4:$D$17,4,FALSE))</f>
        <v/>
      </c>
      <c r="F445" s="124">
        <f>IFERROR(IF(OR(D445="",E445="",E445=0),"",(D445/60)/(E445/60)),"")</f>
        <v/>
      </c>
      <c r="G445" s="112">
        <f>IF(F445="","",IF(F445&gt;=0.75,"Cumple referencia","Bajo referencia"))</f>
        <v/>
      </c>
      <c r="J445" s="94" t="n"/>
      <c r="K445" s="95" t="n"/>
      <c r="L445" s="95" t="n"/>
      <c r="M445" s="96" t="n"/>
      <c r="N445" s="95" t="n"/>
    </row>
    <row r="446" ht="16" customHeight="1" s="151">
      <c r="A446" s="109">
        <f>IF(OR('Carga Web Cirugias'!A446="",'Carga Web Cirugias'!M446=""),"",_xludf.ISOWEEKNUM('Carga Web Cirugias'!A446))</f>
        <v/>
      </c>
      <c r="B446" s="117">
        <f>IF('Carga Web Cirugias'!A446="","",'Carga Web Cirugias'!A446)</f>
        <v/>
      </c>
      <c r="C446" s="109">
        <f>IF('Carga Web Cirugias'!M446="","",'Carga Web Cirugias'!M446)</f>
        <v/>
      </c>
      <c r="D446" s="111">
        <f>IFERROR(IF(OR(B446="",C446="",COUNTIFS($B$4:B446,B446,$C$4:C446,C446)&gt;1),"",(_xludf.AGGREGATE(14,6,MOD('Carga Web Cirugias'!$S$4:$S$500,1)/(('Carga Web Cirugias'!$A$4:$A$500=B446)*('Carga Web Cirugias'!$M$4:$M$500=C446)*('Carga Web Cirugias'!$R$4:$R$500&lt;&gt;"")*('Carga Web Cirugias'!$S$4:$S$500&lt;&gt;"")),1)-_xludf.AGGREGATE(15,6,MOD('Carga Web Cirugias'!$R$4:$R$500,1)/(('Carga Web Cirugias'!$A$4:$A$500=B446)*('Carga Web Cirugias'!$M$4:$M$500=C446)*('Carga Web Cirugias'!$R$4:$R$500&lt;&gt;"")*('Carga Web Cirugias'!$S$4:$S$500&lt;&gt;"")),1))*1440),"")</f>
        <v/>
      </c>
      <c r="E446" s="111">
        <f>IF(OR(B446="",C446="",D446=""),"",VLOOKUP(C446,'Horario Pabellones'!$A$4:$D$17,4,FALSE))</f>
        <v/>
      </c>
      <c r="F446" s="118">
        <f>IFERROR(IF(OR(D446="",E446="",E446=0),"",(D446/60)/(E446/60)),"")</f>
        <v/>
      </c>
      <c r="G446" s="109">
        <f>IF(F446="","",IF(F446&gt;=0.75,"Cumple referencia","Bajo referencia"))</f>
        <v/>
      </c>
      <c r="J446" s="94" t="n"/>
      <c r="K446" s="95" t="n"/>
      <c r="L446" s="95" t="n"/>
      <c r="M446" s="96" t="n"/>
      <c r="N446" s="95" t="n"/>
    </row>
    <row r="447" ht="16" customHeight="1" s="151">
      <c r="A447" s="112">
        <f>IF(OR('Carga Web Cirugias'!A447="",'Carga Web Cirugias'!M447=""),"",_xludf.ISOWEEKNUM('Carga Web Cirugias'!A447))</f>
        <v/>
      </c>
      <c r="B447" s="123">
        <f>IF('Carga Web Cirugias'!A447="","",'Carga Web Cirugias'!A447)</f>
        <v/>
      </c>
      <c r="C447" s="112">
        <f>IF('Carga Web Cirugias'!M447="","",'Carga Web Cirugias'!M447)</f>
        <v/>
      </c>
      <c r="D447" s="114">
        <f>IFERROR(IF(OR(B447="",C447="",COUNTIFS($B$4:B447,B447,$C$4:C447,C447)&gt;1),"",(_xludf.AGGREGATE(14,6,MOD('Carga Web Cirugias'!$S$4:$S$500,1)/(('Carga Web Cirugias'!$A$4:$A$500=B447)*('Carga Web Cirugias'!$M$4:$M$500=C447)*('Carga Web Cirugias'!$R$4:$R$500&lt;&gt;"")*('Carga Web Cirugias'!$S$4:$S$500&lt;&gt;"")),1)-_xludf.AGGREGATE(15,6,MOD('Carga Web Cirugias'!$R$4:$R$500,1)/(('Carga Web Cirugias'!$A$4:$A$500=B447)*('Carga Web Cirugias'!$M$4:$M$500=C447)*('Carga Web Cirugias'!$R$4:$R$500&lt;&gt;"")*('Carga Web Cirugias'!$S$4:$S$500&lt;&gt;"")),1))*1440),"")</f>
        <v/>
      </c>
      <c r="E447" s="114">
        <f>IF(OR(B447="",C447="",D447=""),"",VLOOKUP(C447,'Horario Pabellones'!$A$4:$D$17,4,FALSE))</f>
        <v/>
      </c>
      <c r="F447" s="124">
        <f>IFERROR(IF(OR(D447="",E447="",E447=0),"",(D447/60)/(E447/60)),"")</f>
        <v/>
      </c>
      <c r="G447" s="112">
        <f>IF(F447="","",IF(F447&gt;=0.75,"Cumple referencia","Bajo referencia"))</f>
        <v/>
      </c>
      <c r="J447" s="94" t="n"/>
      <c r="K447" s="95" t="n"/>
      <c r="L447" s="95" t="n"/>
      <c r="M447" s="96" t="n"/>
      <c r="N447" s="95" t="n"/>
    </row>
    <row r="448" ht="16" customHeight="1" s="151">
      <c r="A448" s="109">
        <f>IF(OR('Carga Web Cirugias'!A448="",'Carga Web Cirugias'!M448=""),"",_xludf.ISOWEEKNUM('Carga Web Cirugias'!A448))</f>
        <v/>
      </c>
      <c r="B448" s="117">
        <f>IF('Carga Web Cirugias'!A448="","",'Carga Web Cirugias'!A448)</f>
        <v/>
      </c>
      <c r="C448" s="109">
        <f>IF('Carga Web Cirugias'!M448="","",'Carga Web Cirugias'!M448)</f>
        <v/>
      </c>
      <c r="D448" s="111">
        <f>IFERROR(IF(OR(B448="",C448="",COUNTIFS($B$4:B448,B448,$C$4:C448,C448)&gt;1),"",(_xludf.AGGREGATE(14,6,MOD('Carga Web Cirugias'!$S$4:$S$500,1)/(('Carga Web Cirugias'!$A$4:$A$500=B448)*('Carga Web Cirugias'!$M$4:$M$500=C448)*('Carga Web Cirugias'!$R$4:$R$500&lt;&gt;"")*('Carga Web Cirugias'!$S$4:$S$500&lt;&gt;"")),1)-_xludf.AGGREGATE(15,6,MOD('Carga Web Cirugias'!$R$4:$R$500,1)/(('Carga Web Cirugias'!$A$4:$A$500=B448)*('Carga Web Cirugias'!$M$4:$M$500=C448)*('Carga Web Cirugias'!$R$4:$R$500&lt;&gt;"")*('Carga Web Cirugias'!$S$4:$S$500&lt;&gt;"")),1))*1440),"")</f>
        <v/>
      </c>
      <c r="E448" s="111">
        <f>IF(OR(B448="",C448="",D448=""),"",VLOOKUP(C448,'Horario Pabellones'!$A$4:$D$17,4,FALSE))</f>
        <v/>
      </c>
      <c r="F448" s="118">
        <f>IFERROR(IF(OR(D448="",E448="",E448=0),"",(D448/60)/(E448/60)),"")</f>
        <v/>
      </c>
      <c r="G448" s="109">
        <f>IF(F448="","",IF(F448&gt;=0.75,"Cumple referencia","Bajo referencia"))</f>
        <v/>
      </c>
      <c r="J448" s="94" t="n"/>
      <c r="K448" s="95" t="n"/>
      <c r="L448" s="95" t="n"/>
      <c r="M448" s="96" t="n"/>
      <c r="N448" s="95" t="n"/>
    </row>
    <row r="449" ht="16" customHeight="1" s="151">
      <c r="A449" s="112">
        <f>IF(OR('Carga Web Cirugias'!A449="",'Carga Web Cirugias'!M449=""),"",_xludf.ISOWEEKNUM('Carga Web Cirugias'!A449))</f>
        <v/>
      </c>
      <c r="B449" s="123">
        <f>IF('Carga Web Cirugias'!A449="","",'Carga Web Cirugias'!A449)</f>
        <v/>
      </c>
      <c r="C449" s="112">
        <f>IF('Carga Web Cirugias'!M449="","",'Carga Web Cirugias'!M449)</f>
        <v/>
      </c>
      <c r="D449" s="114">
        <f>IFERROR(IF(OR(B449="",C449="",COUNTIFS($B$4:B449,B449,$C$4:C449,C449)&gt;1),"",(_xludf.AGGREGATE(14,6,MOD('Carga Web Cirugias'!$S$4:$S$500,1)/(('Carga Web Cirugias'!$A$4:$A$500=B449)*('Carga Web Cirugias'!$M$4:$M$500=C449)*('Carga Web Cirugias'!$R$4:$R$500&lt;&gt;"")*('Carga Web Cirugias'!$S$4:$S$500&lt;&gt;"")),1)-_xludf.AGGREGATE(15,6,MOD('Carga Web Cirugias'!$R$4:$R$500,1)/(('Carga Web Cirugias'!$A$4:$A$500=B449)*('Carga Web Cirugias'!$M$4:$M$500=C449)*('Carga Web Cirugias'!$R$4:$R$500&lt;&gt;"")*('Carga Web Cirugias'!$S$4:$S$500&lt;&gt;"")),1))*1440),"")</f>
        <v/>
      </c>
      <c r="E449" s="114">
        <f>IF(OR(B449="",C449="",D449=""),"",VLOOKUP(C449,'Horario Pabellones'!$A$4:$D$17,4,FALSE))</f>
        <v/>
      </c>
      <c r="F449" s="124">
        <f>IFERROR(IF(OR(D449="",E449="",E449=0),"",(D449/60)/(E449/60)),"")</f>
        <v/>
      </c>
      <c r="G449" s="112">
        <f>IF(F449="","",IF(F449&gt;=0.75,"Cumple referencia","Bajo referencia"))</f>
        <v/>
      </c>
      <c r="J449" s="94" t="n"/>
      <c r="K449" s="95" t="n"/>
      <c r="L449" s="95" t="n"/>
      <c r="M449" s="96" t="n"/>
      <c r="N449" s="95" t="n"/>
    </row>
    <row r="450" ht="16" customHeight="1" s="151">
      <c r="A450" s="109">
        <f>IF(OR('Carga Web Cirugias'!A450="",'Carga Web Cirugias'!M450=""),"",_xludf.ISOWEEKNUM('Carga Web Cirugias'!A450))</f>
        <v/>
      </c>
      <c r="B450" s="117">
        <f>IF('Carga Web Cirugias'!A450="","",'Carga Web Cirugias'!A450)</f>
        <v/>
      </c>
      <c r="C450" s="109">
        <f>IF('Carga Web Cirugias'!M450="","",'Carga Web Cirugias'!M450)</f>
        <v/>
      </c>
      <c r="D450" s="111">
        <f>IFERROR(IF(OR(B450="",C450="",COUNTIFS($B$4:B450,B450,$C$4:C450,C450)&gt;1),"",(_xludf.AGGREGATE(14,6,MOD('Carga Web Cirugias'!$S$4:$S$500,1)/(('Carga Web Cirugias'!$A$4:$A$500=B450)*('Carga Web Cirugias'!$M$4:$M$500=C450)*('Carga Web Cirugias'!$R$4:$R$500&lt;&gt;"")*('Carga Web Cirugias'!$S$4:$S$500&lt;&gt;"")),1)-_xludf.AGGREGATE(15,6,MOD('Carga Web Cirugias'!$R$4:$R$500,1)/(('Carga Web Cirugias'!$A$4:$A$500=B450)*('Carga Web Cirugias'!$M$4:$M$500=C450)*('Carga Web Cirugias'!$R$4:$R$500&lt;&gt;"")*('Carga Web Cirugias'!$S$4:$S$500&lt;&gt;"")),1))*1440),"")</f>
        <v/>
      </c>
      <c r="E450" s="111">
        <f>IF(OR(B450="",C450="",D450=""),"",VLOOKUP(C450,'Horario Pabellones'!$A$4:$D$17,4,FALSE))</f>
        <v/>
      </c>
      <c r="F450" s="118">
        <f>IFERROR(IF(OR(D450="",E450="",E450=0),"",(D450/60)/(E450/60)),"")</f>
        <v/>
      </c>
      <c r="G450" s="109">
        <f>IF(F450="","",IF(F450&gt;=0.75,"Cumple referencia","Bajo referencia"))</f>
        <v/>
      </c>
      <c r="J450" s="94" t="n"/>
      <c r="K450" s="95" t="n"/>
      <c r="L450" s="95" t="n"/>
      <c r="M450" s="96" t="n"/>
      <c r="N450" s="95" t="n"/>
    </row>
    <row r="451" ht="16" customHeight="1" s="151">
      <c r="A451" s="112">
        <f>IF(OR('Carga Web Cirugias'!A451="",'Carga Web Cirugias'!M451=""),"",_xludf.ISOWEEKNUM('Carga Web Cirugias'!A451))</f>
        <v/>
      </c>
      <c r="B451" s="123">
        <f>IF('Carga Web Cirugias'!A451="","",'Carga Web Cirugias'!A451)</f>
        <v/>
      </c>
      <c r="C451" s="112">
        <f>IF('Carga Web Cirugias'!M451="","",'Carga Web Cirugias'!M451)</f>
        <v/>
      </c>
      <c r="D451" s="114">
        <f>IFERROR(IF(OR(B451="",C451="",COUNTIFS($B$4:B451,B451,$C$4:C451,C451)&gt;1),"",(_xludf.AGGREGATE(14,6,MOD('Carga Web Cirugias'!$S$4:$S$500,1)/(('Carga Web Cirugias'!$A$4:$A$500=B451)*('Carga Web Cirugias'!$M$4:$M$500=C451)*('Carga Web Cirugias'!$R$4:$R$500&lt;&gt;"")*('Carga Web Cirugias'!$S$4:$S$500&lt;&gt;"")),1)-_xludf.AGGREGATE(15,6,MOD('Carga Web Cirugias'!$R$4:$R$500,1)/(('Carga Web Cirugias'!$A$4:$A$500=B451)*('Carga Web Cirugias'!$M$4:$M$500=C451)*('Carga Web Cirugias'!$R$4:$R$500&lt;&gt;"")*('Carga Web Cirugias'!$S$4:$S$500&lt;&gt;"")),1))*1440),"")</f>
        <v/>
      </c>
      <c r="E451" s="114">
        <f>IF(OR(B451="",C451="",D451=""),"",VLOOKUP(C451,'Horario Pabellones'!$A$4:$D$17,4,FALSE))</f>
        <v/>
      </c>
      <c r="F451" s="124">
        <f>IFERROR(IF(OR(D451="",E451="",E451=0),"",(D451/60)/(E451/60)),"")</f>
        <v/>
      </c>
      <c r="G451" s="112">
        <f>IF(F451="","",IF(F451&gt;=0.75,"Cumple referencia","Bajo referencia"))</f>
        <v/>
      </c>
      <c r="J451" s="94" t="n"/>
      <c r="K451" s="95" t="n"/>
      <c r="L451" s="95" t="n"/>
      <c r="M451" s="96" t="n"/>
      <c r="N451" s="95" t="n"/>
    </row>
    <row r="452" ht="16" customHeight="1" s="151">
      <c r="A452" s="109">
        <f>IF(OR('Carga Web Cirugias'!A452="",'Carga Web Cirugias'!M452=""),"",_xludf.ISOWEEKNUM('Carga Web Cirugias'!A452))</f>
        <v/>
      </c>
      <c r="B452" s="117">
        <f>IF('Carga Web Cirugias'!A452="","",'Carga Web Cirugias'!A452)</f>
        <v/>
      </c>
      <c r="C452" s="109">
        <f>IF('Carga Web Cirugias'!M452="","",'Carga Web Cirugias'!M452)</f>
        <v/>
      </c>
      <c r="D452" s="111">
        <f>IFERROR(IF(OR(B452="",C452="",COUNTIFS($B$4:B452,B452,$C$4:C452,C452)&gt;1),"",(_xludf.AGGREGATE(14,6,MOD('Carga Web Cirugias'!$S$4:$S$500,1)/(('Carga Web Cirugias'!$A$4:$A$500=B452)*('Carga Web Cirugias'!$M$4:$M$500=C452)*('Carga Web Cirugias'!$R$4:$R$500&lt;&gt;"")*('Carga Web Cirugias'!$S$4:$S$500&lt;&gt;"")),1)-_xludf.AGGREGATE(15,6,MOD('Carga Web Cirugias'!$R$4:$R$500,1)/(('Carga Web Cirugias'!$A$4:$A$500=B452)*('Carga Web Cirugias'!$M$4:$M$500=C452)*('Carga Web Cirugias'!$R$4:$R$500&lt;&gt;"")*('Carga Web Cirugias'!$S$4:$S$500&lt;&gt;"")),1))*1440),"")</f>
        <v/>
      </c>
      <c r="E452" s="111">
        <f>IF(OR(B452="",C452="",D452=""),"",VLOOKUP(C452,'Horario Pabellones'!$A$4:$D$17,4,FALSE))</f>
        <v/>
      </c>
      <c r="F452" s="118">
        <f>IFERROR(IF(OR(D452="",E452="",E452=0),"",(D452/60)/(E452/60)),"")</f>
        <v/>
      </c>
      <c r="G452" s="109">
        <f>IF(F452="","",IF(F452&gt;=0.75,"Cumple referencia","Bajo referencia"))</f>
        <v/>
      </c>
      <c r="J452" s="94" t="n"/>
      <c r="K452" s="95" t="n"/>
      <c r="L452" s="95" t="n"/>
      <c r="M452" s="96" t="n"/>
      <c r="N452" s="95" t="n"/>
    </row>
    <row r="453" ht="16" customHeight="1" s="151">
      <c r="A453" s="112">
        <f>IF(OR('Carga Web Cirugias'!A453="",'Carga Web Cirugias'!M453=""),"",_xludf.ISOWEEKNUM('Carga Web Cirugias'!A453))</f>
        <v/>
      </c>
      <c r="B453" s="123">
        <f>IF('Carga Web Cirugias'!A453="","",'Carga Web Cirugias'!A453)</f>
        <v/>
      </c>
      <c r="C453" s="112">
        <f>IF('Carga Web Cirugias'!M453="","",'Carga Web Cirugias'!M453)</f>
        <v/>
      </c>
      <c r="D453" s="114">
        <f>IFERROR(IF(OR(B453="",C453="",COUNTIFS($B$4:B453,B453,$C$4:C453,C453)&gt;1),"",(_xludf.AGGREGATE(14,6,MOD('Carga Web Cirugias'!$S$4:$S$500,1)/(('Carga Web Cirugias'!$A$4:$A$500=B453)*('Carga Web Cirugias'!$M$4:$M$500=C453)*('Carga Web Cirugias'!$R$4:$R$500&lt;&gt;"")*('Carga Web Cirugias'!$S$4:$S$500&lt;&gt;"")),1)-_xludf.AGGREGATE(15,6,MOD('Carga Web Cirugias'!$R$4:$R$500,1)/(('Carga Web Cirugias'!$A$4:$A$500=B453)*('Carga Web Cirugias'!$M$4:$M$500=C453)*('Carga Web Cirugias'!$R$4:$R$500&lt;&gt;"")*('Carga Web Cirugias'!$S$4:$S$500&lt;&gt;"")),1))*1440),"")</f>
        <v/>
      </c>
      <c r="E453" s="114">
        <f>IF(OR(B453="",C453="",D453=""),"",VLOOKUP(C453,'Horario Pabellones'!$A$4:$D$17,4,FALSE))</f>
        <v/>
      </c>
      <c r="F453" s="124">
        <f>IFERROR(IF(OR(D453="",E453="",E453=0),"",(D453/60)/(E453/60)),"")</f>
        <v/>
      </c>
      <c r="G453" s="112">
        <f>IF(F453="","",IF(F453&gt;=0.75,"Cumple referencia","Bajo referencia"))</f>
        <v/>
      </c>
      <c r="J453" s="94" t="n"/>
      <c r="K453" s="95" t="n"/>
      <c r="L453" s="95" t="n"/>
      <c r="M453" s="96" t="n"/>
      <c r="N453" s="95" t="n"/>
    </row>
    <row r="454" ht="16" customHeight="1" s="151">
      <c r="A454" s="109">
        <f>IF(OR('Carga Web Cirugias'!A454="",'Carga Web Cirugias'!M454=""),"",_xludf.ISOWEEKNUM('Carga Web Cirugias'!A454))</f>
        <v/>
      </c>
      <c r="B454" s="117">
        <f>IF('Carga Web Cirugias'!A454="","",'Carga Web Cirugias'!A454)</f>
        <v/>
      </c>
      <c r="C454" s="109">
        <f>IF('Carga Web Cirugias'!M454="","",'Carga Web Cirugias'!M454)</f>
        <v/>
      </c>
      <c r="D454" s="111">
        <f>IFERROR(IF(OR(B454="",C454="",COUNTIFS($B$4:B454,B454,$C$4:C454,C454)&gt;1),"",(_xludf.AGGREGATE(14,6,MOD('Carga Web Cirugias'!$S$4:$S$500,1)/(('Carga Web Cirugias'!$A$4:$A$500=B454)*('Carga Web Cirugias'!$M$4:$M$500=C454)*('Carga Web Cirugias'!$R$4:$R$500&lt;&gt;"")*('Carga Web Cirugias'!$S$4:$S$500&lt;&gt;"")),1)-_xludf.AGGREGATE(15,6,MOD('Carga Web Cirugias'!$R$4:$R$500,1)/(('Carga Web Cirugias'!$A$4:$A$500=B454)*('Carga Web Cirugias'!$M$4:$M$500=C454)*('Carga Web Cirugias'!$R$4:$R$500&lt;&gt;"")*('Carga Web Cirugias'!$S$4:$S$500&lt;&gt;"")),1))*1440),"")</f>
        <v/>
      </c>
      <c r="E454" s="111">
        <f>IF(OR(B454="",C454="",D454=""),"",VLOOKUP(C454,'Horario Pabellones'!$A$4:$D$17,4,FALSE))</f>
        <v/>
      </c>
      <c r="F454" s="118">
        <f>IFERROR(IF(OR(D454="",E454="",E454=0),"",(D454/60)/(E454/60)),"")</f>
        <v/>
      </c>
      <c r="G454" s="109">
        <f>IF(F454="","",IF(F454&gt;=0.75,"Cumple referencia","Bajo referencia"))</f>
        <v/>
      </c>
      <c r="J454" s="94" t="n"/>
      <c r="K454" s="95" t="n"/>
      <c r="L454" s="95" t="n"/>
      <c r="M454" s="96" t="n"/>
      <c r="N454" s="95" t="n"/>
    </row>
    <row r="455" ht="16" customHeight="1" s="151">
      <c r="A455" s="112">
        <f>IF(OR('Carga Web Cirugias'!A455="",'Carga Web Cirugias'!M455=""),"",_xludf.ISOWEEKNUM('Carga Web Cirugias'!A455))</f>
        <v/>
      </c>
      <c r="B455" s="123">
        <f>IF('Carga Web Cirugias'!A455="","",'Carga Web Cirugias'!A455)</f>
        <v/>
      </c>
      <c r="C455" s="112">
        <f>IF('Carga Web Cirugias'!M455="","",'Carga Web Cirugias'!M455)</f>
        <v/>
      </c>
      <c r="D455" s="114">
        <f>IFERROR(IF(OR(B455="",C455="",COUNTIFS($B$4:B455,B455,$C$4:C455,C455)&gt;1),"",(_xludf.AGGREGATE(14,6,MOD('Carga Web Cirugias'!$S$4:$S$500,1)/(('Carga Web Cirugias'!$A$4:$A$500=B455)*('Carga Web Cirugias'!$M$4:$M$500=C455)*('Carga Web Cirugias'!$R$4:$R$500&lt;&gt;"")*('Carga Web Cirugias'!$S$4:$S$500&lt;&gt;"")),1)-_xludf.AGGREGATE(15,6,MOD('Carga Web Cirugias'!$R$4:$R$500,1)/(('Carga Web Cirugias'!$A$4:$A$500=B455)*('Carga Web Cirugias'!$M$4:$M$500=C455)*('Carga Web Cirugias'!$R$4:$R$500&lt;&gt;"")*('Carga Web Cirugias'!$S$4:$S$500&lt;&gt;"")),1))*1440),"")</f>
        <v/>
      </c>
      <c r="E455" s="114">
        <f>IF(OR(B455="",C455="",D455=""),"",VLOOKUP(C455,'Horario Pabellones'!$A$4:$D$17,4,FALSE))</f>
        <v/>
      </c>
      <c r="F455" s="124">
        <f>IFERROR(IF(OR(D455="",E455="",E455=0),"",(D455/60)/(E455/60)),"")</f>
        <v/>
      </c>
      <c r="G455" s="112">
        <f>IF(F455="","",IF(F455&gt;=0.75,"Cumple referencia","Bajo referencia"))</f>
        <v/>
      </c>
      <c r="J455" s="94" t="n"/>
      <c r="K455" s="95" t="n"/>
      <c r="L455" s="95" t="n"/>
      <c r="M455" s="96" t="n"/>
      <c r="N455" s="95" t="n"/>
    </row>
    <row r="456" ht="16" customHeight="1" s="151">
      <c r="A456" s="109">
        <f>IF(OR('Carga Web Cirugias'!A456="",'Carga Web Cirugias'!M456=""),"",_xludf.ISOWEEKNUM('Carga Web Cirugias'!A456))</f>
        <v/>
      </c>
      <c r="B456" s="117">
        <f>IF('Carga Web Cirugias'!A456="","",'Carga Web Cirugias'!A456)</f>
        <v/>
      </c>
      <c r="C456" s="109">
        <f>IF('Carga Web Cirugias'!M456="","",'Carga Web Cirugias'!M456)</f>
        <v/>
      </c>
      <c r="D456" s="111">
        <f>IFERROR(IF(OR(B456="",C456="",COUNTIFS($B$4:B456,B456,$C$4:C456,C456)&gt;1),"",(_xludf.AGGREGATE(14,6,MOD('Carga Web Cirugias'!$S$4:$S$500,1)/(('Carga Web Cirugias'!$A$4:$A$500=B456)*('Carga Web Cirugias'!$M$4:$M$500=C456)*('Carga Web Cirugias'!$R$4:$R$500&lt;&gt;"")*('Carga Web Cirugias'!$S$4:$S$500&lt;&gt;"")),1)-_xludf.AGGREGATE(15,6,MOD('Carga Web Cirugias'!$R$4:$R$500,1)/(('Carga Web Cirugias'!$A$4:$A$500=B456)*('Carga Web Cirugias'!$M$4:$M$500=C456)*('Carga Web Cirugias'!$R$4:$R$500&lt;&gt;"")*('Carga Web Cirugias'!$S$4:$S$500&lt;&gt;"")),1))*1440),"")</f>
        <v/>
      </c>
      <c r="E456" s="111">
        <f>IF(OR(B456="",C456="",D456=""),"",VLOOKUP(C456,'Horario Pabellones'!$A$4:$D$17,4,FALSE))</f>
        <v/>
      </c>
      <c r="F456" s="118">
        <f>IFERROR(IF(OR(D456="",E456="",E456=0),"",(D456/60)/(E456/60)),"")</f>
        <v/>
      </c>
      <c r="G456" s="109">
        <f>IF(F456="","",IF(F456&gt;=0.75,"Cumple referencia","Bajo referencia"))</f>
        <v/>
      </c>
      <c r="J456" s="94" t="n"/>
      <c r="K456" s="95" t="n"/>
      <c r="L456" s="95" t="n"/>
      <c r="M456" s="96" t="n"/>
      <c r="N456" s="95" t="n"/>
    </row>
    <row r="457" ht="16" customHeight="1" s="151">
      <c r="A457" s="112">
        <f>IF(OR('Carga Web Cirugias'!A457="",'Carga Web Cirugias'!M457=""),"",_xludf.ISOWEEKNUM('Carga Web Cirugias'!A457))</f>
        <v/>
      </c>
      <c r="B457" s="123">
        <f>IF('Carga Web Cirugias'!A457="","",'Carga Web Cirugias'!A457)</f>
        <v/>
      </c>
      <c r="C457" s="112">
        <f>IF('Carga Web Cirugias'!M457="","",'Carga Web Cirugias'!M457)</f>
        <v/>
      </c>
      <c r="D457" s="114">
        <f>IFERROR(IF(OR(B457="",C457="",COUNTIFS($B$4:B457,B457,$C$4:C457,C457)&gt;1),"",(_xludf.AGGREGATE(14,6,MOD('Carga Web Cirugias'!$S$4:$S$500,1)/(('Carga Web Cirugias'!$A$4:$A$500=B457)*('Carga Web Cirugias'!$M$4:$M$500=C457)*('Carga Web Cirugias'!$R$4:$R$500&lt;&gt;"")*('Carga Web Cirugias'!$S$4:$S$500&lt;&gt;"")),1)-_xludf.AGGREGATE(15,6,MOD('Carga Web Cirugias'!$R$4:$R$500,1)/(('Carga Web Cirugias'!$A$4:$A$500=B457)*('Carga Web Cirugias'!$M$4:$M$500=C457)*('Carga Web Cirugias'!$R$4:$R$500&lt;&gt;"")*('Carga Web Cirugias'!$S$4:$S$500&lt;&gt;"")),1))*1440),"")</f>
        <v/>
      </c>
      <c r="E457" s="114">
        <f>IF(OR(B457="",C457="",D457=""),"",VLOOKUP(C457,'Horario Pabellones'!$A$4:$D$17,4,FALSE))</f>
        <v/>
      </c>
      <c r="F457" s="124">
        <f>IFERROR(IF(OR(D457="",E457="",E457=0),"",(D457/60)/(E457/60)),"")</f>
        <v/>
      </c>
      <c r="G457" s="112">
        <f>IF(F457="","",IF(F457&gt;=0.75,"Cumple referencia","Bajo referencia"))</f>
        <v/>
      </c>
      <c r="J457" s="94" t="n"/>
      <c r="K457" s="95" t="n"/>
      <c r="L457" s="95" t="n"/>
      <c r="M457" s="96" t="n"/>
      <c r="N457" s="95" t="n"/>
    </row>
    <row r="458" ht="16" customHeight="1" s="151">
      <c r="A458" s="109">
        <f>IF(OR('Carga Web Cirugias'!A458="",'Carga Web Cirugias'!M458=""),"",_xludf.ISOWEEKNUM('Carga Web Cirugias'!A458))</f>
        <v/>
      </c>
      <c r="B458" s="117">
        <f>IF('Carga Web Cirugias'!A458="","",'Carga Web Cirugias'!A458)</f>
        <v/>
      </c>
      <c r="C458" s="109">
        <f>IF('Carga Web Cirugias'!M458="","",'Carga Web Cirugias'!M458)</f>
        <v/>
      </c>
      <c r="D458" s="111">
        <f>IFERROR(IF(OR(B458="",C458="",COUNTIFS($B$4:B458,B458,$C$4:C458,C458)&gt;1),"",(_xludf.AGGREGATE(14,6,MOD('Carga Web Cirugias'!$S$4:$S$500,1)/(('Carga Web Cirugias'!$A$4:$A$500=B458)*('Carga Web Cirugias'!$M$4:$M$500=C458)*('Carga Web Cirugias'!$R$4:$R$500&lt;&gt;"")*('Carga Web Cirugias'!$S$4:$S$500&lt;&gt;"")),1)-_xludf.AGGREGATE(15,6,MOD('Carga Web Cirugias'!$R$4:$R$500,1)/(('Carga Web Cirugias'!$A$4:$A$500=B458)*('Carga Web Cirugias'!$M$4:$M$500=C458)*('Carga Web Cirugias'!$R$4:$R$500&lt;&gt;"")*('Carga Web Cirugias'!$S$4:$S$500&lt;&gt;"")),1))*1440),"")</f>
        <v/>
      </c>
      <c r="E458" s="111">
        <f>IF(OR(B458="",C458="",D458=""),"",VLOOKUP(C458,'Horario Pabellones'!$A$4:$D$17,4,FALSE))</f>
        <v/>
      </c>
      <c r="F458" s="118">
        <f>IFERROR(IF(OR(D458="",E458="",E458=0),"",(D458/60)/(E458/60)),"")</f>
        <v/>
      </c>
      <c r="G458" s="109">
        <f>IF(F458="","",IF(F458&gt;=0.75,"Cumple referencia","Bajo referencia"))</f>
        <v/>
      </c>
      <c r="J458" s="94" t="n"/>
      <c r="K458" s="95" t="n"/>
      <c r="L458" s="95" t="n"/>
      <c r="M458" s="96" t="n"/>
      <c r="N458" s="95" t="n"/>
    </row>
    <row r="459" ht="16" customHeight="1" s="151">
      <c r="A459" s="112">
        <f>IF(OR('Carga Web Cirugias'!A459="",'Carga Web Cirugias'!M459=""),"",_xludf.ISOWEEKNUM('Carga Web Cirugias'!A459))</f>
        <v/>
      </c>
      <c r="B459" s="123">
        <f>IF('Carga Web Cirugias'!A459="","",'Carga Web Cirugias'!A459)</f>
        <v/>
      </c>
      <c r="C459" s="112">
        <f>IF('Carga Web Cirugias'!M459="","",'Carga Web Cirugias'!M459)</f>
        <v/>
      </c>
      <c r="D459" s="114">
        <f>IFERROR(IF(OR(B459="",C459="",COUNTIFS($B$4:B459,B459,$C$4:C459,C459)&gt;1),"",(_xludf.AGGREGATE(14,6,MOD('Carga Web Cirugias'!$S$4:$S$500,1)/(('Carga Web Cirugias'!$A$4:$A$500=B459)*('Carga Web Cirugias'!$M$4:$M$500=C459)*('Carga Web Cirugias'!$R$4:$R$500&lt;&gt;"")*('Carga Web Cirugias'!$S$4:$S$500&lt;&gt;"")),1)-_xludf.AGGREGATE(15,6,MOD('Carga Web Cirugias'!$R$4:$R$500,1)/(('Carga Web Cirugias'!$A$4:$A$500=B459)*('Carga Web Cirugias'!$M$4:$M$500=C459)*('Carga Web Cirugias'!$R$4:$R$500&lt;&gt;"")*('Carga Web Cirugias'!$S$4:$S$500&lt;&gt;"")),1))*1440),"")</f>
        <v/>
      </c>
      <c r="E459" s="114">
        <f>IF(OR(B459="",C459="",D459=""),"",VLOOKUP(C459,'Horario Pabellones'!$A$4:$D$17,4,FALSE))</f>
        <v/>
      </c>
      <c r="F459" s="124">
        <f>IFERROR(IF(OR(D459="",E459="",E459=0),"",(D459/60)/(E459/60)),"")</f>
        <v/>
      </c>
      <c r="G459" s="112">
        <f>IF(F459="","",IF(F459&gt;=0.75,"Cumple referencia","Bajo referencia"))</f>
        <v/>
      </c>
      <c r="J459" s="94" t="n"/>
      <c r="K459" s="95" t="n"/>
      <c r="L459" s="95" t="n"/>
      <c r="M459" s="96" t="n"/>
      <c r="N459" s="95" t="n"/>
    </row>
    <row r="460" ht="16" customHeight="1" s="151">
      <c r="A460" s="109">
        <f>IF(OR('Carga Web Cirugias'!A460="",'Carga Web Cirugias'!M460=""),"",_xludf.ISOWEEKNUM('Carga Web Cirugias'!A460))</f>
        <v/>
      </c>
      <c r="B460" s="117">
        <f>IF('Carga Web Cirugias'!A460="","",'Carga Web Cirugias'!A460)</f>
        <v/>
      </c>
      <c r="C460" s="109">
        <f>IF('Carga Web Cirugias'!M460="","",'Carga Web Cirugias'!M460)</f>
        <v/>
      </c>
      <c r="D460" s="111">
        <f>IFERROR(IF(OR(B460="",C460="",COUNTIFS($B$4:B460,B460,$C$4:C460,C460)&gt;1),"",(_xludf.AGGREGATE(14,6,MOD('Carga Web Cirugias'!$S$4:$S$500,1)/(('Carga Web Cirugias'!$A$4:$A$500=B460)*('Carga Web Cirugias'!$M$4:$M$500=C460)*('Carga Web Cirugias'!$R$4:$R$500&lt;&gt;"")*('Carga Web Cirugias'!$S$4:$S$500&lt;&gt;"")),1)-_xludf.AGGREGATE(15,6,MOD('Carga Web Cirugias'!$R$4:$R$500,1)/(('Carga Web Cirugias'!$A$4:$A$500=B460)*('Carga Web Cirugias'!$M$4:$M$500=C460)*('Carga Web Cirugias'!$R$4:$R$500&lt;&gt;"")*('Carga Web Cirugias'!$S$4:$S$500&lt;&gt;"")),1))*1440),"")</f>
        <v/>
      </c>
      <c r="E460" s="111">
        <f>IF(OR(B460="",C460="",D460=""),"",VLOOKUP(C460,'Horario Pabellones'!$A$4:$D$17,4,FALSE))</f>
        <v/>
      </c>
      <c r="F460" s="118">
        <f>IFERROR(IF(OR(D460="",E460="",E460=0),"",(D460/60)/(E460/60)),"")</f>
        <v/>
      </c>
      <c r="G460" s="109">
        <f>IF(F460="","",IF(F460&gt;=0.75,"Cumple referencia","Bajo referencia"))</f>
        <v/>
      </c>
      <c r="J460" s="94" t="n"/>
      <c r="K460" s="95" t="n"/>
      <c r="L460" s="95" t="n"/>
      <c r="M460" s="96" t="n"/>
      <c r="N460" s="95" t="n"/>
    </row>
    <row r="461" ht="16" customHeight="1" s="151">
      <c r="A461" s="112">
        <f>IF(OR('Carga Web Cirugias'!A461="",'Carga Web Cirugias'!M461=""),"",_xludf.ISOWEEKNUM('Carga Web Cirugias'!A461))</f>
        <v/>
      </c>
      <c r="B461" s="123">
        <f>IF('Carga Web Cirugias'!A461="","",'Carga Web Cirugias'!A461)</f>
        <v/>
      </c>
      <c r="C461" s="112">
        <f>IF('Carga Web Cirugias'!M461="","",'Carga Web Cirugias'!M461)</f>
        <v/>
      </c>
      <c r="D461" s="114">
        <f>IFERROR(IF(OR(B461="",C461="",COUNTIFS($B$4:B461,B461,$C$4:C461,C461)&gt;1),"",(_xludf.AGGREGATE(14,6,MOD('Carga Web Cirugias'!$S$4:$S$500,1)/(('Carga Web Cirugias'!$A$4:$A$500=B461)*('Carga Web Cirugias'!$M$4:$M$500=C461)*('Carga Web Cirugias'!$R$4:$R$500&lt;&gt;"")*('Carga Web Cirugias'!$S$4:$S$500&lt;&gt;"")),1)-_xludf.AGGREGATE(15,6,MOD('Carga Web Cirugias'!$R$4:$R$500,1)/(('Carga Web Cirugias'!$A$4:$A$500=B461)*('Carga Web Cirugias'!$M$4:$M$500=C461)*('Carga Web Cirugias'!$R$4:$R$500&lt;&gt;"")*('Carga Web Cirugias'!$S$4:$S$500&lt;&gt;"")),1))*1440),"")</f>
        <v/>
      </c>
      <c r="E461" s="114">
        <f>IF(OR(B461="",C461="",D461=""),"",VLOOKUP(C461,'Horario Pabellones'!$A$4:$D$17,4,FALSE))</f>
        <v/>
      </c>
      <c r="F461" s="124">
        <f>IFERROR(IF(OR(D461="",E461="",E461=0),"",(D461/60)/(E461/60)),"")</f>
        <v/>
      </c>
      <c r="G461" s="112">
        <f>IF(F461="","",IF(F461&gt;=0.75,"Cumple referencia","Bajo referencia"))</f>
        <v/>
      </c>
      <c r="J461" s="94" t="n"/>
      <c r="K461" s="95" t="n"/>
      <c r="L461" s="95" t="n"/>
      <c r="M461" s="96" t="n"/>
      <c r="N461" s="95" t="n"/>
    </row>
    <row r="462" ht="16" customHeight="1" s="151">
      <c r="A462" s="109">
        <f>IF(OR('Carga Web Cirugias'!A462="",'Carga Web Cirugias'!M462=""),"",_xludf.ISOWEEKNUM('Carga Web Cirugias'!A462))</f>
        <v/>
      </c>
      <c r="B462" s="117">
        <f>IF('Carga Web Cirugias'!A462="","",'Carga Web Cirugias'!A462)</f>
        <v/>
      </c>
      <c r="C462" s="109">
        <f>IF('Carga Web Cirugias'!M462="","",'Carga Web Cirugias'!M462)</f>
        <v/>
      </c>
      <c r="D462" s="111">
        <f>IFERROR(IF(OR(B462="",C462="",COUNTIFS($B$4:B462,B462,$C$4:C462,C462)&gt;1),"",(_xludf.AGGREGATE(14,6,MOD('Carga Web Cirugias'!$S$4:$S$500,1)/(('Carga Web Cirugias'!$A$4:$A$500=B462)*('Carga Web Cirugias'!$M$4:$M$500=C462)*('Carga Web Cirugias'!$R$4:$R$500&lt;&gt;"")*('Carga Web Cirugias'!$S$4:$S$500&lt;&gt;"")),1)-_xludf.AGGREGATE(15,6,MOD('Carga Web Cirugias'!$R$4:$R$500,1)/(('Carga Web Cirugias'!$A$4:$A$500=B462)*('Carga Web Cirugias'!$M$4:$M$500=C462)*('Carga Web Cirugias'!$R$4:$R$500&lt;&gt;"")*('Carga Web Cirugias'!$S$4:$S$500&lt;&gt;"")),1))*1440),"")</f>
        <v/>
      </c>
      <c r="E462" s="111">
        <f>IF(OR(B462="",C462="",D462=""),"",VLOOKUP(C462,'Horario Pabellones'!$A$4:$D$17,4,FALSE))</f>
        <v/>
      </c>
      <c r="F462" s="118">
        <f>IFERROR(IF(OR(D462="",E462="",E462=0),"",(D462/60)/(E462/60)),"")</f>
        <v/>
      </c>
      <c r="G462" s="109">
        <f>IF(F462="","",IF(F462&gt;=0.75,"Cumple referencia","Bajo referencia"))</f>
        <v/>
      </c>
      <c r="J462" s="94" t="n"/>
      <c r="K462" s="95" t="n"/>
      <c r="L462" s="95" t="n"/>
      <c r="M462" s="96" t="n"/>
      <c r="N462" s="95" t="n"/>
    </row>
    <row r="463" ht="16" customHeight="1" s="151">
      <c r="A463" s="112">
        <f>IF(OR('Carga Web Cirugias'!A463="",'Carga Web Cirugias'!M463=""),"",_xludf.ISOWEEKNUM('Carga Web Cirugias'!A463))</f>
        <v/>
      </c>
      <c r="B463" s="123">
        <f>IF('Carga Web Cirugias'!A463="","",'Carga Web Cirugias'!A463)</f>
        <v/>
      </c>
      <c r="C463" s="112">
        <f>IF('Carga Web Cirugias'!M463="","",'Carga Web Cirugias'!M463)</f>
        <v/>
      </c>
      <c r="D463" s="114">
        <f>IFERROR(IF(OR(B463="",C463="",COUNTIFS($B$4:B463,B463,$C$4:C463,C463)&gt;1),"",(_xludf.AGGREGATE(14,6,MOD('Carga Web Cirugias'!$S$4:$S$500,1)/(('Carga Web Cirugias'!$A$4:$A$500=B463)*('Carga Web Cirugias'!$M$4:$M$500=C463)*('Carga Web Cirugias'!$R$4:$R$500&lt;&gt;"")*('Carga Web Cirugias'!$S$4:$S$500&lt;&gt;"")),1)-_xludf.AGGREGATE(15,6,MOD('Carga Web Cirugias'!$R$4:$R$500,1)/(('Carga Web Cirugias'!$A$4:$A$500=B463)*('Carga Web Cirugias'!$M$4:$M$500=C463)*('Carga Web Cirugias'!$R$4:$R$500&lt;&gt;"")*('Carga Web Cirugias'!$S$4:$S$500&lt;&gt;"")),1))*1440),"")</f>
        <v/>
      </c>
      <c r="E463" s="114">
        <f>IF(OR(B463="",C463="",D463=""),"",VLOOKUP(C463,'Horario Pabellones'!$A$4:$D$17,4,FALSE))</f>
        <v/>
      </c>
      <c r="F463" s="124">
        <f>IFERROR(IF(OR(D463="",E463="",E463=0),"",(D463/60)/(E463/60)),"")</f>
        <v/>
      </c>
      <c r="G463" s="112">
        <f>IF(F463="","",IF(F463&gt;=0.75,"Cumple referencia","Bajo referencia"))</f>
        <v/>
      </c>
      <c r="J463" s="94" t="n"/>
      <c r="K463" s="95" t="n"/>
      <c r="L463" s="95" t="n"/>
      <c r="M463" s="96" t="n"/>
      <c r="N463" s="95" t="n"/>
    </row>
    <row r="464" ht="16" customHeight="1" s="151">
      <c r="A464" s="109">
        <f>IF(OR('Carga Web Cirugias'!A464="",'Carga Web Cirugias'!M464=""),"",_xludf.ISOWEEKNUM('Carga Web Cirugias'!A464))</f>
        <v/>
      </c>
      <c r="B464" s="117">
        <f>IF('Carga Web Cirugias'!A464="","",'Carga Web Cirugias'!A464)</f>
        <v/>
      </c>
      <c r="C464" s="109">
        <f>IF('Carga Web Cirugias'!M464="","",'Carga Web Cirugias'!M464)</f>
        <v/>
      </c>
      <c r="D464" s="111">
        <f>IFERROR(IF(OR(B464="",C464="",COUNTIFS($B$4:B464,B464,$C$4:C464,C464)&gt;1),"",(_xludf.AGGREGATE(14,6,MOD('Carga Web Cirugias'!$S$4:$S$500,1)/(('Carga Web Cirugias'!$A$4:$A$500=B464)*('Carga Web Cirugias'!$M$4:$M$500=C464)*('Carga Web Cirugias'!$R$4:$R$500&lt;&gt;"")*('Carga Web Cirugias'!$S$4:$S$500&lt;&gt;"")),1)-_xludf.AGGREGATE(15,6,MOD('Carga Web Cirugias'!$R$4:$R$500,1)/(('Carga Web Cirugias'!$A$4:$A$500=B464)*('Carga Web Cirugias'!$M$4:$M$500=C464)*('Carga Web Cirugias'!$R$4:$R$500&lt;&gt;"")*('Carga Web Cirugias'!$S$4:$S$500&lt;&gt;"")),1))*1440),"")</f>
        <v/>
      </c>
      <c r="E464" s="111">
        <f>IF(OR(B464="",C464="",D464=""),"",VLOOKUP(C464,'Horario Pabellones'!$A$4:$D$17,4,FALSE))</f>
        <v/>
      </c>
      <c r="F464" s="118">
        <f>IFERROR(IF(OR(D464="",E464="",E464=0),"",(D464/60)/(E464/60)),"")</f>
        <v/>
      </c>
      <c r="G464" s="109">
        <f>IF(F464="","",IF(F464&gt;=0.75,"Cumple referencia","Bajo referencia"))</f>
        <v/>
      </c>
      <c r="J464" s="94" t="n"/>
      <c r="K464" s="95" t="n"/>
      <c r="L464" s="95" t="n"/>
      <c r="M464" s="96" t="n"/>
      <c r="N464" s="95" t="n"/>
    </row>
    <row r="465" ht="16" customHeight="1" s="151">
      <c r="A465" s="112">
        <f>IF(OR('Carga Web Cirugias'!A465="",'Carga Web Cirugias'!M465=""),"",_xludf.ISOWEEKNUM('Carga Web Cirugias'!A465))</f>
        <v/>
      </c>
      <c r="B465" s="123">
        <f>IF('Carga Web Cirugias'!A465="","",'Carga Web Cirugias'!A465)</f>
        <v/>
      </c>
      <c r="C465" s="112">
        <f>IF('Carga Web Cirugias'!M465="","",'Carga Web Cirugias'!M465)</f>
        <v/>
      </c>
      <c r="D465" s="114">
        <f>IFERROR(IF(OR(B465="",C465="",COUNTIFS($B$4:B465,B465,$C$4:C465,C465)&gt;1),"",(_xludf.AGGREGATE(14,6,MOD('Carga Web Cirugias'!$S$4:$S$500,1)/(('Carga Web Cirugias'!$A$4:$A$500=B465)*('Carga Web Cirugias'!$M$4:$M$500=C465)*('Carga Web Cirugias'!$R$4:$R$500&lt;&gt;"")*('Carga Web Cirugias'!$S$4:$S$500&lt;&gt;"")),1)-_xludf.AGGREGATE(15,6,MOD('Carga Web Cirugias'!$R$4:$R$500,1)/(('Carga Web Cirugias'!$A$4:$A$500=B465)*('Carga Web Cirugias'!$M$4:$M$500=C465)*('Carga Web Cirugias'!$R$4:$R$500&lt;&gt;"")*('Carga Web Cirugias'!$S$4:$S$500&lt;&gt;"")),1))*1440),"")</f>
        <v/>
      </c>
      <c r="E465" s="114">
        <f>IF(OR(B465="",C465="",D465=""),"",VLOOKUP(C465,'Horario Pabellones'!$A$4:$D$17,4,FALSE))</f>
        <v/>
      </c>
      <c r="F465" s="124">
        <f>IFERROR(IF(OR(D465="",E465="",E465=0),"",(D465/60)/(E465/60)),"")</f>
        <v/>
      </c>
      <c r="G465" s="112">
        <f>IF(F465="","",IF(F465&gt;=0.75,"Cumple referencia","Bajo referencia"))</f>
        <v/>
      </c>
      <c r="J465" s="94" t="n"/>
      <c r="K465" s="95" t="n"/>
      <c r="L465" s="95" t="n"/>
      <c r="M465" s="96" t="n"/>
      <c r="N465" s="95" t="n"/>
    </row>
    <row r="466" ht="16" customHeight="1" s="151">
      <c r="A466" s="109">
        <f>IF(OR('Carga Web Cirugias'!A466="",'Carga Web Cirugias'!M466=""),"",_xludf.ISOWEEKNUM('Carga Web Cirugias'!A466))</f>
        <v/>
      </c>
      <c r="B466" s="117">
        <f>IF('Carga Web Cirugias'!A466="","",'Carga Web Cirugias'!A466)</f>
        <v/>
      </c>
      <c r="C466" s="109">
        <f>IF('Carga Web Cirugias'!M466="","",'Carga Web Cirugias'!M466)</f>
        <v/>
      </c>
      <c r="D466" s="111">
        <f>IFERROR(IF(OR(B466="",C466="",COUNTIFS($B$4:B466,B466,$C$4:C466,C466)&gt;1),"",(_xludf.AGGREGATE(14,6,MOD('Carga Web Cirugias'!$S$4:$S$500,1)/(('Carga Web Cirugias'!$A$4:$A$500=B466)*('Carga Web Cirugias'!$M$4:$M$500=C466)*('Carga Web Cirugias'!$R$4:$R$500&lt;&gt;"")*('Carga Web Cirugias'!$S$4:$S$500&lt;&gt;"")),1)-_xludf.AGGREGATE(15,6,MOD('Carga Web Cirugias'!$R$4:$R$500,1)/(('Carga Web Cirugias'!$A$4:$A$500=B466)*('Carga Web Cirugias'!$M$4:$M$500=C466)*('Carga Web Cirugias'!$R$4:$R$500&lt;&gt;"")*('Carga Web Cirugias'!$S$4:$S$500&lt;&gt;"")),1))*1440),"")</f>
        <v/>
      </c>
      <c r="E466" s="111">
        <f>IF(OR(B466="",C466="",D466=""),"",VLOOKUP(C466,'Horario Pabellones'!$A$4:$D$17,4,FALSE))</f>
        <v/>
      </c>
      <c r="F466" s="118">
        <f>IFERROR(IF(OR(D466="",E466="",E466=0),"",(D466/60)/(E466/60)),"")</f>
        <v/>
      </c>
      <c r="G466" s="109">
        <f>IF(F466="","",IF(F466&gt;=0.75,"Cumple referencia","Bajo referencia"))</f>
        <v/>
      </c>
      <c r="J466" s="94" t="n"/>
      <c r="K466" s="95" t="n"/>
      <c r="L466" s="95" t="n"/>
      <c r="M466" s="96" t="n"/>
      <c r="N466" s="95" t="n"/>
    </row>
    <row r="467" ht="16" customHeight="1" s="151">
      <c r="A467" s="112">
        <f>IF(OR('Carga Web Cirugias'!A467="",'Carga Web Cirugias'!M467=""),"",_xludf.ISOWEEKNUM('Carga Web Cirugias'!A467))</f>
        <v/>
      </c>
      <c r="B467" s="123">
        <f>IF('Carga Web Cirugias'!A467="","",'Carga Web Cirugias'!A467)</f>
        <v/>
      </c>
      <c r="C467" s="112">
        <f>IF('Carga Web Cirugias'!M467="","",'Carga Web Cirugias'!M467)</f>
        <v/>
      </c>
      <c r="D467" s="114">
        <f>IFERROR(IF(OR(B467="",C467="",COUNTIFS($B$4:B467,B467,$C$4:C467,C467)&gt;1),"",(_xludf.AGGREGATE(14,6,MOD('Carga Web Cirugias'!$S$4:$S$500,1)/(('Carga Web Cirugias'!$A$4:$A$500=B467)*('Carga Web Cirugias'!$M$4:$M$500=C467)*('Carga Web Cirugias'!$R$4:$R$500&lt;&gt;"")*('Carga Web Cirugias'!$S$4:$S$500&lt;&gt;"")),1)-_xludf.AGGREGATE(15,6,MOD('Carga Web Cirugias'!$R$4:$R$500,1)/(('Carga Web Cirugias'!$A$4:$A$500=B467)*('Carga Web Cirugias'!$M$4:$M$500=C467)*('Carga Web Cirugias'!$R$4:$R$500&lt;&gt;"")*('Carga Web Cirugias'!$S$4:$S$500&lt;&gt;"")),1))*1440),"")</f>
        <v/>
      </c>
      <c r="E467" s="114">
        <f>IF(OR(B467="",C467="",D467=""),"",VLOOKUP(C467,'Horario Pabellones'!$A$4:$D$17,4,FALSE))</f>
        <v/>
      </c>
      <c r="F467" s="124">
        <f>IFERROR(IF(OR(D467="",E467="",E467=0),"",(D467/60)/(E467/60)),"")</f>
        <v/>
      </c>
      <c r="G467" s="112">
        <f>IF(F467="","",IF(F467&gt;=0.75,"Cumple referencia","Bajo referencia"))</f>
        <v/>
      </c>
      <c r="J467" s="94" t="n"/>
      <c r="K467" s="95" t="n"/>
      <c r="L467" s="95" t="n"/>
      <c r="M467" s="96" t="n"/>
      <c r="N467" s="95" t="n"/>
    </row>
    <row r="468" ht="16" customHeight="1" s="151">
      <c r="A468" s="109">
        <f>IF(OR('Carga Web Cirugias'!A468="",'Carga Web Cirugias'!M468=""),"",_xludf.ISOWEEKNUM('Carga Web Cirugias'!A468))</f>
        <v/>
      </c>
      <c r="B468" s="117">
        <f>IF('Carga Web Cirugias'!A468="","",'Carga Web Cirugias'!A468)</f>
        <v/>
      </c>
      <c r="C468" s="109">
        <f>IF('Carga Web Cirugias'!M468="","",'Carga Web Cirugias'!M468)</f>
        <v/>
      </c>
      <c r="D468" s="111">
        <f>IFERROR(IF(OR(B468="",C468="",COUNTIFS($B$4:B468,B468,$C$4:C468,C468)&gt;1),"",(_xludf.AGGREGATE(14,6,MOD('Carga Web Cirugias'!$S$4:$S$500,1)/(('Carga Web Cirugias'!$A$4:$A$500=B468)*('Carga Web Cirugias'!$M$4:$M$500=C468)*('Carga Web Cirugias'!$R$4:$R$500&lt;&gt;"")*('Carga Web Cirugias'!$S$4:$S$500&lt;&gt;"")),1)-_xludf.AGGREGATE(15,6,MOD('Carga Web Cirugias'!$R$4:$R$500,1)/(('Carga Web Cirugias'!$A$4:$A$500=B468)*('Carga Web Cirugias'!$M$4:$M$500=C468)*('Carga Web Cirugias'!$R$4:$R$500&lt;&gt;"")*('Carga Web Cirugias'!$S$4:$S$500&lt;&gt;"")),1))*1440),"")</f>
        <v/>
      </c>
      <c r="E468" s="111">
        <f>IF(OR(B468="",C468="",D468=""),"",VLOOKUP(C468,'Horario Pabellones'!$A$4:$D$17,4,FALSE))</f>
        <v/>
      </c>
      <c r="F468" s="118">
        <f>IFERROR(IF(OR(D468="",E468="",E468=0),"",(D468/60)/(E468/60)),"")</f>
        <v/>
      </c>
      <c r="G468" s="109">
        <f>IF(F468="","",IF(F468&gt;=0.75,"Cumple referencia","Bajo referencia"))</f>
        <v/>
      </c>
      <c r="J468" s="94" t="n"/>
      <c r="K468" s="95" t="n"/>
      <c r="L468" s="95" t="n"/>
      <c r="M468" s="96" t="n"/>
      <c r="N468" s="95" t="n"/>
    </row>
    <row r="469" ht="16" customHeight="1" s="151">
      <c r="A469" s="112">
        <f>IF(OR('Carga Web Cirugias'!A469="",'Carga Web Cirugias'!M469=""),"",_xludf.ISOWEEKNUM('Carga Web Cirugias'!A469))</f>
        <v/>
      </c>
      <c r="B469" s="123">
        <f>IF('Carga Web Cirugias'!A469="","",'Carga Web Cirugias'!A469)</f>
        <v/>
      </c>
      <c r="C469" s="112">
        <f>IF('Carga Web Cirugias'!M469="","",'Carga Web Cirugias'!M469)</f>
        <v/>
      </c>
      <c r="D469" s="114">
        <f>IFERROR(IF(OR(B469="",C469="",COUNTIFS($B$4:B469,B469,$C$4:C469,C469)&gt;1),"",(_xludf.AGGREGATE(14,6,MOD('Carga Web Cirugias'!$S$4:$S$500,1)/(('Carga Web Cirugias'!$A$4:$A$500=B469)*('Carga Web Cirugias'!$M$4:$M$500=C469)*('Carga Web Cirugias'!$R$4:$R$500&lt;&gt;"")*('Carga Web Cirugias'!$S$4:$S$500&lt;&gt;"")),1)-_xludf.AGGREGATE(15,6,MOD('Carga Web Cirugias'!$R$4:$R$500,1)/(('Carga Web Cirugias'!$A$4:$A$500=B469)*('Carga Web Cirugias'!$M$4:$M$500=C469)*('Carga Web Cirugias'!$R$4:$R$500&lt;&gt;"")*('Carga Web Cirugias'!$S$4:$S$500&lt;&gt;"")),1))*1440),"")</f>
        <v/>
      </c>
      <c r="E469" s="114">
        <f>IF(OR(B469="",C469="",D469=""),"",VLOOKUP(C469,'Horario Pabellones'!$A$4:$D$17,4,FALSE))</f>
        <v/>
      </c>
      <c r="F469" s="124">
        <f>IFERROR(IF(OR(D469="",E469="",E469=0),"",(D469/60)/(E469/60)),"")</f>
        <v/>
      </c>
      <c r="G469" s="112">
        <f>IF(F469="","",IF(F469&gt;=0.75,"Cumple referencia","Bajo referencia"))</f>
        <v/>
      </c>
      <c r="J469" s="94" t="n"/>
      <c r="K469" s="95" t="n"/>
      <c r="L469" s="95" t="n"/>
      <c r="M469" s="96" t="n"/>
      <c r="N469" s="95" t="n"/>
    </row>
    <row r="470" ht="16" customHeight="1" s="151">
      <c r="A470" s="109">
        <f>IF(OR('Carga Web Cirugias'!A470="",'Carga Web Cirugias'!M470=""),"",_xludf.ISOWEEKNUM('Carga Web Cirugias'!A470))</f>
        <v/>
      </c>
      <c r="B470" s="117">
        <f>IF('Carga Web Cirugias'!A470="","",'Carga Web Cirugias'!A470)</f>
        <v/>
      </c>
      <c r="C470" s="109">
        <f>IF('Carga Web Cirugias'!M470="","",'Carga Web Cirugias'!M470)</f>
        <v/>
      </c>
      <c r="D470" s="111">
        <f>IFERROR(IF(OR(B470="",C470="",COUNTIFS($B$4:B470,B470,$C$4:C470,C470)&gt;1),"",(_xludf.AGGREGATE(14,6,MOD('Carga Web Cirugias'!$S$4:$S$500,1)/(('Carga Web Cirugias'!$A$4:$A$500=B470)*('Carga Web Cirugias'!$M$4:$M$500=C470)*('Carga Web Cirugias'!$R$4:$R$500&lt;&gt;"")*('Carga Web Cirugias'!$S$4:$S$500&lt;&gt;"")),1)-_xludf.AGGREGATE(15,6,MOD('Carga Web Cirugias'!$R$4:$R$500,1)/(('Carga Web Cirugias'!$A$4:$A$500=B470)*('Carga Web Cirugias'!$M$4:$M$500=C470)*('Carga Web Cirugias'!$R$4:$R$500&lt;&gt;"")*('Carga Web Cirugias'!$S$4:$S$500&lt;&gt;"")),1))*1440),"")</f>
        <v/>
      </c>
      <c r="E470" s="111">
        <f>IF(OR(B470="",C470="",D470=""),"",VLOOKUP(C470,'Horario Pabellones'!$A$4:$D$17,4,FALSE))</f>
        <v/>
      </c>
      <c r="F470" s="118">
        <f>IFERROR(IF(OR(D470="",E470="",E470=0),"",(D470/60)/(E470/60)),"")</f>
        <v/>
      </c>
      <c r="G470" s="109">
        <f>IF(F470="","",IF(F470&gt;=0.75,"Cumple referencia","Bajo referencia"))</f>
        <v/>
      </c>
      <c r="J470" s="94" t="n"/>
      <c r="K470" s="95" t="n"/>
      <c r="L470" s="95" t="n"/>
      <c r="M470" s="96" t="n"/>
      <c r="N470" s="95" t="n"/>
    </row>
    <row r="471" ht="16" customHeight="1" s="151">
      <c r="A471" s="112">
        <f>IF(OR('Carga Web Cirugias'!A471="",'Carga Web Cirugias'!M471=""),"",_xludf.ISOWEEKNUM('Carga Web Cirugias'!A471))</f>
        <v/>
      </c>
      <c r="B471" s="123">
        <f>IF('Carga Web Cirugias'!A471="","",'Carga Web Cirugias'!A471)</f>
        <v/>
      </c>
      <c r="C471" s="112">
        <f>IF('Carga Web Cirugias'!M471="","",'Carga Web Cirugias'!M471)</f>
        <v/>
      </c>
      <c r="D471" s="114">
        <f>IFERROR(IF(OR(B471="",C471="",COUNTIFS($B$4:B471,B471,$C$4:C471,C471)&gt;1),"",(_xludf.AGGREGATE(14,6,MOD('Carga Web Cirugias'!$S$4:$S$500,1)/(('Carga Web Cirugias'!$A$4:$A$500=B471)*('Carga Web Cirugias'!$M$4:$M$500=C471)*('Carga Web Cirugias'!$R$4:$R$500&lt;&gt;"")*('Carga Web Cirugias'!$S$4:$S$500&lt;&gt;"")),1)-_xludf.AGGREGATE(15,6,MOD('Carga Web Cirugias'!$R$4:$R$500,1)/(('Carga Web Cirugias'!$A$4:$A$500=B471)*('Carga Web Cirugias'!$M$4:$M$500=C471)*('Carga Web Cirugias'!$R$4:$R$500&lt;&gt;"")*('Carga Web Cirugias'!$S$4:$S$500&lt;&gt;"")),1))*1440),"")</f>
        <v/>
      </c>
      <c r="E471" s="114">
        <f>IF(OR(B471="",C471="",D471=""),"",VLOOKUP(C471,'Horario Pabellones'!$A$4:$D$17,4,FALSE))</f>
        <v/>
      </c>
      <c r="F471" s="124">
        <f>IFERROR(IF(OR(D471="",E471="",E471=0),"",(D471/60)/(E471/60)),"")</f>
        <v/>
      </c>
      <c r="G471" s="112">
        <f>IF(F471="","",IF(F471&gt;=0.75,"Cumple referencia","Bajo referencia"))</f>
        <v/>
      </c>
      <c r="J471" s="94" t="n"/>
      <c r="K471" s="95" t="n"/>
      <c r="L471" s="95" t="n"/>
      <c r="M471" s="96" t="n"/>
      <c r="N471" s="95" t="n"/>
    </row>
    <row r="472" ht="16" customHeight="1" s="151">
      <c r="A472" s="109">
        <f>IF(OR('Carga Web Cirugias'!A472="",'Carga Web Cirugias'!M472=""),"",_xludf.ISOWEEKNUM('Carga Web Cirugias'!A472))</f>
        <v/>
      </c>
      <c r="B472" s="117">
        <f>IF('Carga Web Cirugias'!A472="","",'Carga Web Cirugias'!A472)</f>
        <v/>
      </c>
      <c r="C472" s="109">
        <f>IF('Carga Web Cirugias'!M472="","",'Carga Web Cirugias'!M472)</f>
        <v/>
      </c>
      <c r="D472" s="111">
        <f>IFERROR(IF(OR(B472="",C472="",COUNTIFS($B$4:B472,B472,$C$4:C472,C472)&gt;1),"",(_xludf.AGGREGATE(14,6,MOD('Carga Web Cirugias'!$S$4:$S$500,1)/(('Carga Web Cirugias'!$A$4:$A$500=B472)*('Carga Web Cirugias'!$M$4:$M$500=C472)*('Carga Web Cirugias'!$R$4:$R$500&lt;&gt;"")*('Carga Web Cirugias'!$S$4:$S$500&lt;&gt;"")),1)-_xludf.AGGREGATE(15,6,MOD('Carga Web Cirugias'!$R$4:$R$500,1)/(('Carga Web Cirugias'!$A$4:$A$500=B472)*('Carga Web Cirugias'!$M$4:$M$500=C472)*('Carga Web Cirugias'!$R$4:$R$500&lt;&gt;"")*('Carga Web Cirugias'!$S$4:$S$500&lt;&gt;"")),1))*1440),"")</f>
        <v/>
      </c>
      <c r="E472" s="111">
        <f>IF(OR(B472="",C472="",D472=""),"",VLOOKUP(C472,'Horario Pabellones'!$A$4:$D$17,4,FALSE))</f>
        <v/>
      </c>
      <c r="F472" s="118">
        <f>IFERROR(IF(OR(D472="",E472="",E472=0),"",(D472/60)/(E472/60)),"")</f>
        <v/>
      </c>
      <c r="G472" s="109">
        <f>IF(F472="","",IF(F472&gt;=0.75,"Cumple referencia","Bajo referencia"))</f>
        <v/>
      </c>
      <c r="J472" s="94" t="n"/>
      <c r="K472" s="95" t="n"/>
      <c r="L472" s="95" t="n"/>
      <c r="M472" s="96" t="n"/>
      <c r="N472" s="95" t="n"/>
    </row>
    <row r="473" ht="16" customHeight="1" s="151">
      <c r="A473" s="112">
        <f>IF(OR('Carga Web Cirugias'!A473="",'Carga Web Cirugias'!M473=""),"",_xludf.ISOWEEKNUM('Carga Web Cirugias'!A473))</f>
        <v/>
      </c>
      <c r="B473" s="123">
        <f>IF('Carga Web Cirugias'!A473="","",'Carga Web Cirugias'!A473)</f>
        <v/>
      </c>
      <c r="C473" s="112">
        <f>IF('Carga Web Cirugias'!M473="","",'Carga Web Cirugias'!M473)</f>
        <v/>
      </c>
      <c r="D473" s="114">
        <f>IFERROR(IF(OR(B473="",C473="",COUNTIFS($B$4:B473,B473,$C$4:C473,C473)&gt;1),"",(_xludf.AGGREGATE(14,6,MOD('Carga Web Cirugias'!$S$4:$S$500,1)/(('Carga Web Cirugias'!$A$4:$A$500=B473)*('Carga Web Cirugias'!$M$4:$M$500=C473)*('Carga Web Cirugias'!$R$4:$R$500&lt;&gt;"")*('Carga Web Cirugias'!$S$4:$S$500&lt;&gt;"")),1)-_xludf.AGGREGATE(15,6,MOD('Carga Web Cirugias'!$R$4:$R$500,1)/(('Carga Web Cirugias'!$A$4:$A$500=B473)*('Carga Web Cirugias'!$M$4:$M$500=C473)*('Carga Web Cirugias'!$R$4:$R$500&lt;&gt;"")*('Carga Web Cirugias'!$S$4:$S$500&lt;&gt;"")),1))*1440),"")</f>
        <v/>
      </c>
      <c r="E473" s="114">
        <f>IF(OR(B473="",C473="",D473=""),"",VLOOKUP(C473,'Horario Pabellones'!$A$4:$D$17,4,FALSE))</f>
        <v/>
      </c>
      <c r="F473" s="124">
        <f>IFERROR(IF(OR(D473="",E473="",E473=0),"",(D473/60)/(E473/60)),"")</f>
        <v/>
      </c>
      <c r="G473" s="112">
        <f>IF(F473="","",IF(F473&gt;=0.75,"Cumple referencia","Bajo referencia"))</f>
        <v/>
      </c>
      <c r="J473" s="94" t="n"/>
      <c r="K473" s="95" t="n"/>
      <c r="L473" s="95" t="n"/>
      <c r="M473" s="96" t="n"/>
      <c r="N473" s="95" t="n"/>
    </row>
    <row r="474" ht="16" customHeight="1" s="151">
      <c r="A474" s="109">
        <f>IF(OR('Carga Web Cirugias'!A474="",'Carga Web Cirugias'!M474=""),"",_xludf.ISOWEEKNUM('Carga Web Cirugias'!A474))</f>
        <v/>
      </c>
      <c r="B474" s="117">
        <f>IF('Carga Web Cirugias'!A474="","",'Carga Web Cirugias'!A474)</f>
        <v/>
      </c>
      <c r="C474" s="109">
        <f>IF('Carga Web Cirugias'!M474="","",'Carga Web Cirugias'!M474)</f>
        <v/>
      </c>
      <c r="D474" s="111">
        <f>IFERROR(IF(OR(B474="",C474="",COUNTIFS($B$4:B474,B474,$C$4:C474,C474)&gt;1),"",(_xludf.AGGREGATE(14,6,MOD('Carga Web Cirugias'!$S$4:$S$500,1)/(('Carga Web Cirugias'!$A$4:$A$500=B474)*('Carga Web Cirugias'!$M$4:$M$500=C474)*('Carga Web Cirugias'!$R$4:$R$500&lt;&gt;"")*('Carga Web Cirugias'!$S$4:$S$500&lt;&gt;"")),1)-_xludf.AGGREGATE(15,6,MOD('Carga Web Cirugias'!$R$4:$R$500,1)/(('Carga Web Cirugias'!$A$4:$A$500=B474)*('Carga Web Cirugias'!$M$4:$M$500=C474)*('Carga Web Cirugias'!$R$4:$R$500&lt;&gt;"")*('Carga Web Cirugias'!$S$4:$S$500&lt;&gt;"")),1))*1440),"")</f>
        <v/>
      </c>
      <c r="E474" s="111">
        <f>IF(OR(B474="",C474="",D474=""),"",VLOOKUP(C474,'Horario Pabellones'!$A$4:$D$17,4,FALSE))</f>
        <v/>
      </c>
      <c r="F474" s="118">
        <f>IFERROR(IF(OR(D474="",E474="",E474=0),"",(D474/60)/(E474/60)),"")</f>
        <v/>
      </c>
      <c r="G474" s="109">
        <f>IF(F474="","",IF(F474&gt;=0.75,"Cumple referencia","Bajo referencia"))</f>
        <v/>
      </c>
      <c r="J474" s="94" t="n"/>
      <c r="K474" s="95" t="n"/>
      <c r="L474" s="95" t="n"/>
      <c r="M474" s="96" t="n"/>
      <c r="N474" s="95" t="n"/>
    </row>
    <row r="475" ht="16" customHeight="1" s="151">
      <c r="A475" s="112">
        <f>IF(OR('Carga Web Cirugias'!A475="",'Carga Web Cirugias'!M475=""),"",_xludf.ISOWEEKNUM('Carga Web Cirugias'!A475))</f>
        <v/>
      </c>
      <c r="B475" s="123">
        <f>IF('Carga Web Cirugias'!A475="","",'Carga Web Cirugias'!A475)</f>
        <v/>
      </c>
      <c r="C475" s="112">
        <f>IF('Carga Web Cirugias'!M475="","",'Carga Web Cirugias'!M475)</f>
        <v/>
      </c>
      <c r="D475" s="114">
        <f>IFERROR(IF(OR(B475="",C475="",COUNTIFS($B$4:B475,B475,$C$4:C475,C475)&gt;1),"",(_xludf.AGGREGATE(14,6,MOD('Carga Web Cirugias'!$S$4:$S$500,1)/(('Carga Web Cirugias'!$A$4:$A$500=B475)*('Carga Web Cirugias'!$M$4:$M$500=C475)*('Carga Web Cirugias'!$R$4:$R$500&lt;&gt;"")*('Carga Web Cirugias'!$S$4:$S$500&lt;&gt;"")),1)-_xludf.AGGREGATE(15,6,MOD('Carga Web Cirugias'!$R$4:$R$500,1)/(('Carga Web Cirugias'!$A$4:$A$500=B475)*('Carga Web Cirugias'!$M$4:$M$500=C475)*('Carga Web Cirugias'!$R$4:$R$500&lt;&gt;"")*('Carga Web Cirugias'!$S$4:$S$500&lt;&gt;"")),1))*1440),"")</f>
        <v/>
      </c>
      <c r="E475" s="114">
        <f>IF(OR(B475="",C475="",D475=""),"",VLOOKUP(C475,'Horario Pabellones'!$A$4:$D$17,4,FALSE))</f>
        <v/>
      </c>
      <c r="F475" s="124">
        <f>IFERROR(IF(OR(D475="",E475="",E475=0),"",(D475/60)/(E475/60)),"")</f>
        <v/>
      </c>
      <c r="G475" s="112">
        <f>IF(F475="","",IF(F475&gt;=0.75,"Cumple referencia","Bajo referencia"))</f>
        <v/>
      </c>
      <c r="J475" s="94" t="n"/>
      <c r="K475" s="95" t="n"/>
      <c r="L475" s="95" t="n"/>
      <c r="M475" s="96" t="n"/>
      <c r="N475" s="95" t="n"/>
    </row>
    <row r="476" ht="16" customHeight="1" s="151">
      <c r="A476" s="109">
        <f>IF(OR('Carga Web Cirugias'!A476="",'Carga Web Cirugias'!M476=""),"",_xludf.ISOWEEKNUM('Carga Web Cirugias'!A476))</f>
        <v/>
      </c>
      <c r="B476" s="117">
        <f>IF('Carga Web Cirugias'!A476="","",'Carga Web Cirugias'!A476)</f>
        <v/>
      </c>
      <c r="C476" s="109">
        <f>IF('Carga Web Cirugias'!M476="","",'Carga Web Cirugias'!M476)</f>
        <v/>
      </c>
      <c r="D476" s="111">
        <f>IFERROR(IF(OR(B476="",C476="",COUNTIFS($B$4:B476,B476,$C$4:C476,C476)&gt;1),"",(_xludf.AGGREGATE(14,6,MOD('Carga Web Cirugias'!$S$4:$S$500,1)/(('Carga Web Cirugias'!$A$4:$A$500=B476)*('Carga Web Cirugias'!$M$4:$M$500=C476)*('Carga Web Cirugias'!$R$4:$R$500&lt;&gt;"")*('Carga Web Cirugias'!$S$4:$S$500&lt;&gt;"")),1)-_xludf.AGGREGATE(15,6,MOD('Carga Web Cirugias'!$R$4:$R$500,1)/(('Carga Web Cirugias'!$A$4:$A$500=B476)*('Carga Web Cirugias'!$M$4:$M$500=C476)*('Carga Web Cirugias'!$R$4:$R$500&lt;&gt;"")*('Carga Web Cirugias'!$S$4:$S$500&lt;&gt;"")),1))*1440),"")</f>
        <v/>
      </c>
      <c r="E476" s="111">
        <f>IF(OR(B476="",C476="",D476=""),"",VLOOKUP(C476,'Horario Pabellones'!$A$4:$D$17,4,FALSE))</f>
        <v/>
      </c>
      <c r="F476" s="118">
        <f>IFERROR(IF(OR(D476="",E476="",E476=0),"",(D476/60)/(E476/60)),"")</f>
        <v/>
      </c>
      <c r="G476" s="109">
        <f>IF(F476="","",IF(F476&gt;=0.75,"Cumple referencia","Bajo referencia"))</f>
        <v/>
      </c>
      <c r="J476" s="94" t="n"/>
      <c r="K476" s="95" t="n"/>
      <c r="L476" s="95" t="n"/>
      <c r="M476" s="96" t="n"/>
      <c r="N476" s="95" t="n"/>
    </row>
    <row r="477" ht="16" customHeight="1" s="151">
      <c r="A477" s="112">
        <f>IF(OR('Carga Web Cirugias'!A477="",'Carga Web Cirugias'!M477=""),"",_xludf.ISOWEEKNUM('Carga Web Cirugias'!A477))</f>
        <v/>
      </c>
      <c r="B477" s="123">
        <f>IF('Carga Web Cirugias'!A477="","",'Carga Web Cirugias'!A477)</f>
        <v/>
      </c>
      <c r="C477" s="112">
        <f>IF('Carga Web Cirugias'!M477="","",'Carga Web Cirugias'!M477)</f>
        <v/>
      </c>
      <c r="D477" s="114">
        <f>IFERROR(IF(OR(B477="",C477="",COUNTIFS($B$4:B477,B477,$C$4:C477,C477)&gt;1),"",(_xludf.AGGREGATE(14,6,MOD('Carga Web Cirugias'!$S$4:$S$500,1)/(('Carga Web Cirugias'!$A$4:$A$500=B477)*('Carga Web Cirugias'!$M$4:$M$500=C477)*('Carga Web Cirugias'!$R$4:$R$500&lt;&gt;"")*('Carga Web Cirugias'!$S$4:$S$500&lt;&gt;"")),1)-_xludf.AGGREGATE(15,6,MOD('Carga Web Cirugias'!$R$4:$R$500,1)/(('Carga Web Cirugias'!$A$4:$A$500=B477)*('Carga Web Cirugias'!$M$4:$M$500=C477)*('Carga Web Cirugias'!$R$4:$R$500&lt;&gt;"")*('Carga Web Cirugias'!$S$4:$S$500&lt;&gt;"")),1))*1440),"")</f>
        <v/>
      </c>
      <c r="E477" s="114">
        <f>IF(OR(B477="",C477="",D477=""),"",VLOOKUP(C477,'Horario Pabellones'!$A$4:$D$17,4,FALSE))</f>
        <v/>
      </c>
      <c r="F477" s="124">
        <f>IFERROR(IF(OR(D477="",E477="",E477=0),"",(D477/60)/(E477/60)),"")</f>
        <v/>
      </c>
      <c r="G477" s="112">
        <f>IF(F477="","",IF(F477&gt;=0.75,"Cumple referencia","Bajo referencia"))</f>
        <v/>
      </c>
      <c r="J477" s="94" t="n"/>
      <c r="K477" s="95" t="n"/>
      <c r="L477" s="95" t="n"/>
      <c r="M477" s="96" t="n"/>
      <c r="N477" s="95" t="n"/>
    </row>
    <row r="478" ht="16" customHeight="1" s="151">
      <c r="A478" s="109">
        <f>IF(OR('Carga Web Cirugias'!A478="",'Carga Web Cirugias'!M478=""),"",_xludf.ISOWEEKNUM('Carga Web Cirugias'!A478))</f>
        <v/>
      </c>
      <c r="B478" s="117">
        <f>IF('Carga Web Cirugias'!A478="","",'Carga Web Cirugias'!A478)</f>
        <v/>
      </c>
      <c r="C478" s="109">
        <f>IF('Carga Web Cirugias'!M478="","",'Carga Web Cirugias'!M478)</f>
        <v/>
      </c>
      <c r="D478" s="111">
        <f>IFERROR(IF(OR(B478="",C478="",COUNTIFS($B$4:B478,B478,$C$4:C478,C478)&gt;1),"",(_xludf.AGGREGATE(14,6,MOD('Carga Web Cirugias'!$S$4:$S$500,1)/(('Carga Web Cirugias'!$A$4:$A$500=B478)*('Carga Web Cirugias'!$M$4:$M$500=C478)*('Carga Web Cirugias'!$R$4:$R$500&lt;&gt;"")*('Carga Web Cirugias'!$S$4:$S$500&lt;&gt;"")),1)-_xludf.AGGREGATE(15,6,MOD('Carga Web Cirugias'!$R$4:$R$500,1)/(('Carga Web Cirugias'!$A$4:$A$500=B478)*('Carga Web Cirugias'!$M$4:$M$500=C478)*('Carga Web Cirugias'!$R$4:$R$500&lt;&gt;"")*('Carga Web Cirugias'!$S$4:$S$500&lt;&gt;"")),1))*1440),"")</f>
        <v/>
      </c>
      <c r="E478" s="111">
        <f>IF(OR(B478="",C478="",D478=""),"",VLOOKUP(C478,'Horario Pabellones'!$A$4:$D$17,4,FALSE))</f>
        <v/>
      </c>
      <c r="F478" s="118">
        <f>IFERROR(IF(OR(D478="",E478="",E478=0),"",(D478/60)/(E478/60)),"")</f>
        <v/>
      </c>
      <c r="G478" s="109">
        <f>IF(F478="","",IF(F478&gt;=0.75,"Cumple referencia","Bajo referencia"))</f>
        <v/>
      </c>
      <c r="J478" s="94" t="n"/>
      <c r="K478" s="95" t="n"/>
      <c r="L478" s="95" t="n"/>
      <c r="M478" s="96" t="n"/>
      <c r="N478" s="95" t="n"/>
    </row>
    <row r="479" ht="16" customHeight="1" s="151">
      <c r="A479" s="112">
        <f>IF(OR('Carga Web Cirugias'!A479="",'Carga Web Cirugias'!M479=""),"",_xludf.ISOWEEKNUM('Carga Web Cirugias'!A479))</f>
        <v/>
      </c>
      <c r="B479" s="123">
        <f>IF('Carga Web Cirugias'!A479="","",'Carga Web Cirugias'!A479)</f>
        <v/>
      </c>
      <c r="C479" s="112">
        <f>IF('Carga Web Cirugias'!M479="","",'Carga Web Cirugias'!M479)</f>
        <v/>
      </c>
      <c r="D479" s="114">
        <f>IFERROR(IF(OR(B479="",C479="",COUNTIFS($B$4:B479,B479,$C$4:C479,C479)&gt;1),"",(_xludf.AGGREGATE(14,6,MOD('Carga Web Cirugias'!$S$4:$S$500,1)/(('Carga Web Cirugias'!$A$4:$A$500=B479)*('Carga Web Cirugias'!$M$4:$M$500=C479)*('Carga Web Cirugias'!$R$4:$R$500&lt;&gt;"")*('Carga Web Cirugias'!$S$4:$S$500&lt;&gt;"")),1)-_xludf.AGGREGATE(15,6,MOD('Carga Web Cirugias'!$R$4:$R$500,1)/(('Carga Web Cirugias'!$A$4:$A$500=B479)*('Carga Web Cirugias'!$M$4:$M$500=C479)*('Carga Web Cirugias'!$R$4:$R$500&lt;&gt;"")*('Carga Web Cirugias'!$S$4:$S$500&lt;&gt;"")),1))*1440),"")</f>
        <v/>
      </c>
      <c r="E479" s="114">
        <f>IF(OR(B479="",C479="",D479=""),"",VLOOKUP(C479,'Horario Pabellones'!$A$4:$D$17,4,FALSE))</f>
        <v/>
      </c>
      <c r="F479" s="124">
        <f>IFERROR(IF(OR(D479="",E479="",E479=0),"",(D479/60)/(E479/60)),"")</f>
        <v/>
      </c>
      <c r="G479" s="112">
        <f>IF(F479="","",IF(F479&gt;=0.75,"Cumple referencia","Bajo referencia"))</f>
        <v/>
      </c>
      <c r="J479" s="94" t="n"/>
      <c r="K479" s="95" t="n"/>
      <c r="L479" s="95" t="n"/>
      <c r="M479" s="96" t="n"/>
      <c r="N479" s="95" t="n"/>
    </row>
    <row r="480" ht="16" customHeight="1" s="151">
      <c r="A480" s="109">
        <f>IF(OR('Carga Web Cirugias'!A480="",'Carga Web Cirugias'!M480=""),"",_xludf.ISOWEEKNUM('Carga Web Cirugias'!A480))</f>
        <v/>
      </c>
      <c r="B480" s="117">
        <f>IF('Carga Web Cirugias'!A480="","",'Carga Web Cirugias'!A480)</f>
        <v/>
      </c>
      <c r="C480" s="109">
        <f>IF('Carga Web Cirugias'!M480="","",'Carga Web Cirugias'!M480)</f>
        <v/>
      </c>
      <c r="D480" s="111">
        <f>IFERROR(IF(OR(B480="",C480="",COUNTIFS($B$4:B480,B480,$C$4:C480,C480)&gt;1),"",(_xludf.AGGREGATE(14,6,MOD('Carga Web Cirugias'!$S$4:$S$500,1)/(('Carga Web Cirugias'!$A$4:$A$500=B480)*('Carga Web Cirugias'!$M$4:$M$500=C480)*('Carga Web Cirugias'!$R$4:$R$500&lt;&gt;"")*('Carga Web Cirugias'!$S$4:$S$500&lt;&gt;"")),1)-_xludf.AGGREGATE(15,6,MOD('Carga Web Cirugias'!$R$4:$R$500,1)/(('Carga Web Cirugias'!$A$4:$A$500=B480)*('Carga Web Cirugias'!$M$4:$M$500=C480)*('Carga Web Cirugias'!$R$4:$R$500&lt;&gt;"")*('Carga Web Cirugias'!$S$4:$S$500&lt;&gt;"")),1))*1440),"")</f>
        <v/>
      </c>
      <c r="E480" s="111">
        <f>IF(OR(B480="",C480="",D480=""),"",VLOOKUP(C480,'Horario Pabellones'!$A$4:$D$17,4,FALSE))</f>
        <v/>
      </c>
      <c r="F480" s="118">
        <f>IFERROR(IF(OR(D480="",E480="",E480=0),"",(D480/60)/(E480/60)),"")</f>
        <v/>
      </c>
      <c r="G480" s="109">
        <f>IF(F480="","",IF(F480&gt;=0.75,"Cumple referencia","Bajo referencia"))</f>
        <v/>
      </c>
      <c r="J480" s="94" t="n"/>
      <c r="K480" s="95" t="n"/>
      <c r="L480" s="95" t="n"/>
      <c r="M480" s="96" t="n"/>
      <c r="N480" s="95" t="n"/>
    </row>
    <row r="481" ht="16" customHeight="1" s="151">
      <c r="A481" s="112">
        <f>IF(OR('Carga Web Cirugias'!A481="",'Carga Web Cirugias'!M481=""),"",_xludf.ISOWEEKNUM('Carga Web Cirugias'!A481))</f>
        <v/>
      </c>
      <c r="B481" s="123">
        <f>IF('Carga Web Cirugias'!A481="","",'Carga Web Cirugias'!A481)</f>
        <v/>
      </c>
      <c r="C481" s="112">
        <f>IF('Carga Web Cirugias'!M481="","",'Carga Web Cirugias'!M481)</f>
        <v/>
      </c>
      <c r="D481" s="114">
        <f>IFERROR(IF(OR(B481="",C481="",COUNTIFS($B$4:B481,B481,$C$4:C481,C481)&gt;1),"",(_xludf.AGGREGATE(14,6,MOD('Carga Web Cirugias'!$S$4:$S$500,1)/(('Carga Web Cirugias'!$A$4:$A$500=B481)*('Carga Web Cirugias'!$M$4:$M$500=C481)*('Carga Web Cirugias'!$R$4:$R$500&lt;&gt;"")*('Carga Web Cirugias'!$S$4:$S$500&lt;&gt;"")),1)-_xludf.AGGREGATE(15,6,MOD('Carga Web Cirugias'!$R$4:$R$500,1)/(('Carga Web Cirugias'!$A$4:$A$500=B481)*('Carga Web Cirugias'!$M$4:$M$500=C481)*('Carga Web Cirugias'!$R$4:$R$500&lt;&gt;"")*('Carga Web Cirugias'!$S$4:$S$500&lt;&gt;"")),1))*1440),"")</f>
        <v/>
      </c>
      <c r="E481" s="114">
        <f>IF(OR(B481="",C481="",D481=""),"",VLOOKUP(C481,'Horario Pabellones'!$A$4:$D$17,4,FALSE))</f>
        <v/>
      </c>
      <c r="F481" s="124">
        <f>IFERROR(IF(OR(D481="",E481="",E481=0),"",(D481/60)/(E481/60)),"")</f>
        <v/>
      </c>
      <c r="G481" s="112">
        <f>IF(F481="","",IF(F481&gt;=0.75,"Cumple referencia","Bajo referencia"))</f>
        <v/>
      </c>
      <c r="J481" s="94" t="n"/>
      <c r="K481" s="95" t="n"/>
      <c r="L481" s="95" t="n"/>
      <c r="M481" s="96" t="n"/>
      <c r="N481" s="95" t="n"/>
    </row>
    <row r="482" ht="16" customHeight="1" s="151">
      <c r="A482" s="109">
        <f>IF(OR('Carga Web Cirugias'!A482="",'Carga Web Cirugias'!M482=""),"",_xludf.ISOWEEKNUM('Carga Web Cirugias'!A482))</f>
        <v/>
      </c>
      <c r="B482" s="117">
        <f>IF('Carga Web Cirugias'!A482="","",'Carga Web Cirugias'!A482)</f>
        <v/>
      </c>
      <c r="C482" s="109">
        <f>IF('Carga Web Cirugias'!M482="","",'Carga Web Cirugias'!M482)</f>
        <v/>
      </c>
      <c r="D482" s="111">
        <f>IFERROR(IF(OR(B482="",C482="",COUNTIFS($B$4:B482,B482,$C$4:C482,C482)&gt;1),"",(_xludf.AGGREGATE(14,6,MOD('Carga Web Cirugias'!$S$4:$S$500,1)/(('Carga Web Cirugias'!$A$4:$A$500=B482)*('Carga Web Cirugias'!$M$4:$M$500=C482)*('Carga Web Cirugias'!$R$4:$R$500&lt;&gt;"")*('Carga Web Cirugias'!$S$4:$S$500&lt;&gt;"")),1)-_xludf.AGGREGATE(15,6,MOD('Carga Web Cirugias'!$R$4:$R$500,1)/(('Carga Web Cirugias'!$A$4:$A$500=B482)*('Carga Web Cirugias'!$M$4:$M$500=C482)*('Carga Web Cirugias'!$R$4:$R$500&lt;&gt;"")*('Carga Web Cirugias'!$S$4:$S$500&lt;&gt;"")),1))*1440),"")</f>
        <v/>
      </c>
      <c r="E482" s="111">
        <f>IF(OR(B482="",C482="",D482=""),"",VLOOKUP(C482,'Horario Pabellones'!$A$4:$D$17,4,FALSE))</f>
        <v/>
      </c>
      <c r="F482" s="118">
        <f>IFERROR(IF(OR(D482="",E482="",E482=0),"",(D482/60)/(E482/60)),"")</f>
        <v/>
      </c>
      <c r="G482" s="109">
        <f>IF(F482="","",IF(F482&gt;=0.75,"Cumple referencia","Bajo referencia"))</f>
        <v/>
      </c>
      <c r="J482" s="94" t="n"/>
      <c r="K482" s="95" t="n"/>
      <c r="L482" s="95" t="n"/>
      <c r="M482" s="96" t="n"/>
      <c r="N482" s="95" t="n"/>
    </row>
    <row r="483" ht="16" customHeight="1" s="151">
      <c r="A483" s="112">
        <f>IF(OR('Carga Web Cirugias'!A483="",'Carga Web Cirugias'!M483=""),"",_xludf.ISOWEEKNUM('Carga Web Cirugias'!A483))</f>
        <v/>
      </c>
      <c r="B483" s="123">
        <f>IF('Carga Web Cirugias'!A483="","",'Carga Web Cirugias'!A483)</f>
        <v/>
      </c>
      <c r="C483" s="112">
        <f>IF('Carga Web Cirugias'!M483="","",'Carga Web Cirugias'!M483)</f>
        <v/>
      </c>
      <c r="D483" s="114">
        <f>IFERROR(IF(OR(B483="",C483="",COUNTIFS($B$4:B483,B483,$C$4:C483,C483)&gt;1),"",(_xludf.AGGREGATE(14,6,MOD('Carga Web Cirugias'!$S$4:$S$500,1)/(('Carga Web Cirugias'!$A$4:$A$500=B483)*('Carga Web Cirugias'!$M$4:$M$500=C483)*('Carga Web Cirugias'!$R$4:$R$500&lt;&gt;"")*('Carga Web Cirugias'!$S$4:$S$500&lt;&gt;"")),1)-_xludf.AGGREGATE(15,6,MOD('Carga Web Cirugias'!$R$4:$R$500,1)/(('Carga Web Cirugias'!$A$4:$A$500=B483)*('Carga Web Cirugias'!$M$4:$M$500=C483)*('Carga Web Cirugias'!$R$4:$R$500&lt;&gt;"")*('Carga Web Cirugias'!$S$4:$S$500&lt;&gt;"")),1))*1440),"")</f>
        <v/>
      </c>
      <c r="E483" s="114">
        <f>IF(OR(B483="",C483="",D483=""),"",VLOOKUP(C483,'Horario Pabellones'!$A$4:$D$17,4,FALSE))</f>
        <v/>
      </c>
      <c r="F483" s="124">
        <f>IFERROR(IF(OR(D483="",E483="",E483=0),"",(D483/60)/(E483/60)),"")</f>
        <v/>
      </c>
      <c r="G483" s="112">
        <f>IF(F483="","",IF(F483&gt;=0.75,"Cumple referencia","Bajo referencia"))</f>
        <v/>
      </c>
      <c r="J483" s="94" t="n"/>
      <c r="K483" s="95" t="n"/>
      <c r="L483" s="95" t="n"/>
      <c r="M483" s="96" t="n"/>
      <c r="N483" s="95" t="n"/>
    </row>
    <row r="484" ht="16" customHeight="1" s="151">
      <c r="A484" s="109">
        <f>IF(OR('Carga Web Cirugias'!A484="",'Carga Web Cirugias'!M484=""),"",_xludf.ISOWEEKNUM('Carga Web Cirugias'!A484))</f>
        <v/>
      </c>
      <c r="B484" s="117">
        <f>IF('Carga Web Cirugias'!A484="","",'Carga Web Cirugias'!A484)</f>
        <v/>
      </c>
      <c r="C484" s="109">
        <f>IF('Carga Web Cirugias'!M484="","",'Carga Web Cirugias'!M484)</f>
        <v/>
      </c>
      <c r="D484" s="111">
        <f>IFERROR(IF(OR(B484="",C484="",COUNTIFS($B$4:B484,B484,$C$4:C484,C484)&gt;1),"",(_xludf.AGGREGATE(14,6,MOD('Carga Web Cirugias'!$S$4:$S$500,1)/(('Carga Web Cirugias'!$A$4:$A$500=B484)*('Carga Web Cirugias'!$M$4:$M$500=C484)*('Carga Web Cirugias'!$R$4:$R$500&lt;&gt;"")*('Carga Web Cirugias'!$S$4:$S$500&lt;&gt;"")),1)-_xludf.AGGREGATE(15,6,MOD('Carga Web Cirugias'!$R$4:$R$500,1)/(('Carga Web Cirugias'!$A$4:$A$500=B484)*('Carga Web Cirugias'!$M$4:$M$500=C484)*('Carga Web Cirugias'!$R$4:$R$500&lt;&gt;"")*('Carga Web Cirugias'!$S$4:$S$500&lt;&gt;"")),1))*1440),"")</f>
        <v/>
      </c>
      <c r="E484" s="111">
        <f>IF(OR(B484="",C484="",D484=""),"",VLOOKUP(C484,'Horario Pabellones'!$A$4:$D$17,4,FALSE))</f>
        <v/>
      </c>
      <c r="F484" s="118">
        <f>IFERROR(IF(OR(D484="",E484="",E484=0),"",(D484/60)/(E484/60)),"")</f>
        <v/>
      </c>
      <c r="G484" s="109">
        <f>IF(F484="","",IF(F484&gt;=0.75,"Cumple referencia","Bajo referencia"))</f>
        <v/>
      </c>
      <c r="J484" s="94" t="n"/>
      <c r="K484" s="95" t="n"/>
      <c r="L484" s="95" t="n"/>
      <c r="M484" s="96" t="n"/>
      <c r="N484" s="95" t="n"/>
    </row>
    <row r="485" ht="16" customHeight="1" s="151">
      <c r="A485" s="112">
        <f>IF(OR('Carga Web Cirugias'!A485="",'Carga Web Cirugias'!M485=""),"",_xludf.ISOWEEKNUM('Carga Web Cirugias'!A485))</f>
        <v/>
      </c>
      <c r="B485" s="123">
        <f>IF('Carga Web Cirugias'!A485="","",'Carga Web Cirugias'!A485)</f>
        <v/>
      </c>
      <c r="C485" s="112">
        <f>IF('Carga Web Cirugias'!M485="","",'Carga Web Cirugias'!M485)</f>
        <v/>
      </c>
      <c r="D485" s="114">
        <f>IFERROR(IF(OR(B485="",C485="",COUNTIFS($B$4:B485,B485,$C$4:C485,C485)&gt;1),"",(_xludf.AGGREGATE(14,6,MOD('Carga Web Cirugias'!$S$4:$S$500,1)/(('Carga Web Cirugias'!$A$4:$A$500=B485)*('Carga Web Cirugias'!$M$4:$M$500=C485)*('Carga Web Cirugias'!$R$4:$R$500&lt;&gt;"")*('Carga Web Cirugias'!$S$4:$S$500&lt;&gt;"")),1)-_xludf.AGGREGATE(15,6,MOD('Carga Web Cirugias'!$R$4:$R$500,1)/(('Carga Web Cirugias'!$A$4:$A$500=B485)*('Carga Web Cirugias'!$M$4:$M$500=C485)*('Carga Web Cirugias'!$R$4:$R$500&lt;&gt;"")*('Carga Web Cirugias'!$S$4:$S$500&lt;&gt;"")),1))*1440),"")</f>
        <v/>
      </c>
      <c r="E485" s="114">
        <f>IF(OR(B485="",C485="",D485=""),"",VLOOKUP(C485,'Horario Pabellones'!$A$4:$D$17,4,FALSE))</f>
        <v/>
      </c>
      <c r="F485" s="124">
        <f>IFERROR(IF(OR(D485="",E485="",E485=0),"",(D485/60)/(E485/60)),"")</f>
        <v/>
      </c>
      <c r="G485" s="112">
        <f>IF(F485="","",IF(F485&gt;=0.75,"Cumple referencia","Bajo referencia"))</f>
        <v/>
      </c>
      <c r="J485" s="94" t="n"/>
      <c r="K485" s="95" t="n"/>
      <c r="L485" s="95" t="n"/>
      <c r="M485" s="96" t="n"/>
      <c r="N485" s="95" t="n"/>
    </row>
    <row r="486" ht="16" customHeight="1" s="151">
      <c r="A486" s="109">
        <f>IF(OR('Carga Web Cirugias'!A486="",'Carga Web Cirugias'!M486=""),"",_xludf.ISOWEEKNUM('Carga Web Cirugias'!A486))</f>
        <v/>
      </c>
      <c r="B486" s="117">
        <f>IF('Carga Web Cirugias'!A486="","",'Carga Web Cirugias'!A486)</f>
        <v/>
      </c>
      <c r="C486" s="109">
        <f>IF('Carga Web Cirugias'!M486="","",'Carga Web Cirugias'!M486)</f>
        <v/>
      </c>
      <c r="D486" s="111">
        <f>IFERROR(IF(OR(B486="",C486="",COUNTIFS($B$4:B486,B486,$C$4:C486,C486)&gt;1),"",(_xludf.AGGREGATE(14,6,MOD('Carga Web Cirugias'!$S$4:$S$500,1)/(('Carga Web Cirugias'!$A$4:$A$500=B486)*('Carga Web Cirugias'!$M$4:$M$500=C486)*('Carga Web Cirugias'!$R$4:$R$500&lt;&gt;"")*('Carga Web Cirugias'!$S$4:$S$500&lt;&gt;"")),1)-_xludf.AGGREGATE(15,6,MOD('Carga Web Cirugias'!$R$4:$R$500,1)/(('Carga Web Cirugias'!$A$4:$A$500=B486)*('Carga Web Cirugias'!$M$4:$M$500=C486)*('Carga Web Cirugias'!$R$4:$R$500&lt;&gt;"")*('Carga Web Cirugias'!$S$4:$S$500&lt;&gt;"")),1))*1440),"")</f>
        <v/>
      </c>
      <c r="E486" s="111">
        <f>IF(OR(B486="",C486="",D486=""),"",VLOOKUP(C486,'Horario Pabellones'!$A$4:$D$17,4,FALSE))</f>
        <v/>
      </c>
      <c r="F486" s="118">
        <f>IFERROR(IF(OR(D486="",E486="",E486=0),"",(D486/60)/(E486/60)),"")</f>
        <v/>
      </c>
      <c r="G486" s="109">
        <f>IF(F486="","",IF(F486&gt;=0.75,"Cumple referencia","Bajo referencia"))</f>
        <v/>
      </c>
      <c r="J486" s="94" t="n"/>
      <c r="K486" s="95" t="n"/>
      <c r="L486" s="95" t="n"/>
      <c r="M486" s="96" t="n"/>
      <c r="N486" s="95" t="n"/>
    </row>
    <row r="487" ht="16" customHeight="1" s="151">
      <c r="A487" s="112">
        <f>IF(OR('Carga Web Cirugias'!A487="",'Carga Web Cirugias'!M487=""),"",_xludf.ISOWEEKNUM('Carga Web Cirugias'!A487))</f>
        <v/>
      </c>
      <c r="B487" s="123">
        <f>IF('Carga Web Cirugias'!A487="","",'Carga Web Cirugias'!A487)</f>
        <v/>
      </c>
      <c r="C487" s="112">
        <f>IF('Carga Web Cirugias'!M487="","",'Carga Web Cirugias'!M487)</f>
        <v/>
      </c>
      <c r="D487" s="114">
        <f>IFERROR(IF(OR(B487="",C487="",COUNTIFS($B$4:B487,B487,$C$4:C487,C487)&gt;1),"",(_xludf.AGGREGATE(14,6,MOD('Carga Web Cirugias'!$S$4:$S$500,1)/(('Carga Web Cirugias'!$A$4:$A$500=B487)*('Carga Web Cirugias'!$M$4:$M$500=C487)*('Carga Web Cirugias'!$R$4:$R$500&lt;&gt;"")*('Carga Web Cirugias'!$S$4:$S$500&lt;&gt;"")),1)-_xludf.AGGREGATE(15,6,MOD('Carga Web Cirugias'!$R$4:$R$500,1)/(('Carga Web Cirugias'!$A$4:$A$500=B487)*('Carga Web Cirugias'!$M$4:$M$500=C487)*('Carga Web Cirugias'!$R$4:$R$500&lt;&gt;"")*('Carga Web Cirugias'!$S$4:$S$500&lt;&gt;"")),1))*1440),"")</f>
        <v/>
      </c>
      <c r="E487" s="114">
        <f>IF(OR(B487="",C487="",D487=""),"",VLOOKUP(C487,'Horario Pabellones'!$A$4:$D$17,4,FALSE))</f>
        <v/>
      </c>
      <c r="F487" s="124">
        <f>IFERROR(IF(OR(D487="",E487="",E487=0),"",(D487/60)/(E487/60)),"")</f>
        <v/>
      </c>
      <c r="G487" s="112">
        <f>IF(F487="","",IF(F487&gt;=0.75,"Cumple referencia","Bajo referencia"))</f>
        <v/>
      </c>
      <c r="J487" s="94" t="n"/>
      <c r="K487" s="95" t="n"/>
      <c r="L487" s="95" t="n"/>
      <c r="M487" s="96" t="n"/>
      <c r="N487" s="95" t="n"/>
    </row>
    <row r="488" ht="16" customHeight="1" s="151">
      <c r="A488" s="109">
        <f>IF(OR('Carga Web Cirugias'!A488="",'Carga Web Cirugias'!M488=""),"",_xludf.ISOWEEKNUM('Carga Web Cirugias'!A488))</f>
        <v/>
      </c>
      <c r="B488" s="117">
        <f>IF('Carga Web Cirugias'!A488="","",'Carga Web Cirugias'!A488)</f>
        <v/>
      </c>
      <c r="C488" s="109">
        <f>IF('Carga Web Cirugias'!M488="","",'Carga Web Cirugias'!M488)</f>
        <v/>
      </c>
      <c r="D488" s="111">
        <f>IFERROR(IF(OR(B488="",C488="",COUNTIFS($B$4:B488,B488,$C$4:C488,C488)&gt;1),"",(_xludf.AGGREGATE(14,6,MOD('Carga Web Cirugias'!$S$4:$S$500,1)/(('Carga Web Cirugias'!$A$4:$A$500=B488)*('Carga Web Cirugias'!$M$4:$M$500=C488)*('Carga Web Cirugias'!$R$4:$R$500&lt;&gt;"")*('Carga Web Cirugias'!$S$4:$S$500&lt;&gt;"")),1)-_xludf.AGGREGATE(15,6,MOD('Carga Web Cirugias'!$R$4:$R$500,1)/(('Carga Web Cirugias'!$A$4:$A$500=B488)*('Carga Web Cirugias'!$M$4:$M$500=C488)*('Carga Web Cirugias'!$R$4:$R$500&lt;&gt;"")*('Carga Web Cirugias'!$S$4:$S$500&lt;&gt;"")),1))*1440),"")</f>
        <v/>
      </c>
      <c r="E488" s="111">
        <f>IF(OR(B488="",C488="",D488=""),"",VLOOKUP(C488,'Horario Pabellones'!$A$4:$D$17,4,FALSE))</f>
        <v/>
      </c>
      <c r="F488" s="118">
        <f>IFERROR(IF(OR(D488="",E488="",E488=0),"",(D488/60)/(E488/60)),"")</f>
        <v/>
      </c>
      <c r="G488" s="109">
        <f>IF(F488="","",IF(F488&gt;=0.75,"Cumple referencia","Bajo referencia"))</f>
        <v/>
      </c>
      <c r="J488" s="94" t="n"/>
      <c r="K488" s="95" t="n"/>
      <c r="L488" s="95" t="n"/>
      <c r="M488" s="96" t="n"/>
      <c r="N488" s="95" t="n"/>
    </row>
    <row r="489" ht="16" customHeight="1" s="151">
      <c r="A489" s="112">
        <f>IF(OR('Carga Web Cirugias'!A489="",'Carga Web Cirugias'!M489=""),"",_xludf.ISOWEEKNUM('Carga Web Cirugias'!A489))</f>
        <v/>
      </c>
      <c r="B489" s="123">
        <f>IF('Carga Web Cirugias'!A489="","",'Carga Web Cirugias'!A489)</f>
        <v/>
      </c>
      <c r="C489" s="112">
        <f>IF('Carga Web Cirugias'!M489="","",'Carga Web Cirugias'!M489)</f>
        <v/>
      </c>
      <c r="D489" s="114">
        <f>IFERROR(IF(OR(B489="",C489="",COUNTIFS($B$4:B489,B489,$C$4:C489,C489)&gt;1),"",(_xludf.AGGREGATE(14,6,MOD('Carga Web Cirugias'!$S$4:$S$500,1)/(('Carga Web Cirugias'!$A$4:$A$500=B489)*('Carga Web Cirugias'!$M$4:$M$500=C489)*('Carga Web Cirugias'!$R$4:$R$500&lt;&gt;"")*('Carga Web Cirugias'!$S$4:$S$500&lt;&gt;"")),1)-_xludf.AGGREGATE(15,6,MOD('Carga Web Cirugias'!$R$4:$R$500,1)/(('Carga Web Cirugias'!$A$4:$A$500=B489)*('Carga Web Cirugias'!$M$4:$M$500=C489)*('Carga Web Cirugias'!$R$4:$R$500&lt;&gt;"")*('Carga Web Cirugias'!$S$4:$S$500&lt;&gt;"")),1))*1440),"")</f>
        <v/>
      </c>
      <c r="E489" s="114">
        <f>IF(OR(B489="",C489="",D489=""),"",VLOOKUP(C489,'Horario Pabellones'!$A$4:$D$17,4,FALSE))</f>
        <v/>
      </c>
      <c r="F489" s="124">
        <f>IFERROR(IF(OR(D489="",E489="",E489=0),"",(D489/60)/(E489/60)),"")</f>
        <v/>
      </c>
      <c r="G489" s="112">
        <f>IF(F489="","",IF(F489&gt;=0.75,"Cumple referencia","Bajo referencia"))</f>
        <v/>
      </c>
      <c r="J489" s="94" t="n"/>
      <c r="K489" s="95" t="n"/>
      <c r="L489" s="95" t="n"/>
      <c r="M489" s="96" t="n"/>
      <c r="N489" s="95" t="n"/>
    </row>
    <row r="490" ht="16" customHeight="1" s="151">
      <c r="A490" s="109">
        <f>IF(OR('Carga Web Cirugias'!A490="",'Carga Web Cirugias'!M490=""),"",_xludf.ISOWEEKNUM('Carga Web Cirugias'!A490))</f>
        <v/>
      </c>
      <c r="B490" s="117">
        <f>IF('Carga Web Cirugias'!A490="","",'Carga Web Cirugias'!A490)</f>
        <v/>
      </c>
      <c r="C490" s="109">
        <f>IF('Carga Web Cirugias'!M490="","",'Carga Web Cirugias'!M490)</f>
        <v/>
      </c>
      <c r="D490" s="111">
        <f>IFERROR(IF(OR(B490="",C490="",COUNTIFS($B$4:B490,B490,$C$4:C490,C490)&gt;1),"",(_xludf.AGGREGATE(14,6,MOD('Carga Web Cirugias'!$S$4:$S$500,1)/(('Carga Web Cirugias'!$A$4:$A$500=B490)*('Carga Web Cirugias'!$M$4:$M$500=C490)*('Carga Web Cirugias'!$R$4:$R$500&lt;&gt;"")*('Carga Web Cirugias'!$S$4:$S$500&lt;&gt;"")),1)-_xludf.AGGREGATE(15,6,MOD('Carga Web Cirugias'!$R$4:$R$500,1)/(('Carga Web Cirugias'!$A$4:$A$500=B490)*('Carga Web Cirugias'!$M$4:$M$500=C490)*('Carga Web Cirugias'!$R$4:$R$500&lt;&gt;"")*('Carga Web Cirugias'!$S$4:$S$500&lt;&gt;"")),1))*1440),"")</f>
        <v/>
      </c>
      <c r="E490" s="111">
        <f>IF(OR(B490="",C490="",D490=""),"",VLOOKUP(C490,'Horario Pabellones'!$A$4:$D$17,4,FALSE))</f>
        <v/>
      </c>
      <c r="F490" s="118">
        <f>IFERROR(IF(OR(D490="",E490="",E490=0),"",(D490/60)/(E490/60)),"")</f>
        <v/>
      </c>
      <c r="G490" s="109">
        <f>IF(F490="","",IF(F490&gt;=0.75,"Cumple referencia","Bajo referencia"))</f>
        <v/>
      </c>
      <c r="J490" s="94" t="n"/>
      <c r="K490" s="95" t="n"/>
      <c r="L490" s="95" t="n"/>
      <c r="M490" s="96" t="n"/>
      <c r="N490" s="95" t="n"/>
    </row>
    <row r="491" ht="16" customHeight="1" s="151">
      <c r="A491" s="112">
        <f>IF(OR('Carga Web Cirugias'!A491="",'Carga Web Cirugias'!M491=""),"",_xludf.ISOWEEKNUM('Carga Web Cirugias'!A491))</f>
        <v/>
      </c>
      <c r="B491" s="123">
        <f>IF('Carga Web Cirugias'!A491="","",'Carga Web Cirugias'!A491)</f>
        <v/>
      </c>
      <c r="C491" s="112">
        <f>IF('Carga Web Cirugias'!M491="","",'Carga Web Cirugias'!M491)</f>
        <v/>
      </c>
      <c r="D491" s="114">
        <f>IFERROR(IF(OR(B491="",C491="",COUNTIFS($B$4:B491,B491,$C$4:C491,C491)&gt;1),"",(_xludf.AGGREGATE(14,6,MOD('Carga Web Cirugias'!$S$4:$S$500,1)/(('Carga Web Cirugias'!$A$4:$A$500=B491)*('Carga Web Cirugias'!$M$4:$M$500=C491)*('Carga Web Cirugias'!$R$4:$R$500&lt;&gt;"")*('Carga Web Cirugias'!$S$4:$S$500&lt;&gt;"")),1)-_xludf.AGGREGATE(15,6,MOD('Carga Web Cirugias'!$R$4:$R$500,1)/(('Carga Web Cirugias'!$A$4:$A$500=B491)*('Carga Web Cirugias'!$M$4:$M$500=C491)*('Carga Web Cirugias'!$R$4:$R$500&lt;&gt;"")*('Carga Web Cirugias'!$S$4:$S$500&lt;&gt;"")),1))*1440),"")</f>
        <v/>
      </c>
      <c r="E491" s="114">
        <f>IF(OR(B491="",C491="",D491=""),"",VLOOKUP(C491,'Horario Pabellones'!$A$4:$D$17,4,FALSE))</f>
        <v/>
      </c>
      <c r="F491" s="124">
        <f>IFERROR(IF(OR(D491="",E491="",E491=0),"",(D491/60)/(E491/60)),"")</f>
        <v/>
      </c>
      <c r="G491" s="112">
        <f>IF(F491="","",IF(F491&gt;=0.75,"Cumple referencia","Bajo referencia"))</f>
        <v/>
      </c>
      <c r="J491" s="94" t="n"/>
      <c r="K491" s="95" t="n"/>
      <c r="L491" s="95" t="n"/>
      <c r="M491" s="96" t="n"/>
      <c r="N491" s="95" t="n"/>
    </row>
    <row r="492" ht="16" customHeight="1" s="151">
      <c r="A492" s="109">
        <f>IF(OR('Carga Web Cirugias'!A492="",'Carga Web Cirugias'!M492=""),"",_xludf.ISOWEEKNUM('Carga Web Cirugias'!A492))</f>
        <v/>
      </c>
      <c r="B492" s="117">
        <f>IF('Carga Web Cirugias'!A492="","",'Carga Web Cirugias'!A492)</f>
        <v/>
      </c>
      <c r="C492" s="109">
        <f>IF('Carga Web Cirugias'!M492="","",'Carga Web Cirugias'!M492)</f>
        <v/>
      </c>
      <c r="D492" s="111">
        <f>IFERROR(IF(OR(B492="",C492="",COUNTIFS($B$4:B492,B492,$C$4:C492,C492)&gt;1),"",(_xludf.AGGREGATE(14,6,MOD('Carga Web Cirugias'!$S$4:$S$500,1)/(('Carga Web Cirugias'!$A$4:$A$500=B492)*('Carga Web Cirugias'!$M$4:$M$500=C492)*('Carga Web Cirugias'!$R$4:$R$500&lt;&gt;"")*('Carga Web Cirugias'!$S$4:$S$500&lt;&gt;"")),1)-_xludf.AGGREGATE(15,6,MOD('Carga Web Cirugias'!$R$4:$R$500,1)/(('Carga Web Cirugias'!$A$4:$A$500=B492)*('Carga Web Cirugias'!$M$4:$M$500=C492)*('Carga Web Cirugias'!$R$4:$R$500&lt;&gt;"")*('Carga Web Cirugias'!$S$4:$S$500&lt;&gt;"")),1))*1440),"")</f>
        <v/>
      </c>
      <c r="E492" s="111">
        <f>IF(OR(B492="",C492="",D492=""),"",VLOOKUP(C492,'Horario Pabellones'!$A$4:$D$17,4,FALSE))</f>
        <v/>
      </c>
      <c r="F492" s="118">
        <f>IFERROR(IF(OR(D492="",E492="",E492=0),"",(D492/60)/(E492/60)),"")</f>
        <v/>
      </c>
      <c r="G492" s="109">
        <f>IF(F492="","",IF(F492&gt;=0.75,"Cumple referencia","Bajo referencia"))</f>
        <v/>
      </c>
      <c r="J492" s="94" t="n"/>
      <c r="K492" s="95" t="n"/>
      <c r="L492" s="95" t="n"/>
      <c r="M492" s="96" t="n"/>
      <c r="N492" s="95" t="n"/>
    </row>
    <row r="493" ht="16" customHeight="1" s="151">
      <c r="A493" s="112">
        <f>IF(OR('Carga Web Cirugias'!A493="",'Carga Web Cirugias'!M493=""),"",_xludf.ISOWEEKNUM('Carga Web Cirugias'!A493))</f>
        <v/>
      </c>
      <c r="B493" s="123">
        <f>IF('Carga Web Cirugias'!A493="","",'Carga Web Cirugias'!A493)</f>
        <v/>
      </c>
      <c r="C493" s="112">
        <f>IF('Carga Web Cirugias'!M493="","",'Carga Web Cirugias'!M493)</f>
        <v/>
      </c>
      <c r="D493" s="114">
        <f>IFERROR(IF(OR(B493="",C493="",COUNTIFS($B$4:B493,B493,$C$4:C493,C493)&gt;1),"",(_xludf.AGGREGATE(14,6,MOD('Carga Web Cirugias'!$S$4:$S$500,1)/(('Carga Web Cirugias'!$A$4:$A$500=B493)*('Carga Web Cirugias'!$M$4:$M$500=C493)*('Carga Web Cirugias'!$R$4:$R$500&lt;&gt;"")*('Carga Web Cirugias'!$S$4:$S$500&lt;&gt;"")),1)-_xludf.AGGREGATE(15,6,MOD('Carga Web Cirugias'!$R$4:$R$500,1)/(('Carga Web Cirugias'!$A$4:$A$500=B493)*('Carga Web Cirugias'!$M$4:$M$500=C493)*('Carga Web Cirugias'!$R$4:$R$500&lt;&gt;"")*('Carga Web Cirugias'!$S$4:$S$500&lt;&gt;"")),1))*1440),"")</f>
        <v/>
      </c>
      <c r="E493" s="114">
        <f>IF(OR(B493="",C493="",D493=""),"",VLOOKUP(C493,'Horario Pabellones'!$A$4:$D$17,4,FALSE))</f>
        <v/>
      </c>
      <c r="F493" s="124">
        <f>IFERROR(IF(OR(D493="",E493="",E493=0),"",(D493/60)/(E493/60)),"")</f>
        <v/>
      </c>
      <c r="G493" s="112">
        <f>IF(F493="","",IF(F493&gt;=0.75,"Cumple referencia","Bajo referencia"))</f>
        <v/>
      </c>
      <c r="J493" s="94" t="n"/>
      <c r="K493" s="95" t="n"/>
      <c r="L493" s="95" t="n"/>
      <c r="M493" s="96" t="n"/>
      <c r="N493" s="95" t="n"/>
    </row>
    <row r="494" ht="16" customHeight="1" s="151">
      <c r="A494" s="109">
        <f>IF(OR('Carga Web Cirugias'!A494="",'Carga Web Cirugias'!M494=""),"",_xludf.ISOWEEKNUM('Carga Web Cirugias'!A494))</f>
        <v/>
      </c>
      <c r="B494" s="117">
        <f>IF('Carga Web Cirugias'!A494="","",'Carga Web Cirugias'!A494)</f>
        <v/>
      </c>
      <c r="C494" s="109">
        <f>IF('Carga Web Cirugias'!M494="","",'Carga Web Cirugias'!M494)</f>
        <v/>
      </c>
      <c r="D494" s="111">
        <f>IFERROR(IF(OR(B494="",C494="",COUNTIFS($B$4:B494,B494,$C$4:C494,C494)&gt;1),"",(_xludf.AGGREGATE(14,6,MOD('Carga Web Cirugias'!$S$4:$S$500,1)/(('Carga Web Cirugias'!$A$4:$A$500=B494)*('Carga Web Cirugias'!$M$4:$M$500=C494)*('Carga Web Cirugias'!$R$4:$R$500&lt;&gt;"")*('Carga Web Cirugias'!$S$4:$S$500&lt;&gt;"")),1)-_xludf.AGGREGATE(15,6,MOD('Carga Web Cirugias'!$R$4:$R$500,1)/(('Carga Web Cirugias'!$A$4:$A$500=B494)*('Carga Web Cirugias'!$M$4:$M$500=C494)*('Carga Web Cirugias'!$R$4:$R$500&lt;&gt;"")*('Carga Web Cirugias'!$S$4:$S$500&lt;&gt;"")),1))*1440),"")</f>
        <v/>
      </c>
      <c r="E494" s="111">
        <f>IF(OR(B494="",C494="",D494=""),"",VLOOKUP(C494,'Horario Pabellones'!$A$4:$D$17,4,FALSE))</f>
        <v/>
      </c>
      <c r="F494" s="118">
        <f>IFERROR(IF(OR(D494="",E494="",E494=0),"",(D494/60)/(E494/60)),"")</f>
        <v/>
      </c>
      <c r="G494" s="109">
        <f>IF(F494="","",IF(F494&gt;=0.75,"Cumple referencia","Bajo referencia"))</f>
        <v/>
      </c>
      <c r="J494" s="94" t="n"/>
      <c r="K494" s="95" t="n"/>
      <c r="L494" s="95" t="n"/>
      <c r="M494" s="96" t="n"/>
      <c r="N494" s="95" t="n"/>
    </row>
    <row r="495" ht="16" customHeight="1" s="151">
      <c r="A495" s="112">
        <f>IF(OR('Carga Web Cirugias'!A495="",'Carga Web Cirugias'!M495=""),"",_xludf.ISOWEEKNUM('Carga Web Cirugias'!A495))</f>
        <v/>
      </c>
      <c r="B495" s="123">
        <f>IF('Carga Web Cirugias'!A495="","",'Carga Web Cirugias'!A495)</f>
        <v/>
      </c>
      <c r="C495" s="112">
        <f>IF('Carga Web Cirugias'!M495="","",'Carga Web Cirugias'!M495)</f>
        <v/>
      </c>
      <c r="D495" s="114">
        <f>IFERROR(IF(OR(B495="",C495="",COUNTIFS($B$4:B495,B495,$C$4:C495,C495)&gt;1),"",(_xludf.AGGREGATE(14,6,MOD('Carga Web Cirugias'!$S$4:$S$500,1)/(('Carga Web Cirugias'!$A$4:$A$500=B495)*('Carga Web Cirugias'!$M$4:$M$500=C495)*('Carga Web Cirugias'!$R$4:$R$500&lt;&gt;"")*('Carga Web Cirugias'!$S$4:$S$500&lt;&gt;"")),1)-_xludf.AGGREGATE(15,6,MOD('Carga Web Cirugias'!$R$4:$R$500,1)/(('Carga Web Cirugias'!$A$4:$A$500=B495)*('Carga Web Cirugias'!$M$4:$M$500=C495)*('Carga Web Cirugias'!$R$4:$R$500&lt;&gt;"")*('Carga Web Cirugias'!$S$4:$S$500&lt;&gt;"")),1))*1440),"")</f>
        <v/>
      </c>
      <c r="E495" s="114">
        <f>IF(OR(B495="",C495="",D495=""),"",VLOOKUP(C495,'Horario Pabellones'!$A$4:$D$17,4,FALSE))</f>
        <v/>
      </c>
      <c r="F495" s="124">
        <f>IFERROR(IF(OR(D495="",E495="",E495=0),"",(D495/60)/(E495/60)),"")</f>
        <v/>
      </c>
      <c r="G495" s="112">
        <f>IF(F495="","",IF(F495&gt;=0.75,"Cumple referencia","Bajo referencia"))</f>
        <v/>
      </c>
      <c r="J495" s="94" t="n"/>
      <c r="K495" s="95" t="n"/>
      <c r="L495" s="95" t="n"/>
      <c r="M495" s="96" t="n"/>
      <c r="N495" s="95" t="n"/>
    </row>
    <row r="496" ht="16" customHeight="1" s="151">
      <c r="A496" s="109">
        <f>IF(OR('Carga Web Cirugias'!A496="",'Carga Web Cirugias'!M496=""),"",_xludf.ISOWEEKNUM('Carga Web Cirugias'!A496))</f>
        <v/>
      </c>
      <c r="B496" s="117">
        <f>IF('Carga Web Cirugias'!A496="","",'Carga Web Cirugias'!A496)</f>
        <v/>
      </c>
      <c r="C496" s="109">
        <f>IF('Carga Web Cirugias'!M496="","",'Carga Web Cirugias'!M496)</f>
        <v/>
      </c>
      <c r="D496" s="111">
        <f>IFERROR(IF(OR(B496="",C496="",COUNTIFS($B$4:B496,B496,$C$4:C496,C496)&gt;1),"",(_xludf.AGGREGATE(14,6,MOD('Carga Web Cirugias'!$S$4:$S$500,1)/(('Carga Web Cirugias'!$A$4:$A$500=B496)*('Carga Web Cirugias'!$M$4:$M$500=C496)*('Carga Web Cirugias'!$R$4:$R$500&lt;&gt;"")*('Carga Web Cirugias'!$S$4:$S$500&lt;&gt;"")),1)-_xludf.AGGREGATE(15,6,MOD('Carga Web Cirugias'!$R$4:$R$500,1)/(('Carga Web Cirugias'!$A$4:$A$500=B496)*('Carga Web Cirugias'!$M$4:$M$500=C496)*('Carga Web Cirugias'!$R$4:$R$500&lt;&gt;"")*('Carga Web Cirugias'!$S$4:$S$500&lt;&gt;"")),1))*1440),"")</f>
        <v/>
      </c>
      <c r="E496" s="111">
        <f>IF(OR(B496="",C496="",D496=""),"",VLOOKUP(C496,'Horario Pabellones'!$A$4:$D$17,4,FALSE))</f>
        <v/>
      </c>
      <c r="F496" s="118">
        <f>IFERROR(IF(OR(D496="",E496="",E496=0),"",(D496/60)/(E496/60)),"")</f>
        <v/>
      </c>
      <c r="G496" s="109">
        <f>IF(F496="","",IF(F496&gt;=0.75,"Cumple referencia","Bajo referencia"))</f>
        <v/>
      </c>
      <c r="J496" s="94" t="n"/>
      <c r="K496" s="95" t="n"/>
      <c r="L496" s="95" t="n"/>
      <c r="M496" s="96" t="n"/>
      <c r="N496" s="95" t="n"/>
    </row>
    <row r="497" ht="16" customHeight="1" s="151">
      <c r="A497" s="112">
        <f>IF(OR('Carga Web Cirugias'!A497="",'Carga Web Cirugias'!M497=""),"",_xludf.ISOWEEKNUM('Carga Web Cirugias'!A497))</f>
        <v/>
      </c>
      <c r="B497" s="123">
        <f>IF('Carga Web Cirugias'!A497="","",'Carga Web Cirugias'!A497)</f>
        <v/>
      </c>
      <c r="C497" s="112">
        <f>IF('Carga Web Cirugias'!M497="","",'Carga Web Cirugias'!M497)</f>
        <v/>
      </c>
      <c r="D497" s="114">
        <f>IFERROR(IF(OR(B497="",C497="",COUNTIFS($B$4:B497,B497,$C$4:C497,C497)&gt;1),"",(_xludf.AGGREGATE(14,6,MOD('Carga Web Cirugias'!$S$4:$S$500,1)/(('Carga Web Cirugias'!$A$4:$A$500=B497)*('Carga Web Cirugias'!$M$4:$M$500=C497)*('Carga Web Cirugias'!$R$4:$R$500&lt;&gt;"")*('Carga Web Cirugias'!$S$4:$S$500&lt;&gt;"")),1)-_xludf.AGGREGATE(15,6,MOD('Carga Web Cirugias'!$R$4:$R$500,1)/(('Carga Web Cirugias'!$A$4:$A$500=B497)*('Carga Web Cirugias'!$M$4:$M$500=C497)*('Carga Web Cirugias'!$R$4:$R$500&lt;&gt;"")*('Carga Web Cirugias'!$S$4:$S$500&lt;&gt;"")),1))*1440),"")</f>
        <v/>
      </c>
      <c r="E497" s="114">
        <f>IF(OR(B497="",C497="",D497=""),"",VLOOKUP(C497,'Horario Pabellones'!$A$4:$D$17,4,FALSE))</f>
        <v/>
      </c>
      <c r="F497" s="124">
        <f>IFERROR(IF(OR(D497="",E497="",E497=0),"",(D497/60)/(E497/60)),"")</f>
        <v/>
      </c>
      <c r="G497" s="112">
        <f>IF(F497="","",IF(F497&gt;=0.75,"Cumple referencia","Bajo referencia"))</f>
        <v/>
      </c>
      <c r="J497" s="94" t="n"/>
      <c r="K497" s="95" t="n"/>
      <c r="L497" s="95" t="n"/>
      <c r="M497" s="96" t="n"/>
      <c r="N497" s="95" t="n"/>
    </row>
    <row r="498" ht="16" customHeight="1" s="151">
      <c r="A498" s="109">
        <f>IF(OR('Carga Web Cirugias'!A498="",'Carga Web Cirugias'!M498=""),"",_xludf.ISOWEEKNUM('Carga Web Cirugias'!A498))</f>
        <v/>
      </c>
      <c r="B498" s="117">
        <f>IF('Carga Web Cirugias'!A498="","",'Carga Web Cirugias'!A498)</f>
        <v/>
      </c>
      <c r="C498" s="109">
        <f>IF('Carga Web Cirugias'!M498="","",'Carga Web Cirugias'!M498)</f>
        <v/>
      </c>
      <c r="D498" s="111">
        <f>IFERROR(IF(OR(B498="",C498="",COUNTIFS($B$4:B498,B498,$C$4:C498,C498)&gt;1),"",(_xludf.AGGREGATE(14,6,MOD('Carga Web Cirugias'!$S$4:$S$500,1)/(('Carga Web Cirugias'!$A$4:$A$500=B498)*('Carga Web Cirugias'!$M$4:$M$500=C498)*('Carga Web Cirugias'!$R$4:$R$500&lt;&gt;"")*('Carga Web Cirugias'!$S$4:$S$500&lt;&gt;"")),1)-_xludf.AGGREGATE(15,6,MOD('Carga Web Cirugias'!$R$4:$R$500,1)/(('Carga Web Cirugias'!$A$4:$A$500=B498)*('Carga Web Cirugias'!$M$4:$M$500=C498)*('Carga Web Cirugias'!$R$4:$R$500&lt;&gt;"")*('Carga Web Cirugias'!$S$4:$S$500&lt;&gt;"")),1))*1440),"")</f>
        <v/>
      </c>
      <c r="E498" s="111">
        <f>IF(OR(B498="",C498="",D498=""),"",VLOOKUP(C498,'Horario Pabellones'!$A$4:$D$17,4,FALSE))</f>
        <v/>
      </c>
      <c r="F498" s="118">
        <f>IFERROR(IF(OR(D498="",E498="",E498=0),"",(D498/60)/(E498/60)),"")</f>
        <v/>
      </c>
      <c r="G498" s="109">
        <f>IF(F498="","",IF(F498&gt;=0.75,"Cumple referencia","Bajo referencia"))</f>
        <v/>
      </c>
      <c r="J498" s="94" t="n"/>
      <c r="K498" s="95" t="n"/>
      <c r="L498" s="95" t="n"/>
      <c r="M498" s="96" t="n"/>
      <c r="N498" s="95" t="n"/>
    </row>
    <row r="499" ht="16" customHeight="1" s="151">
      <c r="A499" s="112">
        <f>IF(OR('Carga Web Cirugias'!A499="",'Carga Web Cirugias'!M499=""),"",_xludf.ISOWEEKNUM('Carga Web Cirugias'!A499))</f>
        <v/>
      </c>
      <c r="B499" s="123">
        <f>IF('Carga Web Cirugias'!A499="","",'Carga Web Cirugias'!A499)</f>
        <v/>
      </c>
      <c r="C499" s="112">
        <f>IF('Carga Web Cirugias'!M499="","",'Carga Web Cirugias'!M499)</f>
        <v/>
      </c>
      <c r="D499" s="114">
        <f>IFERROR(IF(OR(B499="",C499="",COUNTIFS($B$4:B499,B499,$C$4:C499,C499)&gt;1),"",(_xludf.AGGREGATE(14,6,MOD('Carga Web Cirugias'!$S$4:$S$500,1)/(('Carga Web Cirugias'!$A$4:$A$500=B499)*('Carga Web Cirugias'!$M$4:$M$500=C499)*('Carga Web Cirugias'!$R$4:$R$500&lt;&gt;"")*('Carga Web Cirugias'!$S$4:$S$500&lt;&gt;"")),1)-_xludf.AGGREGATE(15,6,MOD('Carga Web Cirugias'!$R$4:$R$500,1)/(('Carga Web Cirugias'!$A$4:$A$500=B499)*('Carga Web Cirugias'!$M$4:$M$500=C499)*('Carga Web Cirugias'!$R$4:$R$500&lt;&gt;"")*('Carga Web Cirugias'!$S$4:$S$500&lt;&gt;"")),1))*1440),"")</f>
        <v/>
      </c>
      <c r="E499" s="114">
        <f>IF(OR(B499="",C499="",D499=""),"",VLOOKUP(C499,'Horario Pabellones'!$A$4:$D$17,4,FALSE))</f>
        <v/>
      </c>
      <c r="F499" s="124">
        <f>IFERROR(IF(OR(D499="",E499="",E499=0),"",(D499/60)/(E499/60)),"")</f>
        <v/>
      </c>
      <c r="G499" s="112">
        <f>IF(F499="","",IF(F499&gt;=0.75,"Cumple referencia","Bajo referencia"))</f>
        <v/>
      </c>
      <c r="J499" s="94" t="n"/>
      <c r="K499" s="95" t="n"/>
      <c r="L499" s="95" t="n"/>
      <c r="M499" s="96" t="n"/>
      <c r="N499" s="95" t="n"/>
    </row>
    <row r="500" ht="16" customHeight="1" s="151">
      <c r="A500" s="109">
        <f>IF(OR('Carga Web Cirugias'!A500="",'Carga Web Cirugias'!M500=""),"",_xludf.ISOWEEKNUM('Carga Web Cirugias'!A500))</f>
        <v/>
      </c>
      <c r="B500" s="117">
        <f>IF('Carga Web Cirugias'!A500="","",'Carga Web Cirugias'!A500)</f>
        <v/>
      </c>
      <c r="C500" s="109">
        <f>IF('Carga Web Cirugias'!M500="","",'Carga Web Cirugias'!M500)</f>
        <v/>
      </c>
      <c r="D500" s="111">
        <f>IFERROR(IF(OR(B500="",C500="",COUNTIFS($B$4:B500,B500,$C$4:C500,C500)&gt;1),"",(_xludf.AGGREGATE(14,6,MOD('Carga Web Cirugias'!$S$4:$S$500,1)/(('Carga Web Cirugias'!$A$4:$A$500=B500)*('Carga Web Cirugias'!$M$4:$M$500=C500)*('Carga Web Cirugias'!$R$4:$R$500&lt;&gt;"")*('Carga Web Cirugias'!$S$4:$S$500&lt;&gt;"")),1)-_xludf.AGGREGATE(15,6,MOD('Carga Web Cirugias'!$R$4:$R$500,1)/(('Carga Web Cirugias'!$A$4:$A$500=B500)*('Carga Web Cirugias'!$M$4:$M$500=C500)*('Carga Web Cirugias'!$R$4:$R$500&lt;&gt;"")*('Carga Web Cirugias'!$S$4:$S$500&lt;&gt;"")),1))*1440),"")</f>
        <v/>
      </c>
      <c r="E500" s="111">
        <f>IF(OR(B500="",C500="",D500=""),"",VLOOKUP(C500,'Horario Pabellones'!$A$4:$D$17,4,FALSE))</f>
        <v/>
      </c>
      <c r="F500" s="118">
        <f>IFERROR(IF(OR(D500="",E500="",E500=0),"",(D500/60)/(E500/60)),"")</f>
        <v/>
      </c>
      <c r="G500" s="109">
        <f>IF(F500="","",IF(F500&gt;=0.75,"Cumple referencia","Bajo referencia"))</f>
        <v/>
      </c>
      <c r="J500" s="94" t="n"/>
      <c r="K500" s="95" t="n"/>
      <c r="L500" s="95" t="n"/>
      <c r="M500" s="96" t="n"/>
      <c r="N500" s="95" t="n"/>
    </row>
  </sheetData>
  <autoFilter ref="A3:N500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10" defaultColWidth="8.83203125" defaultRowHeight="15"/>
  <cols>
    <col width="18" customWidth="1" style="151" min="1" max="1"/>
    <col width="20" customWidth="1" style="151" min="2" max="2"/>
    <col width="22" customWidth="1" style="151" min="3" max="3"/>
    <col width="20" customWidth="1" style="151" min="4" max="4"/>
    <col width="48" customWidth="1" style="151" min="5" max="5"/>
  </cols>
  <sheetData>
    <row r="1" ht="28" customHeight="1" s="151">
      <c r="A1" s="154" t="inlineStr">
        <is>
          <t>Horario maestro de funcionamiento por pabellón</t>
        </is>
      </c>
    </row>
    <row r="2" ht="34" customHeight="1" s="151">
      <c r="A2" s="152" t="inlineStr">
        <is>
          <t>Edite aquí el inicio y término. La hoja Carga Web Cirugias toma estos horarios automáticamente por pabellón.</t>
        </is>
      </c>
    </row>
    <row r="3" ht="34" customHeight="1" s="151">
      <c r="A3" s="107" t="inlineStr">
        <is>
          <t>Quirofano</t>
        </is>
      </c>
      <c r="B3" s="107" t="inlineStr">
        <is>
          <t>Inicio funcionamiento</t>
        </is>
      </c>
      <c r="C3" s="107" t="inlineStr">
        <is>
          <t>Termino funcionamiento</t>
        </is>
      </c>
      <c r="D3" s="108" t="inlineStr">
        <is>
          <t>Minutos disponibles</t>
        </is>
      </c>
      <c r="E3" s="107" t="inlineStr">
        <is>
          <t>Observacion</t>
        </is>
      </c>
    </row>
    <row r="4" ht="32" customHeight="1" s="151">
      <c r="A4" s="109" t="inlineStr">
        <is>
          <t>Quirofano 01</t>
        </is>
      </c>
      <c r="B4" s="110" t="n">
        <v>0.3333333333333333</v>
      </c>
      <c r="C4" s="110" t="n">
        <v>0.7083333333333334</v>
      </c>
      <c r="D4" s="111">
        <f>IFERROR(IF(OR(B4="",C4=""),"",MOD(C4-B4,1)*1440),"")</f>
        <v/>
      </c>
      <c r="E4" s="109" t="inlineStr">
        <is>
          <t>Cambiar término a 19:00 si este pabellón funciona extendido.</t>
        </is>
      </c>
    </row>
    <row r="5" ht="32" customHeight="1" s="151">
      <c r="A5" s="112" t="inlineStr">
        <is>
          <t>Quirofano 02</t>
        </is>
      </c>
      <c r="B5" s="113" t="n">
        <v>0.3333333333333333</v>
      </c>
      <c r="C5" s="113" t="n">
        <v>0.7083333333333334</v>
      </c>
      <c r="D5" s="114">
        <f>IFERROR(IF(OR(B5="",C5=""),"",MOD(C5-B5,1)*1440),"")</f>
        <v/>
      </c>
      <c r="E5" s="112" t="inlineStr">
        <is>
          <t>Cambiar término a 19:00 si este pabellón funciona extendido.</t>
        </is>
      </c>
    </row>
    <row r="6" ht="32" customHeight="1" s="151">
      <c r="A6" s="109" t="inlineStr">
        <is>
          <t>Quirofano 03</t>
        </is>
      </c>
      <c r="B6" s="110" t="n">
        <v>0.3333333333333333</v>
      </c>
      <c r="C6" s="110" t="n">
        <v>0.7083333333333334</v>
      </c>
      <c r="D6" s="111">
        <f>IFERROR(IF(OR(B6="",C6=""),"",MOD(C6-B6,1)*1440),"")</f>
        <v/>
      </c>
      <c r="E6" s="109" t="inlineStr">
        <is>
          <t>Cambiar término a 19:00 si este pabellón funciona extendido.</t>
        </is>
      </c>
    </row>
    <row r="7" ht="32" customHeight="1" s="151">
      <c r="A7" s="112" t="inlineStr">
        <is>
          <t>Quirofano 04</t>
        </is>
      </c>
      <c r="B7" s="113" t="n">
        <v>0.3333333333333333</v>
      </c>
      <c r="C7" s="113" t="n">
        <v>0.7083333333333334</v>
      </c>
      <c r="D7" s="114">
        <f>IFERROR(IF(OR(B7="",C7=""),"",MOD(C7-B7,1)*1440),"")</f>
        <v/>
      </c>
      <c r="E7" s="112" t="inlineStr">
        <is>
          <t>Cambiar término a 19:00 si este pabellón funciona extendido.</t>
        </is>
      </c>
    </row>
    <row r="8" ht="32" customHeight="1" s="151">
      <c r="A8" s="109" t="inlineStr">
        <is>
          <t>Quirofano 05</t>
        </is>
      </c>
      <c r="B8" s="110" t="n">
        <v>0.3333333333333333</v>
      </c>
      <c r="C8" s="110" t="n">
        <v>0.7083333333333334</v>
      </c>
      <c r="D8" s="111">
        <f>IFERROR(IF(OR(B8="",C8=""),"",MOD(C8-B8,1)*1440),"")</f>
        <v/>
      </c>
      <c r="E8" s="109" t="inlineStr">
        <is>
          <t>Cambiar término a 19:00 si este pabellón funciona extendido.</t>
        </is>
      </c>
    </row>
    <row r="9" ht="32" customHeight="1" s="151">
      <c r="A9" s="112" t="inlineStr">
        <is>
          <t>Quirofano 06</t>
        </is>
      </c>
      <c r="B9" s="113" t="n">
        <v>0.3333333333333333</v>
      </c>
      <c r="C9" s="113" t="n">
        <v>0.7083333333333334</v>
      </c>
      <c r="D9" s="114">
        <f>IFERROR(IF(OR(B9="",C9=""),"",MOD(C9-B9,1)*1440),"")</f>
        <v/>
      </c>
      <c r="E9" s="112" t="inlineStr">
        <is>
          <t>Cambiar término a 19:00 si este pabellón funciona extendido.</t>
        </is>
      </c>
    </row>
    <row r="10" ht="32" customHeight="1" s="151">
      <c r="A10" s="109" t="inlineStr">
        <is>
          <t>Quirofano 07</t>
        </is>
      </c>
      <c r="B10" s="110" t="n">
        <v>0.3333333333333333</v>
      </c>
      <c r="C10" s="110" t="n">
        <v>0.7083333333333334</v>
      </c>
      <c r="D10" s="111">
        <f>IFERROR(IF(OR(B10="",C10=""),"",MOD(C10-B10,1)*1440),"")</f>
        <v/>
      </c>
      <c r="E10" s="109" t="inlineStr">
        <is>
          <t>Cambiar término a 19:00 si este pabellón funciona extendido.</t>
        </is>
      </c>
    </row>
    <row r="11" ht="32" customHeight="1" s="151">
      <c r="A11" s="112" t="inlineStr">
        <is>
          <t>Quirofano 08</t>
        </is>
      </c>
      <c r="B11" s="113" t="n">
        <v>0.3333333333333333</v>
      </c>
      <c r="C11" s="113" t="n">
        <v>0.7083333333333334</v>
      </c>
      <c r="D11" s="114">
        <f>IFERROR(IF(OR(B11="",C11=""),"",MOD(C11-B11,1)*1440),"")</f>
        <v/>
      </c>
      <c r="E11" s="112" t="inlineStr">
        <is>
          <t>Cambiar término a 19:00 si este pabellón funciona extendido.</t>
        </is>
      </c>
    </row>
    <row r="12" ht="32" customHeight="1" s="151">
      <c r="A12" s="109" t="inlineStr">
        <is>
          <t>Quirofano 09</t>
        </is>
      </c>
      <c r="B12" s="110" t="n">
        <v>0.3333333333333333</v>
      </c>
      <c r="C12" s="110" t="n">
        <v>0.7083333333333334</v>
      </c>
      <c r="D12" s="111">
        <f>IFERROR(IF(OR(B12="",C12=""),"",MOD(C12-B12,1)*1440),"")</f>
        <v/>
      </c>
      <c r="E12" s="109" t="inlineStr">
        <is>
          <t>Cambiar término a 19:00 si este pabellón funciona extendido.</t>
        </is>
      </c>
    </row>
    <row r="13" ht="32" customHeight="1" s="151">
      <c r="A13" s="112" t="inlineStr">
        <is>
          <t>Quirofano 10</t>
        </is>
      </c>
      <c r="B13" s="113" t="n">
        <v>0.3333333333333333</v>
      </c>
      <c r="C13" s="113" t="n">
        <v>0.7083333333333334</v>
      </c>
      <c r="D13" s="114">
        <f>IFERROR(IF(OR(B13="",C13=""),"",MOD(C13-B13,1)*1440),"")</f>
        <v/>
      </c>
      <c r="E13" s="112" t="inlineStr">
        <is>
          <t>Cambiar término a 19:00 si este pabellón funciona extendido.</t>
        </is>
      </c>
    </row>
    <row r="14" ht="32" customHeight="1" s="151">
      <c r="A14" s="109" t="inlineStr">
        <is>
          <t>Quirofano 11</t>
        </is>
      </c>
      <c r="B14" s="110" t="n">
        <v>0.3333333333333333</v>
      </c>
      <c r="C14" s="110" t="n">
        <v>0.7083333333333334</v>
      </c>
      <c r="D14" s="111">
        <f>IFERROR(IF(OR(B14="",C14=""),"",MOD(C14-B14,1)*1440),"")</f>
        <v/>
      </c>
      <c r="E14" s="109" t="inlineStr">
        <is>
          <t>Cambiar término a 19:00 si este pabellón funciona extendido.</t>
        </is>
      </c>
    </row>
    <row r="15" ht="32" customHeight="1" s="151">
      <c r="A15" s="112" t="inlineStr">
        <is>
          <t>Quirofano 12</t>
        </is>
      </c>
      <c r="B15" s="113" t="n">
        <v>0.3333333333333333</v>
      </c>
      <c r="C15" s="113" t="n">
        <v>0.7083333333333334</v>
      </c>
      <c r="D15" s="114">
        <f>IFERROR(IF(OR(B15="",C15=""),"",MOD(C15-B15,1)*1440),"")</f>
        <v/>
      </c>
      <c r="E15" s="112" t="inlineStr">
        <is>
          <t>Cambiar término a 19:00 si este pabellón funciona extendido.</t>
        </is>
      </c>
    </row>
    <row r="16" ht="32" customHeight="1" s="151">
      <c r="A16" s="109" t="inlineStr">
        <is>
          <t>Quirofano 13</t>
        </is>
      </c>
      <c r="B16" s="110" t="n">
        <v>0.3333333333333333</v>
      </c>
      <c r="C16" s="110" t="n">
        <v>0.7083333333333334</v>
      </c>
      <c r="D16" s="111">
        <f>IFERROR(IF(OR(B16="",C16=""),"",MOD(C16-B16,1)*1440),"")</f>
        <v/>
      </c>
      <c r="E16" s="109" t="inlineStr">
        <is>
          <t>Cambiar término a 19:00 si este pabellón funciona extendido.</t>
        </is>
      </c>
    </row>
    <row r="17" ht="32" customHeight="1" s="151">
      <c r="A17" s="112" t="inlineStr">
        <is>
          <t>Quirofano 14</t>
        </is>
      </c>
      <c r="B17" s="113" t="n">
        <v>0.3333333333333333</v>
      </c>
      <c r="C17" s="113" t="n">
        <v>0.7083333333333334</v>
      </c>
      <c r="D17" s="114">
        <f>IFERROR(IF(OR(B17="",C17=""),"",MOD(C17-B17,1)*1440),"")</f>
        <v/>
      </c>
      <c r="E17" s="112" t="inlineStr">
        <is>
          <t>Cambiar término a 19:00 si este pabellón funciona extendido.</t>
        </is>
      </c>
    </row>
  </sheetData>
  <autoFilter ref="A3:E17"/>
  <mergeCells count="2">
    <mergeCell ref="A2:E2"/>
    <mergeCell ref="A1:E1"/>
  </mergeCells>
  <dataValidations count="1">
    <dataValidation sqref="B4:C17" showDropDown="0" showInputMessage="0" showErrorMessage="0" allowBlank="1" type="time">
      <formula1>TIME(0,0,0)</formula1>
      <formula2>TIME(23,59,59)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:J1"/>
    </sheetView>
  </sheetViews>
  <sheetFormatPr baseColWidth="10" defaultColWidth="8.83203125" defaultRowHeight="15"/>
  <cols>
    <col width="51" customWidth="1" style="151" min="1" max="10"/>
  </cols>
  <sheetData>
    <row r="1" ht="53.25" customHeight="1" s="151">
      <c r="A1" s="155" t="inlineStr">
        <is>
          <t>Plantilla de carga web CRR - Eventos diarios</t>
        </is>
      </c>
    </row>
    <row r="3" ht="16" customHeight="1" s="151">
      <c r="A3" s="7" t="inlineStr">
        <is>
          <t>Fecha</t>
        </is>
      </c>
      <c r="B3" s="8" t="inlineStr">
        <is>
          <t>Tipo Evento</t>
        </is>
      </c>
      <c r="C3" s="8" t="inlineStr">
        <is>
          <t>Especialidad</t>
        </is>
      </c>
      <c r="D3" s="8" t="inlineStr">
        <is>
          <t>Pabellon/Quirofano</t>
        </is>
      </c>
      <c r="E3" s="8" t="inlineStr">
        <is>
          <t>Nodo Critico</t>
        </is>
      </c>
      <c r="F3" s="8" t="inlineStr">
        <is>
          <t>Minutos</t>
        </is>
      </c>
      <c r="G3" s="8" t="inlineStr">
        <is>
          <t>Cantidad</t>
        </is>
      </c>
      <c r="H3" s="8" t="inlineStr">
        <is>
          <t>Causa</t>
        </is>
      </c>
      <c r="I3" s="8" t="inlineStr">
        <is>
          <t>Responsable</t>
        </is>
      </c>
      <c r="J3" s="9" t="inlineStr">
        <is>
          <t>Observaciones</t>
        </is>
      </c>
    </row>
    <row r="4" ht="16" customHeight="1" s="151">
      <c r="A4" s="1" t="inlineStr">
        <is>
          <t>2026-05-26</t>
        </is>
      </c>
      <c r="B4" s="2" t="inlineStr">
        <is>
          <t>Demora ingreso &gt;15</t>
        </is>
      </c>
      <c r="C4" s="2" t="inlineStr">
        <is>
          <t>UROLOGIA</t>
        </is>
      </c>
      <c r="D4" s="2" t="inlineStr">
        <is>
          <t>Quirofano 01</t>
        </is>
      </c>
      <c r="E4" s="2" t="inlineStr">
        <is>
          <t>Gestion de tabla</t>
        </is>
      </c>
      <c r="F4" s="2" t="n">
        <v>20</v>
      </c>
      <c r="G4" s="2" t="n">
        <v>1</v>
      </c>
      <c r="H4" s="2" t="inlineStr">
        <is>
          <t>Paciente ingresa tarde</t>
        </is>
      </c>
      <c r="I4" s="2" t="inlineStr">
        <is>
          <t>Pabellon</t>
        </is>
      </c>
      <c r="J4" s="3" t="inlineStr">
        <is>
          <t>Ejemplo</t>
        </is>
      </c>
    </row>
    <row r="5" ht="16" customHeight="1" s="151">
      <c r="A5" s="1" t="inlineStr">
        <is>
          <t>2026-05-26</t>
        </is>
      </c>
      <c r="B5" s="2" t="inlineStr">
        <is>
          <t>Suspension</t>
        </is>
      </c>
      <c r="C5" s="2" t="inlineStr">
        <is>
          <t>CIRUGIA GENERAL</t>
        </is>
      </c>
      <c r="D5" s="2" t="inlineStr">
        <is>
          <t>Quirofano 02</t>
        </is>
      </c>
      <c r="E5" s="2" t="inlineStr">
        <is>
          <t>Admision / citacion</t>
        </is>
      </c>
      <c r="F5" s="2" t="n">
        <v>0</v>
      </c>
      <c r="G5" s="2" t="n">
        <v>1</v>
      </c>
      <c r="H5" s="2" t="inlineStr">
        <is>
          <t>Paciente no se presenta</t>
        </is>
      </c>
      <c r="I5" s="2" t="inlineStr">
        <is>
          <t>Admision</t>
        </is>
      </c>
      <c r="J5" s="3" t="inlineStr">
        <is>
          <t>Ejemplo</t>
        </is>
      </c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</row>
    <row r="1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</row>
    <row r="13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</row>
    <row r="19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  <row r="20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</row>
    <row r="2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</row>
    <row r="23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</row>
    <row r="25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</row>
    <row r="26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</row>
    <row r="27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</row>
    <row r="29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</row>
    <row r="30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</row>
    <row r="3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</row>
    <row r="32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</row>
    <row r="33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</row>
    <row r="36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</row>
    <row r="37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</row>
    <row r="38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</row>
    <row r="39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</row>
    <row r="40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</row>
    <row r="4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</row>
    <row r="43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</row>
    <row r="47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</row>
    <row r="48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</row>
    <row r="50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</row>
    <row r="52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</row>
    <row r="53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</row>
    <row r="55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</row>
    <row r="56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</row>
    <row r="57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</row>
    <row r="58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</row>
    <row r="59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</row>
    <row r="61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</row>
    <row r="62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</row>
    <row r="63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</row>
    <row r="64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</row>
    <row r="65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</row>
    <row r="66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</row>
    <row r="67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</row>
    <row r="68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</row>
    <row r="69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</row>
    <row r="70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</row>
    <row r="71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</row>
    <row r="72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</row>
    <row r="73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</row>
    <row r="74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</row>
    <row r="75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</row>
    <row r="76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</row>
    <row r="77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</row>
    <row r="78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</row>
    <row r="79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</row>
    <row r="80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</row>
    <row r="81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</row>
    <row r="82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</row>
    <row r="83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</row>
    <row r="84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</row>
    <row r="85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</row>
    <row r="86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</row>
    <row r="87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</row>
    <row r="88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</row>
    <row r="89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</row>
    <row r="90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</row>
    <row r="92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</row>
    <row r="93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</row>
    <row r="94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</row>
    <row r="95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</row>
    <row r="96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</row>
    <row r="97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</row>
    <row r="98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</row>
    <row r="99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</row>
    <row r="100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</row>
    <row r="101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</row>
    <row r="102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</row>
    <row r="103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3" t="n"/>
    </row>
    <row r="104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</row>
    <row r="105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3" t="n"/>
    </row>
    <row r="106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</row>
    <row r="107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" t="n"/>
    </row>
    <row r="108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</row>
    <row r="109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3" t="n"/>
    </row>
    <row r="110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</row>
    <row r="111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3" t="n"/>
    </row>
    <row r="112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</row>
    <row r="113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3" t="n"/>
    </row>
    <row r="114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</row>
    <row r="115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3" t="n"/>
    </row>
    <row r="116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</row>
    <row r="117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3" t="n"/>
    </row>
    <row r="118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</row>
    <row r="119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3" t="n"/>
    </row>
    <row r="120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</row>
    <row r="121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3" t="n"/>
    </row>
    <row r="122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</row>
    <row r="123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3" t="n"/>
    </row>
    <row r="124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" t="n"/>
    </row>
    <row r="125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3" t="n"/>
    </row>
    <row r="126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" t="n"/>
    </row>
    <row r="127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3" t="n"/>
    </row>
    <row r="128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" t="n"/>
    </row>
    <row r="129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3" t="n"/>
    </row>
    <row r="130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" t="n"/>
    </row>
    <row r="131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3" t="n"/>
    </row>
    <row r="132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" t="n"/>
    </row>
    <row r="133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3" t="n"/>
    </row>
    <row r="134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3" t="n"/>
    </row>
    <row r="135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3" t="n"/>
    </row>
    <row r="136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3" t="n"/>
    </row>
    <row r="137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3" t="n"/>
    </row>
    <row r="138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</row>
    <row r="139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3" t="n"/>
    </row>
    <row r="140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3" t="n"/>
    </row>
    <row r="141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3" t="n"/>
    </row>
    <row r="142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3" t="n"/>
    </row>
    <row r="143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3" t="n"/>
    </row>
    <row r="144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3" t="n"/>
    </row>
    <row r="145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3" t="n"/>
    </row>
    <row r="146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3" t="n"/>
    </row>
    <row r="147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3" t="n"/>
    </row>
    <row r="148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3" t="n"/>
    </row>
    <row r="149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3" t="n"/>
    </row>
    <row r="150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3" t="n"/>
    </row>
    <row r="151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3" t="n"/>
    </row>
    <row r="152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</row>
    <row r="153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3" t="n"/>
    </row>
    <row r="154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3" t="n"/>
    </row>
    <row r="155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3" t="n"/>
    </row>
    <row r="156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3" t="n"/>
    </row>
    <row r="157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3" t="n"/>
    </row>
    <row r="158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3" t="n"/>
    </row>
    <row r="159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3" t="n"/>
    </row>
    <row r="160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</row>
    <row r="161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3" t="n"/>
    </row>
    <row r="162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3" t="n"/>
    </row>
    <row r="163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3" t="n"/>
    </row>
    <row r="164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3" t="n"/>
    </row>
    <row r="165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3" t="n"/>
    </row>
    <row r="166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</row>
    <row r="167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3" t="n"/>
    </row>
    <row r="168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</row>
    <row r="169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3" t="n"/>
    </row>
    <row r="170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3" t="n"/>
    </row>
    <row r="171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3" t="n"/>
    </row>
    <row r="172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3" t="n"/>
    </row>
    <row r="173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3" t="n"/>
    </row>
    <row r="174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</row>
    <row r="175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3" t="n"/>
    </row>
    <row r="176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3" t="n"/>
    </row>
    <row r="177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3" t="n"/>
    </row>
    <row r="178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</row>
    <row r="179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3" t="n"/>
    </row>
    <row r="180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3" t="n"/>
    </row>
    <row r="181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3" t="n"/>
    </row>
    <row r="182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</row>
    <row r="183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3" t="n"/>
    </row>
    <row r="184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</row>
    <row r="185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3" t="n"/>
    </row>
    <row r="186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3" t="n"/>
    </row>
    <row r="187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3" t="n"/>
    </row>
    <row r="188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3" t="n"/>
    </row>
    <row r="189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3" t="n"/>
    </row>
    <row r="190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3" t="n"/>
    </row>
    <row r="191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3" t="n"/>
    </row>
    <row r="192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3" t="n"/>
    </row>
    <row r="193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3" t="n"/>
    </row>
    <row r="194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</row>
    <row r="195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3" t="n"/>
    </row>
    <row r="196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3" t="n"/>
    </row>
    <row r="197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3" t="n"/>
    </row>
    <row r="198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</row>
    <row r="199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3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6" t="n"/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:G1"/>
    </sheetView>
  </sheetViews>
  <sheetFormatPr baseColWidth="10" defaultColWidth="8.83203125" defaultRowHeight="15"/>
  <cols>
    <col width="23.83203125" customWidth="1" style="151" min="1" max="7"/>
  </cols>
  <sheetData>
    <row r="1" ht="53.25" customHeight="1" s="151">
      <c r="A1" s="155" t="inlineStr">
        <is>
          <t>Catalogos sugeridos</t>
        </is>
      </c>
    </row>
    <row r="3" ht="16" customHeight="1" s="151">
      <c r="A3" s="7" t="inlineStr">
        <is>
          <t>Estados</t>
        </is>
      </c>
      <c r="B3" s="8" t="inlineStr">
        <is>
          <t>Tipos Evento</t>
        </is>
      </c>
      <c r="C3" s="8" t="inlineStr">
        <is>
          <t>Nodos Criticos</t>
        </is>
      </c>
      <c r="D3" s="9" t="inlineStr">
        <is>
          <t>Asertividad</t>
        </is>
      </c>
      <c r="F3" s="7" t="inlineStr">
        <is>
          <t>Codigo</t>
        </is>
      </c>
      <c r="G3" s="9" t="inlineStr">
        <is>
          <t>Categoria</t>
        </is>
      </c>
    </row>
    <row r="4" ht="16" customHeight="1" s="151">
      <c r="A4" s="1" t="inlineStr">
        <is>
          <t>Atendido</t>
        </is>
      </c>
      <c r="B4" s="2" t="inlineStr">
        <is>
          <t>Demora ingreso &gt;15</t>
        </is>
      </c>
      <c r="C4" s="2" t="inlineStr">
        <is>
          <t>Admision / citacion</t>
        </is>
      </c>
      <c r="D4" s="3" t="inlineStr">
        <is>
          <t>Asertivo</t>
        </is>
      </c>
      <c r="F4" s="1" t="inlineStr">
        <is>
          <t>1802004-7</t>
        </is>
      </c>
      <c r="G4" s="3" t="inlineStr">
        <is>
          <t>Cirugía Mayor</t>
        </is>
      </c>
    </row>
    <row r="5" ht="16" customHeight="1" s="151">
      <c r="A5" s="1" t="inlineStr">
        <is>
          <t>Realizado</t>
        </is>
      </c>
      <c r="B5" s="2" t="inlineStr">
        <is>
          <t>Suspension</t>
        </is>
      </c>
      <c r="C5" s="2" t="inlineStr">
        <is>
          <t>Preoperatorio</t>
        </is>
      </c>
      <c r="D5" s="3" t="inlineStr">
        <is>
          <t>Subestimacion</t>
        </is>
      </c>
      <c r="F5" s="1" t="inlineStr">
        <is>
          <t>1802067-9</t>
        </is>
      </c>
      <c r="G5" s="3" t="inlineStr">
        <is>
          <t>Cirugía Mayor</t>
        </is>
      </c>
    </row>
    <row r="6" ht="16" customHeight="1" s="151">
      <c r="A6" s="1" t="inlineStr">
        <is>
          <t>Recepcionado</t>
        </is>
      </c>
      <c r="B6" s="2" t="inlineStr">
        <is>
          <t>Recambio &gt;15</t>
        </is>
      </c>
      <c r="C6" s="2" t="inlineStr">
        <is>
          <t>Anestesia</t>
        </is>
      </c>
      <c r="D6" s="3" t="inlineStr">
        <is>
          <t>Sobrestimacion</t>
        </is>
      </c>
      <c r="F6" s="1" t="inlineStr">
        <is>
          <t>1802001-2</t>
        </is>
      </c>
      <c r="G6" s="3" t="inlineStr">
        <is>
          <t>Cirugía Menor</t>
        </is>
      </c>
    </row>
    <row r="7" ht="16" customHeight="1" s="151">
      <c r="A7" s="1" t="inlineStr">
        <is>
          <t>Agendado</t>
        </is>
      </c>
      <c r="B7" s="2" t="inlineStr">
        <is>
          <t>Nodo critico</t>
        </is>
      </c>
      <c r="C7" s="2" t="inlineStr">
        <is>
          <t>Esterilizacion / instrumental</t>
        </is>
      </c>
      <c r="D7" s="3" t="n"/>
      <c r="F7" s="1" t="inlineStr">
        <is>
          <t>PROC-001</t>
        </is>
      </c>
      <c r="G7" s="3" t="inlineStr">
        <is>
          <t>Procedimiento</t>
        </is>
      </c>
    </row>
    <row r="8" ht="16" customHeight="1" s="151">
      <c r="A8" s="1" t="inlineStr">
        <is>
          <t>Suspendido</t>
        </is>
      </c>
      <c r="B8" s="2" t="n"/>
      <c r="C8" s="2" t="inlineStr">
        <is>
          <t>Disponibilidad de cama</t>
        </is>
      </c>
      <c r="D8" s="3" t="n"/>
      <c r="F8" s="1" t="n"/>
      <c r="G8" s="3" t="n"/>
    </row>
    <row r="9" ht="16" customHeight="1" s="151">
      <c r="A9" s="1" t="n"/>
      <c r="B9" s="2" t="n"/>
      <c r="C9" s="2" t="inlineStr">
        <is>
          <t>Pabellon</t>
        </is>
      </c>
      <c r="D9" s="3" t="n"/>
      <c r="F9" s="1" t="n"/>
      <c r="G9" s="3" t="n"/>
    </row>
    <row r="10" ht="16" customHeight="1" s="151">
      <c r="A10" s="1" t="n"/>
      <c r="B10" s="2" t="n"/>
      <c r="C10" s="2" t="inlineStr">
        <is>
          <t>Equipo quirurgico</t>
        </is>
      </c>
      <c r="D10" s="3" t="n"/>
      <c r="F10" s="1" t="n"/>
      <c r="G10" s="3" t="n"/>
    </row>
    <row r="11" ht="16" customHeight="1" s="151">
      <c r="A11" s="1" t="n"/>
      <c r="B11" s="2" t="n"/>
      <c r="C11" s="2" t="inlineStr">
        <is>
          <t>Traslado paciente</t>
        </is>
      </c>
      <c r="D11" s="3" t="n"/>
      <c r="F11" s="1" t="n"/>
      <c r="G11" s="3" t="n"/>
    </row>
    <row r="12" ht="16" customHeight="1" s="151">
      <c r="A12" s="1" t="n"/>
      <c r="B12" s="2" t="n"/>
      <c r="C12" s="2" t="inlineStr">
        <is>
          <t>Gestion de tabla</t>
        </is>
      </c>
      <c r="D12" s="3" t="n"/>
      <c r="F12" s="4" t="n"/>
      <c r="G12" s="6" t="n"/>
    </row>
    <row r="13" ht="16" customHeight="1" s="151">
      <c r="A13" s="4" t="n"/>
      <c r="B13" s="5" t="n"/>
      <c r="C13" s="5" t="inlineStr">
        <is>
          <t>Recuperacion</t>
        </is>
      </c>
      <c r="D13" s="6" t="n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:F1"/>
    </sheetView>
  </sheetViews>
  <sheetFormatPr baseColWidth="10" defaultColWidth="8.83203125" defaultRowHeight="15"/>
  <cols>
    <col width="27.83203125" customWidth="1" style="151" min="1" max="1"/>
    <col width="34.33203125" customWidth="1" style="151" min="2" max="2"/>
    <col width="27.83203125" customWidth="1" style="151" min="3" max="3"/>
    <col width="33.1640625" customWidth="1" style="151" min="4" max="4"/>
    <col width="33.6640625" customWidth="1" style="151" min="5" max="5"/>
    <col width="37.83203125" customWidth="1" style="151" min="6" max="6"/>
  </cols>
  <sheetData>
    <row r="1" ht="53.25" customHeight="1" s="151">
      <c r="A1" s="155" t="inlineStr">
        <is>
          <t>Como usar esta plantilla</t>
        </is>
      </c>
    </row>
    <row r="3" ht="16" customHeight="1" s="151">
      <c r="A3" s="7" t="inlineStr">
        <is>
          <t>Paso</t>
        </is>
      </c>
      <c r="B3" s="8" t="inlineStr">
        <is>
          <t>Accion</t>
        </is>
      </c>
      <c r="C3" s="8" t="inlineStr">
        <is>
          <t>Hoja</t>
        </is>
      </c>
      <c r="D3" s="8" t="inlineStr">
        <is>
          <t>Campo clave</t>
        </is>
      </c>
      <c r="E3" s="8" t="inlineStr">
        <is>
          <t>Resultado</t>
        </is>
      </c>
      <c r="F3" s="9" t="inlineStr">
        <is>
          <t>Nota</t>
        </is>
      </c>
    </row>
    <row r="4" ht="32" customHeight="1" s="151">
      <c r="A4" s="1" t="inlineStr">
        <is>
          <t>1</t>
        </is>
      </c>
      <c r="B4" s="2" t="inlineStr">
        <is>
          <t>Copiar o pegar datos desde el sistema origen</t>
        </is>
      </c>
      <c r="C4" s="2" t="inlineStr">
        <is>
          <t>Carga Web Cirugias</t>
        </is>
      </c>
      <c r="D4" s="2" t="inlineStr">
        <is>
          <t>Fecha, paciente, pabellon, horas</t>
        </is>
      </c>
      <c r="E4" s="2" t="inlineStr">
        <is>
          <t>Base lista para web</t>
        </is>
      </c>
      <c r="F4" s="3" t="inlineStr">
        <is>
          <t>No borrar encabezados</t>
        </is>
      </c>
    </row>
    <row r="5" ht="32" customHeight="1" s="151">
      <c r="A5" s="1" t="inlineStr">
        <is>
          <t>2</t>
        </is>
      </c>
      <c r="B5" s="2" t="inlineStr">
        <is>
          <t>Completar manualmente tiempo programado</t>
        </is>
      </c>
      <c r="C5" s="2" t="inlineStr">
        <is>
          <t>Carga Web Cirugias</t>
        </is>
      </c>
      <c r="D5" s="2" t="inlineStr">
        <is>
          <t>Tiempo programado de cirugía en tabla (Min)</t>
        </is>
      </c>
      <c r="E5" s="2" t="inlineStr">
        <is>
          <t>Calcula diferencia y asertividad</t>
        </is>
      </c>
      <c r="F5" s="3" t="inlineStr">
        <is>
          <t>Columna destacada en naranjo</t>
        </is>
      </c>
    </row>
    <row r="6" ht="32" customHeight="1" s="151">
      <c r="A6" s="1" t="inlineStr">
        <is>
          <t>3</t>
        </is>
      </c>
      <c r="B6" s="2" t="inlineStr">
        <is>
          <t>Completar o mantener mapa codigo-categoria</t>
        </is>
      </c>
      <c r="C6" s="2" t="inlineStr">
        <is>
          <t>Catalogos</t>
        </is>
      </c>
      <c r="D6" s="2" t="inlineStr">
        <is>
          <t>Codigo y Categoria</t>
        </is>
      </c>
      <c r="E6" s="2" t="inlineStr">
        <is>
          <t>Categoria se enlaza con Codigo 1 o Codigo 2</t>
        </is>
      </c>
      <c r="F6" s="3" t="inlineStr">
        <is>
          <t>Use Cirugía Mayor, Cirugía Menor o Procedimiento</t>
        </is>
      </c>
    </row>
    <row r="7" ht="32" customHeight="1" s="151">
      <c r="A7" s="1" t="inlineStr">
        <is>
          <t>4</t>
        </is>
      </c>
      <c r="B7" s="2" t="inlineStr">
        <is>
          <t>Revisar suspendidos</t>
        </is>
      </c>
      <c r="C7" s="2" t="inlineStr">
        <is>
          <t>Carga Web Cirugias</t>
        </is>
      </c>
      <c r="D7" s="2" t="inlineStr">
        <is>
          <t>Estado y Causa Suspension</t>
        </is>
      </c>
      <c r="E7" s="2" t="inlineStr">
        <is>
          <t>Permite resumen por pabellon</t>
        </is>
      </c>
      <c r="F7" s="3" t="inlineStr">
        <is>
          <t>Si Estado=Suspended/Suspendido, registrar causa</t>
        </is>
      </c>
    </row>
    <row r="8" ht="16" customHeight="1" s="151">
      <c r="A8" s="1" t="inlineStr">
        <is>
          <t>5</t>
        </is>
      </c>
      <c r="B8" s="2" t="inlineStr">
        <is>
          <t>Registrar eventos operativos</t>
        </is>
      </c>
      <c r="C8" s="2" t="inlineStr">
        <is>
          <t>Carga Eventos Diarios</t>
        </is>
      </c>
      <c r="D8" s="2" t="inlineStr">
        <is>
          <t>Tipo, nodo, causa</t>
        </is>
      </c>
      <c r="E8" s="2" t="inlineStr">
        <is>
          <t>Demoras y nodos criticos</t>
        </is>
      </c>
      <c r="F8" s="3" t="inlineStr">
        <is>
          <t>Sirve para tablero diario</t>
        </is>
      </c>
    </row>
    <row r="9" ht="32" customHeight="1" s="151">
      <c r="A9" s="1" t="inlineStr">
        <is>
          <t>6</t>
        </is>
      </c>
      <c r="B9" s="2" t="inlineStr">
        <is>
          <t>Exportar para cargar en web</t>
        </is>
      </c>
      <c r="C9" s="2" t="inlineStr">
        <is>
          <t>Excel</t>
        </is>
      </c>
      <c r="D9" s="2" t="inlineStr">
        <is>
          <t>Guardar como CSV UTF-8</t>
        </is>
      </c>
      <c r="E9" s="2" t="inlineStr">
        <is>
          <t>Archivo liviano para importar</t>
        </is>
      </c>
      <c r="F9" s="3" t="inlineStr">
        <is>
          <t>Exportar una hoja a la vez si la web lo solicita</t>
        </is>
      </c>
    </row>
    <row r="10" ht="16" customHeight="1" s="151">
      <c r="A10" s="1" t="inlineStr">
        <is>
          <t>7</t>
        </is>
      </c>
      <c r="B10" s="2" t="inlineStr">
        <is>
          <t>Validar formulas</t>
        </is>
      </c>
      <c r="C10" s="2" t="inlineStr">
        <is>
          <t>Carga Web Cirugias</t>
        </is>
      </c>
      <c r="D10" s="2" t="inlineStr">
        <is>
          <t>Duracion, diferencia, asertividad</t>
        </is>
      </c>
      <c r="E10" s="2" t="inlineStr">
        <is>
          <t>Indicadores coherentes</t>
        </is>
      </c>
      <c r="F10" s="3" t="inlineStr">
        <is>
          <t>Asertividad = real - programado</t>
        </is>
      </c>
    </row>
    <row r="11">
      <c r="A11" s="1" t="n"/>
      <c r="B11" s="2" t="n"/>
      <c r="C11" s="2" t="n"/>
      <c r="D11" s="2" t="n"/>
      <c r="E11" s="2" t="n"/>
      <c r="F11" s="3" t="n"/>
    </row>
    <row r="12" ht="16" customHeight="1" s="151">
      <c r="A12" s="4" t="inlineStr">
        <is>
          <t>Regla asertividad</t>
        </is>
      </c>
      <c r="B12" s="5" t="inlineStr">
        <is>
          <t>Diferencia &gt; 15 Subestimacion</t>
        </is>
      </c>
      <c r="C12" s="5" t="n"/>
      <c r="D12" s="5" t="n"/>
      <c r="E12" s="5" t="n"/>
      <c r="F12" s="6" t="n"/>
    </row>
    <row r="13">
      <c r="A13" t="inlineStr">
        <is>
          <t>Regla asertividad</t>
        </is>
      </c>
      <c r="B13" t="inlineStr">
        <is>
          <t>Diferencia entre -15 y 15 Asertivo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51"/>
  <sheetViews>
    <sheetView workbookViewId="0">
      <selection activeCell="A1" sqref="A1:E1"/>
    </sheetView>
  </sheetViews>
  <sheetFormatPr baseColWidth="10" defaultColWidth="8.83203125" defaultRowHeight="15"/>
  <cols>
    <col width="55.1640625" customWidth="1" style="151" min="1" max="2"/>
    <col width="255" customWidth="1" style="151" min="3" max="3"/>
    <col width="55.1640625" customWidth="1" style="151" min="4" max="5"/>
  </cols>
  <sheetData>
    <row r="1" ht="50.75" customHeight="1" s="151">
      <c r="A1" s="156" t="inlineStr">
        <is>
          <t>Catalogo MINSAL 2025 para clasificar cirugias CRR</t>
        </is>
      </c>
    </row>
    <row r="3" ht="16" customHeight="1" s="151">
      <c r="A3" s="10" t="inlineStr">
        <is>
          <t>Codigo</t>
        </is>
      </c>
      <c r="B3" s="11" t="inlineStr">
        <is>
          <t>Codigo Adicional</t>
        </is>
      </c>
      <c r="C3" s="11" t="inlineStr">
        <is>
          <t>Glosa MINSAL</t>
        </is>
      </c>
      <c r="D3" s="11" t="inlineStr">
        <is>
          <t>Tipo Actividad MINSAL</t>
        </is>
      </c>
      <c r="E3" s="12" t="inlineStr">
        <is>
          <t>Categoria</t>
        </is>
      </c>
    </row>
    <row r="4" ht="16" customHeight="1" s="151">
      <c r="A4" s="1" t="inlineStr">
        <is>
          <t>1101001</t>
        </is>
      </c>
      <c r="B4" s="2" t="inlineStr">
        <is>
          <t>1</t>
        </is>
      </c>
      <c r="C4" s="2" t="inlineStr">
        <is>
          <t>Rellenado de  bombas de administración de fármacos en LCR</t>
        </is>
      </c>
      <c r="D4" s="2" t="inlineStr">
        <is>
          <t>Proc</t>
        </is>
      </c>
      <c r="E4" s="3" t="inlineStr">
        <is>
          <t>Procedimiento</t>
        </is>
      </c>
    </row>
    <row r="5" ht="16" customHeight="1" s="151">
      <c r="A5" s="1" t="inlineStr">
        <is>
          <t>1101002</t>
        </is>
      </c>
      <c r="B5" s="2" t="inlineStr">
        <is>
          <t>4</t>
        </is>
      </c>
      <c r="C5" s="2" t="inlineStr">
        <is>
          <t>Punción Subdural</t>
        </is>
      </c>
      <c r="D5" s="2" t="inlineStr">
        <is>
          <t>Proc</t>
        </is>
      </c>
      <c r="E5" s="3" t="inlineStr">
        <is>
          <t>Procedimiento</t>
        </is>
      </c>
    </row>
    <row r="6" ht="16" customHeight="1" s="151">
      <c r="A6" s="1" t="inlineStr">
        <is>
          <t>1101003</t>
        </is>
      </c>
      <c r="B6" s="2" t="inlineStr">
        <is>
          <t>4</t>
        </is>
      </c>
      <c r="C6" s="2" t="inlineStr">
        <is>
          <t>Punción Lumbar c/s manometría c/s Queckensted</t>
        </is>
      </c>
      <c r="D6" s="2" t="inlineStr">
        <is>
          <t>Proc</t>
        </is>
      </c>
      <c r="E6" s="3" t="inlineStr">
        <is>
          <t>Procedimiento</t>
        </is>
      </c>
    </row>
    <row r="7" ht="16" customHeight="1" s="151">
      <c r="A7" s="1" t="inlineStr">
        <is>
          <t>1101004</t>
        </is>
      </c>
      <c r="B7" s="2" t="n"/>
      <c r="C7" s="2" t="inlineStr">
        <is>
          <t>E.E.G. de 16 o más canales (incluye el cód. 11-01-006)</t>
        </is>
      </c>
      <c r="D7" s="2" t="inlineStr">
        <is>
          <t>Proc</t>
        </is>
      </c>
      <c r="E7" s="3" t="inlineStr">
        <is>
          <t>Procedimiento</t>
        </is>
      </c>
    </row>
    <row r="8" ht="16" customHeight="1" s="151">
      <c r="A8" s="1" t="inlineStr">
        <is>
          <t>1101005</t>
        </is>
      </c>
      <c r="B8" s="2" t="n"/>
      <c r="C8" s="2" t="inlineStr">
        <is>
          <t>Electrocorticografía</t>
        </is>
      </c>
      <c r="D8" s="2" t="inlineStr">
        <is>
          <t>Proc</t>
        </is>
      </c>
      <c r="E8" s="3" t="inlineStr">
        <is>
          <t>Procedimiento</t>
        </is>
      </c>
    </row>
    <row r="9" ht="16" customHeight="1" s="151">
      <c r="A9" s="1" t="inlineStr">
        <is>
          <t>1101006</t>
        </is>
      </c>
      <c r="B9" s="2" t="n"/>
      <c r="C9" s="2" t="inlineStr">
        <is>
          <t>Electroencefalograma (E.E.G.) standard y/o activado "sin privación de sueño" (incluye mono y bipolares, hiperventilación, c/s reactividad auditiva, visual, lumínica, por drogas u otras). Equipo de 8 canales</t>
        </is>
      </c>
      <c r="D9" s="2" t="inlineStr">
        <is>
          <t>Proc</t>
        </is>
      </c>
      <c r="E9" s="3" t="inlineStr">
        <is>
          <t>Procedimiento</t>
        </is>
      </c>
    </row>
    <row r="10" ht="16" customHeight="1" s="151">
      <c r="A10" s="1" t="inlineStr">
        <is>
          <t>1101007</t>
        </is>
      </c>
      <c r="B10" s="2" t="n"/>
      <c r="C10" s="2" t="inlineStr">
        <is>
          <t>Estéreo-electroencefalografía (incluye uno o mas electrodos adicionales)</t>
        </is>
      </c>
      <c r="D10" s="2" t="inlineStr">
        <is>
          <t>Proc</t>
        </is>
      </c>
      <c r="E10" s="3" t="inlineStr">
        <is>
          <t>Procedimiento</t>
        </is>
      </c>
    </row>
    <row r="11" ht="16" customHeight="1" s="151">
      <c r="A11" s="1" t="inlineStr">
        <is>
          <t>1101008</t>
        </is>
      </c>
      <c r="B11" s="2" t="n"/>
      <c r="C11" s="2" t="inlineStr">
        <is>
          <t>Monitoreo EEG invasivo con electrodos subdurales</t>
        </is>
      </c>
      <c r="D11" s="2" t="inlineStr">
        <is>
          <t>Proc</t>
        </is>
      </c>
      <c r="E11" s="3" t="inlineStr">
        <is>
          <t>Procedimiento</t>
        </is>
      </c>
    </row>
    <row r="12" ht="16" customHeight="1" s="151">
      <c r="A12" s="1" t="inlineStr">
        <is>
          <t>1101009</t>
        </is>
      </c>
      <c r="B12" s="2" t="n"/>
      <c r="C12" s="2" t="inlineStr">
        <is>
          <t>Electromiografía de fibra única</t>
        </is>
      </c>
      <c r="D12" s="2" t="inlineStr">
        <is>
          <t>Proc</t>
        </is>
      </c>
      <c r="E12" s="3" t="inlineStr">
        <is>
          <t>Procedimiento</t>
        </is>
      </c>
    </row>
    <row r="13" ht="16" customHeight="1" s="151">
      <c r="A13" s="1" t="inlineStr">
        <is>
          <t>1101010</t>
        </is>
      </c>
      <c r="B13" s="2" t="n"/>
      <c r="C13" s="2" t="inlineStr">
        <is>
          <t>Electromiografías cualquier región, por ej.: músculos faciales, faringe, paravertebrales, vejiga y periné, test  de miastenia (incluye el estudio clínico y muestreo suficientes para diagnosticar naturaleza del trastorno y estado evolutivo), c/u</t>
        </is>
      </c>
      <c r="D13" s="2" t="inlineStr">
        <is>
          <t>Proc</t>
        </is>
      </c>
      <c r="E13" s="3" t="inlineStr">
        <is>
          <t>Procedimiento</t>
        </is>
      </c>
    </row>
    <row r="14" ht="16" customHeight="1" s="151">
      <c r="A14" s="1" t="inlineStr">
        <is>
          <t>1101011</t>
        </is>
      </c>
      <c r="B14" s="2" t="n"/>
      <c r="C14" s="2" t="inlineStr">
        <is>
          <t>Potenciales evocados en corteza ( por ej.: auditivo, ocular o corporales), c/u</t>
        </is>
      </c>
      <c r="D14" s="2" t="inlineStr">
        <is>
          <t>Proc</t>
        </is>
      </c>
      <c r="E14" s="3" t="inlineStr">
        <is>
          <t>Procedimiento</t>
        </is>
      </c>
    </row>
    <row r="15" ht="16" customHeight="1" s="151">
      <c r="A15" s="1" t="inlineStr">
        <is>
          <t>1101012</t>
        </is>
      </c>
      <c r="B15" s="2" t="n"/>
      <c r="C15" s="2" t="inlineStr">
        <is>
          <t>Velocidad de conducción nerviosa (incluye reflejo H, onda F y otros)</t>
        </is>
      </c>
      <c r="D15" s="2" t="inlineStr">
        <is>
          <t>Proc</t>
        </is>
      </c>
      <c r="E15" s="3" t="inlineStr">
        <is>
          <t>Procedimiento</t>
        </is>
      </c>
    </row>
    <row r="16" ht="16" customHeight="1" s="151">
      <c r="A16" s="1" t="inlineStr">
        <is>
          <t>1101013</t>
        </is>
      </c>
      <c r="B16" s="2" t="n"/>
      <c r="C16" s="2" t="inlineStr">
        <is>
          <t>Carótida-vertebral por cateterización de la subclavia, axilar, humeral o femoral.</t>
        </is>
      </c>
      <c r="D16" s="2" t="inlineStr">
        <is>
          <t>Proc</t>
        </is>
      </c>
      <c r="E16" s="3" t="inlineStr">
        <is>
          <t>Procedimiento</t>
        </is>
      </c>
    </row>
    <row r="17" ht="16" customHeight="1" s="151">
      <c r="A17" s="1" t="inlineStr">
        <is>
          <t>1101026</t>
        </is>
      </c>
      <c r="B17" s="2" t="inlineStr">
        <is>
          <t>3</t>
        </is>
      </c>
      <c r="C17" s="2" t="inlineStr">
        <is>
          <t>Bloqueo nervio periférico en punto motor</t>
        </is>
      </c>
      <c r="D17" s="2" t="inlineStr">
        <is>
          <t>Proc</t>
        </is>
      </c>
      <c r="E17" s="3" t="inlineStr">
        <is>
          <t>Procedimiento</t>
        </is>
      </c>
    </row>
    <row r="18" ht="16" customHeight="1" s="151">
      <c r="A18" s="1" t="inlineStr">
        <is>
          <t>1101027</t>
        </is>
      </c>
      <c r="B18" s="2" t="inlineStr">
        <is>
          <t>3</t>
        </is>
      </c>
      <c r="C18" s="2" t="inlineStr">
        <is>
          <t>Bloqueo nervio troncular</t>
        </is>
      </c>
      <c r="D18" s="2" t="inlineStr">
        <is>
          <t>Proc</t>
        </is>
      </c>
      <c r="E18" s="3" t="inlineStr">
        <is>
          <t>Procedimiento</t>
        </is>
      </c>
    </row>
    <row r="19" ht="16" customHeight="1" s="151">
      <c r="A19" s="1" t="inlineStr">
        <is>
          <t>1101028</t>
        </is>
      </c>
      <c r="B19" s="2" t="n"/>
      <c r="C19" s="2" t="inlineStr">
        <is>
          <t>Infiltración o bloqueo de ramas del trigémino o del facial</t>
        </is>
      </c>
      <c r="D19" s="2" t="inlineStr">
        <is>
          <t>Proc</t>
        </is>
      </c>
      <c r="E19" s="3" t="inlineStr">
        <is>
          <t>Procedimiento</t>
        </is>
      </c>
    </row>
    <row r="20" ht="16" customHeight="1" s="151">
      <c r="A20" s="1" t="inlineStr">
        <is>
          <t>1101029</t>
        </is>
      </c>
      <c r="B20" s="2" t="n"/>
      <c r="C20" s="2" t="inlineStr">
        <is>
          <t>Infiltración o bloqueo del ganglio estrellado</t>
        </is>
      </c>
      <c r="D20" s="2" t="inlineStr">
        <is>
          <t>Proc</t>
        </is>
      </c>
      <c r="E20" s="3" t="inlineStr">
        <is>
          <t>Procedimiento</t>
        </is>
      </c>
    </row>
    <row r="21" ht="16" customHeight="1" s="151">
      <c r="A21" s="1" t="inlineStr">
        <is>
          <t>1101030</t>
        </is>
      </c>
      <c r="B21" s="2" t="n"/>
      <c r="C21" s="2" t="inlineStr">
        <is>
          <t>Infiltración o bloqueo epidural, cervical, lumbar o similares, cada sesión</t>
        </is>
      </c>
      <c r="D21" s="2" t="inlineStr">
        <is>
          <t>Proc</t>
        </is>
      </c>
      <c r="E21" s="3" t="inlineStr">
        <is>
          <t>Procedimiento</t>
        </is>
      </c>
    </row>
    <row r="22" ht="16" customHeight="1" s="151">
      <c r="A22" s="1" t="inlineStr">
        <is>
          <t>1101031</t>
        </is>
      </c>
      <c r="B22" s="2" t="inlineStr">
        <is>
          <t>3</t>
        </is>
      </c>
      <c r="C22" s="2" t="inlineStr">
        <is>
          <t>Infiltración o bloqueo intercostales (cualquier número)</t>
        </is>
      </c>
      <c r="D22" s="2" t="inlineStr">
        <is>
          <t>Proc</t>
        </is>
      </c>
      <c r="E22" s="3" t="inlineStr">
        <is>
          <t>Procedimiento</t>
        </is>
      </c>
    </row>
    <row r="23" ht="16" customHeight="1" s="151">
      <c r="A23" s="1" t="inlineStr">
        <is>
          <t>1101032</t>
        </is>
      </c>
      <c r="B23" s="2" t="n"/>
      <c r="C23" s="2" t="inlineStr">
        <is>
          <t>Rizotomía química por medio de inyección intratecal</t>
        </is>
      </c>
      <c r="D23" s="2" t="inlineStr">
        <is>
          <t>Proc</t>
        </is>
      </c>
      <c r="E23" s="3" t="inlineStr">
        <is>
          <t>Procedimiento</t>
        </is>
      </c>
    </row>
    <row r="24" ht="16" customHeight="1" s="151">
      <c r="A24" s="1" t="inlineStr">
        <is>
          <t>1101033</t>
        </is>
      </c>
      <c r="B24" s="2" t="inlineStr">
        <is>
          <t>3</t>
        </is>
      </c>
      <c r="C24" s="2" t="inlineStr">
        <is>
          <t>Infiltración o bloqueo suboccipital u otros nervios cervicales</t>
        </is>
      </c>
      <c r="D24" s="2" t="inlineStr">
        <is>
          <t>Proc</t>
        </is>
      </c>
      <c r="E24" s="3" t="inlineStr">
        <is>
          <t>Procedimiento</t>
        </is>
      </c>
    </row>
    <row r="25" ht="16" customHeight="1" s="151">
      <c r="A25" s="1" t="inlineStr">
        <is>
          <t>1101034</t>
        </is>
      </c>
      <c r="B25" s="2" t="inlineStr">
        <is>
          <t>3</t>
        </is>
      </c>
      <c r="C25" s="2" t="inlineStr">
        <is>
          <t>Alcoholización o fenolización de nervios periféricos: intramuscular</t>
        </is>
      </c>
      <c r="D25" s="2" t="inlineStr">
        <is>
          <t>Proc</t>
        </is>
      </c>
      <c r="E25" s="3" t="inlineStr">
        <is>
          <t>Procedimiento</t>
        </is>
      </c>
    </row>
    <row r="26" ht="16" customHeight="1" s="151">
      <c r="A26" s="1" t="inlineStr">
        <is>
          <t>1101035</t>
        </is>
      </c>
      <c r="B26" s="2" t="inlineStr">
        <is>
          <t>3</t>
        </is>
      </c>
      <c r="C26" s="2" t="inlineStr">
        <is>
          <t>Alcoholización o fenolización de nervios periféricos: intratecal</t>
        </is>
      </c>
      <c r="D26" s="2" t="inlineStr">
        <is>
          <t>Proc</t>
        </is>
      </c>
      <c r="E26" s="3" t="inlineStr">
        <is>
          <t>Procedimiento</t>
        </is>
      </c>
    </row>
    <row r="27" ht="16" customHeight="1" s="151">
      <c r="A27" s="1" t="inlineStr">
        <is>
          <t>1101036</t>
        </is>
      </c>
      <c r="B27" s="2" t="inlineStr">
        <is>
          <t>3</t>
        </is>
      </c>
      <c r="C27" s="2" t="inlineStr">
        <is>
          <t>Alcoholización o fenolización de nervios periféricos: troncular</t>
        </is>
      </c>
      <c r="D27" s="2" t="inlineStr">
        <is>
          <t>Proc</t>
        </is>
      </c>
      <c r="E27" s="3" t="inlineStr">
        <is>
          <t>Procedimiento</t>
        </is>
      </c>
    </row>
    <row r="28" ht="16" customHeight="1" s="151">
      <c r="A28" s="1" t="inlineStr">
        <is>
          <t>1101040</t>
        </is>
      </c>
      <c r="B28" s="2" t="n"/>
      <c r="C28" s="2" t="inlineStr">
        <is>
          <t>E.E.G. en vigilia, sueño y post-privación de sueño. Equipo de 8 canales</t>
        </is>
      </c>
      <c r="D28" s="2" t="inlineStr">
        <is>
          <t>Proc</t>
        </is>
      </c>
      <c r="E28" s="3" t="inlineStr">
        <is>
          <t>Procedimiento</t>
        </is>
      </c>
    </row>
    <row r="29" ht="16" customHeight="1" s="151">
      <c r="A29" s="1" t="inlineStr">
        <is>
          <t>1101041</t>
        </is>
      </c>
      <c r="B29" s="2" t="n"/>
      <c r="C29" s="2" t="inlineStr">
        <is>
          <t>EEG en vigilia, sueño y post-privación de sueño. Equipo de 16 o mas canales</t>
        </is>
      </c>
      <c r="D29" s="2" t="inlineStr">
        <is>
          <t>Proc</t>
        </is>
      </c>
      <c r="E29" s="3" t="inlineStr">
        <is>
          <t>Procedimiento</t>
        </is>
      </c>
    </row>
    <row r="30" ht="16" customHeight="1" s="151">
      <c r="A30" s="1" t="inlineStr">
        <is>
          <t>1101042</t>
        </is>
      </c>
      <c r="B30" s="2" t="n"/>
      <c r="C30" s="2" t="inlineStr">
        <is>
          <t>EEG digital 20 canales (con activaciones HV y FE) estándar o post privación de sueño de 20 a 30 minutos duración</t>
        </is>
      </c>
      <c r="D30" s="2" t="inlineStr">
        <is>
          <t>Proc</t>
        </is>
      </c>
      <c r="E30" s="3" t="inlineStr">
        <is>
          <t>Procedimiento</t>
        </is>
      </c>
    </row>
    <row r="31" ht="16" customHeight="1" s="151">
      <c r="A31" s="1" t="inlineStr">
        <is>
          <t>1101043</t>
        </is>
      </c>
      <c r="B31" s="2" t="n"/>
      <c r="C31" s="2" t="inlineStr">
        <is>
          <t>EEG digital 32 canales (con activaciones HV y FE) estándar o post privación de sueño de 20 a 30 minutos duración</t>
        </is>
      </c>
      <c r="D31" s="2" t="inlineStr">
        <is>
          <t>Proc</t>
        </is>
      </c>
      <c r="E31" s="3" t="inlineStr">
        <is>
          <t>Procedimiento</t>
        </is>
      </c>
    </row>
    <row r="32" ht="16" customHeight="1" s="151">
      <c r="A32" s="1" t="inlineStr">
        <is>
          <t>1101044</t>
        </is>
      </c>
      <c r="B32" s="2" t="n"/>
      <c r="C32" s="2" t="inlineStr">
        <is>
          <t>Monitoreo E.E.G. continuo de 24 hrs.</t>
        </is>
      </c>
      <c r="D32" s="2" t="inlineStr">
        <is>
          <t>Proc</t>
        </is>
      </c>
      <c r="E32" s="3" t="inlineStr">
        <is>
          <t>Procedimiento</t>
        </is>
      </c>
    </row>
    <row r="33" ht="16" customHeight="1" s="151">
      <c r="A33" s="1" t="inlineStr">
        <is>
          <t>1101046</t>
        </is>
      </c>
      <c r="B33" s="2" t="n"/>
      <c r="C33" s="2" t="inlineStr">
        <is>
          <t>Electroencefalograma digital de 32 canales con mapeo (mapping), análisis estadístico de frecuencias y de eventos por áreas (incluye estímulos cognitivos)</t>
        </is>
      </c>
      <c r="D33" s="2" t="inlineStr">
        <is>
          <t>Proc</t>
        </is>
      </c>
      <c r="E33" s="3" t="inlineStr">
        <is>
          <t>Procedimiento</t>
        </is>
      </c>
    </row>
    <row r="34" ht="16" customHeight="1" s="151">
      <c r="A34" s="1" t="inlineStr">
        <is>
          <t>1101047</t>
        </is>
      </c>
      <c r="B34" s="2" t="n"/>
      <c r="C34" s="2" t="inlineStr">
        <is>
          <t>Cateterismo selectivo de senos petrosos</t>
        </is>
      </c>
      <c r="D34" s="2" t="inlineStr">
        <is>
          <t>Proc</t>
        </is>
      </c>
      <c r="E34" s="3" t="inlineStr">
        <is>
          <t>Procedimiento</t>
        </is>
      </c>
    </row>
    <row r="35" ht="16" customHeight="1" s="151">
      <c r="A35" s="1" t="inlineStr">
        <is>
          <t>1101048</t>
        </is>
      </c>
      <c r="B35" s="2" t="n"/>
      <c r="C35" s="2" t="inlineStr">
        <is>
          <t>Neuromonitoreo intraoperatorio</t>
        </is>
      </c>
      <c r="D35" s="2" t="inlineStr">
        <is>
          <t>Proc</t>
        </is>
      </c>
      <c r="E35" s="3" t="inlineStr">
        <is>
          <t>Procedimiento</t>
        </is>
      </c>
    </row>
    <row r="36" ht="16" customHeight="1" s="151">
      <c r="A36" s="1" t="inlineStr">
        <is>
          <t>1101050</t>
        </is>
      </c>
      <c r="B36" s="2" t="n"/>
      <c r="C36" s="2" t="inlineStr">
        <is>
          <t>Polisomnografía basal hospitalizado</t>
        </is>
      </c>
      <c r="D36" s="2" t="inlineStr">
        <is>
          <t>Proc</t>
        </is>
      </c>
      <c r="E36" s="3" t="inlineStr">
        <is>
          <t>Procedimiento</t>
        </is>
      </c>
    </row>
    <row r="37" ht="16" customHeight="1" s="151">
      <c r="A37" s="1" t="inlineStr">
        <is>
          <t>1101051</t>
        </is>
      </c>
      <c r="B37" s="2" t="n"/>
      <c r="C37" s="2" t="inlineStr">
        <is>
          <t>Polisomnografía noche dividida</t>
        </is>
      </c>
      <c r="D37" s="2" t="inlineStr">
        <is>
          <t>Proc</t>
        </is>
      </c>
      <c r="E37" s="3" t="inlineStr">
        <is>
          <t>Procedimiento</t>
        </is>
      </c>
    </row>
    <row r="38" ht="16" customHeight="1" s="151">
      <c r="A38" s="1" t="inlineStr">
        <is>
          <t>1101052</t>
        </is>
      </c>
      <c r="B38" s="2" t="n"/>
      <c r="C38" s="2" t="inlineStr">
        <is>
          <t>Polisomnografía basal ambulatoria o domiciliaria</t>
        </is>
      </c>
      <c r="D38" s="2" t="inlineStr">
        <is>
          <t>Proc</t>
        </is>
      </c>
      <c r="E38" s="3" t="inlineStr">
        <is>
          <t>Procedimiento</t>
        </is>
      </c>
    </row>
    <row r="39" ht="16" customHeight="1" s="151">
      <c r="A39" s="1" t="inlineStr">
        <is>
          <t>1101053</t>
        </is>
      </c>
      <c r="B39" s="2" t="n"/>
      <c r="C39" s="2" t="inlineStr">
        <is>
          <t>Polisomnografía con titulación de CPAP y/o VMNI noche completa</t>
        </is>
      </c>
      <c r="D39" s="2" t="inlineStr">
        <is>
          <t>Proc</t>
        </is>
      </c>
      <c r="E39" s="3" t="inlineStr">
        <is>
          <t>Procedimiento</t>
        </is>
      </c>
    </row>
    <row r="40" ht="16" customHeight="1" s="151">
      <c r="A40" s="1" t="inlineStr">
        <is>
          <t>1101113</t>
        </is>
      </c>
      <c r="B40" s="2" t="n"/>
      <c r="C40" s="2" t="inlineStr">
        <is>
          <t>Angiografía cerebral digital por cateterización (incluye proc. radiológico,  medio de contraste e insumos)</t>
        </is>
      </c>
      <c r="D40" s="2" t="inlineStr">
        <is>
          <t>Proc</t>
        </is>
      </c>
      <c r="E40" s="3" t="inlineStr">
        <is>
          <t>Procedimiento</t>
        </is>
      </c>
    </row>
    <row r="41" ht="16" customHeight="1" s="151">
      <c r="A41" s="1" t="inlineStr">
        <is>
          <t>1101140</t>
        </is>
      </c>
      <c r="B41" s="2" t="n"/>
      <c r="C41" s="2" t="inlineStr">
        <is>
          <t>Esclerosis Múltiple Remitente Recurrente,  Tratamiento médico farmacológico  Anual (incluye inmunomoduladores)</t>
        </is>
      </c>
      <c r="D41" s="2" t="inlineStr">
        <is>
          <t>Proc</t>
        </is>
      </c>
      <c r="E41" s="3" t="inlineStr">
        <is>
          <t>Procedimiento</t>
        </is>
      </c>
    </row>
    <row r="42" ht="16" customHeight="1" s="151">
      <c r="A42" s="1" t="inlineStr">
        <is>
          <t>1101141</t>
        </is>
      </c>
      <c r="B42" s="2" t="n"/>
      <c r="C42" s="2" t="inlineStr">
        <is>
          <t>Esclerosis Múltiple Remitente Recurrente, Tratamiento rehabilitación</t>
        </is>
      </c>
      <c r="D42" s="2" t="inlineStr">
        <is>
          <t>Proc</t>
        </is>
      </c>
      <c r="E42" s="3" t="inlineStr">
        <is>
          <t>Procedimiento</t>
        </is>
      </c>
    </row>
    <row r="43" ht="16" customHeight="1" s="151">
      <c r="A43" s="1" t="inlineStr">
        <is>
          <t>1101142</t>
        </is>
      </c>
      <c r="B43" s="2" t="n"/>
      <c r="C43" s="2" t="inlineStr">
        <is>
          <t>Esclerosis Múltiple Remitente Recurrente,  Tratamiento Brote</t>
        </is>
      </c>
      <c r="D43" s="2" t="inlineStr">
        <is>
          <t>Proc</t>
        </is>
      </c>
      <c r="E43" s="3" t="inlineStr">
        <is>
          <t>Procedimiento</t>
        </is>
      </c>
    </row>
    <row r="44" ht="16" customHeight="1" s="151">
      <c r="A44" s="1" t="inlineStr">
        <is>
          <t>1103001</t>
        </is>
      </c>
      <c r="B44" s="2" t="inlineStr">
        <is>
          <t>7</t>
        </is>
      </c>
      <c r="C44" s="2" t="inlineStr">
        <is>
          <t>Malformaciones vasculares del cuero cabelludo incluye aneurisma cirsoideo</t>
        </is>
      </c>
      <c r="D44" s="2" t="inlineStr">
        <is>
          <t>Cmay</t>
        </is>
      </c>
      <c r="E44" s="3" t="inlineStr">
        <is>
          <t>Cirugía Mayor</t>
        </is>
      </c>
    </row>
    <row r="45" ht="16" customHeight="1" s="151">
      <c r="A45" s="1" t="inlineStr">
        <is>
          <t>1103002</t>
        </is>
      </c>
      <c r="B45" s="2" t="inlineStr">
        <is>
          <t>7</t>
        </is>
      </c>
      <c r="C45" s="2" t="inlineStr">
        <is>
          <t>Sinus pericrani, trat. quir.</t>
        </is>
      </c>
      <c r="D45" s="2" t="inlineStr">
        <is>
          <t>Cmay</t>
        </is>
      </c>
      <c r="E45" s="3" t="inlineStr">
        <is>
          <t>Cirugía Mayor</t>
        </is>
      </c>
    </row>
    <row r="46" ht="16" customHeight="1" s="151">
      <c r="A46" s="1" t="inlineStr">
        <is>
          <t>1103003</t>
        </is>
      </c>
      <c r="B46" s="2" t="inlineStr">
        <is>
          <t>9</t>
        </is>
      </c>
      <c r="C46" s="2" t="inlineStr">
        <is>
          <t>Hundimiento simple, reparación de</t>
        </is>
      </c>
      <c r="D46" s="2" t="inlineStr">
        <is>
          <t>Cmay</t>
        </is>
      </c>
      <c r="E46" s="3" t="inlineStr">
        <is>
          <t>Cirugía Mayor</t>
        </is>
      </c>
    </row>
    <row r="47" ht="16" customHeight="1" s="151">
      <c r="A47" s="1" t="inlineStr">
        <is>
          <t>1103004</t>
        </is>
      </c>
      <c r="B47" s="2" t="inlineStr">
        <is>
          <t>10</t>
        </is>
      </c>
      <c r="C47" s="2" t="inlineStr">
        <is>
          <t>Craneoplastía con autoinjerto</t>
        </is>
      </c>
      <c r="D47" s="2" t="inlineStr">
        <is>
          <t>Cmay</t>
        </is>
      </c>
      <c r="E47" s="3" t="inlineStr">
        <is>
          <t>Cirugía Mayor</t>
        </is>
      </c>
    </row>
    <row r="48" ht="16" customHeight="1" s="151">
      <c r="A48" s="1" t="inlineStr">
        <is>
          <t>1103005</t>
        </is>
      </c>
      <c r="B48" s="2" t="inlineStr">
        <is>
          <t>10</t>
        </is>
      </c>
      <c r="C48" s="2" t="inlineStr">
        <is>
          <t>Craneoplastía con prótesis (no incluye el valor de la prótesis)</t>
        </is>
      </c>
      <c r="D48" s="2" t="inlineStr">
        <is>
          <t>Cmay</t>
        </is>
      </c>
      <c r="E48" s="3" t="inlineStr">
        <is>
          <t>Cirugía Mayor</t>
        </is>
      </c>
    </row>
    <row r="49" ht="16" customHeight="1" s="151">
      <c r="A49" s="1" t="inlineStr">
        <is>
          <t>1103006</t>
        </is>
      </c>
      <c r="B49" s="2" t="inlineStr">
        <is>
          <t>10</t>
        </is>
      </c>
      <c r="C49" s="2" t="inlineStr">
        <is>
          <t>Tumores de calota, extirp. de</t>
        </is>
      </c>
      <c r="D49" s="2" t="inlineStr">
        <is>
          <t>Cmay</t>
        </is>
      </c>
      <c r="E49" s="3" t="inlineStr">
        <is>
          <t>Cirugía Mayor</t>
        </is>
      </c>
    </row>
    <row r="50" ht="16" customHeight="1" s="151">
      <c r="A50" s="1" t="inlineStr">
        <is>
          <t>1103007</t>
        </is>
      </c>
      <c r="B50" s="2" t="inlineStr">
        <is>
          <t>9</t>
        </is>
      </c>
      <c r="C50" s="2" t="inlineStr">
        <is>
          <t>Osteomielitis, limpieza quirúrgica</t>
        </is>
      </c>
      <c r="D50" s="2" t="inlineStr">
        <is>
          <t>Cmay</t>
        </is>
      </c>
      <c r="E50" s="3" t="inlineStr">
        <is>
          <t>Cirugía Mayor</t>
        </is>
      </c>
    </row>
    <row r="51" ht="16" customHeight="1" s="151">
      <c r="A51" s="1" t="inlineStr">
        <is>
          <t>1103008</t>
        </is>
      </c>
      <c r="B51" s="2" t="inlineStr">
        <is>
          <t>9</t>
        </is>
      </c>
      <c r="C51" s="2" t="inlineStr">
        <is>
          <t>Craniectomías descompresivas</t>
        </is>
      </c>
      <c r="D51" s="2" t="inlineStr">
        <is>
          <t>Cmay</t>
        </is>
      </c>
      <c r="E51" s="3" t="inlineStr">
        <is>
          <t>Cirugía Mayor</t>
        </is>
      </c>
    </row>
    <row r="52" ht="16" customHeight="1" s="151">
      <c r="A52" s="1" t="inlineStr">
        <is>
          <t>1103009</t>
        </is>
      </c>
      <c r="B52" s="2" t="inlineStr">
        <is>
          <t>9</t>
        </is>
      </c>
      <c r="C52" s="2" t="inlineStr">
        <is>
          <t>Reparación de fractura crecedora</t>
        </is>
      </c>
      <c r="D52" s="2" t="inlineStr">
        <is>
          <t>Cmay</t>
        </is>
      </c>
      <c r="E52" s="3" t="inlineStr">
        <is>
          <t>Cirugía Mayor</t>
        </is>
      </c>
    </row>
    <row r="53" ht="16" customHeight="1" s="151">
      <c r="A53" s="1" t="inlineStr">
        <is>
          <t>1103010</t>
        </is>
      </c>
      <c r="B53" s="2" t="inlineStr">
        <is>
          <t>9</t>
        </is>
      </c>
      <c r="C53" s="2" t="inlineStr">
        <is>
          <t>Craneotomías lineales</t>
        </is>
      </c>
      <c r="D53" s="2" t="inlineStr">
        <is>
          <t>Cmay</t>
        </is>
      </c>
      <c r="E53" s="3" t="inlineStr">
        <is>
          <t>Cirugía Mayor</t>
        </is>
      </c>
    </row>
    <row r="54" ht="16" customHeight="1" s="151">
      <c r="A54" s="1" t="inlineStr">
        <is>
          <t>1103011</t>
        </is>
      </c>
      <c r="B54" s="2" t="inlineStr">
        <is>
          <t>12</t>
        </is>
      </c>
      <c r="C54" s="2" t="inlineStr">
        <is>
          <t>Craniectomías c/s remodelación ósea</t>
        </is>
      </c>
      <c r="D54" s="2" t="inlineStr">
        <is>
          <t>Cmay</t>
        </is>
      </c>
      <c r="E54" s="3" t="inlineStr">
        <is>
          <t>Cirugía Mayor</t>
        </is>
      </c>
    </row>
    <row r="55" ht="16" customHeight="1" s="151">
      <c r="A55" s="1" t="inlineStr">
        <is>
          <t>1103014</t>
        </is>
      </c>
      <c r="B55" s="2" t="inlineStr">
        <is>
          <t>10</t>
        </is>
      </c>
      <c r="C55" s="2" t="inlineStr">
        <is>
          <t>Hematoma o absceso extradural, vaciamiento de</t>
        </is>
      </c>
      <c r="D55" s="2" t="inlineStr">
        <is>
          <t>Cmay</t>
        </is>
      </c>
      <c r="E55" s="3" t="inlineStr">
        <is>
          <t>Cirugía Mayor</t>
        </is>
      </c>
    </row>
    <row r="56" ht="16" customHeight="1" s="151">
      <c r="A56" s="1" t="inlineStr">
        <is>
          <t>1103015</t>
        </is>
      </c>
      <c r="B56" s="2" t="inlineStr">
        <is>
          <t>10</t>
        </is>
      </c>
      <c r="C56" s="2" t="inlineStr">
        <is>
          <t>Reparación de fístula de LCR</t>
        </is>
      </c>
      <c r="D56" s="2" t="inlineStr">
        <is>
          <t>Cmay</t>
        </is>
      </c>
      <c r="E56" s="3" t="inlineStr">
        <is>
          <t>Cirugía Mayor</t>
        </is>
      </c>
    </row>
    <row r="57" ht="16" customHeight="1" s="151">
      <c r="A57" s="1" t="inlineStr">
        <is>
          <t>1103016</t>
        </is>
      </c>
      <c r="B57" s="2" t="inlineStr">
        <is>
          <t>10</t>
        </is>
      </c>
      <c r="C57" s="2" t="inlineStr">
        <is>
          <t>Hematoma, empiema o colección subdural, vaciamiento de</t>
        </is>
      </c>
      <c r="D57" s="2" t="inlineStr">
        <is>
          <t>Cmay</t>
        </is>
      </c>
      <c r="E57" s="3" t="inlineStr">
        <is>
          <t>Cirugía Mayor</t>
        </is>
      </c>
    </row>
    <row r="58" ht="16" customHeight="1" s="151">
      <c r="A58" s="1" t="inlineStr">
        <is>
          <t>1103017</t>
        </is>
      </c>
      <c r="B58" s="2" t="inlineStr">
        <is>
          <t>12</t>
        </is>
      </c>
      <c r="C58" s="2" t="inlineStr">
        <is>
          <t>Quistes aracnoidales encefálicos, trat. quir. (suprasellares, temporales, cerebelosos, etc.)</t>
        </is>
      </c>
      <c r="D58" s="2" t="inlineStr">
        <is>
          <t>Cmay</t>
        </is>
      </c>
      <c r="E58" s="3" t="inlineStr">
        <is>
          <t>Cirugía Mayor</t>
        </is>
      </c>
    </row>
    <row r="59" ht="16" customHeight="1" s="151">
      <c r="A59" s="1" t="inlineStr">
        <is>
          <t>1103018</t>
        </is>
      </c>
      <c r="B59" s="2" t="inlineStr">
        <is>
          <t>9</t>
        </is>
      </c>
      <c r="C59" s="2" t="inlineStr">
        <is>
          <t>Ventriculostomía o instalación de derivativa ventricular externa o instalación de captor para medición de pic o punción biopsia o reservorio para administración de medicamentos</t>
        </is>
      </c>
      <c r="D59" s="2" t="inlineStr">
        <is>
          <t>Cmay</t>
        </is>
      </c>
      <c r="E59" s="3" t="inlineStr">
        <is>
          <t>Cirugía Mayor</t>
        </is>
      </c>
    </row>
    <row r="60" ht="16" customHeight="1" s="151">
      <c r="A60" s="1" t="inlineStr">
        <is>
          <t>1103019</t>
        </is>
      </c>
      <c r="B60" s="2" t="inlineStr">
        <is>
          <t>12</t>
        </is>
      </c>
      <c r="C60" s="2" t="inlineStr">
        <is>
          <t>Absceso cerebral, trat. quir.</t>
        </is>
      </c>
      <c r="D60" s="2" t="inlineStr">
        <is>
          <t>Cmay</t>
        </is>
      </c>
      <c r="E60" s="3" t="inlineStr">
        <is>
          <t>Cirugía Mayor</t>
        </is>
      </c>
    </row>
    <row r="61" ht="16" customHeight="1" s="151">
      <c r="A61" s="1" t="inlineStr">
        <is>
          <t>1103020</t>
        </is>
      </c>
      <c r="B61" s="2" t="inlineStr">
        <is>
          <t>9</t>
        </is>
      </c>
      <c r="C61" s="2" t="inlineStr">
        <is>
          <t>Tratamiento quirúrgico del traumatismo craneoencefálico  abierto o penetrante (herida a bala u otro elemento penetrante)</t>
        </is>
      </c>
      <c r="D61" s="2" t="inlineStr">
        <is>
          <t>Cmay</t>
        </is>
      </c>
      <c r="E61" s="3" t="inlineStr">
        <is>
          <t>Cirugía Mayor</t>
        </is>
      </c>
    </row>
    <row r="62" ht="16" customHeight="1" s="151">
      <c r="A62" s="1" t="inlineStr">
        <is>
          <t>1103021</t>
        </is>
      </c>
      <c r="B62" s="2" t="inlineStr">
        <is>
          <t>10</t>
        </is>
      </c>
      <c r="C62" s="2" t="inlineStr">
        <is>
          <t>Hundimiento expuesto, repar. de</t>
        </is>
      </c>
      <c r="D62" s="2" t="inlineStr">
        <is>
          <t>Cmay</t>
        </is>
      </c>
      <c r="E62" s="3" t="inlineStr">
        <is>
          <t>Cirugía Mayor</t>
        </is>
      </c>
    </row>
    <row r="63" ht="16" customHeight="1" s="151">
      <c r="A63" s="1" t="inlineStr">
        <is>
          <t>1103022</t>
        </is>
      </c>
      <c r="B63" s="2" t="inlineStr">
        <is>
          <t>12</t>
        </is>
      </c>
      <c r="C63" s="2" t="inlineStr">
        <is>
          <t>Lobectomías por contusión cerebral</t>
        </is>
      </c>
      <c r="D63" s="2" t="inlineStr">
        <is>
          <t>Cmay</t>
        </is>
      </c>
      <c r="E63" s="3" t="inlineStr">
        <is>
          <t>Cirugía Mayor</t>
        </is>
      </c>
    </row>
    <row r="64" ht="16" customHeight="1" s="151">
      <c r="A64" s="1" t="inlineStr">
        <is>
          <t>1103023</t>
        </is>
      </c>
      <c r="B64" s="2" t="inlineStr">
        <is>
          <t>12</t>
        </is>
      </c>
      <c r="C64" s="2" t="inlineStr">
        <is>
          <t>Hematoma intracerebral, vaciamiento de</t>
        </is>
      </c>
      <c r="D64" s="2" t="inlineStr">
        <is>
          <t>Cmay</t>
        </is>
      </c>
      <c r="E64" s="3" t="inlineStr">
        <is>
          <t>Cirugía Mayor</t>
        </is>
      </c>
    </row>
    <row r="65" ht="16" customHeight="1" s="151">
      <c r="A65" s="1" t="inlineStr">
        <is>
          <t>1103024</t>
        </is>
      </c>
      <c r="B65" s="2" t="inlineStr">
        <is>
          <t>12</t>
        </is>
      </c>
      <c r="C65" s="2" t="inlineStr">
        <is>
          <t>De base de cráneo, resección de tumores y/o quistes y/o cavernoma</t>
        </is>
      </c>
      <c r="D65" s="2" t="inlineStr">
        <is>
          <t>Cmay</t>
        </is>
      </c>
      <c r="E65" s="3" t="inlineStr">
        <is>
          <t>Cirugía Mayor</t>
        </is>
      </c>
    </row>
    <row r="66" ht="16" customHeight="1" s="151">
      <c r="A66" s="1" t="inlineStr">
        <is>
          <t>1103025</t>
        </is>
      </c>
      <c r="B66" s="2" t="inlineStr">
        <is>
          <t>12</t>
        </is>
      </c>
      <c r="C66" s="2" t="inlineStr">
        <is>
          <t>Intraorbitarios, resección de tumores y/o quistes y/o cavernoma</t>
        </is>
      </c>
      <c r="D66" s="2" t="inlineStr">
        <is>
          <t>Cmay</t>
        </is>
      </c>
      <c r="E66" s="3" t="inlineStr">
        <is>
          <t>Cirugía Mayor</t>
        </is>
      </c>
    </row>
    <row r="67" ht="16" customHeight="1" s="151">
      <c r="A67" s="1" t="inlineStr">
        <is>
          <t>1103026</t>
        </is>
      </c>
      <c r="B67" s="2" t="inlineStr">
        <is>
          <t>12</t>
        </is>
      </c>
      <c r="C67" s="2" t="inlineStr">
        <is>
          <t>Encefálicos y de hipófisis, resección de tumores y/o quistes y/o cavernoma</t>
        </is>
      </c>
      <c r="D67" s="2" t="inlineStr">
        <is>
          <t>Cmay</t>
        </is>
      </c>
      <c r="E67" s="3" t="inlineStr">
        <is>
          <t>Cirugía Mayor</t>
        </is>
      </c>
    </row>
    <row r="68" ht="16" customHeight="1" s="151">
      <c r="A68" s="1" t="inlineStr">
        <is>
          <t>1103027</t>
        </is>
      </c>
      <c r="B68" s="2" t="inlineStr">
        <is>
          <t>13</t>
        </is>
      </c>
      <c r="C68" s="2" t="inlineStr">
        <is>
          <t>Aneurismas, malformaciones arteriovenosas encefálicas u orbitarias, fístulas durales</t>
        </is>
      </c>
      <c r="D68" s="2" t="inlineStr">
        <is>
          <t>Cmay</t>
        </is>
      </c>
      <c r="E68" s="3" t="inlineStr">
        <is>
          <t>Cirugía Mayor</t>
        </is>
      </c>
    </row>
    <row r="69" ht="16" customHeight="1" s="151">
      <c r="A69" s="1" t="inlineStr">
        <is>
          <t>1103028</t>
        </is>
      </c>
      <c r="B69" s="2" t="inlineStr">
        <is>
          <t>10</t>
        </is>
      </c>
      <c r="C69" s="2" t="inlineStr">
        <is>
          <t>Fístula carótido cavernosa tratamiento endovascular</t>
        </is>
      </c>
      <c r="D69" s="2" t="inlineStr">
        <is>
          <t>Cmay</t>
        </is>
      </c>
      <c r="E69" s="3" t="inlineStr">
        <is>
          <t>Cirugía Mayor</t>
        </is>
      </c>
    </row>
    <row r="70" ht="16" customHeight="1" s="151">
      <c r="A70" s="1" t="inlineStr">
        <is>
          <t>1103029</t>
        </is>
      </c>
      <c r="B70" s="2" t="inlineStr">
        <is>
          <t>12</t>
        </is>
      </c>
      <c r="C70" s="2" t="inlineStr">
        <is>
          <t>Fístula carótido cavernosa, trat. quir.</t>
        </is>
      </c>
      <c r="D70" s="2" t="inlineStr">
        <is>
          <t>Cmay</t>
        </is>
      </c>
      <c r="E70" s="3" t="inlineStr">
        <is>
          <t>Cirugía Mayor</t>
        </is>
      </c>
    </row>
    <row r="71" ht="16" customHeight="1" s="151">
      <c r="A71" s="1" t="inlineStr">
        <is>
          <t>1103030</t>
        </is>
      </c>
      <c r="B71" s="2" t="inlineStr">
        <is>
          <t>10</t>
        </is>
      </c>
      <c r="C71" s="2" t="inlineStr">
        <is>
          <t>Revascularización intracraneana indirecta (endodurosinangiosis, multitrepanación, emás, etc)</t>
        </is>
      </c>
      <c r="D71" s="2" t="inlineStr">
        <is>
          <t>Cmay</t>
        </is>
      </c>
      <c r="E71" s="3" t="inlineStr">
        <is>
          <t>Cirugía Mayor</t>
        </is>
      </c>
    </row>
    <row r="72" ht="16" customHeight="1" s="151">
      <c r="A72" s="1" t="inlineStr">
        <is>
          <t>1103031</t>
        </is>
      </c>
      <c r="B72" s="2" t="inlineStr">
        <is>
          <t>13</t>
        </is>
      </c>
      <c r="C72" s="2" t="inlineStr">
        <is>
          <t>Anastomosis y revascularización cerebral extra-intracraneana (cirugía de carótida: ver Cirugía Vascular Periférica)</t>
        </is>
      </c>
      <c r="D72" s="2" t="inlineStr">
        <is>
          <t>Cmay</t>
        </is>
      </c>
      <c r="E72" s="3" t="inlineStr">
        <is>
          <t>Cirugía Mayor</t>
        </is>
      </c>
    </row>
    <row r="73" ht="16" customHeight="1" s="151">
      <c r="A73" s="1" t="inlineStr">
        <is>
          <t>1103032</t>
        </is>
      </c>
      <c r="B73" s="2" t="inlineStr">
        <is>
          <t>11</t>
        </is>
      </c>
      <c r="C73" s="2" t="inlineStr">
        <is>
          <t>Instalación de derivativas de LCR (no incluye valor de la válvula)</t>
        </is>
      </c>
      <c r="D73" s="2" t="inlineStr">
        <is>
          <t>Cmay</t>
        </is>
      </c>
      <c r="E73" s="3" t="inlineStr">
        <is>
          <t>Cirugía Mayor</t>
        </is>
      </c>
    </row>
    <row r="74" ht="16" customHeight="1" s="151">
      <c r="A74" s="1" t="inlineStr">
        <is>
          <t>1103033</t>
        </is>
      </c>
      <c r="B74" s="2" t="inlineStr">
        <is>
          <t>7</t>
        </is>
      </c>
      <c r="C74" s="2" t="inlineStr">
        <is>
          <t>Revisión o exteriorización de derivativa</t>
        </is>
      </c>
      <c r="D74" s="2" t="inlineStr">
        <is>
          <t>Cmay</t>
        </is>
      </c>
      <c r="E74" s="3" t="inlineStr">
        <is>
          <t>Cirugía Mayor</t>
        </is>
      </c>
    </row>
    <row r="75" ht="16" customHeight="1" s="151">
      <c r="A75" s="1" t="inlineStr">
        <is>
          <t>1103034</t>
        </is>
      </c>
      <c r="B75" s="2" t="inlineStr">
        <is>
          <t>10</t>
        </is>
      </c>
      <c r="C75" s="2" t="inlineStr">
        <is>
          <t>Ventriculocisternostomía</t>
        </is>
      </c>
      <c r="D75" s="2" t="inlineStr">
        <is>
          <t>Cmay</t>
        </is>
      </c>
      <c r="E75" s="3" t="inlineStr">
        <is>
          <t>Cirugía Mayor</t>
        </is>
      </c>
    </row>
    <row r="76" ht="16" customHeight="1" s="151">
      <c r="A76" s="1" t="inlineStr">
        <is>
          <t>1103035</t>
        </is>
      </c>
      <c r="B76" s="2" t="inlineStr">
        <is>
          <t>12</t>
        </is>
      </c>
      <c r="C76" s="2" t="inlineStr">
        <is>
          <t>Fenestración, septostomía o coagulación plexos coroídeos (trat. endoscópico)</t>
        </is>
      </c>
      <c r="D76" s="2" t="inlineStr">
        <is>
          <t>Cmay</t>
        </is>
      </c>
      <c r="E76" s="3" t="inlineStr">
        <is>
          <t>Cirugía Mayor</t>
        </is>
      </c>
    </row>
    <row r="77" ht="16" customHeight="1" s="151">
      <c r="A77" s="1" t="inlineStr">
        <is>
          <t>1103036</t>
        </is>
      </c>
      <c r="B77" s="2" t="inlineStr">
        <is>
          <t>12</t>
        </is>
      </c>
      <c r="C77" s="2" t="inlineStr">
        <is>
          <t>Cirugía descompresiva de fosa posterior u occipito-vertebral en Malformación de Chiari y/o siringomielia</t>
        </is>
      </c>
      <c r="D77" s="2" t="inlineStr">
        <is>
          <t>Cmay</t>
        </is>
      </c>
      <c r="E77" s="3" t="inlineStr">
        <is>
          <t>Cirugía Mayor</t>
        </is>
      </c>
    </row>
    <row r="78" ht="16" customHeight="1" s="151">
      <c r="A78" s="1" t="inlineStr">
        <is>
          <t>1103037</t>
        </is>
      </c>
      <c r="B78" s="2" t="inlineStr">
        <is>
          <t>12</t>
        </is>
      </c>
      <c r="C78" s="2" t="inlineStr">
        <is>
          <t>Meningo y meningoencefalocele occipital, repar. de</t>
        </is>
      </c>
      <c r="D78" s="2" t="inlineStr">
        <is>
          <t>Cmay</t>
        </is>
      </c>
      <c r="E78" s="3" t="inlineStr">
        <is>
          <t>Cirugía Mayor</t>
        </is>
      </c>
    </row>
    <row r="79" ht="16" customHeight="1" s="151">
      <c r="A79" s="1" t="inlineStr">
        <is>
          <t>1103038</t>
        </is>
      </c>
      <c r="B79" s="2" t="inlineStr">
        <is>
          <t>12</t>
        </is>
      </c>
      <c r="C79" s="2" t="inlineStr">
        <is>
          <t>Cirugía descompresiva neurovascular</t>
        </is>
      </c>
      <c r="D79" s="2" t="inlineStr">
        <is>
          <t>Cmay</t>
        </is>
      </c>
      <c r="E79" s="3" t="inlineStr">
        <is>
          <t>Cirugía Mayor</t>
        </is>
      </c>
    </row>
    <row r="80" ht="16" customHeight="1" s="151">
      <c r="A80" s="1" t="inlineStr">
        <is>
          <t>1103039</t>
        </is>
      </c>
      <c r="B80" s="2" t="inlineStr">
        <is>
          <t>7</t>
        </is>
      </c>
      <c r="C80" s="2" t="inlineStr">
        <is>
          <t>Neurotomías</t>
        </is>
      </c>
      <c r="D80" s="2" t="inlineStr">
        <is>
          <t>Cmay</t>
        </is>
      </c>
      <c r="E80" s="3" t="inlineStr">
        <is>
          <t>Cirugía Mayor</t>
        </is>
      </c>
    </row>
    <row r="81" ht="16" customHeight="1" s="151">
      <c r="A81" s="1" t="inlineStr">
        <is>
          <t>1103040</t>
        </is>
      </c>
      <c r="B81" s="2" t="inlineStr">
        <is>
          <t>7</t>
        </is>
      </c>
      <c r="C81" s="2" t="inlineStr">
        <is>
          <t>Neurolisis o microcompresión percutánea</t>
        </is>
      </c>
      <c r="D81" s="2" t="inlineStr">
        <is>
          <t>Cmay</t>
        </is>
      </c>
      <c r="E81" s="3" t="inlineStr">
        <is>
          <t>Cirugía Mayor</t>
        </is>
      </c>
    </row>
    <row r="82" ht="16" customHeight="1" s="151">
      <c r="A82" s="1" t="inlineStr">
        <is>
          <t>1103041</t>
        </is>
      </c>
      <c r="B82" s="2" t="inlineStr">
        <is>
          <t>12</t>
        </is>
      </c>
      <c r="C82" s="2" t="inlineStr">
        <is>
          <t>Cirugía de la epilepsia (cualquier técnica)</t>
        </is>
      </c>
      <c r="D82" s="2" t="inlineStr">
        <is>
          <t>Cmay</t>
        </is>
      </c>
      <c r="E82" s="3" t="inlineStr">
        <is>
          <t>Cirugía Mayor</t>
        </is>
      </c>
    </row>
    <row r="83" ht="16" customHeight="1" s="151">
      <c r="A83" s="1" t="inlineStr">
        <is>
          <t>1103042</t>
        </is>
      </c>
      <c r="B83" s="2" t="inlineStr">
        <is>
          <t>12</t>
        </is>
      </c>
      <c r="C83" s="2" t="inlineStr">
        <is>
          <t>Biopsia estereotáxica cerebral con marco de estereotaxia o neuronavegador</t>
        </is>
      </c>
      <c r="D83" s="2" t="inlineStr">
        <is>
          <t>Cmay</t>
        </is>
      </c>
      <c r="E83" s="3" t="inlineStr">
        <is>
          <t>Cirugía Mayor</t>
        </is>
      </c>
    </row>
    <row r="84" ht="16" customHeight="1" s="151">
      <c r="A84" s="1" t="inlineStr">
        <is>
          <t>1103043</t>
        </is>
      </c>
      <c r="B84" s="2" t="inlineStr">
        <is>
          <t>12</t>
        </is>
      </c>
      <c r="C84" s="2" t="inlineStr">
        <is>
          <t>Termocoagulación de zonas cerebrales con radiofrecuencia o ultrasonido focalizado con técnica estereotáxica para el tratamiento de enfermedad de parkinson, temblor esencial, psicocirugía y otros</t>
        </is>
      </c>
      <c r="D84" s="2" t="inlineStr">
        <is>
          <t>Cmay</t>
        </is>
      </c>
      <c r="E84" s="3" t="inlineStr">
        <is>
          <t>Cirugía Mayor</t>
        </is>
      </c>
    </row>
    <row r="85" ht="16" customHeight="1" s="151">
      <c r="A85" s="1" t="inlineStr">
        <is>
          <t>1103045</t>
        </is>
      </c>
      <c r="B85" s="2" t="inlineStr">
        <is>
          <t>12</t>
        </is>
      </c>
      <c r="C85" s="2" t="inlineStr">
        <is>
          <t>Implantación de estimuladores intracraneanos</t>
        </is>
      </c>
      <c r="D85" s="2" t="inlineStr">
        <is>
          <t>Cmay</t>
        </is>
      </c>
      <c r="E85" s="3" t="inlineStr">
        <is>
          <t>Cirugía Mayor</t>
        </is>
      </c>
    </row>
    <row r="86" ht="16" customHeight="1" s="151">
      <c r="A86" s="1" t="inlineStr">
        <is>
          <t>1103046</t>
        </is>
      </c>
      <c r="B86" s="2" t="inlineStr">
        <is>
          <t>11</t>
        </is>
      </c>
      <c r="C86" s="2" t="inlineStr">
        <is>
          <t>Instalación de estimuladores medulares</t>
        </is>
      </c>
      <c r="D86" s="2" t="inlineStr">
        <is>
          <t>Cmay</t>
        </is>
      </c>
      <c r="E86" s="3" t="inlineStr">
        <is>
          <t>Cirugía Mayor</t>
        </is>
      </c>
    </row>
    <row r="87" ht="16" customHeight="1" s="151">
      <c r="A87" s="1" t="inlineStr">
        <is>
          <t>1103047</t>
        </is>
      </c>
      <c r="B87" s="2" t="inlineStr">
        <is>
          <t>12</t>
        </is>
      </c>
      <c r="C87" s="2" t="inlineStr">
        <is>
          <t>Disrafias espinales: meningocele, mielomeningocele, diastematomielia, lipoma, lipomeningocele, médula anclada, etc.</t>
        </is>
      </c>
      <c r="D87" s="2" t="inlineStr">
        <is>
          <t>Cmay</t>
        </is>
      </c>
      <c r="E87" s="3" t="inlineStr">
        <is>
          <t>Cirugía Mayor</t>
        </is>
      </c>
    </row>
    <row r="88" ht="16" customHeight="1" s="151">
      <c r="A88" s="1" t="inlineStr">
        <is>
          <t>1103048</t>
        </is>
      </c>
      <c r="B88" s="2" t="inlineStr">
        <is>
          <t>7</t>
        </is>
      </c>
      <c r="C88" s="2" t="inlineStr">
        <is>
          <t>Infiltración facetaria columna y radicular</t>
        </is>
      </c>
      <c r="D88" s="2" t="inlineStr">
        <is>
          <t>Cmay</t>
        </is>
      </c>
      <c r="E88" s="3" t="inlineStr">
        <is>
          <t>Cirugía Mayor</t>
        </is>
      </c>
    </row>
    <row r="89" ht="16" customHeight="1" s="151">
      <c r="A89" s="1" t="inlineStr">
        <is>
          <t>1103049</t>
        </is>
      </c>
      <c r="B89" s="2" t="inlineStr">
        <is>
          <t>11</t>
        </is>
      </c>
      <c r="C89" s="2" t="inlineStr">
        <is>
          <t>Hernia núcleo pulposo, estenorraquis, aracnoiditis, fibrosis perirradicular cervical, dorsal o lumbar, trat. quir.</t>
        </is>
      </c>
      <c r="D89" s="2" t="inlineStr">
        <is>
          <t>Cmay</t>
        </is>
      </c>
      <c r="E89" s="3" t="inlineStr">
        <is>
          <t>Cirugía Mayor</t>
        </is>
      </c>
    </row>
    <row r="90" ht="16" customHeight="1" s="151">
      <c r="A90" s="1" t="inlineStr">
        <is>
          <t>1103050</t>
        </is>
      </c>
      <c r="B90" s="2" t="inlineStr">
        <is>
          <t>11</t>
        </is>
      </c>
      <c r="C90" s="2" t="inlineStr">
        <is>
          <t>Laminectomía descompresiva</t>
        </is>
      </c>
      <c r="D90" s="2" t="inlineStr">
        <is>
          <t>Cmay</t>
        </is>
      </c>
      <c r="E90" s="3" t="inlineStr">
        <is>
          <t>Cirugía Mayor</t>
        </is>
      </c>
    </row>
    <row r="91" ht="16" customHeight="1" s="151">
      <c r="A91" s="1" t="inlineStr">
        <is>
          <t>1103051</t>
        </is>
      </c>
      <c r="B91" s="2" t="inlineStr">
        <is>
          <t>9</t>
        </is>
      </c>
      <c r="C91" s="2" t="inlineStr">
        <is>
          <t>Heridas raquimedulares, trat. quir.</t>
        </is>
      </c>
      <c r="D91" s="2" t="inlineStr">
        <is>
          <t>Cmay</t>
        </is>
      </c>
      <c r="E91" s="3" t="inlineStr">
        <is>
          <t>Cirugía Mayor</t>
        </is>
      </c>
    </row>
    <row r="92" ht="16" customHeight="1" s="151">
      <c r="A92" s="1" t="inlineStr">
        <is>
          <t>1103052</t>
        </is>
      </c>
      <c r="B92" s="2" t="inlineStr">
        <is>
          <t>10</t>
        </is>
      </c>
      <c r="C92" s="2" t="inlineStr">
        <is>
          <t>Tratamiento quirúrgico de tumor espinal extradural</t>
        </is>
      </c>
      <c r="D92" s="2" t="inlineStr">
        <is>
          <t>Cmay</t>
        </is>
      </c>
      <c r="E92" s="3" t="inlineStr">
        <is>
          <t>Cirugía Mayor</t>
        </is>
      </c>
    </row>
    <row r="93" ht="16" customHeight="1" s="151">
      <c r="A93" s="1" t="inlineStr">
        <is>
          <t>1103053</t>
        </is>
      </c>
      <c r="B93" s="2" t="inlineStr">
        <is>
          <t>12</t>
        </is>
      </c>
      <c r="C93" s="2" t="inlineStr">
        <is>
          <t>Extirpación de tumor o quiste medular o intrarraquídeo</t>
        </is>
      </c>
      <c r="D93" s="2" t="inlineStr">
        <is>
          <t>Cmay</t>
        </is>
      </c>
      <c r="E93" s="3" t="inlineStr">
        <is>
          <t>Cirugía Mayor</t>
        </is>
      </c>
    </row>
    <row r="94" ht="16" customHeight="1" s="151">
      <c r="A94" s="1" t="inlineStr">
        <is>
          <t>1103054</t>
        </is>
      </c>
      <c r="B94" s="2" t="inlineStr">
        <is>
          <t>12</t>
        </is>
      </c>
      <c r="C94" s="2" t="inlineStr">
        <is>
          <t>Malformación arteriovenosa o fístula dural medular, trat. quir.</t>
        </is>
      </c>
      <c r="D94" s="2" t="inlineStr">
        <is>
          <t>Cmay</t>
        </is>
      </c>
      <c r="E94" s="3" t="inlineStr">
        <is>
          <t>Cirugía Mayor</t>
        </is>
      </c>
    </row>
    <row r="95" ht="16" customHeight="1" s="151">
      <c r="A95" s="1" t="inlineStr">
        <is>
          <t>1103055</t>
        </is>
      </c>
      <c r="B95" s="2" t="inlineStr">
        <is>
          <t>7</t>
        </is>
      </c>
      <c r="C95" s="2" t="inlineStr">
        <is>
          <t>Cordotomía percutánea</t>
        </is>
      </c>
      <c r="D95" s="2" t="inlineStr">
        <is>
          <t>Cmay</t>
        </is>
      </c>
      <c r="E95" s="3" t="inlineStr">
        <is>
          <t>Cirugía Mayor</t>
        </is>
      </c>
    </row>
    <row r="96" ht="16" customHeight="1" s="151">
      <c r="A96" s="1" t="inlineStr">
        <is>
          <t>1103056</t>
        </is>
      </c>
      <c r="B96" s="2" t="inlineStr">
        <is>
          <t>9</t>
        </is>
      </c>
      <c r="C96" s="2" t="inlineStr">
        <is>
          <t>Mielotomía, DREZtomía</t>
        </is>
      </c>
      <c r="D96" s="2" t="inlineStr">
        <is>
          <t>Cmay</t>
        </is>
      </c>
      <c r="E96" s="3" t="inlineStr">
        <is>
          <t>Cirugía Mayor</t>
        </is>
      </c>
    </row>
    <row r="97" ht="16" customHeight="1" s="151">
      <c r="A97" s="1" t="inlineStr">
        <is>
          <t>1103057</t>
        </is>
      </c>
      <c r="B97" s="2" t="inlineStr">
        <is>
          <t>8</t>
        </is>
      </c>
      <c r="C97" s="2" t="inlineStr">
        <is>
          <t>Rizotomía (cualquier técnica)</t>
        </is>
      </c>
      <c r="D97" s="2" t="inlineStr">
        <is>
          <t>Cmay</t>
        </is>
      </c>
      <c r="E97" s="3" t="inlineStr">
        <is>
          <t>Cirugía Mayor</t>
        </is>
      </c>
    </row>
    <row r="98" ht="16" customHeight="1" s="151">
      <c r="A98" s="1" t="inlineStr">
        <is>
          <t>1103058</t>
        </is>
      </c>
      <c r="B98" s="2" t="inlineStr">
        <is>
          <t>7</t>
        </is>
      </c>
      <c r="C98" s="2" t="inlineStr">
        <is>
          <t>Tumor de nervio periférico, extirp. de</t>
        </is>
      </c>
      <c r="D98" s="2" t="inlineStr">
        <is>
          <t>Cmay</t>
        </is>
      </c>
      <c r="E98" s="3" t="inlineStr">
        <is>
          <t>Cirugía Mayor</t>
        </is>
      </c>
    </row>
    <row r="99" ht="16" customHeight="1" s="151">
      <c r="A99" s="1" t="inlineStr">
        <is>
          <t>1103059</t>
        </is>
      </c>
      <c r="B99" s="2" t="inlineStr">
        <is>
          <t>10</t>
        </is>
      </c>
      <c r="C99" s="2" t="inlineStr">
        <is>
          <t>Reparación de plexos c/s neurotización con técnica microquirúrgica o injertos interfasciculares</t>
        </is>
      </c>
      <c r="D99" s="2" t="inlineStr">
        <is>
          <t>Cmay</t>
        </is>
      </c>
      <c r="E99" s="3" t="inlineStr">
        <is>
          <t>Cirugía Mayor</t>
        </is>
      </c>
    </row>
    <row r="100" ht="16" customHeight="1" s="151">
      <c r="A100" s="1" t="inlineStr">
        <is>
          <t>1103060</t>
        </is>
      </c>
      <c r="B100" s="2" t="inlineStr">
        <is>
          <t>10</t>
        </is>
      </c>
      <c r="C100" s="2" t="inlineStr">
        <is>
          <t>Sección de nervio, reparación con injerto</t>
        </is>
      </c>
      <c r="D100" s="2" t="inlineStr">
        <is>
          <t>Cmay</t>
        </is>
      </c>
      <c r="E100" s="3" t="inlineStr">
        <is>
          <t>Cirugía Mayor</t>
        </is>
      </c>
    </row>
    <row r="101" ht="16" customHeight="1" s="151">
      <c r="A101" s="1" t="inlineStr">
        <is>
          <t>1103061</t>
        </is>
      </c>
      <c r="B101" s="2" t="inlineStr">
        <is>
          <t>8</t>
        </is>
      </c>
      <c r="C101" s="2" t="inlineStr">
        <is>
          <t>Sección de nervio, reparación sin injerto</t>
        </is>
      </c>
      <c r="D101" s="2" t="inlineStr">
        <is>
          <t>Cmay</t>
        </is>
      </c>
      <c r="E101" s="3" t="inlineStr">
        <is>
          <t>Cirugía Mayor</t>
        </is>
      </c>
    </row>
    <row r="102" ht="16" customHeight="1" s="151">
      <c r="A102" s="1" t="inlineStr">
        <is>
          <t>1103062</t>
        </is>
      </c>
      <c r="B102" s="2" t="inlineStr">
        <is>
          <t>10</t>
        </is>
      </c>
      <c r="C102" s="2" t="inlineStr">
        <is>
          <t>Neurolisis con técnica microquirúrgica</t>
        </is>
      </c>
      <c r="D102" s="2" t="inlineStr">
        <is>
          <t>Cmay</t>
        </is>
      </c>
      <c r="E102" s="3" t="inlineStr">
        <is>
          <t>Cirugía Mayor</t>
        </is>
      </c>
    </row>
    <row r="103" ht="16" customHeight="1" s="151">
      <c r="A103" s="1" t="inlineStr">
        <is>
          <t>1103063</t>
        </is>
      </c>
      <c r="B103" s="2" t="inlineStr">
        <is>
          <t>6</t>
        </is>
      </c>
      <c r="C103" s="2" t="inlineStr">
        <is>
          <t>Neurolisis externa</t>
        </is>
      </c>
      <c r="D103" s="2" t="inlineStr">
        <is>
          <t>Cmay</t>
        </is>
      </c>
      <c r="E103" s="3" t="inlineStr">
        <is>
          <t>Cirugía Mayor</t>
        </is>
      </c>
    </row>
    <row r="104" ht="16" customHeight="1" s="151">
      <c r="A104" s="1" t="inlineStr">
        <is>
          <t>1103064</t>
        </is>
      </c>
      <c r="B104" s="2" t="inlineStr">
        <is>
          <t>8</t>
        </is>
      </c>
      <c r="C104" s="2" t="inlineStr">
        <is>
          <t>Síndrome del escaleno, trat. quir.</t>
        </is>
      </c>
      <c r="D104" s="2" t="inlineStr">
        <is>
          <t>Cmay</t>
        </is>
      </c>
      <c r="E104" s="3" t="inlineStr">
        <is>
          <t>Cirugía Mayor</t>
        </is>
      </c>
    </row>
    <row r="105" ht="16" customHeight="1" s="151">
      <c r="A105" s="1" t="inlineStr">
        <is>
          <t>1103065</t>
        </is>
      </c>
      <c r="B105" s="2" t="inlineStr">
        <is>
          <t>8</t>
        </is>
      </c>
      <c r="C105" s="2" t="inlineStr">
        <is>
          <t>Síndrome de costilla cervical, trat. quir.</t>
        </is>
      </c>
      <c r="D105" s="2" t="inlineStr">
        <is>
          <t>Cmay</t>
        </is>
      </c>
      <c r="E105" s="3" t="inlineStr">
        <is>
          <t>Cirugía Mayor</t>
        </is>
      </c>
    </row>
    <row r="106" ht="16" customHeight="1" s="151">
      <c r="A106" s="1" t="inlineStr">
        <is>
          <t>1103066</t>
        </is>
      </c>
      <c r="B106" s="2" t="inlineStr">
        <is>
          <t>7</t>
        </is>
      </c>
      <c r="C106" s="2" t="inlineStr">
        <is>
          <t>Liberación quirúrgica de nervio periférico extracraneano (trat. quir. del Síndrome del Túnel Carpiano, tarso u otro)</t>
        </is>
      </c>
      <c r="D106" s="2" t="inlineStr">
        <is>
          <t>Cmay</t>
        </is>
      </c>
      <c r="E106" s="3" t="inlineStr">
        <is>
          <t>Cirugía Mayor</t>
        </is>
      </c>
    </row>
    <row r="107" ht="16" customHeight="1" s="151">
      <c r="A107" s="1" t="inlineStr">
        <is>
          <t>1103067</t>
        </is>
      </c>
      <c r="B107" s="2" t="inlineStr">
        <is>
          <t>7</t>
        </is>
      </c>
      <c r="C107" s="2" t="inlineStr">
        <is>
          <t>Liberación de nervio cubital a nivel del codo, cualquier técnica</t>
        </is>
      </c>
      <c r="D107" s="2" t="inlineStr">
        <is>
          <t>Cmay</t>
        </is>
      </c>
      <c r="E107" s="3" t="inlineStr">
        <is>
          <t>Cirugía Mayor</t>
        </is>
      </c>
    </row>
    <row r="108" ht="16" customHeight="1" s="151">
      <c r="A108" s="1" t="inlineStr">
        <is>
          <t>1103068</t>
        </is>
      </c>
      <c r="B108" s="2" t="inlineStr">
        <is>
          <t>7</t>
        </is>
      </c>
      <c r="C108" s="2" t="inlineStr">
        <is>
          <t>Neurectomía, cualquier localización, cada zona quirúrgica</t>
        </is>
      </c>
      <c r="D108" s="2" t="inlineStr">
        <is>
          <t>Cmay</t>
        </is>
      </c>
      <c r="E108" s="3" t="inlineStr">
        <is>
          <t>Cirugía Mayor</t>
        </is>
      </c>
    </row>
    <row r="109" ht="16" customHeight="1" s="151">
      <c r="A109" s="1" t="inlineStr">
        <is>
          <t>1103069</t>
        </is>
      </c>
      <c r="B109" s="2" t="inlineStr">
        <is>
          <t>11</t>
        </is>
      </c>
      <c r="C109" s="2" t="inlineStr">
        <is>
          <t>Fijación de columna (cervical-dorsal-lumbar) cualquier vía abordaje, c/s osteosíntesis.</t>
        </is>
      </c>
      <c r="D109" s="2" t="inlineStr">
        <is>
          <t>Cmay</t>
        </is>
      </c>
      <c r="E109" s="3" t="inlineStr">
        <is>
          <t>Cirugía Mayor</t>
        </is>
      </c>
    </row>
    <row r="110" ht="16" customHeight="1" s="151">
      <c r="A110" s="1" t="inlineStr">
        <is>
          <t>1103070</t>
        </is>
      </c>
      <c r="B110" s="2" t="inlineStr">
        <is>
          <t>10</t>
        </is>
      </c>
      <c r="C110" s="2" t="inlineStr">
        <is>
          <t>Biopsia de nervio periférico</t>
        </is>
      </c>
      <c r="D110" s="2" t="inlineStr">
        <is>
          <t>Cmay</t>
        </is>
      </c>
      <c r="E110" s="3" t="inlineStr">
        <is>
          <t>Cirugía Mayor</t>
        </is>
      </c>
    </row>
    <row r="111" ht="16" customHeight="1" s="151">
      <c r="A111" s="1" t="inlineStr">
        <is>
          <t>1103071</t>
        </is>
      </c>
      <c r="B111" s="2" t="inlineStr">
        <is>
          <t>10</t>
        </is>
      </c>
      <c r="C111" s="2" t="inlineStr">
        <is>
          <t>Retiro de material de osteosíntesis o distractores en cirugía de craneosinostosis</t>
        </is>
      </c>
      <c r="D111" s="2" t="inlineStr">
        <is>
          <t>Cmay</t>
        </is>
      </c>
      <c r="E111" s="3" t="inlineStr">
        <is>
          <t>Cirugía Mayor</t>
        </is>
      </c>
    </row>
    <row r="112" ht="16" customHeight="1" s="151">
      <c r="A112" s="1" t="inlineStr">
        <is>
          <t>1103072</t>
        </is>
      </c>
      <c r="B112" s="2" t="inlineStr">
        <is>
          <t>12</t>
        </is>
      </c>
      <c r="C112" s="2" t="inlineStr">
        <is>
          <t>Denervación facetaria o ramo medial columna</t>
        </is>
      </c>
      <c r="D112" s="2" t="inlineStr">
        <is>
          <t>Cmay</t>
        </is>
      </c>
      <c r="E112" s="3" t="inlineStr">
        <is>
          <t>Cirugía Mayor</t>
        </is>
      </c>
    </row>
    <row r="113" ht="16" customHeight="1" s="151">
      <c r="A113" s="1" t="inlineStr">
        <is>
          <t>1103073</t>
        </is>
      </c>
      <c r="B113" s="2" t="inlineStr">
        <is>
          <t>8</t>
        </is>
      </c>
      <c r="C113" s="2" t="inlineStr">
        <is>
          <t>Artroplastia de columna</t>
        </is>
      </c>
      <c r="D113" s="2" t="inlineStr">
        <is>
          <t>Cmay</t>
        </is>
      </c>
      <c r="E113" s="3" t="inlineStr">
        <is>
          <t>Cirugía Mayor</t>
        </is>
      </c>
    </row>
    <row r="114" ht="16" customHeight="1" s="151">
      <c r="A114" s="1" t="inlineStr">
        <is>
          <t>1103074</t>
        </is>
      </c>
      <c r="B114" s="2" t="inlineStr">
        <is>
          <t>12</t>
        </is>
      </c>
      <c r="C114" s="2" t="inlineStr">
        <is>
          <t>Aseo quirúrgico de columna vertebral</t>
        </is>
      </c>
      <c r="D114" s="2" t="inlineStr">
        <is>
          <t>Cmay</t>
        </is>
      </c>
      <c r="E114" s="3" t="inlineStr">
        <is>
          <t>Cirugía Mayor</t>
        </is>
      </c>
    </row>
    <row r="115" ht="16" customHeight="1" s="151">
      <c r="A115" s="1" t="inlineStr">
        <is>
          <t>1103075</t>
        </is>
      </c>
      <c r="B115" s="2" t="inlineStr">
        <is>
          <t>10</t>
        </is>
      </c>
      <c r="C115" s="2" t="inlineStr">
        <is>
          <t>Laminoplastía cervical</t>
        </is>
      </c>
      <c r="D115" s="2" t="inlineStr">
        <is>
          <t>Cmay</t>
        </is>
      </c>
      <c r="E115" s="3" t="inlineStr">
        <is>
          <t>Cirugía Mayor</t>
        </is>
      </c>
    </row>
    <row r="116" ht="16" customHeight="1" s="151">
      <c r="A116" s="1" t="inlineStr">
        <is>
          <t>1103076</t>
        </is>
      </c>
      <c r="B116" s="2" t="inlineStr">
        <is>
          <t>10</t>
        </is>
      </c>
      <c r="C116" s="2" t="inlineStr">
        <is>
          <t>Guía estereotáxica para realización de cirugía o procedimiento neuroquirúrgico intracranéano</t>
        </is>
      </c>
      <c r="D116" s="2" t="inlineStr">
        <is>
          <t>Cmay</t>
        </is>
      </c>
      <c r="E116" s="3" t="inlineStr">
        <is>
          <t>Cirugía Mayor</t>
        </is>
      </c>
    </row>
    <row r="117" ht="16" customHeight="1" s="151">
      <c r="A117" s="1" t="inlineStr">
        <is>
          <t>1103077</t>
        </is>
      </c>
      <c r="B117" s="2" t="inlineStr">
        <is>
          <t>10</t>
        </is>
      </c>
      <c r="C117" s="2" t="inlineStr">
        <is>
          <t>Neurotomía periférica selectiva para tratamiento de espasticidad</t>
        </is>
      </c>
      <c r="D117" s="2" t="inlineStr">
        <is>
          <t>Cmay</t>
        </is>
      </c>
      <c r="E117" s="3" t="inlineStr">
        <is>
          <t>Cirugía Mayor</t>
        </is>
      </c>
    </row>
    <row r="118" ht="16" customHeight="1" s="151">
      <c r="A118" s="1" t="inlineStr">
        <is>
          <t>1103078</t>
        </is>
      </c>
      <c r="B118" s="2" t="inlineStr">
        <is>
          <t>10</t>
        </is>
      </c>
      <c r="C118" s="2" t="inlineStr">
        <is>
          <t>Cementación vertebral cervical, dorsal o lumbar hasta 3 niveles</t>
        </is>
      </c>
      <c r="D118" s="2" t="inlineStr">
        <is>
          <t>Cmay</t>
        </is>
      </c>
      <c r="E118" s="3" t="inlineStr">
        <is>
          <t>Cirugía Mayor</t>
        </is>
      </c>
    </row>
    <row r="119" ht="16" customHeight="1" s="151">
      <c r="A119" s="1" t="inlineStr">
        <is>
          <t>1103079</t>
        </is>
      </c>
      <c r="B119" s="2" t="inlineStr">
        <is>
          <t>10</t>
        </is>
      </c>
      <c r="C119" s="2" t="inlineStr">
        <is>
          <t>Cementación vertebral cervical, dorsal o lumbar mas de 3 niveles</t>
        </is>
      </c>
      <c r="D119" s="2" t="inlineStr">
        <is>
          <t>Cmay</t>
        </is>
      </c>
      <c r="E119" s="3" t="inlineStr">
        <is>
          <t>Cirugía Mayor</t>
        </is>
      </c>
    </row>
    <row r="120" ht="16" customHeight="1" s="151">
      <c r="A120" s="1" t="inlineStr">
        <is>
          <t>1103080</t>
        </is>
      </c>
      <c r="B120" s="2" t="inlineStr">
        <is>
          <t>10</t>
        </is>
      </c>
      <c r="C120" s="2" t="inlineStr">
        <is>
          <t>Fusión intersomatica cervical</t>
        </is>
      </c>
      <c r="D120" s="2" t="inlineStr">
        <is>
          <t>Cmay</t>
        </is>
      </c>
      <c r="E120" s="3" t="inlineStr">
        <is>
          <t>Cirugía Mayor</t>
        </is>
      </c>
    </row>
    <row r="121" ht="16" customHeight="1" s="151">
      <c r="A121" s="1" t="inlineStr">
        <is>
          <t>1103081</t>
        </is>
      </c>
      <c r="B121" s="2" t="inlineStr">
        <is>
          <t>10</t>
        </is>
      </c>
      <c r="C121" s="2" t="inlineStr">
        <is>
          <t>Fusión intersomática dorsal y lumbar corta</t>
        </is>
      </c>
      <c r="D121" s="2" t="inlineStr">
        <is>
          <t>Cmay</t>
        </is>
      </c>
      <c r="E121" s="3" t="inlineStr">
        <is>
          <t>Cirugía Mayor</t>
        </is>
      </c>
    </row>
    <row r="122" ht="16" customHeight="1" s="151">
      <c r="A122" s="1" t="inlineStr">
        <is>
          <t>1103082</t>
        </is>
      </c>
      <c r="B122" s="2" t="inlineStr">
        <is>
          <t>8</t>
        </is>
      </c>
      <c r="C122" s="2" t="inlineStr">
        <is>
          <t>Fusión intersomática dorsal y lumbar larga</t>
        </is>
      </c>
      <c r="D122" s="2" t="inlineStr">
        <is>
          <t>Cmay</t>
        </is>
      </c>
      <c r="E122" s="3" t="inlineStr">
        <is>
          <t>Cirugía Mayor</t>
        </is>
      </c>
    </row>
    <row r="123" ht="16" customHeight="1" s="151">
      <c r="A123" s="1" t="inlineStr">
        <is>
          <t>1103083</t>
        </is>
      </c>
      <c r="B123" s="2" t="inlineStr">
        <is>
          <t>4</t>
        </is>
      </c>
      <c r="C123" s="2" t="inlineStr">
        <is>
          <t>Liberación quirúrgica de nervio periférico en el Síndrome del Túnel Carpiano téc. WALANT (anestesia local sin torniquete)</t>
        </is>
      </c>
      <c r="D123" s="2" t="inlineStr">
        <is>
          <t>Cmen</t>
        </is>
      </c>
      <c r="E123" s="3" t="inlineStr">
        <is>
          <t>Cirugía Menor</t>
        </is>
      </c>
    </row>
    <row r="124" ht="16" customHeight="1" s="151">
      <c r="A124" s="1" t="inlineStr">
        <is>
          <t>1103132</t>
        </is>
      </c>
      <c r="B124" s="2" t="inlineStr">
        <is>
          <t>11</t>
        </is>
      </c>
      <c r="C124" s="2" t="inlineStr">
        <is>
          <t>Instalación de derivativas de LCR (incluye valor de la válvula)</t>
        </is>
      </c>
      <c r="D124" s="2" t="inlineStr">
        <is>
          <t>Cmay</t>
        </is>
      </c>
      <c r="E124" s="3" t="inlineStr">
        <is>
          <t>Cirugía Mayor</t>
        </is>
      </c>
    </row>
    <row r="125" ht="16" customHeight="1" s="151">
      <c r="A125" s="1" t="inlineStr">
        <is>
          <t>1201001</t>
        </is>
      </c>
      <c r="B125" s="2" t="n"/>
      <c r="C125" s="2" t="inlineStr">
        <is>
          <t>Campimetría de proyección, unilateral (proc.aut.)</t>
        </is>
      </c>
      <c r="D125" s="2" t="inlineStr">
        <is>
          <t>Proc</t>
        </is>
      </c>
      <c r="E125" s="3" t="inlineStr">
        <is>
          <t>Procedimiento</t>
        </is>
      </c>
    </row>
    <row r="126" ht="16" customHeight="1" s="151">
      <c r="A126" s="1" t="inlineStr">
        <is>
          <t>1201002</t>
        </is>
      </c>
      <c r="B126" s="2" t="n"/>
      <c r="C126" s="2" t="inlineStr">
        <is>
          <t>Coordimetría, test de Hess u otro, unilateral</t>
        </is>
      </c>
      <c r="D126" s="2" t="inlineStr">
        <is>
          <t>Proc</t>
        </is>
      </c>
      <c r="E126" s="3" t="inlineStr">
        <is>
          <t>Procedimiento</t>
        </is>
      </c>
    </row>
    <row r="127" ht="16" customHeight="1" s="151">
      <c r="A127" s="1" t="inlineStr">
        <is>
          <t>1201003</t>
        </is>
      </c>
      <c r="B127" s="2" t="n"/>
      <c r="C127" s="2" t="inlineStr">
        <is>
          <t>Cuantificación de lagrimación (test de Schirmer), uni o bilateral</t>
        </is>
      </c>
      <c r="D127" s="2" t="inlineStr">
        <is>
          <t>Proc</t>
        </is>
      </c>
      <c r="E127" s="3" t="inlineStr">
        <is>
          <t>Procedimiento</t>
        </is>
      </c>
    </row>
    <row r="128" ht="16" customHeight="1" s="151">
      <c r="A128" s="1" t="inlineStr">
        <is>
          <t>1201004</t>
        </is>
      </c>
      <c r="B128" s="2" t="n"/>
      <c r="C128" s="2" t="inlineStr">
        <is>
          <t>Curva de tensión aplanática (por cada día), unilateral</t>
        </is>
      </c>
      <c r="D128" s="2" t="inlineStr">
        <is>
          <t>Proc</t>
        </is>
      </c>
      <c r="E128" s="3" t="inlineStr">
        <is>
          <t>Procedimiento</t>
        </is>
      </c>
    </row>
    <row r="129" ht="16" customHeight="1" s="151">
      <c r="A129" s="1" t="inlineStr">
        <is>
          <t>1201005</t>
        </is>
      </c>
      <c r="B129" s="2" t="n"/>
      <c r="C129" s="2" t="inlineStr">
        <is>
          <t>Diploscopia cuantitativa, bilateral</t>
        </is>
      </c>
      <c r="D129" s="2" t="inlineStr">
        <is>
          <t>Proc</t>
        </is>
      </c>
      <c r="E129" s="3" t="inlineStr">
        <is>
          <t>Procedimiento</t>
        </is>
      </c>
    </row>
    <row r="130" ht="16" customHeight="1" s="151">
      <c r="A130" s="1" t="inlineStr">
        <is>
          <t>1201006</t>
        </is>
      </c>
      <c r="B130" s="2" t="n"/>
      <c r="C130" s="2" t="inlineStr">
        <is>
          <t>Electromiografía músculos oculares adultos, unilateral</t>
        </is>
      </c>
      <c r="D130" s="2" t="inlineStr">
        <is>
          <t>Proc</t>
        </is>
      </c>
      <c r="E130" s="3" t="inlineStr">
        <is>
          <t>Procedimiento</t>
        </is>
      </c>
    </row>
    <row r="131" ht="16" customHeight="1" s="151">
      <c r="A131" s="1" t="inlineStr">
        <is>
          <t>1201007</t>
        </is>
      </c>
      <c r="B131" s="2" t="n"/>
      <c r="C131" s="2" t="inlineStr">
        <is>
          <t>Electromiografía músculos oculares niños, unilateral</t>
        </is>
      </c>
      <c r="D131" s="2" t="inlineStr">
        <is>
          <t>Proc</t>
        </is>
      </c>
      <c r="E131" s="3" t="inlineStr">
        <is>
          <t>Procedimiento</t>
        </is>
      </c>
    </row>
    <row r="132" ht="16" customHeight="1" s="151">
      <c r="A132" s="1" t="inlineStr">
        <is>
          <t>1201008</t>
        </is>
      </c>
      <c r="B132" s="2" t="n"/>
      <c r="C132" s="2" t="inlineStr">
        <is>
          <t>Electrooculografía, bilateral</t>
        </is>
      </c>
      <c r="D132" s="2" t="inlineStr">
        <is>
          <t>Proc</t>
        </is>
      </c>
      <c r="E132" s="3" t="inlineStr">
        <is>
          <t>Procedimiento</t>
        </is>
      </c>
    </row>
    <row r="133" ht="16" customHeight="1" s="151">
      <c r="A133" s="1" t="inlineStr">
        <is>
          <t>1201009</t>
        </is>
      </c>
      <c r="B133" s="2" t="n"/>
      <c r="C133" s="2" t="inlineStr">
        <is>
          <t>Exploración sensoriomotora: estrabismo, estudio completo, bilateral</t>
        </is>
      </c>
      <c r="D133" s="2" t="inlineStr">
        <is>
          <t>Proc</t>
        </is>
      </c>
      <c r="E133" s="3" t="inlineStr">
        <is>
          <t>Procedimiento</t>
        </is>
      </c>
    </row>
    <row r="134" ht="16" customHeight="1" s="151">
      <c r="A134" s="1" t="inlineStr">
        <is>
          <t>1201010</t>
        </is>
      </c>
      <c r="B134" s="2" t="n"/>
      <c r="C134" s="2" t="inlineStr">
        <is>
          <t>Perimetría de Goldman o perimetría cinética, unilateral</t>
        </is>
      </c>
      <c r="D134" s="2" t="inlineStr">
        <is>
          <t>Proc</t>
        </is>
      </c>
      <c r="E134" s="3" t="inlineStr">
        <is>
          <t>Procedimiento</t>
        </is>
      </c>
    </row>
    <row r="135" ht="16" customHeight="1" s="151">
      <c r="A135" s="1" t="inlineStr">
        <is>
          <t>1201011</t>
        </is>
      </c>
      <c r="B135" s="2" t="n"/>
      <c r="C135" s="2" t="inlineStr">
        <is>
          <t>Pruebas de provocación para glaucoma (prueba de oscuridad u otras), uni o bilateral</t>
        </is>
      </c>
      <c r="D135" s="2" t="inlineStr">
        <is>
          <t>Proc</t>
        </is>
      </c>
      <c r="E135" s="3" t="inlineStr">
        <is>
          <t>Procedimiento</t>
        </is>
      </c>
    </row>
    <row r="136" ht="16" customHeight="1" s="151">
      <c r="A136" s="1" t="inlineStr">
        <is>
          <t>1201012</t>
        </is>
      </c>
      <c r="B136" s="2" t="n"/>
      <c r="C136" s="2" t="inlineStr">
        <is>
          <t>Retinografía, bilateral</t>
        </is>
      </c>
      <c r="D136" s="2" t="inlineStr">
        <is>
          <t>Proc</t>
        </is>
      </c>
      <c r="E136" s="3" t="inlineStr">
        <is>
          <t>Procedimiento</t>
        </is>
      </c>
    </row>
    <row r="137" ht="16" customHeight="1" s="151">
      <c r="A137" s="1" t="inlineStr">
        <is>
          <t>1201014</t>
        </is>
      </c>
      <c r="B137" s="2" t="n"/>
      <c r="C137" s="2" t="inlineStr">
        <is>
          <t>Tonometría aplanática unilateral</t>
        </is>
      </c>
      <c r="D137" s="2" t="inlineStr">
        <is>
          <t>Proc</t>
        </is>
      </c>
      <c r="E137" s="3" t="inlineStr">
        <is>
          <t>Procedimiento</t>
        </is>
      </c>
    </row>
    <row r="138" ht="16" customHeight="1" s="151">
      <c r="A138" s="1" t="inlineStr">
        <is>
          <t>1201015</t>
        </is>
      </c>
      <c r="B138" s="2" t="n"/>
      <c r="C138" s="2" t="inlineStr">
        <is>
          <t>Tratamiento ortóptico y/o pleóptico (por sesión), bilateral</t>
        </is>
      </c>
      <c r="D138" s="2" t="inlineStr">
        <is>
          <t>Proc</t>
        </is>
      </c>
      <c r="E138" s="3" t="inlineStr">
        <is>
          <t>Procedimiento</t>
        </is>
      </c>
    </row>
    <row r="139" ht="16" customHeight="1" s="151">
      <c r="A139" s="1" t="inlineStr">
        <is>
          <t>1201016</t>
        </is>
      </c>
      <c r="B139" s="2" t="inlineStr">
        <is>
          <t>2</t>
        </is>
      </c>
      <c r="C139" s="2" t="inlineStr">
        <is>
          <t>Angiografía de retina o de iris, (con fluoresceína o sim.), unilateral</t>
        </is>
      </c>
      <c r="D139" s="2" t="inlineStr">
        <is>
          <t>Proc</t>
        </is>
      </c>
      <c r="E139" s="3" t="inlineStr">
        <is>
          <t>Procedimiento</t>
        </is>
      </c>
    </row>
    <row r="140" ht="16" customHeight="1" s="151">
      <c r="A140" s="1" t="inlineStr">
        <is>
          <t>1201017</t>
        </is>
      </c>
      <c r="B140" s="2" t="inlineStr">
        <is>
          <t>2</t>
        </is>
      </c>
      <c r="C140" s="2" t="inlineStr">
        <is>
          <t>Angioscopia retinal y/o iris (con fluoresceína o similar), unilateral (proc.aut.)</t>
        </is>
      </c>
      <c r="D140" s="2" t="inlineStr">
        <is>
          <t>Proc</t>
        </is>
      </c>
      <c r="E140" s="3" t="inlineStr">
        <is>
          <t>Procedimiento</t>
        </is>
      </c>
    </row>
    <row r="141" ht="16" customHeight="1" s="151">
      <c r="A141" s="1" t="inlineStr">
        <is>
          <t>1201018</t>
        </is>
      </c>
      <c r="B141" s="2" t="inlineStr">
        <is>
          <t>2</t>
        </is>
      </c>
      <c r="C141" s="2" t="inlineStr">
        <is>
          <t>Electrorretinografía, unilateral</t>
        </is>
      </c>
      <c r="D141" s="2" t="inlineStr">
        <is>
          <t>Proc</t>
        </is>
      </c>
      <c r="E141" s="3" t="inlineStr">
        <is>
          <t>Procedimiento</t>
        </is>
      </c>
    </row>
    <row r="142" ht="16" customHeight="1" s="151">
      <c r="A142" s="1" t="inlineStr">
        <is>
          <t>1201019</t>
        </is>
      </c>
      <c r="B142" s="2" t="inlineStr">
        <is>
          <t>1</t>
        </is>
      </c>
      <c r="C142" s="2" t="inlineStr">
        <is>
          <t>Exploración vitreorretinal, ambos ojos</t>
        </is>
      </c>
      <c r="D142" s="2" t="inlineStr">
        <is>
          <t>Proc</t>
        </is>
      </c>
      <c r="E142" s="3" t="inlineStr">
        <is>
          <t>Procedimiento</t>
        </is>
      </c>
    </row>
    <row r="143" ht="16" customHeight="1" s="151">
      <c r="A143" s="1" t="inlineStr">
        <is>
          <t>1201020</t>
        </is>
      </c>
      <c r="B143" s="2" t="inlineStr">
        <is>
          <t>1</t>
        </is>
      </c>
      <c r="C143" s="2" t="inlineStr">
        <is>
          <t>Ecobiometría con cálculo de lente intraocular, bilateral</t>
        </is>
      </c>
      <c r="D143" s="2" t="inlineStr">
        <is>
          <t>Proc</t>
        </is>
      </c>
      <c r="E143" s="3" t="inlineStr">
        <is>
          <t>Procedimiento</t>
        </is>
      </c>
    </row>
    <row r="144" ht="16" customHeight="1" s="151">
      <c r="A144" s="1" t="inlineStr">
        <is>
          <t>1201023</t>
        </is>
      </c>
      <c r="B144" s="2" t="n"/>
      <c r="C144" s="2" t="inlineStr">
        <is>
          <t>Potencial visual evocado en adultos, bilateral</t>
        </is>
      </c>
      <c r="D144" s="2" t="inlineStr">
        <is>
          <t>Proc</t>
        </is>
      </c>
      <c r="E144" s="3" t="inlineStr">
        <is>
          <t>Procedimiento</t>
        </is>
      </c>
    </row>
    <row r="145" ht="16" customHeight="1" s="151">
      <c r="A145" s="1" t="inlineStr">
        <is>
          <t>1201024</t>
        </is>
      </c>
      <c r="B145" s="2" t="n"/>
      <c r="C145" s="2" t="inlineStr">
        <is>
          <t>Potencial visual evocado en niños, bilateral</t>
        </is>
      </c>
      <c r="D145" s="2" t="inlineStr">
        <is>
          <t>Proc</t>
        </is>
      </c>
      <c r="E145" s="3" t="inlineStr">
        <is>
          <t>Procedimiento</t>
        </is>
      </c>
    </row>
    <row r="146" ht="16" customHeight="1" s="151">
      <c r="A146" s="1" t="inlineStr">
        <is>
          <t>1201027</t>
        </is>
      </c>
      <c r="B146" s="2" t="n"/>
      <c r="C146" s="2" t="inlineStr">
        <is>
          <t>Examen Optométrico c/s Prescripción de Lentes</t>
        </is>
      </c>
      <c r="D146" s="2" t="inlineStr">
        <is>
          <t>Proc</t>
        </is>
      </c>
      <c r="E146" s="3" t="inlineStr">
        <is>
          <t>Procedimiento</t>
        </is>
      </c>
    </row>
    <row r="147" ht="16" customHeight="1" s="151">
      <c r="A147" s="1" t="inlineStr">
        <is>
          <t>1201029</t>
        </is>
      </c>
      <c r="B147" s="2" t="inlineStr">
        <is>
          <t>2</t>
        </is>
      </c>
      <c r="C147" s="2" t="inlineStr">
        <is>
          <t>Cuerpo extraño conjuntival y/o corneal en adultos</t>
        </is>
      </c>
      <c r="D147" s="2" t="inlineStr">
        <is>
          <t>Proc</t>
        </is>
      </c>
      <c r="E147" s="3" t="inlineStr">
        <is>
          <t>Procedimiento</t>
        </is>
      </c>
    </row>
    <row r="148" ht="16" customHeight="1" s="151">
      <c r="A148" s="1" t="inlineStr">
        <is>
          <t>1201030</t>
        </is>
      </c>
      <c r="B148" s="2" t="inlineStr">
        <is>
          <t>3</t>
        </is>
      </c>
      <c r="C148" s="2" t="inlineStr">
        <is>
          <t>Cuerpo extraño conjuntival y/o corneal en niños</t>
        </is>
      </c>
      <c r="D148" s="2" t="inlineStr">
        <is>
          <t>Proc</t>
        </is>
      </c>
      <c r="E148" s="3" t="inlineStr">
        <is>
          <t>Procedimiento</t>
        </is>
      </c>
    </row>
    <row r="149" ht="16" customHeight="1" s="151">
      <c r="A149" s="1" t="inlineStr">
        <is>
          <t>1201031</t>
        </is>
      </c>
      <c r="B149" s="2" t="inlineStr">
        <is>
          <t>3</t>
        </is>
      </c>
      <c r="C149" s="2" t="inlineStr">
        <is>
          <t>Vía lagrimal, cateterismo o sondaje en adultos</t>
        </is>
      </c>
      <c r="D149" s="2" t="inlineStr">
        <is>
          <t>Proc</t>
        </is>
      </c>
      <c r="E149" s="3" t="inlineStr">
        <is>
          <t>Procedimiento</t>
        </is>
      </c>
    </row>
    <row r="150" ht="16" customHeight="1" s="151">
      <c r="A150" s="1" t="inlineStr">
        <is>
          <t>1201032</t>
        </is>
      </c>
      <c r="B150" s="2" t="n"/>
      <c r="C150" s="2" t="inlineStr">
        <is>
          <t>Vía lagrimal, cateterismo o sondaje en lactantes</t>
        </is>
      </c>
      <c r="D150" s="2" t="inlineStr">
        <is>
          <t>Proc</t>
        </is>
      </c>
      <c r="E150" s="3" t="inlineStr">
        <is>
          <t>Procedimiento</t>
        </is>
      </c>
    </row>
    <row r="151" ht="16" customHeight="1" s="151">
      <c r="A151" s="1" t="inlineStr">
        <is>
          <t>1201033</t>
        </is>
      </c>
      <c r="B151" s="2" t="n"/>
      <c r="C151" s="2" t="inlineStr">
        <is>
          <t>Vía lagrimal, cateterismo o sondaje en niños</t>
        </is>
      </c>
      <c r="D151" s="2" t="inlineStr">
        <is>
          <t>Proc</t>
        </is>
      </c>
      <c r="E151" s="3" t="inlineStr">
        <is>
          <t>Procedimiento</t>
        </is>
      </c>
    </row>
    <row r="152" ht="16" customHeight="1" s="151">
      <c r="A152" s="1" t="inlineStr">
        <is>
          <t>1201034</t>
        </is>
      </c>
      <c r="B152" s="2" t="inlineStr">
        <is>
          <t>2</t>
        </is>
      </c>
      <c r="C152" s="2" t="inlineStr">
        <is>
          <t>Tocación corneal c/yodo y/o éter u otros, en niños o adultos</t>
        </is>
      </c>
      <c r="D152" s="2" t="inlineStr">
        <is>
          <t>Proc</t>
        </is>
      </c>
      <c r="E152" s="3" t="inlineStr">
        <is>
          <t>Procedimiento</t>
        </is>
      </c>
    </row>
    <row r="153" ht="16" customHeight="1" s="151">
      <c r="A153" s="1" t="inlineStr">
        <is>
          <t>1201035</t>
        </is>
      </c>
      <c r="B153" s="2" t="inlineStr">
        <is>
          <t>2</t>
        </is>
      </c>
      <c r="C153" s="2" t="inlineStr">
        <is>
          <t>Criocoagulación conjuntival, corneal o palpebral en adultos</t>
        </is>
      </c>
      <c r="D153" s="2" t="inlineStr">
        <is>
          <t>Proc</t>
        </is>
      </c>
      <c r="E153" s="3" t="inlineStr">
        <is>
          <t>Procedimiento</t>
        </is>
      </c>
    </row>
    <row r="154" ht="16" customHeight="1" s="151">
      <c r="A154" s="1" t="inlineStr">
        <is>
          <t>1201036</t>
        </is>
      </c>
      <c r="B154" s="2" t="inlineStr">
        <is>
          <t>2</t>
        </is>
      </c>
      <c r="C154" s="2" t="inlineStr">
        <is>
          <t>Criocoagulación conjuntival, corneal o palpebral en niños</t>
        </is>
      </c>
      <c r="D154" s="2" t="inlineStr">
        <is>
          <t>Proc</t>
        </is>
      </c>
      <c r="E154" s="3" t="inlineStr">
        <is>
          <t>Procedimiento</t>
        </is>
      </c>
    </row>
    <row r="155" ht="16" customHeight="1" s="151">
      <c r="A155" s="1" t="inlineStr">
        <is>
          <t>1201037</t>
        </is>
      </c>
      <c r="B155" s="2" t="inlineStr">
        <is>
          <t>3</t>
        </is>
      </c>
      <c r="C155" s="2" t="inlineStr">
        <is>
          <t>Glaucoma, ciclodiatermia y/o ciclocrioterapia</t>
        </is>
      </c>
      <c r="D155" s="2" t="inlineStr">
        <is>
          <t>Proc</t>
        </is>
      </c>
      <c r="E155" s="3" t="inlineStr">
        <is>
          <t>Procedimiento</t>
        </is>
      </c>
    </row>
    <row r="156" ht="16" customHeight="1" s="151">
      <c r="A156" s="1" t="inlineStr">
        <is>
          <t>1201038</t>
        </is>
      </c>
      <c r="B156" s="2" t="n"/>
      <c r="C156" s="2" t="inlineStr">
        <is>
          <t>Inyección retrobulbar</t>
        </is>
      </c>
      <c r="D156" s="2" t="inlineStr">
        <is>
          <t>Proc</t>
        </is>
      </c>
      <c r="E156" s="3" t="inlineStr">
        <is>
          <t>Procedimiento</t>
        </is>
      </c>
    </row>
    <row r="157" ht="16" customHeight="1" s="151">
      <c r="A157" s="1" t="inlineStr">
        <is>
          <t>1201039</t>
        </is>
      </c>
      <c r="B157" s="2" t="inlineStr">
        <is>
          <t>3</t>
        </is>
      </c>
      <c r="C157" s="2" t="inlineStr">
        <is>
          <t>Pestañas, extirp. por electrocoagulación (cualquier número)</t>
        </is>
      </c>
      <c r="D157" s="2" t="inlineStr">
        <is>
          <t>Proc</t>
        </is>
      </c>
      <c r="E157" s="3" t="inlineStr">
        <is>
          <t>Procedimiento</t>
        </is>
      </c>
    </row>
    <row r="158" ht="16" customHeight="1" s="151">
      <c r="A158" s="1" t="inlineStr">
        <is>
          <t>1201040</t>
        </is>
      </c>
      <c r="B158" s="2" t="inlineStr">
        <is>
          <t>3</t>
        </is>
      </c>
      <c r="C158" s="2" t="inlineStr">
        <is>
          <t>Puntos lagrimales; electrotermocoagulación</t>
        </is>
      </c>
      <c r="D158" s="2" t="inlineStr">
        <is>
          <t>Proc</t>
        </is>
      </c>
      <c r="E158" s="3" t="inlineStr">
        <is>
          <t>Procedimiento</t>
        </is>
      </c>
    </row>
    <row r="159" ht="16" customHeight="1" s="151">
      <c r="A159" s="1" t="inlineStr">
        <is>
          <t>1201041</t>
        </is>
      </c>
      <c r="B159" s="2" t="inlineStr">
        <is>
          <t>3</t>
        </is>
      </c>
      <c r="C159" s="2" t="inlineStr">
        <is>
          <t>Sondaje vía lagrimal en niños (bajo anestesia general)</t>
        </is>
      </c>
      <c r="D159" s="2" t="inlineStr">
        <is>
          <t>Proc</t>
        </is>
      </c>
      <c r="E159" s="3" t="inlineStr">
        <is>
          <t>Procedimiento</t>
        </is>
      </c>
    </row>
    <row r="160" ht="16" customHeight="1" s="151">
      <c r="A160" s="1" t="inlineStr">
        <is>
          <t>1201042</t>
        </is>
      </c>
      <c r="B160" s="2" t="n"/>
      <c r="C160" s="2" t="inlineStr">
        <is>
          <t>Campimetría computarizada, unilateral</t>
        </is>
      </c>
      <c r="D160" s="2" t="inlineStr">
        <is>
          <t>Proc</t>
        </is>
      </c>
      <c r="E160" s="3" t="inlineStr">
        <is>
          <t>Procedimiento</t>
        </is>
      </c>
    </row>
    <row r="161" ht="16" customHeight="1" s="151">
      <c r="A161" s="1" t="inlineStr">
        <is>
          <t>1201043</t>
        </is>
      </c>
      <c r="B161" s="2" t="n"/>
      <c r="C161" s="2" t="inlineStr">
        <is>
          <t>Topografía corneal computarizada, unilateral</t>
        </is>
      </c>
      <c r="D161" s="2" t="inlineStr">
        <is>
          <t>Proc</t>
        </is>
      </c>
      <c r="E161" s="3" t="inlineStr">
        <is>
          <t>Procedimiento</t>
        </is>
      </c>
    </row>
    <row r="162" ht="16" customHeight="1" s="151">
      <c r="A162" s="1" t="inlineStr">
        <is>
          <t>1201044</t>
        </is>
      </c>
      <c r="B162" s="2" t="n"/>
      <c r="C162" s="2" t="inlineStr">
        <is>
          <t>Tomografía coherencia óptica, c/ ojo</t>
        </is>
      </c>
      <c r="D162" s="2" t="inlineStr">
        <is>
          <t>Proc</t>
        </is>
      </c>
      <c r="E162" s="3" t="inlineStr">
        <is>
          <t>Procedimiento</t>
        </is>
      </c>
    </row>
    <row r="163" ht="16" customHeight="1" s="151">
      <c r="A163" s="1" t="inlineStr">
        <is>
          <t>1201045</t>
        </is>
      </c>
      <c r="B163" s="2" t="n"/>
      <c r="C163" s="2" t="inlineStr">
        <is>
          <t>Paquimetría</t>
        </is>
      </c>
      <c r="D163" s="2" t="inlineStr">
        <is>
          <t>Proc</t>
        </is>
      </c>
      <c r="E163" s="3" t="inlineStr">
        <is>
          <t>Procedimiento</t>
        </is>
      </c>
    </row>
    <row r="164" ht="16" customHeight="1" s="151">
      <c r="A164" s="1" t="inlineStr">
        <is>
          <t>1202001</t>
        </is>
      </c>
      <c r="B164" s="2" t="inlineStr">
        <is>
          <t>2</t>
        </is>
      </c>
      <c r="C164" s="2" t="inlineStr">
        <is>
          <t>Intubación vía lagrimal</t>
        </is>
      </c>
      <c r="D164" s="2" t="inlineStr">
        <is>
          <t>CMen</t>
        </is>
      </c>
      <c r="E164" s="3" t="inlineStr">
        <is>
          <t>Cirugía Menor</t>
        </is>
      </c>
    </row>
    <row r="165" ht="16" customHeight="1" s="151">
      <c r="A165" s="1" t="inlineStr">
        <is>
          <t>1202002</t>
        </is>
      </c>
      <c r="B165" s="2" t="inlineStr">
        <is>
          <t>4</t>
        </is>
      </c>
      <c r="C165" s="2" t="inlineStr">
        <is>
          <t>Puntos lagrimales, plastía de</t>
        </is>
      </c>
      <c r="D165" s="2" t="inlineStr">
        <is>
          <t>CMen</t>
        </is>
      </c>
      <c r="E165" s="3" t="inlineStr">
        <is>
          <t>Cirugía Menor</t>
        </is>
      </c>
    </row>
    <row r="166" ht="16" customHeight="1" s="151">
      <c r="A166" s="1" t="inlineStr">
        <is>
          <t>1202003</t>
        </is>
      </c>
      <c r="B166" s="2" t="inlineStr">
        <is>
          <t>4</t>
        </is>
      </c>
      <c r="C166" s="2" t="inlineStr">
        <is>
          <t>Reconstitución de canalículos</t>
        </is>
      </c>
      <c r="D166" s="2" t="inlineStr">
        <is>
          <t>CMen</t>
        </is>
      </c>
      <c r="E166" s="3" t="inlineStr">
        <is>
          <t>Cirugía Menor</t>
        </is>
      </c>
    </row>
    <row r="167" ht="16" customHeight="1" s="151">
      <c r="A167" s="1" t="inlineStr">
        <is>
          <t>1202004</t>
        </is>
      </c>
      <c r="B167" s="2" t="inlineStr">
        <is>
          <t>2</t>
        </is>
      </c>
      <c r="C167" s="2" t="inlineStr">
        <is>
          <t>Absceso, vaciamiento y/o drenaje de saco y/o glándula lagrimal</t>
        </is>
      </c>
      <c r="D167" s="2" t="inlineStr">
        <is>
          <t>CMen</t>
        </is>
      </c>
      <c r="E167" s="3" t="inlineStr">
        <is>
          <t>Cirugía Menor</t>
        </is>
      </c>
    </row>
    <row r="168" ht="16" customHeight="1" s="151">
      <c r="A168" s="1" t="inlineStr">
        <is>
          <t>1202005</t>
        </is>
      </c>
      <c r="B168" s="2" t="inlineStr">
        <is>
          <t>4</t>
        </is>
      </c>
      <c r="C168" s="2" t="inlineStr">
        <is>
          <t>Dacriocistorrinostomía</t>
        </is>
      </c>
      <c r="D168" s="2" t="inlineStr">
        <is>
          <t>CMen</t>
        </is>
      </c>
      <c r="E168" s="3" t="inlineStr">
        <is>
          <t>Cirugía Menor</t>
        </is>
      </c>
    </row>
    <row r="169" ht="16" customHeight="1" s="151">
      <c r="A169" s="1" t="inlineStr">
        <is>
          <t>1202006</t>
        </is>
      </c>
      <c r="B169" s="2" t="inlineStr">
        <is>
          <t>3</t>
        </is>
      </c>
      <c r="C169" s="2" t="inlineStr">
        <is>
          <t>Extirpación de saco y/o glándula lagrimal</t>
        </is>
      </c>
      <c r="D169" s="2" t="inlineStr">
        <is>
          <t>CMen</t>
        </is>
      </c>
      <c r="E169" s="3" t="inlineStr">
        <is>
          <t>Cirugía Menor</t>
        </is>
      </c>
    </row>
    <row r="170" ht="16" customHeight="1" s="151">
      <c r="A170" s="1" t="inlineStr">
        <is>
          <t>1202007</t>
        </is>
      </c>
      <c r="B170" s="2" t="inlineStr">
        <is>
          <t>6</t>
        </is>
      </c>
      <c r="C170" s="2" t="inlineStr">
        <is>
          <t>Reconstitución vía lagrimal en ausencia del saco</t>
        </is>
      </c>
      <c r="D170" s="2" t="inlineStr">
        <is>
          <t>Cmay</t>
        </is>
      </c>
      <c r="E170" s="3" t="inlineStr">
        <is>
          <t>Cirugía Mayor</t>
        </is>
      </c>
    </row>
    <row r="171" ht="16" customHeight="1" s="151">
      <c r="A171" s="1" t="inlineStr">
        <is>
          <t>1202008</t>
        </is>
      </c>
      <c r="B171" s="2" t="inlineStr">
        <is>
          <t>6</t>
        </is>
      </c>
      <c r="C171" s="2" t="inlineStr">
        <is>
          <t>Extirpación total o parcial de la glándula lagrimal</t>
        </is>
      </c>
      <c r="D171" s="2" t="inlineStr">
        <is>
          <t>Cmay</t>
        </is>
      </c>
      <c r="E171" s="3" t="inlineStr">
        <is>
          <t>Cirugía Mayor</t>
        </is>
      </c>
    </row>
    <row r="172" ht="16" customHeight="1" s="151">
      <c r="A172" s="1" t="inlineStr">
        <is>
          <t>1202009</t>
        </is>
      </c>
      <c r="B172" s="2" t="inlineStr">
        <is>
          <t>6</t>
        </is>
      </c>
      <c r="C172" s="2" t="inlineStr">
        <is>
          <t>Tumor maligno  del saco, trat. quir. completo</t>
        </is>
      </c>
      <c r="D172" s="2" t="inlineStr">
        <is>
          <t>Cmay</t>
        </is>
      </c>
      <c r="E172" s="3" t="inlineStr">
        <is>
          <t>Cirugía Mayor</t>
        </is>
      </c>
    </row>
    <row r="173" ht="16" customHeight="1" s="151">
      <c r="A173" s="1" t="inlineStr">
        <is>
          <t>1202010</t>
        </is>
      </c>
      <c r="B173" s="2" t="inlineStr">
        <is>
          <t>2</t>
        </is>
      </c>
      <c r="C173" s="2" t="inlineStr">
        <is>
          <t>Absceso, trat. quir. párpado o ceja</t>
        </is>
      </c>
      <c r="D173" s="2" t="inlineStr">
        <is>
          <t>CMen</t>
        </is>
      </c>
      <c r="E173" s="3" t="inlineStr">
        <is>
          <t>Cirugía Menor</t>
        </is>
      </c>
    </row>
    <row r="174" ht="16" customHeight="1" s="151">
      <c r="A174" s="1" t="inlineStr">
        <is>
          <t>1202011</t>
        </is>
      </c>
      <c r="B174" s="2" t="inlineStr">
        <is>
          <t>3</t>
        </is>
      </c>
      <c r="C174" s="2" t="inlineStr">
        <is>
          <t>Biopsia de párpado y/o anexos (proc. aut.)</t>
        </is>
      </c>
      <c r="D174" s="2" t="inlineStr">
        <is>
          <t>CMen</t>
        </is>
      </c>
      <c r="E174" s="3" t="inlineStr">
        <is>
          <t>Cirugía Menor</t>
        </is>
      </c>
    </row>
    <row r="175" ht="16" customHeight="1" s="151">
      <c r="A175" s="1" t="inlineStr">
        <is>
          <t>1202012</t>
        </is>
      </c>
      <c r="B175" s="2" t="inlineStr">
        <is>
          <t>3</t>
        </is>
      </c>
      <c r="C175" s="2" t="inlineStr">
        <is>
          <t>Blefarochalasis, plastía de</t>
        </is>
      </c>
      <c r="D175" s="2" t="inlineStr">
        <is>
          <t>CMen</t>
        </is>
      </c>
      <c r="E175" s="3" t="inlineStr">
        <is>
          <t>Cirugía Menor</t>
        </is>
      </c>
    </row>
    <row r="176" ht="16" customHeight="1" s="151">
      <c r="A176" s="1" t="inlineStr">
        <is>
          <t>1202013</t>
        </is>
      </c>
      <c r="B176" s="2" t="inlineStr">
        <is>
          <t>5</t>
        </is>
      </c>
      <c r="C176" s="2" t="inlineStr">
        <is>
          <t>Blefarofimosis, plastía de</t>
        </is>
      </c>
      <c r="D176" s="2" t="inlineStr">
        <is>
          <t>Cmay</t>
        </is>
      </c>
      <c r="E176" s="3" t="inlineStr">
        <is>
          <t>Cirugía Mayor</t>
        </is>
      </c>
    </row>
    <row r="177" ht="16" customHeight="1" s="151">
      <c r="A177" s="1" t="inlineStr">
        <is>
          <t>1202014</t>
        </is>
      </c>
      <c r="B177" s="2" t="inlineStr">
        <is>
          <t>3</t>
        </is>
      </c>
      <c r="C177" s="2" t="inlineStr">
        <is>
          <t>Blefarorrafia con blefarotomía posterior</t>
        </is>
      </c>
      <c r="D177" s="2" t="inlineStr">
        <is>
          <t>CMen</t>
        </is>
      </c>
      <c r="E177" s="3" t="inlineStr">
        <is>
          <t>Cirugía Menor</t>
        </is>
      </c>
    </row>
    <row r="178" ht="16" customHeight="1" s="151">
      <c r="A178" s="1" t="inlineStr">
        <is>
          <t>1202015</t>
        </is>
      </c>
      <c r="B178" s="2" t="inlineStr">
        <is>
          <t>3</t>
        </is>
      </c>
      <c r="C178" s="2" t="inlineStr">
        <is>
          <t>Cantoplastía</t>
        </is>
      </c>
      <c r="D178" s="2" t="inlineStr">
        <is>
          <t>CMen</t>
        </is>
      </c>
      <c r="E178" s="3" t="inlineStr">
        <is>
          <t>Cirugía Menor</t>
        </is>
      </c>
    </row>
    <row r="179" ht="16" customHeight="1" s="151">
      <c r="A179" s="1" t="inlineStr">
        <is>
          <t>1202016</t>
        </is>
      </c>
      <c r="B179" s="2" t="inlineStr">
        <is>
          <t>3</t>
        </is>
      </c>
      <c r="C179" s="2" t="inlineStr">
        <is>
          <t>Chalazión y otros tumores benignos (uno o más, unilateral), trat. quir. completo</t>
        </is>
      </c>
      <c r="D179" s="2" t="inlineStr">
        <is>
          <t>CMen</t>
        </is>
      </c>
      <c r="E179" s="3" t="inlineStr">
        <is>
          <t>Cirugía Menor</t>
        </is>
      </c>
    </row>
    <row r="180" ht="16" customHeight="1" s="151">
      <c r="A180" s="1" t="inlineStr">
        <is>
          <t>1202017</t>
        </is>
      </c>
      <c r="B180" s="2" t="inlineStr">
        <is>
          <t>5</t>
        </is>
      </c>
      <c r="C180" s="2" t="inlineStr">
        <is>
          <t>Coloboma, plastía de</t>
        </is>
      </c>
      <c r="D180" s="2" t="inlineStr">
        <is>
          <t>Cmay</t>
        </is>
      </c>
      <c r="E180" s="3" t="inlineStr">
        <is>
          <t>Cirugía Mayor</t>
        </is>
      </c>
    </row>
    <row r="181" ht="16" customHeight="1" s="151">
      <c r="A181" s="1" t="inlineStr">
        <is>
          <t>1202018</t>
        </is>
      </c>
      <c r="B181" s="2" t="inlineStr">
        <is>
          <t>4</t>
        </is>
      </c>
      <c r="C181" s="2" t="inlineStr">
        <is>
          <t>Ectropión, plastía de</t>
        </is>
      </c>
      <c r="D181" s="2" t="inlineStr">
        <is>
          <t>CMen</t>
        </is>
      </c>
      <c r="E181" s="3" t="inlineStr">
        <is>
          <t>Cirugía Menor</t>
        </is>
      </c>
    </row>
    <row r="182" ht="16" customHeight="1" s="151">
      <c r="A182" s="1" t="inlineStr">
        <is>
          <t>1202019</t>
        </is>
      </c>
      <c r="B182" s="2" t="inlineStr">
        <is>
          <t>4</t>
        </is>
      </c>
      <c r="C182" s="2" t="inlineStr">
        <is>
          <t>Entropión, plastía de</t>
        </is>
      </c>
      <c r="D182" s="2" t="inlineStr">
        <is>
          <t>CMen</t>
        </is>
      </c>
      <c r="E182" s="3" t="inlineStr">
        <is>
          <t>Cirugía Menor</t>
        </is>
      </c>
    </row>
    <row r="183" ht="16" customHeight="1" s="151">
      <c r="A183" s="1" t="inlineStr">
        <is>
          <t>1202020</t>
        </is>
      </c>
      <c r="B183" s="2" t="inlineStr">
        <is>
          <t>4</t>
        </is>
      </c>
      <c r="C183" s="2" t="inlineStr">
        <is>
          <t>Epicanto, plastía de</t>
        </is>
      </c>
      <c r="D183" s="2" t="inlineStr">
        <is>
          <t>CMen</t>
        </is>
      </c>
      <c r="E183" s="3" t="inlineStr">
        <is>
          <t>Cirugía Menor</t>
        </is>
      </c>
    </row>
    <row r="184" ht="16" customHeight="1" s="151">
      <c r="A184" s="1" t="inlineStr">
        <is>
          <t>1202021</t>
        </is>
      </c>
      <c r="B184" s="2" t="inlineStr">
        <is>
          <t>5</t>
        </is>
      </c>
      <c r="C184" s="2" t="inlineStr">
        <is>
          <t>Ptosis, trat. quir.</t>
        </is>
      </c>
      <c r="D184" s="2" t="inlineStr">
        <is>
          <t>Cmay</t>
        </is>
      </c>
      <c r="E184" s="3" t="inlineStr">
        <is>
          <t>Cirugía Mayor</t>
        </is>
      </c>
    </row>
    <row r="185" ht="16" customHeight="1" s="151">
      <c r="A185" s="1" t="inlineStr">
        <is>
          <t>1202022</t>
        </is>
      </c>
      <c r="B185" s="2" t="inlineStr">
        <is>
          <t>2</t>
        </is>
      </c>
      <c r="C185" s="2" t="inlineStr">
        <is>
          <t>Quiste dermoide de la cola de la ceja, resec. plástica</t>
        </is>
      </c>
      <c r="D185" s="2" t="inlineStr">
        <is>
          <t>CMen</t>
        </is>
      </c>
      <c r="E185" s="3" t="inlineStr">
        <is>
          <t>Cirugía Menor</t>
        </is>
      </c>
    </row>
    <row r="186" ht="16" customHeight="1" s="151">
      <c r="A186" s="1" t="inlineStr">
        <is>
          <t>1202023</t>
        </is>
      </c>
      <c r="B186" s="2" t="inlineStr">
        <is>
          <t>5</t>
        </is>
      </c>
      <c r="C186" s="2" t="inlineStr">
        <is>
          <t>Tumor maligno de párpado o ceja, trat. quir. completo</t>
        </is>
      </c>
      <c r="D186" s="2" t="inlineStr">
        <is>
          <t>Cmay</t>
        </is>
      </c>
      <c r="E186" s="3" t="inlineStr">
        <is>
          <t>Cirugía Mayor</t>
        </is>
      </c>
    </row>
    <row r="187" ht="16" customHeight="1" s="151">
      <c r="A187" s="1" t="inlineStr">
        <is>
          <t>1202024</t>
        </is>
      </c>
      <c r="B187" s="2" t="inlineStr">
        <is>
          <t>3</t>
        </is>
      </c>
      <c r="C187" s="2" t="inlineStr">
        <is>
          <t>Xantelasma, trat. quir.</t>
        </is>
      </c>
      <c r="D187" s="2" t="inlineStr">
        <is>
          <t>CMen</t>
        </is>
      </c>
      <c r="E187" s="3" t="inlineStr">
        <is>
          <t>Cirugía Menor</t>
        </is>
      </c>
    </row>
    <row r="188" ht="16" customHeight="1" s="151">
      <c r="A188" s="1" t="inlineStr">
        <is>
          <t>1202025</t>
        </is>
      </c>
      <c r="B188" s="2" t="inlineStr">
        <is>
          <t>4</t>
        </is>
      </c>
      <c r="C188" s="2" t="inlineStr">
        <is>
          <t>Herida o dehiscencia de la conjuntiva, sutura de (proc. aut.)</t>
        </is>
      </c>
      <c r="D188" s="2" t="inlineStr">
        <is>
          <t>CMen</t>
        </is>
      </c>
      <c r="E188" s="3" t="inlineStr">
        <is>
          <t>Cirugía Menor</t>
        </is>
      </c>
    </row>
    <row r="189" ht="16" customHeight="1" s="151">
      <c r="A189" s="1" t="inlineStr">
        <is>
          <t>1202026</t>
        </is>
      </c>
      <c r="B189" s="2" t="inlineStr">
        <is>
          <t>4</t>
        </is>
      </c>
      <c r="C189" s="2" t="inlineStr">
        <is>
          <t>Pterigión y/o pseudopterigión o su recidiva, extirpación</t>
        </is>
      </c>
      <c r="D189" s="2" t="inlineStr">
        <is>
          <t>CMen</t>
        </is>
      </c>
      <c r="E189" s="3" t="inlineStr">
        <is>
          <t>Cirugía Menor</t>
        </is>
      </c>
    </row>
    <row r="190" ht="16" customHeight="1" s="151">
      <c r="A190" s="1" t="inlineStr">
        <is>
          <t>1202027</t>
        </is>
      </c>
      <c r="B190" s="2" t="inlineStr">
        <is>
          <t>5</t>
        </is>
      </c>
      <c r="C190" s="2" t="inlineStr">
        <is>
          <t>Simbléfaron, resección de adherencias y plastía de</t>
        </is>
      </c>
      <c r="D190" s="2" t="inlineStr">
        <is>
          <t>Cmay</t>
        </is>
      </c>
      <c r="E190" s="3" t="inlineStr">
        <is>
          <t>Cirugía Mayor</t>
        </is>
      </c>
    </row>
    <row r="191" ht="16" customHeight="1" s="151">
      <c r="A191" s="1" t="inlineStr">
        <is>
          <t>1202028</t>
        </is>
      </c>
      <c r="B191" s="2" t="inlineStr">
        <is>
          <t>4</t>
        </is>
      </c>
      <c r="C191" s="2" t="inlineStr">
        <is>
          <t>Extirpación de tumor benigno de la conjuntiva</t>
        </is>
      </c>
      <c r="D191" s="2" t="inlineStr">
        <is>
          <t>CMen</t>
        </is>
      </c>
      <c r="E191" s="3" t="inlineStr">
        <is>
          <t>Cirugía Menor</t>
        </is>
      </c>
    </row>
    <row r="192" ht="16" customHeight="1" s="151">
      <c r="A192" s="1" t="inlineStr">
        <is>
          <t>1202029</t>
        </is>
      </c>
      <c r="B192" s="2" t="inlineStr">
        <is>
          <t>4</t>
        </is>
      </c>
      <c r="C192" s="2" t="inlineStr">
        <is>
          <t>Absceso orbitario, trat. quir.</t>
        </is>
      </c>
      <c r="D192" s="2" t="inlineStr">
        <is>
          <t>CMen</t>
        </is>
      </c>
      <c r="E192" s="3" t="inlineStr">
        <is>
          <t>Cirugía Menor</t>
        </is>
      </c>
    </row>
    <row r="193" ht="16" customHeight="1" s="151">
      <c r="A193" s="1" t="inlineStr">
        <is>
          <t>1202030</t>
        </is>
      </c>
      <c r="B193" s="2" t="inlineStr">
        <is>
          <t>7</t>
        </is>
      </c>
      <c r="C193" s="2" t="inlineStr">
        <is>
          <t>Corrección de cavidad anoftálmica trat. completo</t>
        </is>
      </c>
      <c r="D193" s="2" t="inlineStr">
        <is>
          <t>Cmay</t>
        </is>
      </c>
      <c r="E193" s="3" t="inlineStr">
        <is>
          <t>Cirugía Mayor</t>
        </is>
      </c>
    </row>
    <row r="194" ht="16" customHeight="1" s="151">
      <c r="A194" s="1" t="inlineStr">
        <is>
          <t>1202031</t>
        </is>
      </c>
      <c r="B194" s="2" t="inlineStr">
        <is>
          <t>8</t>
        </is>
      </c>
      <c r="C194" s="2" t="inlineStr">
        <is>
          <t>Cuerpo extraño orbitario (con orbitotomía)</t>
        </is>
      </c>
      <c r="D194" s="2" t="inlineStr">
        <is>
          <t>Cmay</t>
        </is>
      </c>
      <c r="E194" s="3" t="inlineStr">
        <is>
          <t>Cirugía Mayor</t>
        </is>
      </c>
    </row>
    <row r="195" ht="16" customHeight="1" s="151">
      <c r="A195" s="1" t="inlineStr">
        <is>
          <t>1202032</t>
        </is>
      </c>
      <c r="B195" s="2" t="inlineStr">
        <is>
          <t>11</t>
        </is>
      </c>
      <c r="C195" s="2" t="inlineStr">
        <is>
          <t>Exanteración orbitaria o tumor orbitario, trat. quirúrgico completo</t>
        </is>
      </c>
      <c r="D195" s="2" t="inlineStr">
        <is>
          <t>Cmay</t>
        </is>
      </c>
      <c r="E195" s="3" t="inlineStr">
        <is>
          <t>Cirugía Mayor</t>
        </is>
      </c>
    </row>
    <row r="196" ht="16" customHeight="1" s="151">
      <c r="A196" s="1" t="inlineStr">
        <is>
          <t>1202033</t>
        </is>
      </c>
      <c r="B196" s="2" t="inlineStr">
        <is>
          <t>6</t>
        </is>
      </c>
      <c r="C196" s="2" t="inlineStr">
        <is>
          <t>Orbitotomía anterior</t>
        </is>
      </c>
      <c r="D196" s="2" t="inlineStr">
        <is>
          <t>Cmay</t>
        </is>
      </c>
      <c r="E196" s="3" t="inlineStr">
        <is>
          <t>Cirugía Mayor</t>
        </is>
      </c>
    </row>
    <row r="197" ht="16" customHeight="1" s="151">
      <c r="A197" s="1" t="inlineStr">
        <is>
          <t>1202034</t>
        </is>
      </c>
      <c r="B197" s="2" t="inlineStr">
        <is>
          <t>5</t>
        </is>
      </c>
      <c r="C197" s="2" t="inlineStr">
        <is>
          <t>Orbitotomía lateral descompresiva</t>
        </is>
      </c>
      <c r="D197" s="2" t="inlineStr">
        <is>
          <t>Cmay</t>
        </is>
      </c>
      <c r="E197" s="3" t="inlineStr">
        <is>
          <t>Cirugía Mayor</t>
        </is>
      </c>
    </row>
    <row r="198" ht="16" customHeight="1" s="151">
      <c r="A198" s="1" t="inlineStr">
        <is>
          <t>1202035</t>
        </is>
      </c>
      <c r="B198" s="2" t="inlineStr">
        <is>
          <t>5</t>
        </is>
      </c>
      <c r="C198" s="2" t="inlineStr">
        <is>
          <t>Biopsia de globo ocular (proc. aut.)</t>
        </is>
      </c>
      <c r="D198" s="2" t="inlineStr">
        <is>
          <t>Cmay</t>
        </is>
      </c>
      <c r="E198" s="3" t="inlineStr">
        <is>
          <t>Cirugía Mayor</t>
        </is>
      </c>
    </row>
    <row r="199" ht="16" customHeight="1" s="151">
      <c r="A199" s="1" t="inlineStr">
        <is>
          <t>1202036</t>
        </is>
      </c>
      <c r="B199" s="2" t="inlineStr">
        <is>
          <t>7</t>
        </is>
      </c>
      <c r="C199" s="2" t="inlineStr">
        <is>
          <t>Enucleación o implante de prótesis ocular (proc. aut.)</t>
        </is>
      </c>
      <c r="D199" s="2" t="inlineStr">
        <is>
          <t>Cmay</t>
        </is>
      </c>
      <c r="E199" s="3" t="inlineStr">
        <is>
          <t>Cirugía Mayor</t>
        </is>
      </c>
    </row>
    <row r="200" ht="16" customHeight="1" s="151">
      <c r="A200" s="1" t="inlineStr">
        <is>
          <t>1202037</t>
        </is>
      </c>
      <c r="B200" s="2" t="inlineStr">
        <is>
          <t>8</t>
        </is>
      </c>
      <c r="C200" s="2" t="inlineStr">
        <is>
          <t>Enucleación con implante</t>
        </is>
      </c>
      <c r="D200" s="2" t="inlineStr">
        <is>
          <t>Cmay</t>
        </is>
      </c>
      <c r="E200" s="3" t="inlineStr">
        <is>
          <t>Cirugía Mayor</t>
        </is>
      </c>
    </row>
    <row r="201" ht="16" customHeight="1" s="151">
      <c r="A201" s="1" t="inlineStr">
        <is>
          <t>1202038</t>
        </is>
      </c>
      <c r="B201" s="2" t="inlineStr">
        <is>
          <t>7</t>
        </is>
      </c>
      <c r="C201" s="2" t="inlineStr">
        <is>
          <t>Tratamiento quirúrgico completo del estrabismo unilateral o bilateral</t>
        </is>
      </c>
      <c r="D201" s="2" t="inlineStr">
        <is>
          <t>Cmay</t>
        </is>
      </c>
      <c r="E201" s="3" t="inlineStr">
        <is>
          <t>Cirugía Mayor</t>
        </is>
      </c>
    </row>
    <row r="202" ht="16" customHeight="1" s="151">
      <c r="A202" s="1" t="inlineStr">
        <is>
          <t>1202039</t>
        </is>
      </c>
      <c r="B202" s="2" t="inlineStr">
        <is>
          <t>7</t>
        </is>
      </c>
      <c r="C202" s="2" t="inlineStr">
        <is>
          <t>Exanteración ocular (proc. aut.)</t>
        </is>
      </c>
      <c r="D202" s="2" t="inlineStr">
        <is>
          <t>Cmay</t>
        </is>
      </c>
      <c r="E202" s="3" t="inlineStr">
        <is>
          <t>Cirugía Mayor</t>
        </is>
      </c>
    </row>
    <row r="203" ht="16" customHeight="1" s="151">
      <c r="A203" s="1" t="inlineStr">
        <is>
          <t>1202040</t>
        </is>
      </c>
      <c r="B203" s="2" t="inlineStr">
        <is>
          <t>5</t>
        </is>
      </c>
      <c r="C203" s="2" t="inlineStr">
        <is>
          <t>Sutura de lesión traumática de globo o musculos oculares (proc. aut.)</t>
        </is>
      </c>
      <c r="D203" s="2" t="inlineStr">
        <is>
          <t>Cmay</t>
        </is>
      </c>
      <c r="E203" s="3" t="inlineStr">
        <is>
          <t>Cirugía Mayor</t>
        </is>
      </c>
    </row>
    <row r="204" ht="16" customHeight="1" s="151">
      <c r="A204" s="1" t="inlineStr">
        <is>
          <t>1202041</t>
        </is>
      </c>
      <c r="B204" s="2" t="inlineStr">
        <is>
          <t>5</t>
        </is>
      </c>
      <c r="C204" s="2" t="inlineStr">
        <is>
          <t>Cirugía refractiva, queratotomía radial o similar con bisturí de diamante</t>
        </is>
      </c>
      <c r="D204" s="2" t="inlineStr">
        <is>
          <t>Cmay</t>
        </is>
      </c>
      <c r="E204" s="3" t="inlineStr">
        <is>
          <t>Cirugía Mayor</t>
        </is>
      </c>
    </row>
    <row r="205" ht="16" customHeight="1" s="151">
      <c r="A205" s="1" t="inlineStr">
        <is>
          <t>1202042</t>
        </is>
      </c>
      <c r="B205" s="2" t="inlineStr">
        <is>
          <t>3</t>
        </is>
      </c>
      <c r="C205" s="2" t="inlineStr">
        <is>
          <t>Crioterapia y recesión conjuntival</t>
        </is>
      </c>
      <c r="D205" s="2" t="inlineStr">
        <is>
          <t>CMen</t>
        </is>
      </c>
      <c r="E205" s="3" t="inlineStr">
        <is>
          <t>Cirugía Menor</t>
        </is>
      </c>
    </row>
    <row r="206" ht="16" customHeight="1" s="151">
      <c r="A206" s="1" t="inlineStr">
        <is>
          <t>1202044</t>
        </is>
      </c>
      <c r="B206" s="2" t="inlineStr">
        <is>
          <t>4</t>
        </is>
      </c>
      <c r="C206" s="2" t="inlineStr">
        <is>
          <t>Extracción quir. de cuerpo extraño en cornea y/o esclera</t>
        </is>
      </c>
      <c r="D206" s="2" t="inlineStr">
        <is>
          <t>CMen</t>
        </is>
      </c>
      <c r="E206" s="3" t="inlineStr">
        <is>
          <t>Cirugía Menor</t>
        </is>
      </c>
    </row>
    <row r="207" ht="16" customHeight="1" s="151">
      <c r="A207" s="1" t="inlineStr">
        <is>
          <t>1202045</t>
        </is>
      </c>
      <c r="B207" s="2" t="inlineStr">
        <is>
          <t>9</t>
        </is>
      </c>
      <c r="C207" s="2" t="inlineStr">
        <is>
          <t>Glaucoma, trat. quir. por cualquier técnica</t>
        </is>
      </c>
      <c r="D207" s="2" t="inlineStr">
        <is>
          <t>Cmay</t>
        </is>
      </c>
      <c r="E207" s="3" t="inlineStr">
        <is>
          <t>Cirugía Mayor</t>
        </is>
      </c>
    </row>
    <row r="208" ht="16" customHeight="1" s="151">
      <c r="A208" s="1" t="inlineStr">
        <is>
          <t>1202046</t>
        </is>
      </c>
      <c r="B208" s="2" t="inlineStr">
        <is>
          <t>5</t>
        </is>
      </c>
      <c r="C208" s="2" t="inlineStr">
        <is>
          <t>Herida corneal o corneo-escleral o dehiscencia de sutura</t>
        </is>
      </c>
      <c r="D208" s="2" t="inlineStr">
        <is>
          <t>Cmay</t>
        </is>
      </c>
      <c r="E208" s="3" t="inlineStr">
        <is>
          <t>Cirugía Mayor</t>
        </is>
      </c>
    </row>
    <row r="209" ht="16" customHeight="1" s="151">
      <c r="A209" s="1" t="inlineStr">
        <is>
          <t>1202047</t>
        </is>
      </c>
      <c r="B209" s="2" t="inlineStr">
        <is>
          <t>6</t>
        </is>
      </c>
      <c r="C209" s="2" t="inlineStr">
        <is>
          <t>Queratectomía laminar</t>
        </is>
      </c>
      <c r="D209" s="2" t="inlineStr">
        <is>
          <t>Cmay</t>
        </is>
      </c>
      <c r="E209" s="3" t="inlineStr">
        <is>
          <t>Cirugía Mayor</t>
        </is>
      </c>
    </row>
    <row r="210" ht="16" customHeight="1" s="151">
      <c r="A210" s="1" t="inlineStr">
        <is>
          <t>1202048</t>
        </is>
      </c>
      <c r="B210" s="2" t="inlineStr">
        <is>
          <t>8</t>
        </is>
      </c>
      <c r="C210" s="2" t="inlineStr">
        <is>
          <t>Queratoplastía. Injerto lamelar o penetrante trat. quir. Completo</t>
        </is>
      </c>
      <c r="D210" s="2" t="inlineStr">
        <is>
          <t>Cmay</t>
        </is>
      </c>
      <c r="E210" s="3" t="inlineStr">
        <is>
          <t>Cirugía Mayor</t>
        </is>
      </c>
    </row>
    <row r="211" ht="16" customHeight="1" s="151">
      <c r="A211" s="1" t="inlineStr">
        <is>
          <t>1202049</t>
        </is>
      </c>
      <c r="B211" s="2" t="inlineStr">
        <is>
          <t>9</t>
        </is>
      </c>
      <c r="C211" s="2" t="inlineStr">
        <is>
          <t>Queratoprótesis, implantación de (no incluye el valor de la prótesis)</t>
        </is>
      </c>
      <c r="D211" s="2" t="inlineStr">
        <is>
          <t>Cmay</t>
        </is>
      </c>
      <c r="E211" s="3" t="inlineStr">
        <is>
          <t>Cirugía Mayor</t>
        </is>
      </c>
    </row>
    <row r="212" ht="16" customHeight="1" s="151">
      <c r="A212" s="1" t="inlineStr">
        <is>
          <t>1202050</t>
        </is>
      </c>
      <c r="B212" s="2" t="inlineStr">
        <is>
          <t>6</t>
        </is>
      </c>
      <c r="C212" s="2" t="inlineStr">
        <is>
          <t>Recubrimiento conjuntival</t>
        </is>
      </c>
      <c r="D212" s="2" t="inlineStr">
        <is>
          <t>Cmay</t>
        </is>
      </c>
      <c r="E212" s="3" t="inlineStr">
        <is>
          <t>Cirugía Mayor</t>
        </is>
      </c>
    </row>
    <row r="213" ht="16" customHeight="1" s="151">
      <c r="A213" s="1" t="inlineStr">
        <is>
          <t>1202051</t>
        </is>
      </c>
      <c r="B213" s="2" t="inlineStr">
        <is>
          <t>6</t>
        </is>
      </c>
      <c r="C213" s="2" t="inlineStr">
        <is>
          <t>Rehabilitación superficie ocular (con injerto de mucosa)</t>
        </is>
      </c>
      <c r="D213" s="2" t="inlineStr">
        <is>
          <t>Cmay</t>
        </is>
      </c>
      <c r="E213" s="3" t="inlineStr">
        <is>
          <t>Cirugía Mayor</t>
        </is>
      </c>
    </row>
    <row r="214" ht="16" customHeight="1" s="151">
      <c r="A214" s="1" t="inlineStr">
        <is>
          <t>1202053</t>
        </is>
      </c>
      <c r="B214" s="2" t="inlineStr">
        <is>
          <t>5</t>
        </is>
      </c>
      <c r="C214" s="2" t="inlineStr">
        <is>
          <t>Iridectomía periférica y/u óptica, (proc. aut.)</t>
        </is>
      </c>
      <c r="D214" s="2" t="inlineStr">
        <is>
          <t>Cmay</t>
        </is>
      </c>
      <c r="E214" s="3" t="inlineStr">
        <is>
          <t>Cirugía Mayor</t>
        </is>
      </c>
    </row>
    <row r="215" ht="16" customHeight="1" s="151">
      <c r="A215" s="1" t="inlineStr">
        <is>
          <t>1202054</t>
        </is>
      </c>
      <c r="B215" s="2" t="inlineStr">
        <is>
          <t>7</t>
        </is>
      </c>
      <c r="C215" s="2" t="inlineStr">
        <is>
          <t>Tratamiento quirúrgico de lesión tumoral del iris o cuerpo ciliar</t>
        </is>
      </c>
      <c r="D215" s="2" t="inlineStr">
        <is>
          <t>Cmay</t>
        </is>
      </c>
      <c r="E215" s="3" t="inlineStr">
        <is>
          <t>Cirugía Mayor</t>
        </is>
      </c>
    </row>
    <row r="216" ht="16" customHeight="1" s="151">
      <c r="A216" s="1" t="inlineStr">
        <is>
          <t>1202055</t>
        </is>
      </c>
      <c r="B216" s="2" t="inlineStr">
        <is>
          <t>4</t>
        </is>
      </c>
      <c r="C216" s="2" t="inlineStr">
        <is>
          <t>Desgarro  con o sin desprendimiento, diatermo y/o crio y/o fotocoagulación (incluye endofotocoagulación intraquirúrgica )</t>
        </is>
      </c>
      <c r="D216" s="2" t="inlineStr">
        <is>
          <t>CMen</t>
        </is>
      </c>
      <c r="E216" s="3" t="inlineStr">
        <is>
          <t>Cirugía Menor</t>
        </is>
      </c>
    </row>
    <row r="217" ht="16" customHeight="1" s="151">
      <c r="A217" s="1" t="inlineStr">
        <is>
          <t>1202056</t>
        </is>
      </c>
      <c r="B217" s="2" t="inlineStr">
        <is>
          <t>8</t>
        </is>
      </c>
      <c r="C217" s="2" t="inlineStr">
        <is>
          <t>Desprendimiento retinal, cirugía convencional (exoimplantes)</t>
        </is>
      </c>
      <c r="D217" s="2" t="inlineStr">
        <is>
          <t>Cmay</t>
        </is>
      </c>
      <c r="E217" s="3" t="inlineStr">
        <is>
          <t>Cirugía Mayor</t>
        </is>
      </c>
    </row>
    <row r="218" ht="16" customHeight="1" s="151">
      <c r="A218" s="1" t="inlineStr">
        <is>
          <t>1202057</t>
        </is>
      </c>
      <c r="B218" s="2" t="inlineStr">
        <is>
          <t>4</t>
        </is>
      </c>
      <c r="C218" s="2" t="inlineStr">
        <is>
          <t>Retinopatía proliferativa, (diabética, hipertensiva, eales y otras) panfotocoagulación trat. completo   (incluye endofotocoagulación intraquirúrgica )</t>
        </is>
      </c>
      <c r="D218" s="2" t="inlineStr">
        <is>
          <t>CMen</t>
        </is>
      </c>
      <c r="E218" s="3" t="inlineStr">
        <is>
          <t>Cirugía Menor</t>
        </is>
      </c>
    </row>
    <row r="219" ht="16" customHeight="1" s="151">
      <c r="A219" s="1" t="inlineStr">
        <is>
          <t>1202058</t>
        </is>
      </c>
      <c r="B219" s="2" t="inlineStr">
        <is>
          <t>4</t>
        </is>
      </c>
      <c r="C219" s="2" t="inlineStr">
        <is>
          <t>Tumor retinal o coroidal, diatermo y/o crio y/o fotocoagulación de</t>
        </is>
      </c>
      <c r="D219" s="2" t="inlineStr">
        <is>
          <t>CMen</t>
        </is>
      </c>
      <c r="E219" s="3" t="inlineStr">
        <is>
          <t>Cirugía Menor</t>
        </is>
      </c>
    </row>
    <row r="220" ht="16" customHeight="1" s="151">
      <c r="A220" s="1" t="inlineStr">
        <is>
          <t>1202059</t>
        </is>
      </c>
      <c r="B220" s="2" t="inlineStr">
        <is>
          <t>4</t>
        </is>
      </c>
      <c r="C220" s="2" t="inlineStr">
        <is>
          <t>Vasculopatía retinal (excepto retinopatía proliferativa) diatermo y/o crio y/o fotocoagulación ( incluye endofotocoagulación intraquirùrgica)</t>
        </is>
      </c>
      <c r="D220" s="2" t="inlineStr">
        <is>
          <t>CMen</t>
        </is>
      </c>
      <c r="E220" s="3" t="inlineStr">
        <is>
          <t>Cirugía Menor</t>
        </is>
      </c>
    </row>
    <row r="221" ht="16" customHeight="1" s="151">
      <c r="A221" s="1" t="inlineStr">
        <is>
          <t>1202060</t>
        </is>
      </c>
      <c r="B221" s="2" t="inlineStr">
        <is>
          <t>8</t>
        </is>
      </c>
      <c r="C221" s="2" t="inlineStr">
        <is>
          <t>Vitrectomía c/retinotomía (c/s inyección de gas o silicona)</t>
        </is>
      </c>
      <c r="D221" s="2" t="inlineStr">
        <is>
          <t>Cmay</t>
        </is>
      </c>
      <c r="E221" s="3" t="inlineStr">
        <is>
          <t>Cirugía Mayor</t>
        </is>
      </c>
    </row>
    <row r="222" ht="16" customHeight="1" s="151">
      <c r="A222" s="1" t="inlineStr">
        <is>
          <t>1202061</t>
        </is>
      </c>
      <c r="B222" s="2" t="inlineStr">
        <is>
          <t>8</t>
        </is>
      </c>
      <c r="C222" s="2" t="inlineStr">
        <is>
          <t>Vitrectomía con inyección de gas o silicona</t>
        </is>
      </c>
      <c r="D222" s="2" t="inlineStr">
        <is>
          <t>Cmay</t>
        </is>
      </c>
      <c r="E222" s="3" t="inlineStr">
        <is>
          <t>Cirugía Mayor</t>
        </is>
      </c>
    </row>
    <row r="223" ht="16" customHeight="1" s="151">
      <c r="A223" s="1" t="inlineStr">
        <is>
          <t>1202062</t>
        </is>
      </c>
      <c r="B223" s="2" t="inlineStr">
        <is>
          <t>8</t>
        </is>
      </c>
      <c r="C223" s="2" t="inlineStr">
        <is>
          <t>Vitrectomía con vitreófago (proc. aut)</t>
        </is>
      </c>
      <c r="D223" s="2" t="inlineStr">
        <is>
          <t>Cmay</t>
        </is>
      </c>
      <c r="E223" s="3" t="inlineStr">
        <is>
          <t>Cirugía Mayor</t>
        </is>
      </c>
    </row>
    <row r="224" ht="16" customHeight="1" s="151">
      <c r="A224" s="1" t="inlineStr">
        <is>
          <t>1202063</t>
        </is>
      </c>
      <c r="B224" s="2" t="inlineStr">
        <is>
          <t>7</t>
        </is>
      </c>
      <c r="C224" s="2" t="inlineStr">
        <is>
          <t>Facoéresis intracapsular o catarata secundaria o discisión y aspiración de masas</t>
        </is>
      </c>
      <c r="D224" s="2" t="inlineStr">
        <is>
          <t>Cmay</t>
        </is>
      </c>
      <c r="E224" s="3" t="inlineStr">
        <is>
          <t>Cirugía Mayor</t>
        </is>
      </c>
    </row>
    <row r="225" ht="16" customHeight="1" s="151">
      <c r="A225" s="1" t="inlineStr">
        <is>
          <t>1202064</t>
        </is>
      </c>
      <c r="B225" s="2" t="inlineStr">
        <is>
          <t>8</t>
        </is>
      </c>
      <c r="C225" s="2" t="inlineStr">
        <is>
          <t>Facoéresis extracapsular con implante de lente intraocular (no incluye el valor de la prótesis)</t>
        </is>
      </c>
      <c r="D225" s="2" t="inlineStr">
        <is>
          <t>Cmay</t>
        </is>
      </c>
      <c r="E225" s="3" t="inlineStr">
        <is>
          <t>Cirugía Mayor</t>
        </is>
      </c>
    </row>
    <row r="226" ht="16" customHeight="1" s="151">
      <c r="A226" s="1" t="inlineStr">
        <is>
          <t>1202065</t>
        </is>
      </c>
      <c r="B226" s="2" t="inlineStr">
        <is>
          <t>10</t>
        </is>
      </c>
      <c r="C226" s="2" t="inlineStr">
        <is>
          <t>Implante secundario de lente intraocular</t>
        </is>
      </c>
      <c r="D226" s="2" t="inlineStr">
        <is>
          <t>Cmay</t>
        </is>
      </c>
      <c r="E226" s="3" t="inlineStr">
        <is>
          <t>Cirugía Mayor</t>
        </is>
      </c>
    </row>
    <row r="227" ht="16" customHeight="1" s="151">
      <c r="A227" s="1" t="inlineStr">
        <is>
          <t>1202066</t>
        </is>
      </c>
      <c r="B227" s="2" t="inlineStr">
        <is>
          <t>5</t>
        </is>
      </c>
      <c r="C227" s="2" t="inlineStr">
        <is>
          <t>Aspiración esferular c/s capsulotomía</t>
        </is>
      </c>
      <c r="D227" s="2" t="inlineStr">
        <is>
          <t>Cmay</t>
        </is>
      </c>
      <c r="E227" s="3" t="inlineStr">
        <is>
          <t>Cirugía Mayor</t>
        </is>
      </c>
    </row>
    <row r="228" ht="16" customHeight="1" s="151">
      <c r="A228" s="1" t="inlineStr">
        <is>
          <t>1202067</t>
        </is>
      </c>
      <c r="B228" s="2" t="inlineStr">
        <is>
          <t>4</t>
        </is>
      </c>
      <c r="C228" s="2" t="inlineStr">
        <is>
          <t>Discisión de cápsula posterior</t>
        </is>
      </c>
      <c r="D228" s="2" t="inlineStr">
        <is>
          <t>CMen</t>
        </is>
      </c>
      <c r="E228" s="3" t="inlineStr">
        <is>
          <t>Cirugía Menor</t>
        </is>
      </c>
    </row>
    <row r="229" ht="16" customHeight="1" s="151">
      <c r="A229" s="1" t="inlineStr">
        <is>
          <t>1202068</t>
        </is>
      </c>
      <c r="B229" s="2" t="inlineStr">
        <is>
          <t>4</t>
        </is>
      </c>
      <c r="C229" s="2" t="inlineStr">
        <is>
          <t>Iridotomía</t>
        </is>
      </c>
      <c r="D229" s="2" t="inlineStr">
        <is>
          <t>CMen</t>
        </is>
      </c>
      <c r="E229" s="3" t="inlineStr">
        <is>
          <t>Cirugía Menor</t>
        </is>
      </c>
    </row>
    <row r="230" ht="16" customHeight="1" s="151">
      <c r="A230" s="1" t="inlineStr">
        <is>
          <t>1202069</t>
        </is>
      </c>
      <c r="B230" s="2" t="inlineStr">
        <is>
          <t>4</t>
        </is>
      </c>
      <c r="C230" s="2" t="inlineStr">
        <is>
          <t>Trabeculoplastía o iridoplastía</t>
        </is>
      </c>
      <c r="D230" s="2" t="inlineStr">
        <is>
          <t>CMen</t>
        </is>
      </c>
      <c r="E230" s="3" t="inlineStr">
        <is>
          <t>Cirugía Menor</t>
        </is>
      </c>
    </row>
    <row r="231" ht="16" customHeight="1" s="151">
      <c r="A231" s="1" t="inlineStr">
        <is>
          <t>1202070</t>
        </is>
      </c>
      <c r="B231" s="2" t="inlineStr">
        <is>
          <t>6</t>
        </is>
      </c>
      <c r="C231" s="2" t="inlineStr">
        <is>
          <t>Sinequiotomía (proc. aut.)</t>
        </is>
      </c>
      <c r="D231" s="2" t="inlineStr">
        <is>
          <t>Cmay</t>
        </is>
      </c>
      <c r="E231" s="3" t="inlineStr">
        <is>
          <t>Cirugía Mayor</t>
        </is>
      </c>
    </row>
    <row r="232" ht="16" customHeight="1" s="151">
      <c r="A232" s="1" t="inlineStr">
        <is>
          <t>1202071</t>
        </is>
      </c>
      <c r="B232" s="2" t="inlineStr">
        <is>
          <t>3</t>
        </is>
      </c>
      <c r="C232" s="2" t="inlineStr">
        <is>
          <t>Herida o dehiscencia de sutura de párpado, reparación</t>
        </is>
      </c>
      <c r="D232" s="2" t="inlineStr">
        <is>
          <t>CMen</t>
        </is>
      </c>
      <c r="E232" s="3" t="inlineStr">
        <is>
          <t>Cirugía Menor</t>
        </is>
      </c>
    </row>
    <row r="233" ht="16" customHeight="1" s="151">
      <c r="A233" s="1" t="inlineStr">
        <is>
          <t>1202072</t>
        </is>
      </c>
      <c r="B233" s="2" t="inlineStr">
        <is>
          <t>6</t>
        </is>
      </c>
      <c r="C233" s="2" t="inlineStr">
        <is>
          <t>Reconstrucción de paredes orbitarias</t>
        </is>
      </c>
      <c r="D233" s="2" t="inlineStr">
        <is>
          <t>Cmay</t>
        </is>
      </c>
      <c r="E233" s="3" t="inlineStr">
        <is>
          <t>Cirugía Mayor</t>
        </is>
      </c>
    </row>
    <row r="234" ht="16" customHeight="1" s="151">
      <c r="A234" s="1" t="inlineStr">
        <is>
          <t>1202073</t>
        </is>
      </c>
      <c r="B234" s="2" t="inlineStr">
        <is>
          <t>10</t>
        </is>
      </c>
      <c r="C234" s="2" t="inlineStr">
        <is>
          <t>Operación triple (injerto, facoéresis e implante de lente intraocular) (no incluye valor de la prótesis)</t>
        </is>
      </c>
      <c r="D234" s="2" t="inlineStr">
        <is>
          <t>Cmay</t>
        </is>
      </c>
      <c r="E234" s="3" t="inlineStr">
        <is>
          <t>Cirugía Mayor</t>
        </is>
      </c>
    </row>
    <row r="235" ht="16" customHeight="1" s="151">
      <c r="A235" s="1" t="inlineStr">
        <is>
          <t>1202074</t>
        </is>
      </c>
      <c r="B235" s="2" t="inlineStr">
        <is>
          <t>7</t>
        </is>
      </c>
      <c r="C235" s="2" t="inlineStr">
        <is>
          <t>Hernia de iris y/o fístulas, reparación de</t>
        </is>
      </c>
      <c r="D235" s="2" t="inlineStr">
        <is>
          <t>Cmay</t>
        </is>
      </c>
      <c r="E235" s="3" t="inlineStr">
        <is>
          <t>Cirugía Mayor</t>
        </is>
      </c>
    </row>
    <row r="236" ht="16" customHeight="1" s="151">
      <c r="A236" s="1" t="inlineStr">
        <is>
          <t>1202075</t>
        </is>
      </c>
      <c r="B236" s="2" t="inlineStr">
        <is>
          <t>7</t>
        </is>
      </c>
      <c r="C236" s="2" t="inlineStr">
        <is>
          <t>Retinopexia neumática</t>
        </is>
      </c>
      <c r="D236" s="2" t="inlineStr">
        <is>
          <t>Cmay</t>
        </is>
      </c>
      <c r="E236" s="3" t="inlineStr">
        <is>
          <t>Cirugía Mayor</t>
        </is>
      </c>
    </row>
    <row r="237" ht="16" customHeight="1" s="151">
      <c r="A237" s="1" t="inlineStr">
        <is>
          <t>1202076</t>
        </is>
      </c>
      <c r="B237" s="2" t="inlineStr">
        <is>
          <t>8</t>
        </is>
      </c>
      <c r="C237" s="2" t="inlineStr">
        <is>
          <t>Extracción o corrección de desplazamiento de lente intraocular</t>
        </is>
      </c>
      <c r="D237" s="2" t="inlineStr">
        <is>
          <t>Cmay</t>
        </is>
      </c>
      <c r="E237" s="3" t="inlineStr">
        <is>
          <t>Cirugía Mayor</t>
        </is>
      </c>
    </row>
    <row r="238" ht="16" customHeight="1" s="151">
      <c r="A238" s="1" t="inlineStr">
        <is>
          <t>1202077</t>
        </is>
      </c>
      <c r="B238" s="2" t="inlineStr">
        <is>
          <t>6</t>
        </is>
      </c>
      <c r="C238" s="2" t="inlineStr">
        <is>
          <t>Desprendimiento coroídeo o hemorragia coroídea, trat. quir.</t>
        </is>
      </c>
      <c r="D238" s="2" t="inlineStr">
        <is>
          <t>Cmay</t>
        </is>
      </c>
      <c r="E238" s="3" t="inlineStr">
        <is>
          <t>Cirugía Mayor</t>
        </is>
      </c>
    </row>
    <row r="239" ht="16" customHeight="1" s="151">
      <c r="A239" s="1" t="inlineStr">
        <is>
          <t>1202078</t>
        </is>
      </c>
      <c r="B239" s="2" t="inlineStr">
        <is>
          <t>5</t>
        </is>
      </c>
      <c r="C239" s="2" t="inlineStr">
        <is>
          <t>Cirugía fotorrefractiva o fototerapéutica de córnea, cualquier técnica</t>
        </is>
      </c>
      <c r="D239" s="2" t="inlineStr">
        <is>
          <t>Cmay</t>
        </is>
      </c>
      <c r="E239" s="3" t="inlineStr">
        <is>
          <t>Cirugía Mayor</t>
        </is>
      </c>
    </row>
    <row r="240" ht="16" customHeight="1" s="151">
      <c r="A240" s="1" t="inlineStr">
        <is>
          <t>1202079</t>
        </is>
      </c>
      <c r="B240" s="2" t="inlineStr">
        <is>
          <t>8</t>
        </is>
      </c>
      <c r="C240" s="2" t="inlineStr">
        <is>
          <t>Facoemulsificación</t>
        </is>
      </c>
      <c r="D240" s="2" t="inlineStr">
        <is>
          <t>Cmay</t>
        </is>
      </c>
      <c r="E240" s="3" t="inlineStr">
        <is>
          <t>Cirugía Mayor</t>
        </is>
      </c>
    </row>
    <row r="241" ht="16" customHeight="1" s="151">
      <c r="A241" s="1" t="inlineStr">
        <is>
          <t>1202080</t>
        </is>
      </c>
      <c r="B241" s="2" t="inlineStr">
        <is>
          <t>6</t>
        </is>
      </c>
      <c r="C241" s="2" t="inlineStr">
        <is>
          <t>Tratamiento quirúrgico ptosis de la ceja</t>
        </is>
      </c>
      <c r="D241" s="2" t="inlineStr">
        <is>
          <t>Cmay</t>
        </is>
      </c>
      <c r="E241" s="3" t="inlineStr">
        <is>
          <t>Cirugía Mayor</t>
        </is>
      </c>
    </row>
    <row r="242" ht="16" customHeight="1" s="151">
      <c r="A242" s="1" t="inlineStr">
        <is>
          <t>1202081</t>
        </is>
      </c>
      <c r="B242" s="2" t="inlineStr">
        <is>
          <t>8</t>
        </is>
      </c>
      <c r="C242" s="2" t="inlineStr">
        <is>
          <t>Evisceración del globo ocular</t>
        </is>
      </c>
      <c r="D242" s="2" t="inlineStr">
        <is>
          <t>Cmay</t>
        </is>
      </c>
      <c r="E242" s="3" t="inlineStr">
        <is>
          <t>Cirugía Mayor</t>
        </is>
      </c>
    </row>
    <row r="243" ht="16" customHeight="1" s="151">
      <c r="A243" s="1" t="inlineStr">
        <is>
          <t>1202083</t>
        </is>
      </c>
      <c r="B243" s="2" t="inlineStr">
        <is>
          <t>8</t>
        </is>
      </c>
      <c r="C243" s="2" t="inlineStr">
        <is>
          <t>Tratamiento Trasplante de Córnea</t>
        </is>
      </c>
      <c r="D243" s="2" t="inlineStr">
        <is>
          <t>Cmay</t>
        </is>
      </c>
      <c r="E243" s="3" t="inlineStr">
        <is>
          <t>Cirugía Mayor</t>
        </is>
      </c>
    </row>
    <row r="244" ht="16" customHeight="1" s="151">
      <c r="A244" s="1" t="inlineStr">
        <is>
          <t>1202164</t>
        </is>
      </c>
      <c r="B244" s="2" t="inlineStr">
        <is>
          <t>10</t>
        </is>
      </c>
      <c r="C244" s="2" t="inlineStr">
        <is>
          <t>Facoéresis extracapsular con implante de lente intraocular (incluye el valor de la prótesis)</t>
        </is>
      </c>
      <c r="D244" s="2" t="inlineStr">
        <is>
          <t>Cmay</t>
        </is>
      </c>
      <c r="E244" s="3" t="inlineStr">
        <is>
          <t>Cirugía Mayor</t>
        </is>
      </c>
    </row>
    <row r="245" ht="16" customHeight="1" s="151">
      <c r="A245" s="1" t="inlineStr">
        <is>
          <t>1202173</t>
        </is>
      </c>
      <c r="B245" s="2" t="inlineStr">
        <is>
          <t>10</t>
        </is>
      </c>
      <c r="C245" s="2" t="inlineStr">
        <is>
          <t>Operación triple (injerto, facoéresis e implante de lente intraocular) (incluye valor de la prótesis)</t>
        </is>
      </c>
      <c r="D245" s="2" t="inlineStr">
        <is>
          <t>Cmay</t>
        </is>
      </c>
      <c r="E245" s="3" t="inlineStr">
        <is>
          <t>Cirugía Mayor</t>
        </is>
      </c>
    </row>
    <row r="246" ht="16" customHeight="1" s="151">
      <c r="A246" s="1" t="inlineStr">
        <is>
          <t>1301001</t>
        </is>
      </c>
      <c r="B246" s="2" t="n"/>
      <c r="C246" s="2" t="inlineStr">
        <is>
          <t>Electrogustometría</t>
        </is>
      </c>
      <c r="D246" s="2" t="inlineStr">
        <is>
          <t>Proc</t>
        </is>
      </c>
      <c r="E246" s="3" t="inlineStr">
        <is>
          <t>Procedimiento</t>
        </is>
      </c>
    </row>
    <row r="247" ht="16" customHeight="1" s="151">
      <c r="A247" s="1" t="inlineStr">
        <is>
          <t>1301002</t>
        </is>
      </c>
      <c r="B247" s="2" t="n"/>
      <c r="C247" s="2" t="inlineStr">
        <is>
          <t>Rinomanometría c/s vasocontrictor</t>
        </is>
      </c>
      <c r="D247" s="2" t="inlineStr">
        <is>
          <t>Proc</t>
        </is>
      </c>
      <c r="E247" s="3" t="inlineStr">
        <is>
          <t>Procedimiento</t>
        </is>
      </c>
    </row>
    <row r="248" ht="16" customHeight="1" s="151">
      <c r="A248" s="1" t="inlineStr">
        <is>
          <t>1301003</t>
        </is>
      </c>
      <c r="B248" s="2" t="inlineStr">
        <is>
          <t>4</t>
        </is>
      </c>
      <c r="C248" s="2" t="inlineStr">
        <is>
          <t>Nasofaringolaringofibroscopia</t>
        </is>
      </c>
      <c r="D248" s="2" t="inlineStr">
        <is>
          <t>Proc</t>
        </is>
      </c>
      <c r="E248" s="3" t="inlineStr">
        <is>
          <t>Procedimiento</t>
        </is>
      </c>
    </row>
    <row r="249" ht="16" customHeight="1" s="151">
      <c r="A249" s="1" t="inlineStr">
        <is>
          <t>1301005</t>
        </is>
      </c>
      <c r="B249" s="2" t="n"/>
      <c r="C249" s="2" t="inlineStr">
        <is>
          <t>Sinusoscopia de cada seno maxilar por punción, c/s biopsia, c/s toma de muestras</t>
        </is>
      </c>
      <c r="D249" s="2" t="inlineStr">
        <is>
          <t>Proc</t>
        </is>
      </c>
      <c r="E249" s="3" t="inlineStr">
        <is>
          <t>Procedimiento</t>
        </is>
      </c>
    </row>
    <row r="250" ht="16" customHeight="1" s="151">
      <c r="A250" s="1" t="inlineStr">
        <is>
          <t>1301006</t>
        </is>
      </c>
      <c r="B250" s="2" t="n"/>
      <c r="C250" s="2" t="inlineStr">
        <is>
          <t>Laringoscopia y/o traqueoscopia directa c/s toma de muestra, c/s biopsia. Con microscopio</t>
        </is>
      </c>
      <c r="D250" s="2" t="inlineStr">
        <is>
          <t>Proc</t>
        </is>
      </c>
      <c r="E250" s="3" t="inlineStr">
        <is>
          <t>Procedimiento</t>
        </is>
      </c>
    </row>
    <row r="251" ht="16" customHeight="1" s="151">
      <c r="A251" s="1" t="inlineStr">
        <is>
          <t>1301007</t>
        </is>
      </c>
      <c r="B251" s="2" t="n"/>
      <c r="C251" s="2" t="inlineStr">
        <is>
          <t>Laringoscopia y/o traqueoscopia directa c/s toma de muestra, c/s biopsia. Sin microscopio</t>
        </is>
      </c>
      <c r="D251" s="2" t="inlineStr">
        <is>
          <t>Proc</t>
        </is>
      </c>
      <c r="E251" s="3" t="inlineStr">
        <is>
          <t>Procedimiento</t>
        </is>
      </c>
    </row>
    <row r="252" ht="16" customHeight="1" s="151">
      <c r="A252" s="1" t="inlineStr">
        <is>
          <t>1301008</t>
        </is>
      </c>
      <c r="B252" s="2" t="n"/>
      <c r="C252" s="2" t="inlineStr">
        <is>
          <t>Audiometría niños</t>
        </is>
      </c>
      <c r="D252" s="2" t="inlineStr">
        <is>
          <t>Proc</t>
        </is>
      </c>
      <c r="E252" s="3" t="inlineStr">
        <is>
          <t>Procedimiento</t>
        </is>
      </c>
    </row>
    <row r="253" ht="16" customHeight="1" s="151">
      <c r="A253" s="1" t="inlineStr">
        <is>
          <t>1301009</t>
        </is>
      </c>
      <c r="B253" s="2" t="n"/>
      <c r="C253" s="2" t="inlineStr">
        <is>
          <t>Impedanciometría</t>
        </is>
      </c>
      <c r="D253" s="2" t="inlineStr">
        <is>
          <t>Proc</t>
        </is>
      </c>
      <c r="E253" s="3" t="inlineStr">
        <is>
          <t>Procedimiento</t>
        </is>
      </c>
    </row>
    <row r="254" ht="16" customHeight="1" s="151">
      <c r="A254" s="1" t="inlineStr">
        <is>
          <t>1301010</t>
        </is>
      </c>
      <c r="B254" s="2" t="n"/>
      <c r="C254" s="2" t="inlineStr">
        <is>
          <t>Calibración de audífonos o implantes</t>
        </is>
      </c>
      <c r="D254" s="2" t="inlineStr">
        <is>
          <t>Proc</t>
        </is>
      </c>
      <c r="E254" s="3" t="inlineStr">
        <is>
          <t>Procedimiento</t>
        </is>
      </c>
    </row>
    <row r="255" ht="16" customHeight="1" s="151">
      <c r="A255" s="1" t="inlineStr">
        <is>
          <t>1301011</t>
        </is>
      </c>
      <c r="B255" s="2" t="n"/>
      <c r="C255" s="2" t="inlineStr">
        <is>
          <t>Potenciales evocados auditivos de tronco cerebral clínicos</t>
        </is>
      </c>
      <c r="D255" s="2" t="inlineStr">
        <is>
          <t>Proc</t>
        </is>
      </c>
      <c r="E255" s="3" t="inlineStr">
        <is>
          <t>Procedimiento</t>
        </is>
      </c>
    </row>
    <row r="256" ht="16" customHeight="1" s="151">
      <c r="A256" s="1" t="inlineStr">
        <is>
          <t>1301012</t>
        </is>
      </c>
      <c r="B256" s="2" t="n"/>
      <c r="C256" s="2" t="inlineStr">
        <is>
          <t>Cócleovestibular con electronistagmografía</t>
        </is>
      </c>
      <c r="D256" s="2" t="inlineStr">
        <is>
          <t>Proc</t>
        </is>
      </c>
      <c r="E256" s="3" t="inlineStr">
        <is>
          <t>Procedimiento</t>
        </is>
      </c>
    </row>
    <row r="257" ht="16" customHeight="1" s="151">
      <c r="A257" s="1" t="inlineStr">
        <is>
          <t>1301015</t>
        </is>
      </c>
      <c r="B257" s="2" t="n"/>
      <c r="C257" s="2" t="inlineStr">
        <is>
          <t>Electronistagmografía o Videoelectronistagmografía c/s nistag.de posición</t>
        </is>
      </c>
      <c r="D257" s="2" t="inlineStr">
        <is>
          <t>Proc</t>
        </is>
      </c>
      <c r="E257" s="3" t="inlineStr">
        <is>
          <t>Procedimiento</t>
        </is>
      </c>
    </row>
    <row r="258" ht="16" customHeight="1" s="151">
      <c r="A258" s="1" t="inlineStr">
        <is>
          <t>1301016</t>
        </is>
      </c>
      <c r="B258" s="2" t="n"/>
      <c r="C258" s="2" t="inlineStr">
        <is>
          <t>Función tubaria</t>
        </is>
      </c>
      <c r="D258" s="2" t="inlineStr">
        <is>
          <t>Proc</t>
        </is>
      </c>
      <c r="E258" s="3" t="inlineStr">
        <is>
          <t>Procedimiento</t>
        </is>
      </c>
    </row>
    <row r="259" ht="16" customHeight="1" s="151">
      <c r="A259" s="1" t="inlineStr">
        <is>
          <t>1301017</t>
        </is>
      </c>
      <c r="B259" s="2" t="n"/>
      <c r="C259" s="2" t="inlineStr">
        <is>
          <t>Prueba calórica o prueba calórica mínima (proc.aut.)</t>
        </is>
      </c>
      <c r="D259" s="2" t="inlineStr">
        <is>
          <t>Proc</t>
        </is>
      </c>
      <c r="E259" s="3" t="inlineStr">
        <is>
          <t>Procedimiento</t>
        </is>
      </c>
    </row>
    <row r="260" ht="16" customHeight="1" s="151">
      <c r="A260" s="1" t="inlineStr">
        <is>
          <t>1301019</t>
        </is>
      </c>
      <c r="B260" s="2" t="n"/>
      <c r="C260" s="2" t="inlineStr">
        <is>
          <t>Test de glicerol (con 3 audiometrías)</t>
        </is>
      </c>
      <c r="D260" s="2" t="inlineStr">
        <is>
          <t>Proc</t>
        </is>
      </c>
      <c r="E260" s="3" t="inlineStr">
        <is>
          <t>Procedimiento</t>
        </is>
      </c>
    </row>
    <row r="261" ht="16" customHeight="1" s="151">
      <c r="A261" s="1" t="inlineStr">
        <is>
          <t>1301020</t>
        </is>
      </c>
      <c r="B261" s="2" t="n"/>
      <c r="C261" s="2" t="inlineStr">
        <is>
          <t>Examen funcional de VIII par</t>
        </is>
      </c>
      <c r="D261" s="2" t="inlineStr">
        <is>
          <t>Proc</t>
        </is>
      </c>
      <c r="E261" s="3" t="inlineStr">
        <is>
          <t>Procedimiento</t>
        </is>
      </c>
    </row>
    <row r="262" ht="16" customHeight="1" s="151">
      <c r="A262" s="1" t="inlineStr">
        <is>
          <t>1301021</t>
        </is>
      </c>
      <c r="B262" s="2" t="n"/>
      <c r="C262" s="2" t="inlineStr">
        <is>
          <t>Audiometría adultos</t>
        </is>
      </c>
      <c r="D262" s="2" t="inlineStr">
        <is>
          <t>Proc</t>
        </is>
      </c>
      <c r="E262" s="3" t="inlineStr">
        <is>
          <t>Procedimiento</t>
        </is>
      </c>
    </row>
    <row r="263" ht="16" customHeight="1" s="151">
      <c r="A263" s="1" t="inlineStr">
        <is>
          <t>1301024</t>
        </is>
      </c>
      <c r="B263" s="2" t="n"/>
      <c r="C263" s="2" t="inlineStr">
        <is>
          <t>Senos perinasales, punción evacuadora c/s toma de muestras, c/s inyección de medicamentos; cada punción</t>
        </is>
      </c>
      <c r="D263" s="2" t="inlineStr">
        <is>
          <t>Proc</t>
        </is>
      </c>
      <c r="E263" s="3" t="inlineStr">
        <is>
          <t>Procedimiento</t>
        </is>
      </c>
    </row>
    <row r="264" ht="16" customHeight="1" s="151">
      <c r="A264" s="1" t="inlineStr">
        <is>
          <t>1301025</t>
        </is>
      </c>
      <c r="B264" s="2" t="inlineStr">
        <is>
          <t>2</t>
        </is>
      </c>
      <c r="C264" s="2" t="inlineStr">
        <is>
          <t>Taponamiento nasal anterior (proc. aut.)</t>
        </is>
      </c>
      <c r="D264" s="2" t="inlineStr">
        <is>
          <t>Proc</t>
        </is>
      </c>
      <c r="E264" s="3" t="inlineStr">
        <is>
          <t>Procedimiento</t>
        </is>
      </c>
    </row>
    <row r="265" ht="16" customHeight="1" s="151">
      <c r="A265" s="1" t="inlineStr">
        <is>
          <t>1301026</t>
        </is>
      </c>
      <c r="B265" s="2" t="inlineStr">
        <is>
          <t>2</t>
        </is>
      </c>
      <c r="C265" s="2" t="inlineStr">
        <is>
          <t>Taponamiento nasal posterior</t>
        </is>
      </c>
      <c r="D265" s="2" t="inlineStr">
        <is>
          <t>Proc</t>
        </is>
      </c>
      <c r="E265" s="3" t="inlineStr">
        <is>
          <t>Procedimiento</t>
        </is>
      </c>
    </row>
    <row r="266" ht="16" customHeight="1" s="151">
      <c r="A266" s="1" t="inlineStr">
        <is>
          <t>1301027</t>
        </is>
      </c>
      <c r="B266" s="2" t="n"/>
      <c r="C266" s="2" t="inlineStr">
        <is>
          <t>Vaciamiento cavid. Perinasales (proetz y sim.) (10 sesiones)</t>
        </is>
      </c>
      <c r="D266" s="2" t="inlineStr">
        <is>
          <t>Proc</t>
        </is>
      </c>
      <c r="E266" s="3" t="inlineStr">
        <is>
          <t>Procedimiento</t>
        </is>
      </c>
    </row>
    <row r="267" ht="16" customHeight="1" s="151">
      <c r="A267" s="1" t="inlineStr">
        <is>
          <t>1301028</t>
        </is>
      </c>
      <c r="B267" s="2" t="inlineStr">
        <is>
          <t>1</t>
        </is>
      </c>
      <c r="C267" s="2" t="inlineStr">
        <is>
          <t>Cauterización uni o bilateral de vasos en fosa nasal anterior</t>
        </is>
      </c>
      <c r="D267" s="2" t="inlineStr">
        <is>
          <t>Proc</t>
        </is>
      </c>
      <c r="E267" s="3" t="inlineStr">
        <is>
          <t>Procedimiento</t>
        </is>
      </c>
    </row>
    <row r="268" ht="16" customHeight="1" s="151">
      <c r="A268" s="1" t="inlineStr">
        <is>
          <t>1301029</t>
        </is>
      </c>
      <c r="B268" s="2" t="inlineStr">
        <is>
          <t>2</t>
        </is>
      </c>
      <c r="C268" s="2" t="inlineStr">
        <is>
          <t>Cuerpo extraño en fosas nasales, extracción de: - En adultos</t>
        </is>
      </c>
      <c r="D268" s="2" t="inlineStr">
        <is>
          <t>Proc</t>
        </is>
      </c>
      <c r="E268" s="3" t="inlineStr">
        <is>
          <t>Procedimiento</t>
        </is>
      </c>
    </row>
    <row r="269" ht="16" customHeight="1" s="151">
      <c r="A269" s="1" t="inlineStr">
        <is>
          <t>1301030</t>
        </is>
      </c>
      <c r="B269" s="2" t="inlineStr">
        <is>
          <t>2</t>
        </is>
      </c>
      <c r="C269" s="2" t="inlineStr">
        <is>
          <t>Cuerpo extraño en fosas nasales, extracción de: - En niños</t>
        </is>
      </c>
      <c r="D269" s="2" t="inlineStr">
        <is>
          <t>Proc</t>
        </is>
      </c>
      <c r="E269" s="3" t="inlineStr">
        <is>
          <t>Procedimiento</t>
        </is>
      </c>
    </row>
    <row r="270" ht="16" customHeight="1" s="151">
      <c r="A270" s="1" t="inlineStr">
        <is>
          <t>1301035</t>
        </is>
      </c>
      <c r="B270" s="2" t="inlineStr">
        <is>
          <t>3</t>
        </is>
      </c>
      <c r="C270" s="2" t="inlineStr">
        <is>
          <t>Cuerpo extraño en laringe y/o tráquea, extracción de (incluye la endoscopia con tubo rígido) - En adultos</t>
        </is>
      </c>
      <c r="D270" s="2" t="inlineStr">
        <is>
          <t>Proc</t>
        </is>
      </c>
      <c r="E270" s="3" t="inlineStr">
        <is>
          <t>Procedimiento</t>
        </is>
      </c>
    </row>
    <row r="271" ht="16" customHeight="1" s="151">
      <c r="A271" s="1" t="inlineStr">
        <is>
          <t>1301036</t>
        </is>
      </c>
      <c r="B271" s="2" t="inlineStr">
        <is>
          <t>3</t>
        </is>
      </c>
      <c r="C271" s="2" t="inlineStr">
        <is>
          <t>Cuerpo extraño en laringe y/o tráquea, extracción de (incluye la endoscopia con tubo rígido) - En niños</t>
        </is>
      </c>
      <c r="D271" s="2" t="inlineStr">
        <is>
          <t>Proc</t>
        </is>
      </c>
      <c r="E271" s="3" t="inlineStr">
        <is>
          <t>Procedimiento</t>
        </is>
      </c>
    </row>
    <row r="272" ht="16" customHeight="1" s="151">
      <c r="A272" s="1" t="inlineStr">
        <is>
          <t>1301037</t>
        </is>
      </c>
      <c r="B272" s="2" t="inlineStr">
        <is>
          <t>2</t>
        </is>
      </c>
      <c r="C272" s="2" t="inlineStr">
        <is>
          <t>Dilatación esofágica por sesión</t>
        </is>
      </c>
      <c r="D272" s="2" t="inlineStr">
        <is>
          <t>Proc</t>
        </is>
      </c>
      <c r="E272" s="3" t="inlineStr">
        <is>
          <t>Procedimiento</t>
        </is>
      </c>
    </row>
    <row r="273" ht="16" customHeight="1" s="151">
      <c r="A273" s="1" t="inlineStr">
        <is>
          <t>1301038</t>
        </is>
      </c>
      <c r="B273" s="2" t="inlineStr">
        <is>
          <t>2</t>
        </is>
      </c>
      <c r="C273" s="2" t="inlineStr">
        <is>
          <t>Cuerpo extraño extracción en hipofaringe y/o esófago (por tubo rígido) - En niños</t>
        </is>
      </c>
      <c r="D273" s="2" t="inlineStr">
        <is>
          <t>Proc</t>
        </is>
      </c>
      <c r="E273" s="3" t="inlineStr">
        <is>
          <t>Procedimiento</t>
        </is>
      </c>
    </row>
    <row r="274" ht="16" customHeight="1" s="151">
      <c r="A274" s="1" t="inlineStr">
        <is>
          <t>1301039</t>
        </is>
      </c>
      <c r="B274" s="2" t="inlineStr">
        <is>
          <t>2</t>
        </is>
      </c>
      <c r="C274" s="2" t="inlineStr">
        <is>
          <t>Cuerpo extraño extracción en hipofaringe y/o esófago (por tubo rígido) - En adultos</t>
        </is>
      </c>
      <c r="D274" s="2" t="inlineStr">
        <is>
          <t>Proc</t>
        </is>
      </c>
      <c r="E274" s="3" t="inlineStr">
        <is>
          <t>Procedimiento</t>
        </is>
      </c>
    </row>
    <row r="275" ht="16" customHeight="1" s="151">
      <c r="A275" s="1" t="inlineStr">
        <is>
          <t>1301040</t>
        </is>
      </c>
      <c r="B275" s="2" t="inlineStr">
        <is>
          <t>2</t>
        </is>
      </c>
      <c r="C275" s="2" t="inlineStr">
        <is>
          <t>Lesiones del oído externo y/o medio, curación bajo microscopio (proc. aut.)</t>
        </is>
      </c>
      <c r="D275" s="2" t="inlineStr">
        <is>
          <t>Proc</t>
        </is>
      </c>
      <c r="E275" s="3" t="inlineStr">
        <is>
          <t>Procedimiento</t>
        </is>
      </c>
    </row>
    <row r="276" ht="16" customHeight="1" s="151">
      <c r="A276" s="1" t="inlineStr">
        <is>
          <t>1301041</t>
        </is>
      </c>
      <c r="B276" s="2" t="n"/>
      <c r="C276" s="2" t="inlineStr">
        <is>
          <t>Trompa de Eustaquio, insuflación instrumental (proc. aut.)</t>
        </is>
      </c>
      <c r="D276" s="2" t="inlineStr">
        <is>
          <t>Proc</t>
        </is>
      </c>
      <c r="E276" s="3" t="inlineStr">
        <is>
          <t>Procedimiento</t>
        </is>
      </c>
    </row>
    <row r="277" ht="16" customHeight="1" s="151">
      <c r="A277" s="1" t="inlineStr">
        <is>
          <t>1301042</t>
        </is>
      </c>
      <c r="B277" s="2" t="inlineStr">
        <is>
          <t>2</t>
        </is>
      </c>
      <c r="C277" s="2" t="inlineStr">
        <is>
          <t>Cuerpo extraño en oído, extracción de (incluye tapón de cerumen) (proc. aut.) - En adultos</t>
        </is>
      </c>
      <c r="D277" s="2" t="inlineStr">
        <is>
          <t>Proc</t>
        </is>
      </c>
      <c r="E277" s="3" t="inlineStr">
        <is>
          <t>Procedimiento</t>
        </is>
      </c>
    </row>
    <row r="278" ht="16" customHeight="1" s="151">
      <c r="A278" s="1" t="inlineStr">
        <is>
          <t>1301043</t>
        </is>
      </c>
      <c r="B278" s="2" t="inlineStr">
        <is>
          <t>2</t>
        </is>
      </c>
      <c r="C278" s="2" t="inlineStr">
        <is>
          <t>Cuerpo extraño en oído, extracción de (incluye tapón de cerumen) (proc. aut.) - En niños</t>
        </is>
      </c>
      <c r="D278" s="2" t="inlineStr">
        <is>
          <t>Proc</t>
        </is>
      </c>
      <c r="E278" s="3" t="inlineStr">
        <is>
          <t>Procedimiento</t>
        </is>
      </c>
    </row>
    <row r="279" ht="16" customHeight="1" s="151">
      <c r="A279" s="1" t="inlineStr">
        <is>
          <t>1301044</t>
        </is>
      </c>
      <c r="B279" s="2" t="n"/>
      <c r="C279" s="2" t="inlineStr">
        <is>
          <t>Biopsia oído (proc. aut.)</t>
        </is>
      </c>
      <c r="D279" s="2" t="inlineStr">
        <is>
          <t>Proc</t>
        </is>
      </c>
      <c r="E279" s="3" t="inlineStr">
        <is>
          <t>Procedimiento</t>
        </is>
      </c>
    </row>
    <row r="280" ht="16" customHeight="1" s="151">
      <c r="A280" s="1" t="inlineStr">
        <is>
          <t>1301045</t>
        </is>
      </c>
      <c r="B280" s="2" t="n"/>
      <c r="C280" s="2" t="inlineStr">
        <is>
          <t>Emisiones Otoacústicas</t>
        </is>
      </c>
      <c r="D280" s="2" t="inlineStr">
        <is>
          <t>Proc</t>
        </is>
      </c>
      <c r="E280" s="3" t="inlineStr">
        <is>
          <t>Procedimiento</t>
        </is>
      </c>
    </row>
    <row r="281" ht="16" customHeight="1" s="151">
      <c r="A281" s="1" t="inlineStr">
        <is>
          <t>1301046</t>
        </is>
      </c>
      <c r="B281" s="2" t="n"/>
      <c r="C281" s="2" t="inlineStr">
        <is>
          <t>Potenciales evocados auditivos de tronco cerebral acortados</t>
        </is>
      </c>
      <c r="D281" s="2" t="inlineStr">
        <is>
          <t>Proc</t>
        </is>
      </c>
      <c r="E281" s="3" t="inlineStr">
        <is>
          <t>Procedimiento</t>
        </is>
      </c>
    </row>
    <row r="282" ht="16" customHeight="1" s="151">
      <c r="A282" s="1" t="inlineStr">
        <is>
          <t>1301047</t>
        </is>
      </c>
      <c r="B282" s="2" t="inlineStr">
        <is>
          <t>1</t>
        </is>
      </c>
      <c r="C282" s="2" t="inlineStr">
        <is>
          <t>Nasofibroscopía de la deglución</t>
        </is>
      </c>
      <c r="D282" s="2" t="inlineStr">
        <is>
          <t>Proc</t>
        </is>
      </c>
      <c r="E282" s="3" t="inlineStr">
        <is>
          <t>Procedimiento</t>
        </is>
      </c>
    </row>
    <row r="283" ht="16" customHeight="1" s="151">
      <c r="A283" s="1" t="inlineStr">
        <is>
          <t>1301048</t>
        </is>
      </c>
      <c r="B283" s="2" t="n"/>
      <c r="C283" s="2" t="inlineStr">
        <is>
          <t>Prueba de impulso cefálico con videooculografía o similar (VHIT)</t>
        </is>
      </c>
      <c r="D283" s="2" t="inlineStr">
        <is>
          <t>Proc</t>
        </is>
      </c>
      <c r="E283" s="3" t="inlineStr">
        <is>
          <t>Procedimiento</t>
        </is>
      </c>
    </row>
    <row r="284" ht="16" customHeight="1" s="151">
      <c r="A284" s="1" t="inlineStr">
        <is>
          <t>1301049</t>
        </is>
      </c>
      <c r="B284" s="2" t="n"/>
      <c r="C284" s="2" t="inlineStr">
        <is>
          <t>Pruebas rotatorias</t>
        </is>
      </c>
      <c r="D284" s="2" t="inlineStr">
        <is>
          <t>Proc</t>
        </is>
      </c>
      <c r="E284" s="3" t="inlineStr">
        <is>
          <t>Procedimiento</t>
        </is>
      </c>
    </row>
    <row r="285" ht="16" customHeight="1" s="151">
      <c r="A285" s="1" t="inlineStr">
        <is>
          <t>1301050</t>
        </is>
      </c>
      <c r="B285" s="2" t="n"/>
      <c r="C285" s="2" t="inlineStr">
        <is>
          <t>Audiometría campo libre. Niños y adultos</t>
        </is>
      </c>
      <c r="D285" s="2" t="inlineStr">
        <is>
          <t>Proc</t>
        </is>
      </c>
      <c r="E285" s="3" t="inlineStr">
        <is>
          <t>Procedimiento</t>
        </is>
      </c>
    </row>
    <row r="286" ht="16" customHeight="1" s="151">
      <c r="A286" s="1" t="inlineStr">
        <is>
          <t>1301051</t>
        </is>
      </c>
      <c r="B286" s="2" t="n"/>
      <c r="C286" s="2" t="inlineStr">
        <is>
          <t>Retiro de tubos de ventilación timpánica, uni o bilateral</t>
        </is>
      </c>
      <c r="D286" s="2" t="inlineStr">
        <is>
          <t>Proc</t>
        </is>
      </c>
      <c r="E286" s="3" t="inlineStr">
        <is>
          <t>Procedimiento</t>
        </is>
      </c>
    </row>
    <row r="287" ht="16" customHeight="1" s="151">
      <c r="A287" s="1" t="inlineStr">
        <is>
          <t>1301052</t>
        </is>
      </c>
      <c r="B287" s="2" t="n"/>
      <c r="C287" s="2" t="inlineStr">
        <is>
          <t>Potenciales electromiogénicos vestibulares cervicales u oculares</t>
        </is>
      </c>
      <c r="D287" s="2" t="inlineStr">
        <is>
          <t>Proc</t>
        </is>
      </c>
      <c r="E287" s="3" t="inlineStr">
        <is>
          <t>Procedimiento</t>
        </is>
      </c>
    </row>
    <row r="288" ht="16" customHeight="1" s="151">
      <c r="A288" s="1" t="inlineStr">
        <is>
          <t>1302001</t>
        </is>
      </c>
      <c r="B288" s="2" t="n"/>
      <c r="C288" s="2" t="inlineStr">
        <is>
          <t>Absceso y/o hematomas oído externo, trat. quir.</t>
        </is>
      </c>
      <c r="D288" s="2" t="inlineStr">
        <is>
          <t>CMen</t>
        </is>
      </c>
      <c r="E288" s="3" t="inlineStr">
        <is>
          <t>Cirugía Menor</t>
        </is>
      </c>
    </row>
    <row r="289" ht="16" customHeight="1" s="151">
      <c r="A289" s="1" t="inlineStr">
        <is>
          <t>1302002</t>
        </is>
      </c>
      <c r="B289" s="2" t="inlineStr">
        <is>
          <t>3</t>
        </is>
      </c>
      <c r="C289" s="2" t="inlineStr">
        <is>
          <t>Extracción cuerpo extraño en conducto auditivo externo</t>
        </is>
      </c>
      <c r="D289" s="2" t="inlineStr">
        <is>
          <t>CMen</t>
        </is>
      </c>
      <c r="E289" s="3" t="inlineStr">
        <is>
          <t>Cirugía Menor</t>
        </is>
      </c>
    </row>
    <row r="290" ht="16" customHeight="1" s="151">
      <c r="A290" s="1" t="inlineStr">
        <is>
          <t>1302003</t>
        </is>
      </c>
      <c r="B290" s="2" t="inlineStr">
        <is>
          <t>4</t>
        </is>
      </c>
      <c r="C290" s="2" t="inlineStr">
        <is>
          <t>Fístula preauricular complicada, trat. quir.</t>
        </is>
      </c>
      <c r="D290" s="2" t="inlineStr">
        <is>
          <t>CMen</t>
        </is>
      </c>
      <c r="E290" s="3" t="inlineStr">
        <is>
          <t>Cirugía Menor</t>
        </is>
      </c>
    </row>
    <row r="291" ht="16" customHeight="1" s="151">
      <c r="A291" s="1" t="inlineStr">
        <is>
          <t>1302004</t>
        </is>
      </c>
      <c r="B291" s="2" t="inlineStr">
        <is>
          <t>3</t>
        </is>
      </c>
      <c r="C291" s="2" t="inlineStr">
        <is>
          <t>Extirpación de tumor de conducto auditivo externo</t>
        </is>
      </c>
      <c r="D291" s="2" t="inlineStr">
        <is>
          <t>CMen</t>
        </is>
      </c>
      <c r="E291" s="3" t="inlineStr">
        <is>
          <t>Cirugía Menor</t>
        </is>
      </c>
    </row>
    <row r="292" ht="16" customHeight="1" s="151">
      <c r="A292" s="1" t="inlineStr">
        <is>
          <t>1302005</t>
        </is>
      </c>
      <c r="B292" s="2" t="inlineStr">
        <is>
          <t>4</t>
        </is>
      </c>
      <c r="C292" s="2" t="inlineStr">
        <is>
          <t>Tumor maligno oído externo, trat. quir.</t>
        </is>
      </c>
      <c r="D292" s="2" t="inlineStr">
        <is>
          <t>CMen</t>
        </is>
      </c>
      <c r="E292" s="3" t="inlineStr">
        <is>
          <t>Cirugía Menor</t>
        </is>
      </c>
    </row>
    <row r="293" ht="16" customHeight="1" s="151">
      <c r="A293" s="1" t="inlineStr">
        <is>
          <t>1302006</t>
        </is>
      </c>
      <c r="B293" s="2" t="inlineStr">
        <is>
          <t>7</t>
        </is>
      </c>
      <c r="C293" s="2" t="inlineStr">
        <is>
          <t>Estapedectomía o estapedostomía</t>
        </is>
      </c>
      <c r="D293" s="2" t="inlineStr">
        <is>
          <t>Cmay</t>
        </is>
      </c>
      <c r="E293" s="3" t="inlineStr">
        <is>
          <t>Cirugía Mayor</t>
        </is>
      </c>
    </row>
    <row r="294" ht="16" customHeight="1" s="151">
      <c r="A294" s="1" t="inlineStr">
        <is>
          <t>1302007</t>
        </is>
      </c>
      <c r="B294" s="2" t="inlineStr">
        <is>
          <t>7</t>
        </is>
      </c>
      <c r="C294" s="2" t="inlineStr">
        <is>
          <t>Mastoidectomía c/s sección cuerda del tímpano</t>
        </is>
      </c>
      <c r="D294" s="2" t="inlineStr">
        <is>
          <t>Cmay</t>
        </is>
      </c>
      <c r="E294" s="3" t="inlineStr">
        <is>
          <t>Cirugía Mayor</t>
        </is>
      </c>
    </row>
    <row r="295" ht="16" customHeight="1" s="151">
      <c r="A295" s="1" t="inlineStr">
        <is>
          <t>1302008</t>
        </is>
      </c>
      <c r="B295" s="2" t="inlineStr">
        <is>
          <t>3</t>
        </is>
      </c>
      <c r="C295" s="2" t="inlineStr">
        <is>
          <t>Tratamiento quirúrgico de Mucositis timpánica, otitis media con efusión uni o bilateral</t>
        </is>
      </c>
      <c r="D295" s="2" t="inlineStr">
        <is>
          <t>CMen</t>
        </is>
      </c>
      <c r="E295" s="3" t="inlineStr">
        <is>
          <t>Cirugía Menor</t>
        </is>
      </c>
    </row>
    <row r="296" ht="16" customHeight="1" s="151">
      <c r="A296" s="1" t="inlineStr">
        <is>
          <t>1302009</t>
        </is>
      </c>
      <c r="B296" s="2" t="inlineStr">
        <is>
          <t>7</t>
        </is>
      </c>
      <c r="C296" s="2" t="inlineStr">
        <is>
          <t>Operación radical de oído</t>
        </is>
      </c>
      <c r="D296" s="2" t="inlineStr">
        <is>
          <t>Cmay</t>
        </is>
      </c>
      <c r="E296" s="3" t="inlineStr">
        <is>
          <t>Cirugía Mayor</t>
        </is>
      </c>
    </row>
    <row r="297" ht="16" customHeight="1" s="151">
      <c r="A297" s="1" t="inlineStr">
        <is>
          <t>1302011</t>
        </is>
      </c>
      <c r="B297" s="2" t="inlineStr">
        <is>
          <t>8</t>
        </is>
      </c>
      <c r="C297" s="2" t="inlineStr">
        <is>
          <t>Reconstitución funcional de oído radicalizado</t>
        </is>
      </c>
      <c r="D297" s="2" t="inlineStr">
        <is>
          <t>Cmay</t>
        </is>
      </c>
      <c r="E297" s="3" t="inlineStr">
        <is>
          <t>Cirugía Mayor</t>
        </is>
      </c>
    </row>
    <row r="298" ht="16" customHeight="1" s="151">
      <c r="A298" s="1" t="inlineStr">
        <is>
          <t>1302012</t>
        </is>
      </c>
      <c r="B298" s="2" t="inlineStr">
        <is>
          <t>7</t>
        </is>
      </c>
      <c r="C298" s="2" t="inlineStr">
        <is>
          <t>Timpanoplastía funcional (cualquier tipo) c/s mastoidectomía</t>
        </is>
      </c>
      <c r="D298" s="2" t="inlineStr">
        <is>
          <t>Cmay</t>
        </is>
      </c>
      <c r="E298" s="3" t="inlineStr">
        <is>
          <t>Cirugía Mayor</t>
        </is>
      </c>
    </row>
    <row r="299" ht="16" customHeight="1" s="151">
      <c r="A299" s="1" t="inlineStr">
        <is>
          <t>1302013</t>
        </is>
      </c>
      <c r="B299" s="2" t="inlineStr">
        <is>
          <t>7</t>
        </is>
      </c>
      <c r="C299" s="2" t="inlineStr">
        <is>
          <t>Reconstitución plástica de conducto auditivo externo cartilaginoso</t>
        </is>
      </c>
      <c r="D299" s="2" t="inlineStr">
        <is>
          <t>Cmay</t>
        </is>
      </c>
      <c r="E299" s="3" t="inlineStr">
        <is>
          <t>Cirugía Mayor</t>
        </is>
      </c>
    </row>
    <row r="300" ht="16" customHeight="1" s="151">
      <c r="A300" s="1" t="inlineStr">
        <is>
          <t>1302014</t>
        </is>
      </c>
      <c r="B300" s="2" t="inlineStr">
        <is>
          <t>7</t>
        </is>
      </c>
      <c r="C300" s="2" t="inlineStr">
        <is>
          <t>Exostosis u osteoma oído medio o externo, resección por cualquier vía</t>
        </is>
      </c>
      <c r="D300" s="2" t="inlineStr">
        <is>
          <t>Cmay</t>
        </is>
      </c>
      <c r="E300" s="3" t="inlineStr">
        <is>
          <t>Cirugía Mayor</t>
        </is>
      </c>
    </row>
    <row r="301" ht="16" customHeight="1" s="151">
      <c r="A301" s="1" t="inlineStr">
        <is>
          <t>1302015</t>
        </is>
      </c>
      <c r="B301" s="2" t="inlineStr">
        <is>
          <t>7</t>
        </is>
      </c>
      <c r="C301" s="2" t="inlineStr">
        <is>
          <t>Neurectomía de Jacobson</t>
        </is>
      </c>
      <c r="D301" s="2" t="inlineStr">
        <is>
          <t>Cmay</t>
        </is>
      </c>
      <c r="E301" s="3" t="inlineStr">
        <is>
          <t>Cirugía Mayor</t>
        </is>
      </c>
    </row>
    <row r="302" ht="16" customHeight="1" s="151">
      <c r="A302" s="1" t="inlineStr">
        <is>
          <t>1302016</t>
        </is>
      </c>
      <c r="B302" s="2" t="inlineStr">
        <is>
          <t>7</t>
        </is>
      </c>
      <c r="C302" s="2" t="inlineStr">
        <is>
          <t>Reconstitución de conducto auditivo externo, c/s timpanoplastía (incluye revisión de cadena osicular)</t>
        </is>
      </c>
      <c r="D302" s="2" t="inlineStr">
        <is>
          <t>Cmay</t>
        </is>
      </c>
      <c r="E302" s="3" t="inlineStr">
        <is>
          <t>Cirugía Mayor</t>
        </is>
      </c>
    </row>
    <row r="303" ht="16" customHeight="1" s="151">
      <c r="A303" s="1" t="inlineStr">
        <is>
          <t>1302017</t>
        </is>
      </c>
      <c r="B303" s="2" t="inlineStr">
        <is>
          <t>7</t>
        </is>
      </c>
      <c r="C303" s="2" t="inlineStr">
        <is>
          <t>Tratamiento quirúrgico de tumor glómico timpánico</t>
        </is>
      </c>
      <c r="D303" s="2" t="inlineStr">
        <is>
          <t>Cmay</t>
        </is>
      </c>
      <c r="E303" s="3" t="inlineStr">
        <is>
          <t>Cirugía Mayor</t>
        </is>
      </c>
    </row>
    <row r="304" ht="16" customHeight="1" s="151">
      <c r="A304" s="1" t="inlineStr">
        <is>
          <t>1302018</t>
        </is>
      </c>
      <c r="B304" s="2" t="inlineStr">
        <is>
          <t>7</t>
        </is>
      </c>
      <c r="C304" s="2" t="inlineStr">
        <is>
          <t>Laberintectomía</t>
        </is>
      </c>
      <c r="D304" s="2" t="inlineStr">
        <is>
          <t>Cmay</t>
        </is>
      </c>
      <c r="E304" s="3" t="inlineStr">
        <is>
          <t>Cirugía Mayor</t>
        </is>
      </c>
    </row>
    <row r="305" ht="16" customHeight="1" s="151">
      <c r="A305" s="1" t="inlineStr">
        <is>
          <t>1302019</t>
        </is>
      </c>
      <c r="B305" s="2" t="inlineStr">
        <is>
          <t>8</t>
        </is>
      </c>
      <c r="C305" s="2" t="inlineStr">
        <is>
          <t>Neurinoma del acústico, trat. quir. vía translaberíntica y/o fosa media</t>
        </is>
      </c>
      <c r="D305" s="2" t="inlineStr">
        <is>
          <t>Cmay</t>
        </is>
      </c>
      <c r="E305" s="3" t="inlineStr">
        <is>
          <t>Cirugía Mayor</t>
        </is>
      </c>
    </row>
    <row r="306" ht="16" customHeight="1" s="151">
      <c r="A306" s="1" t="inlineStr">
        <is>
          <t>1302020</t>
        </is>
      </c>
      <c r="B306" s="2" t="inlineStr">
        <is>
          <t>6</t>
        </is>
      </c>
      <c r="C306" s="2" t="inlineStr">
        <is>
          <t>Descompresión intraósea nervio facial c/s plastía</t>
        </is>
      </c>
      <c r="D306" s="2" t="inlineStr">
        <is>
          <t>Cmay</t>
        </is>
      </c>
      <c r="E306" s="3" t="inlineStr">
        <is>
          <t>Cirugía Mayor</t>
        </is>
      </c>
    </row>
    <row r="307" ht="16" customHeight="1" s="151">
      <c r="A307" s="1" t="inlineStr">
        <is>
          <t>1302021</t>
        </is>
      </c>
      <c r="B307" s="2" t="inlineStr">
        <is>
          <t>7</t>
        </is>
      </c>
      <c r="C307" s="2" t="inlineStr">
        <is>
          <t>Lesiones a nivel del conducto auditivo interno, trat. quir.</t>
        </is>
      </c>
      <c r="D307" s="2" t="inlineStr">
        <is>
          <t>Cmay</t>
        </is>
      </c>
      <c r="E307" s="3" t="inlineStr">
        <is>
          <t>Cirugía Mayor</t>
        </is>
      </c>
    </row>
    <row r="308" ht="16" customHeight="1" s="151">
      <c r="A308" s="1" t="inlineStr">
        <is>
          <t>1302022</t>
        </is>
      </c>
      <c r="B308" s="2" t="inlineStr">
        <is>
          <t>2</t>
        </is>
      </c>
      <c r="C308" s="2" t="inlineStr">
        <is>
          <t>Biopsia buco-faríngea (proc. aut.)</t>
        </is>
      </c>
      <c r="D308" s="2" t="inlineStr">
        <is>
          <t>CMen</t>
        </is>
      </c>
      <c r="E308" s="3" t="inlineStr">
        <is>
          <t>Cirugía Menor</t>
        </is>
      </c>
    </row>
    <row r="309" ht="16" customHeight="1" s="151">
      <c r="A309" s="1" t="inlineStr">
        <is>
          <t>1302023</t>
        </is>
      </c>
      <c r="B309" s="2" t="inlineStr">
        <is>
          <t>2</t>
        </is>
      </c>
      <c r="C309" s="2" t="inlineStr">
        <is>
          <t>Sección y/o resección frenillos cavidad bucal</t>
        </is>
      </c>
      <c r="D309" s="2" t="inlineStr">
        <is>
          <t>CMen</t>
        </is>
      </c>
      <c r="E309" s="3" t="inlineStr">
        <is>
          <t>Cirugía Menor</t>
        </is>
      </c>
    </row>
    <row r="310" ht="16" customHeight="1" s="151">
      <c r="A310" s="1" t="inlineStr">
        <is>
          <t>1302024</t>
        </is>
      </c>
      <c r="B310" s="2" t="inlineStr">
        <is>
          <t>1</t>
        </is>
      </c>
      <c r="C310" s="2" t="inlineStr">
        <is>
          <t>Drenaje de absceso o flegmón de piso de boca</t>
        </is>
      </c>
      <c r="D310" s="2" t="inlineStr">
        <is>
          <t>CMen</t>
        </is>
      </c>
      <c r="E310" s="3" t="inlineStr">
        <is>
          <t>Cirugía Menor</t>
        </is>
      </c>
    </row>
    <row r="311" ht="16" customHeight="1" s="151">
      <c r="A311" s="1" t="inlineStr">
        <is>
          <t>1302025</t>
        </is>
      </c>
      <c r="B311" s="2" t="inlineStr">
        <is>
          <t>1</t>
        </is>
      </c>
      <c r="C311" s="2" t="inlineStr">
        <is>
          <t>Drenaje de absceso o flegmón periamigdaliano</t>
        </is>
      </c>
      <c r="D311" s="2" t="inlineStr">
        <is>
          <t>CMen</t>
        </is>
      </c>
      <c r="E311" s="3" t="inlineStr">
        <is>
          <t>Cirugía Menor</t>
        </is>
      </c>
    </row>
    <row r="312" ht="16" customHeight="1" s="151">
      <c r="A312" s="1" t="inlineStr">
        <is>
          <t>1302026</t>
        </is>
      </c>
      <c r="B312" s="2" t="inlineStr">
        <is>
          <t>2</t>
        </is>
      </c>
      <c r="C312" s="2" t="inlineStr">
        <is>
          <t>Drenaje de absceso o flegmón retrofaríngeo o faringolaríngeo</t>
        </is>
      </c>
      <c r="D312" s="2" t="inlineStr">
        <is>
          <t>CMen</t>
        </is>
      </c>
      <c r="E312" s="3" t="inlineStr">
        <is>
          <t>Cirugía Menor</t>
        </is>
      </c>
    </row>
    <row r="313" ht="16" customHeight="1" s="151">
      <c r="A313" s="1" t="inlineStr">
        <is>
          <t>1302027</t>
        </is>
      </c>
      <c r="B313" s="2" t="n"/>
      <c r="C313" s="2" t="inlineStr">
        <is>
          <t>Drenaje de absceso o flegmón de vestíbulo bucal</t>
        </is>
      </c>
      <c r="D313" s="2" t="inlineStr">
        <is>
          <t>CMen</t>
        </is>
      </c>
      <c r="E313" s="3" t="inlineStr">
        <is>
          <t>Cirugía Menor</t>
        </is>
      </c>
    </row>
    <row r="314" ht="16" customHeight="1" s="151">
      <c r="A314" s="1" t="inlineStr">
        <is>
          <t>1302028</t>
        </is>
      </c>
      <c r="B314" s="2" t="inlineStr">
        <is>
          <t>5</t>
        </is>
      </c>
      <c r="C314" s="2" t="inlineStr">
        <is>
          <t>Adenoidectomía (proc. aut.)</t>
        </is>
      </c>
      <c r="D314" s="2" t="inlineStr">
        <is>
          <t>Cmay</t>
        </is>
      </c>
      <c r="E314" s="3" t="inlineStr">
        <is>
          <t>Cirugía Mayor</t>
        </is>
      </c>
    </row>
    <row r="315" ht="16" customHeight="1" s="151">
      <c r="A315" s="1" t="inlineStr">
        <is>
          <t>1302029</t>
        </is>
      </c>
      <c r="B315" s="2" t="inlineStr">
        <is>
          <t>5</t>
        </is>
      </c>
      <c r="C315" s="2" t="inlineStr">
        <is>
          <t>Amigdalectomía c/s adenoidectomía, uni o bilateral</t>
        </is>
      </c>
      <c r="D315" s="2" t="inlineStr">
        <is>
          <t>Cmay</t>
        </is>
      </c>
      <c r="E315" s="3" t="inlineStr">
        <is>
          <t>Cirugía Mayor</t>
        </is>
      </c>
    </row>
    <row r="316" ht="16" customHeight="1" s="151">
      <c r="A316" s="1" t="inlineStr">
        <is>
          <t>1302030</t>
        </is>
      </c>
      <c r="B316" s="2" t="inlineStr">
        <is>
          <t>1</t>
        </is>
      </c>
      <c r="C316" s="2" t="inlineStr">
        <is>
          <t>Extracción de cálculos o tapones salivales</t>
        </is>
      </c>
      <c r="D316" s="2" t="inlineStr">
        <is>
          <t>CMen</t>
        </is>
      </c>
      <c r="E316" s="3" t="inlineStr">
        <is>
          <t>Cirugía Menor</t>
        </is>
      </c>
    </row>
    <row r="317" ht="16" customHeight="1" s="151">
      <c r="A317" s="1" t="inlineStr">
        <is>
          <t>1302031</t>
        </is>
      </c>
      <c r="B317" s="2" t="inlineStr">
        <is>
          <t>1</t>
        </is>
      </c>
      <c r="C317" s="2" t="inlineStr">
        <is>
          <t>Tumor benigno de la mucosa bucal,  extirp. c/s  biopsia bucofaríngea</t>
        </is>
      </c>
      <c r="D317" s="2" t="inlineStr">
        <is>
          <t>CMen</t>
        </is>
      </c>
      <c r="E317" s="3" t="inlineStr">
        <is>
          <t>Cirugía Menor</t>
        </is>
      </c>
    </row>
    <row r="318" ht="16" customHeight="1" s="151">
      <c r="A318" s="1" t="inlineStr">
        <is>
          <t>1302032</t>
        </is>
      </c>
      <c r="B318" s="2" t="inlineStr">
        <is>
          <t>7</t>
        </is>
      </c>
      <c r="C318" s="2" t="inlineStr">
        <is>
          <t>Tumor maligno de las amígdalas, trat. quir.</t>
        </is>
      </c>
      <c r="D318" s="2" t="inlineStr">
        <is>
          <t>Cmay</t>
        </is>
      </c>
      <c r="E318" s="3" t="inlineStr">
        <is>
          <t>Cirugía Mayor</t>
        </is>
      </c>
    </row>
    <row r="319" ht="16" customHeight="1" s="151">
      <c r="A319" s="1" t="inlineStr">
        <is>
          <t>1302033</t>
        </is>
      </c>
      <c r="B319" s="2" t="inlineStr">
        <is>
          <t>6</t>
        </is>
      </c>
      <c r="C319" s="2" t="inlineStr">
        <is>
          <t>Extirpación de  tumor benigno de la base de la lengua</t>
        </is>
      </c>
      <c r="D319" s="2" t="inlineStr">
        <is>
          <t>Cmay</t>
        </is>
      </c>
      <c r="E319" s="3" t="inlineStr">
        <is>
          <t>Cirugía Mayor</t>
        </is>
      </c>
    </row>
    <row r="320" ht="16" customHeight="1" s="151">
      <c r="A320" s="1" t="inlineStr">
        <is>
          <t>1302034</t>
        </is>
      </c>
      <c r="B320" s="2" t="inlineStr">
        <is>
          <t>9</t>
        </is>
      </c>
      <c r="C320" s="2" t="inlineStr">
        <is>
          <t>Extirpación tumor maligno de base de lengua</t>
        </is>
      </c>
      <c r="D320" s="2" t="inlineStr">
        <is>
          <t>Cmay</t>
        </is>
      </c>
      <c r="E320" s="3" t="inlineStr">
        <is>
          <t>Cirugía Mayor</t>
        </is>
      </c>
    </row>
    <row r="321" ht="16" customHeight="1" s="151">
      <c r="A321" s="1" t="inlineStr">
        <is>
          <t>1302035</t>
        </is>
      </c>
      <c r="B321" s="2" t="inlineStr">
        <is>
          <t>8</t>
        </is>
      </c>
      <c r="C321" s="2" t="inlineStr">
        <is>
          <t>Faringoplastía (cualq. técn.), c/s desplazamiento de colgajos</t>
        </is>
      </c>
      <c r="D321" s="2" t="inlineStr">
        <is>
          <t>Cmay</t>
        </is>
      </c>
      <c r="E321" s="3" t="inlineStr">
        <is>
          <t>Cirugía Mayor</t>
        </is>
      </c>
    </row>
    <row r="322" ht="16" customHeight="1" s="151">
      <c r="A322" s="1" t="inlineStr">
        <is>
          <t>1302036</t>
        </is>
      </c>
      <c r="B322" s="2" t="inlineStr">
        <is>
          <t>9</t>
        </is>
      </c>
      <c r="C322" s="2" t="inlineStr">
        <is>
          <t>Fibroangioma del rinofarinx, trat. quir.</t>
        </is>
      </c>
      <c r="D322" s="2" t="inlineStr">
        <is>
          <t>Cmay</t>
        </is>
      </c>
      <c r="E322" s="3" t="inlineStr">
        <is>
          <t>Cirugía Mayor</t>
        </is>
      </c>
    </row>
    <row r="323" ht="16" customHeight="1" s="151">
      <c r="A323" s="1" t="inlineStr">
        <is>
          <t>1302037</t>
        </is>
      </c>
      <c r="B323" s="2" t="inlineStr">
        <is>
          <t>9</t>
        </is>
      </c>
      <c r="C323" s="2" t="inlineStr">
        <is>
          <t>Glosectomía total</t>
        </is>
      </c>
      <c r="D323" s="2" t="inlineStr">
        <is>
          <t>Cmay</t>
        </is>
      </c>
      <c r="E323" s="3" t="inlineStr">
        <is>
          <t>Cirugía Mayor</t>
        </is>
      </c>
    </row>
    <row r="324" ht="16" customHeight="1" s="151">
      <c r="A324" s="1" t="inlineStr">
        <is>
          <t>1302038</t>
        </is>
      </c>
      <c r="B324" s="2" t="inlineStr">
        <is>
          <t>2</t>
        </is>
      </c>
      <c r="C324" s="2" t="inlineStr">
        <is>
          <t>Abscesos y hematoma del tabique nasal, trat. quir.</t>
        </is>
      </c>
      <c r="D324" s="2" t="inlineStr">
        <is>
          <t>CMen</t>
        </is>
      </c>
      <c r="E324" s="3" t="inlineStr">
        <is>
          <t>Cirugía Menor</t>
        </is>
      </c>
    </row>
    <row r="325" ht="16" customHeight="1" s="151">
      <c r="A325" s="1" t="inlineStr">
        <is>
          <t>1302039</t>
        </is>
      </c>
      <c r="B325" s="2" t="inlineStr">
        <is>
          <t>4</t>
        </is>
      </c>
      <c r="C325" s="2" t="inlineStr">
        <is>
          <t>Arteria esfenopalatina, cauterización por vía nasal</t>
        </is>
      </c>
      <c r="D325" s="2" t="inlineStr">
        <is>
          <t>CMen</t>
        </is>
      </c>
      <c r="E325" s="3" t="inlineStr">
        <is>
          <t>Cirugía Menor</t>
        </is>
      </c>
    </row>
    <row r="326" ht="16" customHeight="1" s="151">
      <c r="A326" s="1" t="inlineStr">
        <is>
          <t>1302040</t>
        </is>
      </c>
      <c r="B326" s="2" t="inlineStr">
        <is>
          <t>6</t>
        </is>
      </c>
      <c r="C326" s="2" t="inlineStr">
        <is>
          <t>Arteria maxilar interna, ligadura de (por vía transmaxilar)</t>
        </is>
      </c>
      <c r="D326" s="2" t="inlineStr">
        <is>
          <t>Cmay</t>
        </is>
      </c>
      <c r="E326" s="3" t="inlineStr">
        <is>
          <t>Cirugía Mayor</t>
        </is>
      </c>
    </row>
    <row r="327" ht="16" customHeight="1" s="151">
      <c r="A327" s="1" t="inlineStr">
        <is>
          <t>1302041</t>
        </is>
      </c>
      <c r="B327" s="2" t="inlineStr">
        <is>
          <t>4</t>
        </is>
      </c>
      <c r="C327" s="2" t="inlineStr">
        <is>
          <t>Ligadura de arterias etmoidales anteriores</t>
        </is>
      </c>
      <c r="D327" s="2" t="inlineStr">
        <is>
          <t>CMen</t>
        </is>
      </c>
      <c r="E327" s="3" t="inlineStr">
        <is>
          <t>Cirugía Menor</t>
        </is>
      </c>
    </row>
    <row r="328" ht="16" customHeight="1" s="151">
      <c r="A328" s="1" t="inlineStr">
        <is>
          <t>1302042</t>
        </is>
      </c>
      <c r="B328" s="2" t="inlineStr">
        <is>
          <t>4</t>
        </is>
      </c>
      <c r="C328" s="2" t="inlineStr">
        <is>
          <t>Turbinectomía o cauterización de cornetes, cualquier técnica</t>
        </is>
      </c>
      <c r="D328" s="2" t="inlineStr">
        <is>
          <t>CMen</t>
        </is>
      </c>
      <c r="E328" s="3" t="inlineStr">
        <is>
          <t>Cirugía Menor</t>
        </is>
      </c>
    </row>
    <row r="329" ht="16" customHeight="1" s="151">
      <c r="A329" s="1" t="inlineStr">
        <is>
          <t>1302043</t>
        </is>
      </c>
      <c r="B329" s="2" t="inlineStr">
        <is>
          <t>5</t>
        </is>
      </c>
      <c r="C329" s="2" t="inlineStr">
        <is>
          <t>Conducto y/o seno lagrimal, obstrucción del, trat. quir. por vía nasal</t>
        </is>
      </c>
      <c r="D329" s="2" t="inlineStr">
        <is>
          <t>Cmay</t>
        </is>
      </c>
      <c r="E329" s="3" t="inlineStr">
        <is>
          <t>Cirugía Mayor</t>
        </is>
      </c>
    </row>
    <row r="330" ht="16" customHeight="1" s="151">
      <c r="A330" s="1" t="inlineStr">
        <is>
          <t>1302044</t>
        </is>
      </c>
      <c r="B330" s="2" t="inlineStr">
        <is>
          <t>7</t>
        </is>
      </c>
      <c r="C330" s="2" t="inlineStr">
        <is>
          <t>Etmoidectomía endo o exonasal</t>
        </is>
      </c>
      <c r="D330" s="2" t="inlineStr">
        <is>
          <t>Cmay</t>
        </is>
      </c>
      <c r="E330" s="3" t="inlineStr">
        <is>
          <t>Cirugía Mayor</t>
        </is>
      </c>
    </row>
    <row r="331" ht="16" customHeight="1" s="151">
      <c r="A331" s="1" t="inlineStr">
        <is>
          <t>1302045</t>
        </is>
      </c>
      <c r="B331" s="2" t="inlineStr">
        <is>
          <t>5</t>
        </is>
      </c>
      <c r="C331" s="2" t="inlineStr">
        <is>
          <t>Tratamiento quirúrgico de las fistulas buco-sinusales o buco-nasales  y/o retiro cuerpos extraños del seno maxilar</t>
        </is>
      </c>
      <c r="D331" s="2" t="inlineStr">
        <is>
          <t>Cmay</t>
        </is>
      </c>
      <c r="E331" s="3" t="inlineStr">
        <is>
          <t>Cirugía Mayor</t>
        </is>
      </c>
    </row>
    <row r="332" ht="16" customHeight="1" s="151">
      <c r="A332" s="1" t="inlineStr">
        <is>
          <t>1302046</t>
        </is>
      </c>
      <c r="B332" s="2" t="inlineStr">
        <is>
          <t>2</t>
        </is>
      </c>
      <c r="C332" s="2" t="inlineStr">
        <is>
          <t>Fract. nasal reciente, cerrada o expuesta, reducción c/s inmovilización</t>
        </is>
      </c>
      <c r="D332" s="2" t="inlineStr">
        <is>
          <t>CMen</t>
        </is>
      </c>
      <c r="E332" s="3" t="inlineStr">
        <is>
          <t>Cirugía Menor</t>
        </is>
      </c>
    </row>
    <row r="333" ht="16" customHeight="1" s="151">
      <c r="A333" s="1" t="inlineStr">
        <is>
          <t>1302047</t>
        </is>
      </c>
      <c r="B333" s="2" t="inlineStr">
        <is>
          <t>6</t>
        </is>
      </c>
      <c r="C333" s="2" t="inlineStr">
        <is>
          <t>Nervio vidiano, sección del (por cualquier vía)</t>
        </is>
      </c>
      <c r="D333" s="2" t="inlineStr">
        <is>
          <t>Cmay</t>
        </is>
      </c>
      <c r="E333" s="3" t="inlineStr">
        <is>
          <t>Cirugía Mayor</t>
        </is>
      </c>
    </row>
    <row r="334" ht="16" customHeight="1" s="151">
      <c r="A334" s="1" t="inlineStr">
        <is>
          <t>1302048</t>
        </is>
      </c>
      <c r="B334" s="2" t="inlineStr">
        <is>
          <t>4</t>
        </is>
      </c>
      <c r="C334" s="2" t="inlineStr">
        <is>
          <t>Perforación del tabique, trat. quir.</t>
        </is>
      </c>
      <c r="D334" s="2" t="inlineStr">
        <is>
          <t>CMen</t>
        </is>
      </c>
      <c r="E334" s="3" t="inlineStr">
        <is>
          <t>Cirugía Menor</t>
        </is>
      </c>
    </row>
    <row r="335" ht="16" customHeight="1" s="151">
      <c r="A335" s="1" t="inlineStr">
        <is>
          <t>1302049</t>
        </is>
      </c>
      <c r="B335" s="2" t="inlineStr">
        <is>
          <t>3</t>
        </is>
      </c>
      <c r="C335" s="2" t="inlineStr">
        <is>
          <t>Tratamiento quirúrgico pólipo nasal</t>
        </is>
      </c>
      <c r="D335" s="2" t="inlineStr">
        <is>
          <t>CMen</t>
        </is>
      </c>
      <c r="E335" s="3" t="inlineStr">
        <is>
          <t>Cirugía Menor</t>
        </is>
      </c>
    </row>
    <row r="336" ht="16" customHeight="1" s="151">
      <c r="A336" s="1" t="inlineStr">
        <is>
          <t>1302050</t>
        </is>
      </c>
      <c r="B336" s="2" t="inlineStr">
        <is>
          <t>5</t>
        </is>
      </c>
      <c r="C336" s="2" t="inlineStr">
        <is>
          <t>Rinitis atrófica, trat. por inclusión submucosa, con cualquier material, uni o bilateral</t>
        </is>
      </c>
      <c r="D336" s="2" t="inlineStr">
        <is>
          <t>Cmay</t>
        </is>
      </c>
      <c r="E336" s="3" t="inlineStr">
        <is>
          <t>Cirugía Mayor</t>
        </is>
      </c>
    </row>
    <row r="337" ht="16" customHeight="1" s="151">
      <c r="A337" s="1" t="inlineStr">
        <is>
          <t>1302051</t>
        </is>
      </c>
      <c r="B337" s="2" t="inlineStr">
        <is>
          <t>6</t>
        </is>
      </c>
      <c r="C337" s="2" t="inlineStr">
        <is>
          <t>Rinofima, trat. quir.</t>
        </is>
      </c>
      <c r="D337" s="2" t="inlineStr">
        <is>
          <t>Cmay</t>
        </is>
      </c>
      <c r="E337" s="3" t="inlineStr">
        <is>
          <t>Cirugía Mayor</t>
        </is>
      </c>
    </row>
    <row r="338" ht="16" customHeight="1" s="151">
      <c r="A338" s="1" t="inlineStr">
        <is>
          <t>1302052</t>
        </is>
      </c>
      <c r="B338" s="2" t="inlineStr">
        <is>
          <t>6</t>
        </is>
      </c>
      <c r="C338" s="2" t="inlineStr">
        <is>
          <t>Rinoplastía y/o septoplastía, cualquier técnica</t>
        </is>
      </c>
      <c r="D338" s="2" t="inlineStr">
        <is>
          <t>Cmay</t>
        </is>
      </c>
      <c r="E338" s="3" t="inlineStr">
        <is>
          <t>Cirugía Mayor</t>
        </is>
      </c>
    </row>
    <row r="339" ht="16" customHeight="1" s="151">
      <c r="A339" s="1" t="inlineStr">
        <is>
          <t>1302053</t>
        </is>
      </c>
      <c r="B339" s="2" t="inlineStr">
        <is>
          <t>6</t>
        </is>
      </c>
      <c r="C339" s="2" t="inlineStr">
        <is>
          <t>Seno esfenoidal, abertura por cualquier vía</t>
        </is>
      </c>
      <c r="D339" s="2" t="inlineStr">
        <is>
          <t>Cmay</t>
        </is>
      </c>
      <c r="E339" s="3" t="inlineStr">
        <is>
          <t>Cirugía Mayor</t>
        </is>
      </c>
    </row>
    <row r="340" ht="16" customHeight="1" s="151">
      <c r="A340" s="1" t="inlineStr">
        <is>
          <t>1302054</t>
        </is>
      </c>
      <c r="B340" s="2" t="inlineStr">
        <is>
          <t>5</t>
        </is>
      </c>
      <c r="C340" s="2" t="inlineStr">
        <is>
          <t>Tratamiento quirúrgico de seno frontal, cualquier vía</t>
        </is>
      </c>
      <c r="D340" s="2" t="inlineStr">
        <is>
          <t>Cmay</t>
        </is>
      </c>
      <c r="E340" s="3" t="inlineStr">
        <is>
          <t>Cirugía Mayor</t>
        </is>
      </c>
    </row>
    <row r="341" ht="16" customHeight="1" s="151">
      <c r="A341" s="1" t="inlineStr">
        <is>
          <t>1302055</t>
        </is>
      </c>
      <c r="B341" s="2" t="inlineStr">
        <is>
          <t>6</t>
        </is>
      </c>
      <c r="C341" s="2" t="inlineStr">
        <is>
          <t>Antrostomía seno maxilar, cualquier vía</t>
        </is>
      </c>
      <c r="D341" s="2" t="inlineStr">
        <is>
          <t>Cmay</t>
        </is>
      </c>
      <c r="E341" s="3" t="inlineStr">
        <is>
          <t>Cirugía Mayor</t>
        </is>
      </c>
    </row>
    <row r="342" ht="16" customHeight="1" s="151">
      <c r="A342" s="1" t="inlineStr">
        <is>
          <t>1302056</t>
        </is>
      </c>
      <c r="B342" s="2" t="inlineStr">
        <is>
          <t>2</t>
        </is>
      </c>
      <c r="C342" s="2" t="inlineStr">
        <is>
          <t>Sinequia nasal, trat. quir.</t>
        </is>
      </c>
      <c r="D342" s="2" t="inlineStr">
        <is>
          <t>CMen</t>
        </is>
      </c>
      <c r="E342" s="3" t="inlineStr">
        <is>
          <t>Cirugía Menor</t>
        </is>
      </c>
    </row>
    <row r="343" ht="16" customHeight="1" s="151">
      <c r="A343" s="1" t="inlineStr">
        <is>
          <t>1302057</t>
        </is>
      </c>
      <c r="B343" s="2" t="inlineStr">
        <is>
          <t>5</t>
        </is>
      </c>
      <c r="C343" s="2" t="inlineStr">
        <is>
          <t>Tumor nasal, extirp. por rinotomía lateral</t>
        </is>
      </c>
      <c r="D343" s="2" t="inlineStr">
        <is>
          <t>Cmay</t>
        </is>
      </c>
      <c r="E343" s="3" t="inlineStr">
        <is>
          <t>Cirugía Mayor</t>
        </is>
      </c>
    </row>
    <row r="344" ht="16" customHeight="1" s="151">
      <c r="A344" s="1" t="inlineStr">
        <is>
          <t>1302058</t>
        </is>
      </c>
      <c r="B344" s="2" t="inlineStr">
        <is>
          <t>5</t>
        </is>
      </c>
      <c r="C344" s="2" t="inlineStr">
        <is>
          <t>Vaciamiento etmoidal por vía nasal c/s polipectomía</t>
        </is>
      </c>
      <c r="D344" s="2" t="inlineStr">
        <is>
          <t>Cmay</t>
        </is>
      </c>
      <c r="E344" s="3" t="inlineStr">
        <is>
          <t>Cirugía Mayor</t>
        </is>
      </c>
    </row>
    <row r="345" ht="16" customHeight="1" s="151">
      <c r="A345" s="1" t="inlineStr">
        <is>
          <t>1302059</t>
        </is>
      </c>
      <c r="B345" s="2" t="inlineStr">
        <is>
          <t>4</t>
        </is>
      </c>
      <c r="C345" s="2" t="inlineStr">
        <is>
          <t>Aritenoidectomía vía endoscópica</t>
        </is>
      </c>
      <c r="D345" s="2" t="inlineStr">
        <is>
          <t>CMen</t>
        </is>
      </c>
      <c r="E345" s="3" t="inlineStr">
        <is>
          <t>Cirugía Menor</t>
        </is>
      </c>
    </row>
    <row r="346" ht="16" customHeight="1" s="151">
      <c r="A346" s="1" t="inlineStr">
        <is>
          <t>1302060</t>
        </is>
      </c>
      <c r="B346" s="2" t="inlineStr">
        <is>
          <t>6</t>
        </is>
      </c>
      <c r="C346" s="2" t="inlineStr">
        <is>
          <t>Aritenoidectomía vía externa</t>
        </is>
      </c>
      <c r="D346" s="2" t="inlineStr">
        <is>
          <t>Cmay</t>
        </is>
      </c>
      <c r="E346" s="3" t="inlineStr">
        <is>
          <t>Cirugía Mayor</t>
        </is>
      </c>
    </row>
    <row r="347" ht="16" customHeight="1" s="151">
      <c r="A347" s="1" t="inlineStr">
        <is>
          <t>1302061</t>
        </is>
      </c>
      <c r="B347" s="2" t="inlineStr">
        <is>
          <t>6</t>
        </is>
      </c>
      <c r="C347" s="2" t="inlineStr">
        <is>
          <t>Decorticación de cuerdas vocales c/microscopio</t>
        </is>
      </c>
      <c r="D347" s="2" t="inlineStr">
        <is>
          <t>Cmay</t>
        </is>
      </c>
      <c r="E347" s="3" t="inlineStr">
        <is>
          <t>Cirugía Mayor</t>
        </is>
      </c>
    </row>
    <row r="348" ht="16" customHeight="1" s="151">
      <c r="A348" s="1" t="inlineStr">
        <is>
          <t>1302062</t>
        </is>
      </c>
      <c r="B348" s="2" t="inlineStr">
        <is>
          <t>3</t>
        </is>
      </c>
      <c r="C348" s="2" t="inlineStr">
        <is>
          <t>Tumor benigno de cuerdas vocales, trat. quirúrgico por vía abierta</t>
        </is>
      </c>
      <c r="D348" s="2" t="inlineStr">
        <is>
          <t>CMen</t>
        </is>
      </c>
      <c r="E348" s="3" t="inlineStr">
        <is>
          <t>Cirugía Menor</t>
        </is>
      </c>
    </row>
    <row r="349" ht="16" customHeight="1" s="151">
      <c r="A349" s="1" t="inlineStr">
        <is>
          <t>1302063</t>
        </is>
      </c>
      <c r="B349" s="2" t="inlineStr">
        <is>
          <t>3</t>
        </is>
      </c>
      <c r="C349" s="2" t="inlineStr">
        <is>
          <t>Tumor benigno de cuerdas vocales, trat. quirúrgico por vía endoscópica</t>
        </is>
      </c>
      <c r="D349" s="2" t="inlineStr">
        <is>
          <t>CMen</t>
        </is>
      </c>
      <c r="E349" s="3" t="inlineStr">
        <is>
          <t>Cirugía Menor</t>
        </is>
      </c>
    </row>
    <row r="350" ht="16" customHeight="1" s="151">
      <c r="A350" s="1" t="inlineStr">
        <is>
          <t>1302064</t>
        </is>
      </c>
      <c r="B350" s="2" t="inlineStr">
        <is>
          <t>5</t>
        </is>
      </c>
      <c r="C350" s="2" t="inlineStr">
        <is>
          <t>Cordectomía, resección de sinequia y otras malformaciones, trat. quirúrgico por vía externa</t>
        </is>
      </c>
      <c r="D350" s="2" t="inlineStr">
        <is>
          <t>Cmay</t>
        </is>
      </c>
      <c r="E350" s="3" t="inlineStr">
        <is>
          <t>Cirugía Mayor</t>
        </is>
      </c>
    </row>
    <row r="351" ht="16" customHeight="1" s="151">
      <c r="A351" s="1" t="inlineStr">
        <is>
          <t>1302065</t>
        </is>
      </c>
      <c r="B351" s="2" t="inlineStr">
        <is>
          <t>6</t>
        </is>
      </c>
      <c r="C351" s="2" t="inlineStr">
        <is>
          <t>Estenosis laringotraqueales y/o faríngeas, trat. quir. por vía abierta (incluye reconstrucción laringotraqueal)</t>
        </is>
      </c>
      <c r="D351" s="2" t="inlineStr">
        <is>
          <t>Cmay</t>
        </is>
      </c>
      <c r="E351" s="3" t="inlineStr">
        <is>
          <t>Cirugía Mayor</t>
        </is>
      </c>
    </row>
    <row r="352" ht="16" customHeight="1" s="151">
      <c r="A352" s="1" t="inlineStr">
        <is>
          <t>1302066</t>
        </is>
      </c>
      <c r="B352" s="2" t="inlineStr">
        <is>
          <t>8</t>
        </is>
      </c>
      <c r="C352" s="2" t="inlineStr">
        <is>
          <t>Laringectomía parcial o subtotal (cualquier técnica)</t>
        </is>
      </c>
      <c r="D352" s="2" t="inlineStr">
        <is>
          <t>Cmay</t>
        </is>
      </c>
      <c r="E352" s="3" t="inlineStr">
        <is>
          <t>Cirugía Mayor</t>
        </is>
      </c>
    </row>
    <row r="353" ht="16" customHeight="1" s="151">
      <c r="A353" s="1" t="inlineStr">
        <is>
          <t>1302067</t>
        </is>
      </c>
      <c r="B353" s="2" t="inlineStr">
        <is>
          <t>10</t>
        </is>
      </c>
      <c r="C353" s="2" t="inlineStr">
        <is>
          <t>Laringectomía total más faringectomía parcial</t>
        </is>
      </c>
      <c r="D353" s="2" t="inlineStr">
        <is>
          <t>Cmay</t>
        </is>
      </c>
      <c r="E353" s="3" t="inlineStr">
        <is>
          <t>Cirugía Mayor</t>
        </is>
      </c>
    </row>
    <row r="354" ht="16" customHeight="1" s="151">
      <c r="A354" s="1" t="inlineStr">
        <is>
          <t>1302068</t>
        </is>
      </c>
      <c r="B354" s="2" t="inlineStr">
        <is>
          <t>13</t>
        </is>
      </c>
      <c r="C354" s="2" t="inlineStr">
        <is>
          <t>Laringectomía total más faringectomía total y/o esofagectomía cervical</t>
        </is>
      </c>
      <c r="D354" s="2" t="inlineStr">
        <is>
          <t>Cmay</t>
        </is>
      </c>
      <c r="E354" s="3" t="inlineStr">
        <is>
          <t>Cirugía Mayor</t>
        </is>
      </c>
    </row>
    <row r="355" ht="16" customHeight="1" s="151">
      <c r="A355" s="1" t="inlineStr">
        <is>
          <t>1302069</t>
        </is>
      </c>
      <c r="B355" s="2" t="inlineStr">
        <is>
          <t>5</t>
        </is>
      </c>
      <c r="C355" s="2" t="inlineStr">
        <is>
          <t>Laringocele, trat. quir.</t>
        </is>
      </c>
      <c r="D355" s="2" t="inlineStr">
        <is>
          <t>Cmay</t>
        </is>
      </c>
      <c r="E355" s="3" t="inlineStr">
        <is>
          <t>Cirugía Mayor</t>
        </is>
      </c>
    </row>
    <row r="356" ht="16" customHeight="1" s="151">
      <c r="A356" s="1" t="inlineStr">
        <is>
          <t>1302070</t>
        </is>
      </c>
      <c r="B356" s="2" t="inlineStr">
        <is>
          <t>2</t>
        </is>
      </c>
      <c r="C356" s="2" t="inlineStr">
        <is>
          <t>Papilomas laríngeos, trat. quir. (por sesión)</t>
        </is>
      </c>
      <c r="D356" s="2" t="inlineStr">
        <is>
          <t>CMen</t>
        </is>
      </c>
      <c r="E356" s="3" t="inlineStr">
        <is>
          <t>Cirugía Menor</t>
        </is>
      </c>
    </row>
    <row r="357" ht="16" customHeight="1" s="151">
      <c r="A357" s="1" t="inlineStr">
        <is>
          <t>1302071</t>
        </is>
      </c>
      <c r="B357" s="2" t="inlineStr">
        <is>
          <t>5</t>
        </is>
      </c>
      <c r="C357" s="2" t="inlineStr">
        <is>
          <t>Parálisis de cuerdas vocales, trat. quir. cualquier técnica</t>
        </is>
      </c>
      <c r="D357" s="2" t="inlineStr">
        <is>
          <t>Cmay</t>
        </is>
      </c>
      <c r="E357" s="3" t="inlineStr">
        <is>
          <t>Cirugía Mayor</t>
        </is>
      </c>
    </row>
    <row r="358" ht="16" customHeight="1" s="151">
      <c r="A358" s="1" t="inlineStr">
        <is>
          <t>1302072</t>
        </is>
      </c>
      <c r="B358" s="2" t="inlineStr">
        <is>
          <t>5</t>
        </is>
      </c>
      <c r="C358" s="2" t="inlineStr">
        <is>
          <t>Traqueostomía (proc. aut.)</t>
        </is>
      </c>
      <c r="D358" s="2" t="inlineStr">
        <is>
          <t>Cmay</t>
        </is>
      </c>
      <c r="E358" s="3" t="inlineStr">
        <is>
          <t>Cirugía Mayor</t>
        </is>
      </c>
    </row>
    <row r="359" ht="16" customHeight="1" s="151">
      <c r="A359" s="1" t="inlineStr">
        <is>
          <t>1302073</t>
        </is>
      </c>
      <c r="B359" s="2" t="inlineStr">
        <is>
          <t>3</t>
        </is>
      </c>
      <c r="C359" s="2" t="inlineStr">
        <is>
          <t>Estenosis laringotraqueales y faríngeas, trat. quir. por vía endoscópica (incluye laser)</t>
        </is>
      </c>
      <c r="D359" s="2" t="inlineStr">
        <is>
          <t>CMen</t>
        </is>
      </c>
      <c r="E359" s="3" t="inlineStr">
        <is>
          <t>Cirugía Menor</t>
        </is>
      </c>
    </row>
    <row r="360" ht="16" customHeight="1" s="151">
      <c r="A360" s="1" t="inlineStr">
        <is>
          <t>1302074</t>
        </is>
      </c>
      <c r="B360" s="2" t="inlineStr">
        <is>
          <t>12</t>
        </is>
      </c>
      <c r="C360" s="2" t="inlineStr">
        <is>
          <t>Intervención quirúrgica implante coclear</t>
        </is>
      </c>
      <c r="D360" s="2" t="inlineStr">
        <is>
          <t>Cmay</t>
        </is>
      </c>
      <c r="E360" s="3" t="inlineStr">
        <is>
          <t>Cirugía Mayor</t>
        </is>
      </c>
    </row>
    <row r="361" ht="16" customHeight="1" s="151">
      <c r="A361" s="1" t="inlineStr">
        <is>
          <t>1302075</t>
        </is>
      </c>
      <c r="B361" s="2" t="inlineStr">
        <is>
          <t>8</t>
        </is>
      </c>
      <c r="C361" s="2" t="inlineStr">
        <is>
          <t>Fractura laríngea, reducción abierta c/s microplacas</t>
        </is>
      </c>
      <c r="D361" s="2" t="inlineStr">
        <is>
          <t>Cmay</t>
        </is>
      </c>
      <c r="E361" s="3" t="inlineStr">
        <is>
          <t>Cirugía Mayor</t>
        </is>
      </c>
    </row>
    <row r="362" ht="16" customHeight="1" s="151">
      <c r="A362" s="1" t="inlineStr">
        <is>
          <t>1302076</t>
        </is>
      </c>
      <c r="B362" s="2" t="inlineStr">
        <is>
          <t>4</t>
        </is>
      </c>
      <c r="C362" s="2" t="inlineStr">
        <is>
          <t>Punción timpánica para inyección de medicamentos</t>
        </is>
      </c>
      <c r="D362" s="2" t="inlineStr">
        <is>
          <t>CMen</t>
        </is>
      </c>
      <c r="E362" s="3" t="inlineStr">
        <is>
          <t>Cirugía Menor</t>
        </is>
      </c>
    </row>
    <row r="363" ht="16" customHeight="1" s="151">
      <c r="A363" s="1" t="inlineStr">
        <is>
          <t>1302077</t>
        </is>
      </c>
      <c r="B363" s="2" t="inlineStr">
        <is>
          <t>7</t>
        </is>
      </c>
      <c r="C363" s="2" t="inlineStr">
        <is>
          <t>Implante activo de oído medio</t>
        </is>
      </c>
      <c r="D363" s="2" t="inlineStr">
        <is>
          <t>Cmay</t>
        </is>
      </c>
      <c r="E363" s="3" t="inlineStr">
        <is>
          <t>Cirugía Mayor</t>
        </is>
      </c>
    </row>
    <row r="364" ht="16" customHeight="1" s="151">
      <c r="A364" s="1" t="inlineStr">
        <is>
          <t>1302078</t>
        </is>
      </c>
      <c r="B364" s="2" t="inlineStr">
        <is>
          <t>7</t>
        </is>
      </c>
      <c r="C364" s="2" t="inlineStr">
        <is>
          <t>Tumor de conducto auditivo externo, extirpación con reparación (injerto) del conducto</t>
        </is>
      </c>
      <c r="D364" s="2" t="inlineStr">
        <is>
          <t>Cmay</t>
        </is>
      </c>
      <c r="E364" s="3" t="inlineStr">
        <is>
          <t>Cirugía Mayor</t>
        </is>
      </c>
    </row>
    <row r="365" ht="16" customHeight="1" s="151">
      <c r="A365" s="1" t="inlineStr">
        <is>
          <t>1302079</t>
        </is>
      </c>
      <c r="B365" s="2" t="inlineStr">
        <is>
          <t>7</t>
        </is>
      </c>
      <c r="C365" s="2" t="inlineStr">
        <is>
          <t>Aticotomía (excluye timpanoplastia funcional)</t>
        </is>
      </c>
      <c r="D365" s="2" t="inlineStr">
        <is>
          <t>Cmay</t>
        </is>
      </c>
      <c r="E365" s="3" t="inlineStr">
        <is>
          <t>Cirugía Mayor</t>
        </is>
      </c>
    </row>
    <row r="366" ht="16" customHeight="1" s="151">
      <c r="A366" s="1" t="inlineStr">
        <is>
          <t>1302080</t>
        </is>
      </c>
      <c r="B366" s="2" t="inlineStr">
        <is>
          <t>6</t>
        </is>
      </c>
      <c r="C366" s="2" t="inlineStr">
        <is>
          <t>Plastía o dilatación por vía endoscópica trompa de Eustaquio</t>
        </is>
      </c>
      <c r="D366" s="2" t="inlineStr">
        <is>
          <t>Cmay</t>
        </is>
      </c>
      <c r="E366" s="3" t="inlineStr">
        <is>
          <t>Cirugía Mayor</t>
        </is>
      </c>
    </row>
    <row r="367" ht="16" customHeight="1" s="151">
      <c r="A367" s="1" t="inlineStr">
        <is>
          <t>1302081</t>
        </is>
      </c>
      <c r="B367" s="2" t="inlineStr">
        <is>
          <t>7</t>
        </is>
      </c>
      <c r="C367" s="2" t="inlineStr">
        <is>
          <t>Meatoplastía en oído radicalizado</t>
        </is>
      </c>
      <c r="D367" s="2" t="inlineStr">
        <is>
          <t>Cmay</t>
        </is>
      </c>
      <c r="E367" s="3" t="inlineStr">
        <is>
          <t>Cirugía Mayor</t>
        </is>
      </c>
    </row>
    <row r="368" ht="16" customHeight="1" s="151">
      <c r="A368" s="1" t="inlineStr">
        <is>
          <t>1302082</t>
        </is>
      </c>
      <c r="B368" s="2" t="inlineStr">
        <is>
          <t>7</t>
        </is>
      </c>
      <c r="C368" s="2" t="inlineStr">
        <is>
          <t>Reparación de brecha osteomeníngea por vía transtemporal</t>
        </is>
      </c>
      <c r="D368" s="2" t="inlineStr">
        <is>
          <t>Cmay</t>
        </is>
      </c>
      <c r="E368" s="3" t="inlineStr">
        <is>
          <t>Cirugía Mayor</t>
        </is>
      </c>
    </row>
    <row r="369" ht="16" customHeight="1" s="151">
      <c r="A369" s="1" t="inlineStr">
        <is>
          <t>1302083</t>
        </is>
      </c>
      <c r="B369" s="2" t="inlineStr">
        <is>
          <t>8</t>
        </is>
      </c>
      <c r="C369" s="2" t="inlineStr">
        <is>
          <t>Resección subtotal del hueso temporal (incluye tegmen, laberinto y punta de peñasco)</t>
        </is>
      </c>
      <c r="D369" s="2" t="inlineStr">
        <is>
          <t>Cmay</t>
        </is>
      </c>
      <c r="E369" s="3" t="inlineStr">
        <is>
          <t>Cirugía Mayor</t>
        </is>
      </c>
    </row>
    <row r="370" ht="16" customHeight="1" s="151">
      <c r="A370" s="1" t="inlineStr">
        <is>
          <t>1302084</t>
        </is>
      </c>
      <c r="B370" s="2" t="inlineStr">
        <is>
          <t>8</t>
        </is>
      </c>
      <c r="C370" s="2" t="inlineStr">
        <is>
          <t>Resección total del hueso temporal (abordaje combinado orl y neurocirujano)</t>
        </is>
      </c>
      <c r="D370" s="2" t="inlineStr">
        <is>
          <t>Cmay</t>
        </is>
      </c>
      <c r="E370" s="3" t="inlineStr">
        <is>
          <t>Cirugía Mayor</t>
        </is>
      </c>
    </row>
    <row r="371" ht="16" customHeight="1" s="151">
      <c r="A371" s="1" t="inlineStr">
        <is>
          <t>1302085</t>
        </is>
      </c>
      <c r="B371" s="2" t="inlineStr">
        <is>
          <t>7</t>
        </is>
      </c>
      <c r="C371" s="2" t="inlineStr">
        <is>
          <t>Timpanectomía con o sin tubos de ventilación</t>
        </is>
      </c>
      <c r="D371" s="2" t="inlineStr">
        <is>
          <t>Cmay</t>
        </is>
      </c>
      <c r="E371" s="3" t="inlineStr">
        <is>
          <t>Cirugía Mayor</t>
        </is>
      </c>
    </row>
    <row r="372" ht="16" customHeight="1" s="151">
      <c r="A372" s="1" t="inlineStr">
        <is>
          <t>1302086</t>
        </is>
      </c>
      <c r="B372" s="2" t="inlineStr">
        <is>
          <t>7</t>
        </is>
      </c>
      <c r="C372" s="2" t="inlineStr">
        <is>
          <t>Timpanoplastía funcional con reconstrucción de cadena osicular (excluye miringoplastía)</t>
        </is>
      </c>
      <c r="D372" s="2" t="inlineStr">
        <is>
          <t>Cmay</t>
        </is>
      </c>
      <c r="E372" s="3" t="inlineStr">
        <is>
          <t>Cirugía Mayor</t>
        </is>
      </c>
    </row>
    <row r="373" ht="16" customHeight="1" s="151">
      <c r="A373" s="1" t="inlineStr">
        <is>
          <t>1302087</t>
        </is>
      </c>
      <c r="B373" s="2" t="inlineStr">
        <is>
          <t>6</t>
        </is>
      </c>
      <c r="C373" s="2" t="inlineStr">
        <is>
          <t>Timpanotomía exploradora</t>
        </is>
      </c>
      <c r="D373" s="2" t="inlineStr">
        <is>
          <t>Cmay</t>
        </is>
      </c>
      <c r="E373" s="3" t="inlineStr">
        <is>
          <t>Cirugía Mayor</t>
        </is>
      </c>
    </row>
    <row r="374" ht="16" customHeight="1" s="151">
      <c r="A374" s="1" t="inlineStr">
        <is>
          <t>1302088</t>
        </is>
      </c>
      <c r="B374" s="2" t="inlineStr">
        <is>
          <t>6</t>
        </is>
      </c>
      <c r="C374" s="2" t="inlineStr">
        <is>
          <t>Tiroplastia 1-4</t>
        </is>
      </c>
      <c r="D374" s="2" t="inlineStr">
        <is>
          <t>Cmay</t>
        </is>
      </c>
      <c r="E374" s="3" t="inlineStr">
        <is>
          <t>Cirugía Mayor</t>
        </is>
      </c>
    </row>
    <row r="375" ht="16" customHeight="1" s="151">
      <c r="A375" s="1" t="inlineStr">
        <is>
          <t>1302089</t>
        </is>
      </c>
      <c r="B375" s="2" t="inlineStr">
        <is>
          <t>5</t>
        </is>
      </c>
      <c r="C375" s="2" t="inlineStr">
        <is>
          <t>Toma de injerto cartilago tragal</t>
        </is>
      </c>
      <c r="D375" s="2" t="inlineStr">
        <is>
          <t>Cmay</t>
        </is>
      </c>
      <c r="E375" s="3" t="inlineStr">
        <is>
          <t>Cirugía Mayor</t>
        </is>
      </c>
    </row>
    <row r="376" ht="16" customHeight="1" s="151">
      <c r="A376" s="1" t="inlineStr">
        <is>
          <t>1302090</t>
        </is>
      </c>
      <c r="B376" s="2" t="inlineStr">
        <is>
          <t>5</t>
        </is>
      </c>
      <c r="C376" s="2" t="inlineStr">
        <is>
          <t>Toma de injerto fascia temporal</t>
        </is>
      </c>
      <c r="D376" s="2" t="inlineStr">
        <is>
          <t>Cmay</t>
        </is>
      </c>
      <c r="E376" s="3" t="inlineStr">
        <is>
          <t>Cirugía Mayor</t>
        </is>
      </c>
    </row>
    <row r="377" ht="16" customHeight="1" s="151">
      <c r="A377" s="1" t="inlineStr">
        <is>
          <t>1302091</t>
        </is>
      </c>
      <c r="B377" s="2" t="inlineStr">
        <is>
          <t>8</t>
        </is>
      </c>
      <c r="C377" s="2" t="inlineStr">
        <is>
          <t>Tumor glómico petro-tímpano-mástoídeo, tratamiento quirúrgico</t>
        </is>
      </c>
      <c r="D377" s="2" t="inlineStr">
        <is>
          <t>Cmay</t>
        </is>
      </c>
      <c r="E377" s="3" t="inlineStr">
        <is>
          <t>Cirugía Mayor</t>
        </is>
      </c>
    </row>
    <row r="378" ht="16" customHeight="1" s="151">
      <c r="A378" s="1" t="inlineStr">
        <is>
          <t>1302092</t>
        </is>
      </c>
      <c r="B378" s="2" t="inlineStr">
        <is>
          <t>7</t>
        </is>
      </c>
      <c r="C378" s="2" t="inlineStr">
        <is>
          <t>Cirugía de fosa pterigo palatina</t>
        </is>
      </c>
      <c r="D378" s="2" t="inlineStr">
        <is>
          <t>Cmay</t>
        </is>
      </c>
      <c r="E378" s="3" t="inlineStr">
        <is>
          <t>Cirugía Mayor</t>
        </is>
      </c>
    </row>
    <row r="379" ht="16" customHeight="1" s="151">
      <c r="A379" s="1" t="inlineStr">
        <is>
          <t>1302093</t>
        </is>
      </c>
      <c r="B379" s="2" t="inlineStr">
        <is>
          <t>7</t>
        </is>
      </c>
      <c r="C379" s="2" t="inlineStr">
        <is>
          <t>Reparación de válvula nasal</t>
        </is>
      </c>
      <c r="D379" s="2" t="inlineStr">
        <is>
          <t>Cmay</t>
        </is>
      </c>
      <c r="E379" s="3" t="inlineStr">
        <is>
          <t>Cirugía Mayor</t>
        </is>
      </c>
    </row>
    <row r="380" ht="16" customHeight="1" s="151">
      <c r="A380" s="1" t="inlineStr">
        <is>
          <t>1302094</t>
        </is>
      </c>
      <c r="B380" s="2" t="inlineStr">
        <is>
          <t>7</t>
        </is>
      </c>
      <c r="C380" s="2" t="inlineStr">
        <is>
          <t>Resección de tumor de base de cráneo anterior con reparación de duramadre (colgajo pediculado de haddad o similar)</t>
        </is>
      </c>
      <c r="D380" s="2" t="inlineStr">
        <is>
          <t>Cmay</t>
        </is>
      </c>
      <c r="E380" s="3" t="inlineStr">
        <is>
          <t>Cirugía Mayor</t>
        </is>
      </c>
    </row>
    <row r="381" ht="16" customHeight="1" s="151">
      <c r="A381" s="1" t="inlineStr">
        <is>
          <t>1302095</t>
        </is>
      </c>
      <c r="B381" s="2" t="inlineStr">
        <is>
          <t>8</t>
        </is>
      </c>
      <c r="C381" s="2" t="inlineStr">
        <is>
          <t>Resección lateral del hueso temporal (incluye mástoides y conducto auditivo externo en forma circular)</t>
        </is>
      </c>
      <c r="D381" s="2" t="inlineStr">
        <is>
          <t>Cmay</t>
        </is>
      </c>
      <c r="E381" s="3" t="inlineStr">
        <is>
          <t>Cirugía Mayor</t>
        </is>
      </c>
    </row>
    <row r="382" ht="16" customHeight="1" s="151">
      <c r="A382" s="1" t="inlineStr">
        <is>
          <t>1302096</t>
        </is>
      </c>
      <c r="B382" s="2" t="inlineStr">
        <is>
          <t>5</t>
        </is>
      </c>
      <c r="C382" s="2" t="inlineStr">
        <is>
          <t>Tumor benigno nasosinusal y/o rinofaríngeo, resección por vía endoscópica (excluye fibroangioma nasofaríngeo)</t>
        </is>
      </c>
      <c r="D382" s="2" t="inlineStr">
        <is>
          <t>Cmay</t>
        </is>
      </c>
      <c r="E382" s="3" t="inlineStr">
        <is>
          <t>Cirugía Mayor</t>
        </is>
      </c>
    </row>
    <row r="383" ht="16" customHeight="1" s="151">
      <c r="A383" s="1" t="inlineStr">
        <is>
          <t>1302097</t>
        </is>
      </c>
      <c r="B383" s="2" t="inlineStr">
        <is>
          <t>6</t>
        </is>
      </c>
      <c r="C383" s="2" t="inlineStr">
        <is>
          <t>Tumor de espacio parafaríngeo, extirpación</t>
        </is>
      </c>
      <c r="D383" s="2" t="inlineStr">
        <is>
          <t>Cmay</t>
        </is>
      </c>
      <c r="E383" s="3" t="inlineStr">
        <is>
          <t>Cirugía Mayor</t>
        </is>
      </c>
    </row>
    <row r="384" ht="16" customHeight="1" s="151">
      <c r="A384" s="1" t="inlineStr">
        <is>
          <t>1302098</t>
        </is>
      </c>
      <c r="B384" s="2" t="inlineStr">
        <is>
          <t>8</t>
        </is>
      </c>
      <c r="C384" s="2" t="inlineStr">
        <is>
          <t>Tumor maligno nasosinusal y/o rinofaríngeo, tratamiento quirúrgico por vía endoscópica</t>
        </is>
      </c>
      <c r="D384" s="2" t="inlineStr">
        <is>
          <t>Cmay</t>
        </is>
      </c>
      <c r="E384" s="3" t="inlineStr">
        <is>
          <t>Cirugía Mayor</t>
        </is>
      </c>
    </row>
    <row r="385" ht="16" customHeight="1" s="151">
      <c r="A385" s="1" t="inlineStr">
        <is>
          <t>1302099</t>
        </is>
      </c>
      <c r="B385" s="2" t="inlineStr">
        <is>
          <t>5</t>
        </is>
      </c>
      <c r="C385" s="2" t="inlineStr">
        <is>
          <t>Sinuplastía seno frontal con balón por endoscopía u otra técnica</t>
        </is>
      </c>
      <c r="D385" s="2" t="inlineStr">
        <is>
          <t>Cmay</t>
        </is>
      </c>
      <c r="E385" s="3" t="inlineStr">
        <is>
          <t>Cirugía Mayor</t>
        </is>
      </c>
    </row>
    <row r="386" ht="16" customHeight="1" s="151">
      <c r="A386" s="1" t="inlineStr">
        <is>
          <t>1302100</t>
        </is>
      </c>
      <c r="B386" s="2" t="inlineStr">
        <is>
          <t>5</t>
        </is>
      </c>
      <c r="C386" s="2" t="inlineStr">
        <is>
          <t>Sinuplastía seno maxilar con balón por endoscopía u otra técnica</t>
        </is>
      </c>
      <c r="D386" s="2" t="inlineStr">
        <is>
          <t>Cmay</t>
        </is>
      </c>
      <c r="E386" s="3" t="inlineStr">
        <is>
          <t>Cirugía Mayor</t>
        </is>
      </c>
    </row>
    <row r="387" ht="16" customHeight="1" s="151">
      <c r="A387" s="1" t="inlineStr">
        <is>
          <t>1302101</t>
        </is>
      </c>
      <c r="B387" s="2" t="inlineStr">
        <is>
          <t>5</t>
        </is>
      </c>
      <c r="C387" s="2" t="inlineStr">
        <is>
          <t>Sinuplastía seno esfenoidal con balón por endoscopia u otra técnica</t>
        </is>
      </c>
      <c r="D387" s="2" t="inlineStr">
        <is>
          <t>Cmay</t>
        </is>
      </c>
      <c r="E387" s="3" t="inlineStr">
        <is>
          <t>Cirugía Mayor</t>
        </is>
      </c>
    </row>
    <row r="388" ht="16" customHeight="1" s="151">
      <c r="A388" s="1" t="inlineStr">
        <is>
          <t>1302102</t>
        </is>
      </c>
      <c r="B388" s="2" t="inlineStr">
        <is>
          <t>5</t>
        </is>
      </c>
      <c r="C388" s="2" t="inlineStr">
        <is>
          <t>Dacriocistocele reseccion vía nasal</t>
        </is>
      </c>
      <c r="D388" s="2" t="inlineStr">
        <is>
          <t>Cmay</t>
        </is>
      </c>
      <c r="E388" s="3" t="inlineStr">
        <is>
          <t>Cirugía Mayor</t>
        </is>
      </c>
    </row>
    <row r="389" ht="16" customHeight="1" s="151">
      <c r="A389" s="1" t="inlineStr">
        <is>
          <t>1302103</t>
        </is>
      </c>
      <c r="B389" s="2" t="inlineStr">
        <is>
          <t>6</t>
        </is>
      </c>
      <c r="C389" s="2" t="inlineStr">
        <is>
          <t>Abducción de aritenoides, aritenoidopexia</t>
        </is>
      </c>
      <c r="D389" s="2" t="inlineStr">
        <is>
          <t>Cmay</t>
        </is>
      </c>
      <c r="E389" s="3" t="inlineStr">
        <is>
          <t>Cirugía Mayor</t>
        </is>
      </c>
    </row>
    <row r="390" ht="16" customHeight="1" s="151">
      <c r="A390" s="1" t="inlineStr">
        <is>
          <t>1302104</t>
        </is>
      </c>
      <c r="B390" s="2" t="inlineStr">
        <is>
          <t>7</t>
        </is>
      </c>
      <c r="C390" s="2" t="inlineStr">
        <is>
          <t>Cordectomía, sinequia y otras malformaciones, tratatamiento quirúrgico por endoscópica (incluye laser)</t>
        </is>
      </c>
      <c r="D390" s="2" t="inlineStr">
        <is>
          <t>Cmay</t>
        </is>
      </c>
      <c r="E390" s="3" t="inlineStr">
        <is>
          <t>Cirugía Mayor</t>
        </is>
      </c>
    </row>
    <row r="391" ht="16" customHeight="1" s="151">
      <c r="A391" s="1" t="inlineStr">
        <is>
          <t>1302105</t>
        </is>
      </c>
      <c r="B391" s="2" t="inlineStr">
        <is>
          <t>6</t>
        </is>
      </c>
      <c r="C391" s="2" t="inlineStr">
        <is>
          <t>Subluxación articulación cricotiroídea</t>
        </is>
      </c>
      <c r="D391" s="2" t="inlineStr">
        <is>
          <t>Cmay</t>
        </is>
      </c>
      <c r="E391" s="3" t="inlineStr">
        <is>
          <t>Cirugía Mayor</t>
        </is>
      </c>
    </row>
    <row r="392" ht="16" customHeight="1" s="151">
      <c r="A392" s="1" t="inlineStr">
        <is>
          <t>1302106</t>
        </is>
      </c>
      <c r="B392" s="2" t="inlineStr">
        <is>
          <t>10</t>
        </is>
      </c>
      <c r="C392" s="2" t="inlineStr">
        <is>
          <t>Laringectomía parcial endoscópica con láser, incluye cordectomía ampliada (carcinoma supraglótico)</t>
        </is>
      </c>
      <c r="D392" s="2" t="inlineStr">
        <is>
          <t>Cmay</t>
        </is>
      </c>
      <c r="E392" s="3" t="inlineStr">
        <is>
          <t>Cirugía Mayor</t>
        </is>
      </c>
    </row>
    <row r="393" ht="16" customHeight="1" s="151">
      <c r="A393" s="1" t="inlineStr">
        <is>
          <t>1302107</t>
        </is>
      </c>
      <c r="B393" s="2" t="inlineStr">
        <is>
          <t>8</t>
        </is>
      </c>
      <c r="C393" s="2" t="inlineStr">
        <is>
          <t>Laringoplastía por laringomalacia</t>
        </is>
      </c>
      <c r="D393" s="2" t="inlineStr">
        <is>
          <t>Cmay</t>
        </is>
      </c>
      <c r="E393" s="3" t="inlineStr">
        <is>
          <t>Cirugía Mayor</t>
        </is>
      </c>
    </row>
    <row r="394" ht="16" customHeight="1" s="151">
      <c r="A394" s="1" t="inlineStr">
        <is>
          <t>1302108</t>
        </is>
      </c>
      <c r="B394" s="2" t="inlineStr">
        <is>
          <t>5</t>
        </is>
      </c>
      <c r="C394" s="2" t="inlineStr">
        <is>
          <t>Inyección de cuerda vocal vía endoscópica</t>
        </is>
      </c>
      <c r="D394" s="2" t="inlineStr">
        <is>
          <t>Cmay</t>
        </is>
      </c>
      <c r="E394" s="3" t="inlineStr">
        <is>
          <t>Cirugía Mayor</t>
        </is>
      </c>
    </row>
    <row r="395" ht="16" customHeight="1" s="151">
      <c r="A395" s="1" t="inlineStr">
        <is>
          <t>1302109</t>
        </is>
      </c>
      <c r="B395" s="2" t="inlineStr">
        <is>
          <t>5</t>
        </is>
      </c>
      <c r="C395" s="2" t="inlineStr">
        <is>
          <t>Inyección de cuerda vocal vía externa</t>
        </is>
      </c>
      <c r="D395" s="2" t="inlineStr">
        <is>
          <t>Cmay</t>
        </is>
      </c>
      <c r="E395" s="3" t="inlineStr">
        <is>
          <t>Cirugía Mayor</t>
        </is>
      </c>
    </row>
    <row r="396" ht="16" customHeight="1" s="151">
      <c r="A396" s="1" t="inlineStr">
        <is>
          <t>1303010</t>
        </is>
      </c>
      <c r="B396" s="2" t="n"/>
      <c r="C396" s="2" t="inlineStr">
        <is>
          <t>Evaluación Integral de Fonoaudiólogo</t>
        </is>
      </c>
      <c r="D396" s="2" t="inlineStr">
        <is>
          <t>Proc</t>
        </is>
      </c>
      <c r="E396" s="3" t="inlineStr">
        <is>
          <t>Procedimiento</t>
        </is>
      </c>
    </row>
    <row r="397" ht="16" customHeight="1" s="151">
      <c r="A397" s="1" t="inlineStr">
        <is>
          <t>1303011</t>
        </is>
      </c>
      <c r="B397" s="2" t="n"/>
      <c r="C397" s="2" t="inlineStr">
        <is>
          <t>Rehabilitación Integral de Fonoaudiólogo</t>
        </is>
      </c>
      <c r="D397" s="2" t="inlineStr">
        <is>
          <t>Proc</t>
        </is>
      </c>
      <c r="E397" s="3" t="inlineStr">
        <is>
          <t>Procedimiento</t>
        </is>
      </c>
    </row>
    <row r="398" ht="16" customHeight="1" s="151">
      <c r="A398" s="1" t="inlineStr">
        <is>
          <t>1308010</t>
        </is>
      </c>
      <c r="B398" s="2" t="n"/>
      <c r="C398" s="2" t="inlineStr">
        <is>
          <t>Telerehabilitación: Evaluación Integral de Fonoaudiólogo</t>
        </is>
      </c>
      <c r="D398" s="2" t="inlineStr">
        <is>
          <t>Proc</t>
        </is>
      </c>
      <c r="E398" s="3" t="inlineStr">
        <is>
          <t>Procedimiento</t>
        </is>
      </c>
    </row>
    <row r="399" ht="16" customHeight="1" s="151">
      <c r="A399" s="1" t="inlineStr">
        <is>
          <t>1308011</t>
        </is>
      </c>
      <c r="B399" s="2" t="n"/>
      <c r="C399" s="2" t="inlineStr">
        <is>
          <t>Telerehabilitación: Rehabilitación Integral de Fonoaudiólogo</t>
        </is>
      </c>
      <c r="D399" s="2" t="inlineStr">
        <is>
          <t>Proc</t>
        </is>
      </c>
      <c r="E399" s="3" t="inlineStr">
        <is>
          <t>Procedimiento</t>
        </is>
      </c>
    </row>
    <row r="400" ht="16" customHeight="1" s="151">
      <c r="A400" s="1" t="inlineStr">
        <is>
          <t>1401001</t>
        </is>
      </c>
      <c r="B400" s="2" t="n"/>
      <c r="C400" s="2" t="inlineStr">
        <is>
          <t>Punción aspirativa con aguja fina de nódulo tiroideo</t>
        </is>
      </c>
      <c r="D400" s="2" t="inlineStr">
        <is>
          <t>Proc</t>
        </is>
      </c>
      <c r="E400" s="3" t="inlineStr">
        <is>
          <t>Procedimiento</t>
        </is>
      </c>
    </row>
    <row r="401" ht="16" customHeight="1" s="151">
      <c r="A401" s="1" t="inlineStr">
        <is>
          <t>1402001</t>
        </is>
      </c>
      <c r="B401" s="2" t="inlineStr">
        <is>
          <t>7</t>
        </is>
      </c>
      <c r="C401" s="2" t="inlineStr">
        <is>
          <t>Tiroidectomía bilateral total</t>
        </is>
      </c>
      <c r="D401" s="2" t="inlineStr">
        <is>
          <t>Cmay</t>
        </is>
      </c>
      <c r="E401" s="3" t="inlineStr">
        <is>
          <t>Cirugía Mayor</t>
        </is>
      </c>
    </row>
    <row r="402" ht="16" customHeight="1" s="151">
      <c r="A402" s="1" t="inlineStr">
        <is>
          <t>1402002</t>
        </is>
      </c>
      <c r="B402" s="2" t="inlineStr">
        <is>
          <t>7</t>
        </is>
      </c>
      <c r="C402" s="2" t="inlineStr">
        <is>
          <t>Tiroidectomía bilateral subtotal</t>
        </is>
      </c>
      <c r="D402" s="2" t="inlineStr">
        <is>
          <t>Cmay</t>
        </is>
      </c>
      <c r="E402" s="3" t="inlineStr">
        <is>
          <t>Cirugía Mayor</t>
        </is>
      </c>
    </row>
    <row r="403" ht="16" customHeight="1" s="151">
      <c r="A403" s="1" t="inlineStr">
        <is>
          <t>1402003</t>
        </is>
      </c>
      <c r="B403" s="2" t="inlineStr">
        <is>
          <t>9</t>
        </is>
      </c>
      <c r="C403" s="2" t="inlineStr">
        <is>
          <t>Bocio intratorácico, trat. quir. por esternotomía</t>
        </is>
      </c>
      <c r="D403" s="2" t="inlineStr">
        <is>
          <t>Cmay</t>
        </is>
      </c>
      <c r="E403" s="3" t="inlineStr">
        <is>
          <t>Cirugía Mayor</t>
        </is>
      </c>
    </row>
    <row r="404" ht="16" customHeight="1" s="151">
      <c r="A404" s="1" t="inlineStr">
        <is>
          <t>1402004</t>
        </is>
      </c>
      <c r="B404" s="2" t="inlineStr">
        <is>
          <t>9</t>
        </is>
      </c>
      <c r="C404" s="2" t="inlineStr">
        <is>
          <t>Extirpación de Tiroides lingual</t>
        </is>
      </c>
      <c r="D404" s="2" t="inlineStr">
        <is>
          <t>Cmay</t>
        </is>
      </c>
      <c r="E404" s="3" t="inlineStr">
        <is>
          <t>Cirugía Mayor</t>
        </is>
      </c>
    </row>
    <row r="405" ht="16" customHeight="1" s="151">
      <c r="A405" s="1" t="inlineStr">
        <is>
          <t>1402005</t>
        </is>
      </c>
      <c r="B405" s="2" t="inlineStr">
        <is>
          <t>6</t>
        </is>
      </c>
      <c r="C405" s="2" t="inlineStr">
        <is>
          <t>Lobectomía con o sin istmectomía o resección parcial</t>
        </is>
      </c>
      <c r="D405" s="2" t="inlineStr">
        <is>
          <t>Cmay</t>
        </is>
      </c>
      <c r="E405" s="3" t="inlineStr">
        <is>
          <t>Cirugía Mayor</t>
        </is>
      </c>
    </row>
    <row r="406" ht="16" customHeight="1" s="151">
      <c r="A406" s="1" t="inlineStr">
        <is>
          <t>1402006</t>
        </is>
      </c>
      <c r="B406" s="2" t="inlineStr">
        <is>
          <t>9</t>
        </is>
      </c>
      <c r="C406" s="2" t="inlineStr">
        <is>
          <t>Tiroidectomía total ampliada (incluye extirpación de estructuras anatómicas vecinas)</t>
        </is>
      </c>
      <c r="D406" s="2" t="inlineStr">
        <is>
          <t>Cmay</t>
        </is>
      </c>
      <c r="E406" s="3" t="inlineStr">
        <is>
          <t>Cirugía Mayor</t>
        </is>
      </c>
    </row>
    <row r="407" ht="16" customHeight="1" s="151">
      <c r="A407" s="1" t="inlineStr">
        <is>
          <t>1402007</t>
        </is>
      </c>
      <c r="B407" s="2" t="inlineStr">
        <is>
          <t>6</t>
        </is>
      </c>
      <c r="C407" s="2" t="inlineStr">
        <is>
          <t>Autotransplante de paratiroides (operación asociada a algunas de las prestaciones de tiroides y paratiroides)</t>
        </is>
      </c>
      <c r="D407" s="2" t="inlineStr">
        <is>
          <t>Cmay</t>
        </is>
      </c>
      <c r="E407" s="3" t="inlineStr">
        <is>
          <t>Cirugía Mayor</t>
        </is>
      </c>
    </row>
    <row r="408" ht="16" customHeight="1" s="151">
      <c r="A408" s="1" t="inlineStr">
        <is>
          <t>1402008</t>
        </is>
      </c>
      <c r="B408" s="2" t="inlineStr">
        <is>
          <t>9</t>
        </is>
      </c>
      <c r="C408" s="2" t="inlineStr">
        <is>
          <t>Paratiroidectomía o exploración paratiroides con exploración de mediastino, abordaje transtorácico.</t>
        </is>
      </c>
      <c r="D408" s="2" t="inlineStr">
        <is>
          <t>Cmay</t>
        </is>
      </c>
      <c r="E408" s="3" t="inlineStr">
        <is>
          <t>Cirugía Mayor</t>
        </is>
      </c>
    </row>
    <row r="409" ht="16" customHeight="1" s="151">
      <c r="A409" s="1" t="inlineStr">
        <is>
          <t>1402009</t>
        </is>
      </c>
      <c r="B409" s="2" t="inlineStr">
        <is>
          <t>7</t>
        </is>
      </c>
      <c r="C409" s="2" t="inlineStr">
        <is>
          <t>Paratiroidectomía o exploración de paratiroides (abordaje cervical, clásico o mínimamente invasivo)</t>
        </is>
      </c>
      <c r="D409" s="2" t="inlineStr">
        <is>
          <t>Cmay</t>
        </is>
      </c>
      <c r="E409" s="3" t="inlineStr">
        <is>
          <t>Cirugía Mayor</t>
        </is>
      </c>
    </row>
    <row r="410" ht="16" customHeight="1" s="151">
      <c r="A410" s="1" t="inlineStr">
        <is>
          <t>1402010</t>
        </is>
      </c>
      <c r="B410" s="2" t="inlineStr">
        <is>
          <t>9</t>
        </is>
      </c>
      <c r="C410" s="2" t="inlineStr">
        <is>
          <t>Reexploración cervical paratiroides por persistencia o recidiva hiperparatiroidismo</t>
        </is>
      </c>
      <c r="D410" s="2" t="inlineStr">
        <is>
          <t>Cmay</t>
        </is>
      </c>
      <c r="E410" s="3" t="inlineStr">
        <is>
          <t>Cirugía Mayor</t>
        </is>
      </c>
    </row>
    <row r="411" ht="16" customHeight="1" s="151">
      <c r="A411" s="1" t="inlineStr">
        <is>
          <t>1402011</t>
        </is>
      </c>
      <c r="B411" s="2" t="inlineStr">
        <is>
          <t>6</t>
        </is>
      </c>
      <c r="C411" s="2" t="inlineStr">
        <is>
          <t>Parotidectomía suprafacial con disección y preservación del nervio facial</t>
        </is>
      </c>
      <c r="D411" s="2" t="inlineStr">
        <is>
          <t>Cmay</t>
        </is>
      </c>
      <c r="E411" s="3" t="inlineStr">
        <is>
          <t>Cirugía Mayor</t>
        </is>
      </c>
    </row>
    <row r="412" ht="16" customHeight="1" s="151">
      <c r="A412" s="1" t="inlineStr">
        <is>
          <t>1402012</t>
        </is>
      </c>
      <c r="B412" s="2" t="inlineStr">
        <is>
          <t>7</t>
        </is>
      </c>
      <c r="C412" s="2" t="inlineStr">
        <is>
          <t>Parotidectomía total, con disección y preservación del nervio facial.</t>
        </is>
      </c>
      <c r="D412" s="2" t="inlineStr">
        <is>
          <t>Cmay</t>
        </is>
      </c>
      <c r="E412" s="3" t="inlineStr">
        <is>
          <t>Cirugía Mayor</t>
        </is>
      </c>
    </row>
    <row r="413" ht="16" customHeight="1" s="151">
      <c r="A413" s="1" t="inlineStr">
        <is>
          <t>1402013</t>
        </is>
      </c>
      <c r="B413" s="2" t="inlineStr">
        <is>
          <t>9</t>
        </is>
      </c>
      <c r="C413" s="2" t="inlineStr">
        <is>
          <t>Parotidectomía total ampliada (incluye músculos, ganglios, articulaciones y rama vertical de la mandíbula)</t>
        </is>
      </c>
      <c r="D413" s="2" t="inlineStr">
        <is>
          <t>Cmay</t>
        </is>
      </c>
      <c r="E413" s="3" t="inlineStr">
        <is>
          <t>Cirugía Mayor</t>
        </is>
      </c>
    </row>
    <row r="414" ht="16" customHeight="1" s="151">
      <c r="A414" s="1" t="inlineStr">
        <is>
          <t>1402014</t>
        </is>
      </c>
      <c r="B414" s="2" t="inlineStr">
        <is>
          <t>9</t>
        </is>
      </c>
      <c r="C414" s="2" t="inlineStr">
        <is>
          <t>Totalización de parotidectomía previa o parotidectomía del lóbulo profundo</t>
        </is>
      </c>
      <c r="D414" s="2" t="inlineStr">
        <is>
          <t>Cmay</t>
        </is>
      </c>
      <c r="E414" s="3" t="inlineStr">
        <is>
          <t>Cirugía Mayor</t>
        </is>
      </c>
    </row>
    <row r="415" ht="16" customHeight="1" s="151">
      <c r="A415" s="1" t="inlineStr">
        <is>
          <t>1402015</t>
        </is>
      </c>
      <c r="B415" s="2" t="inlineStr">
        <is>
          <t>8</t>
        </is>
      </c>
      <c r="C415" s="2" t="inlineStr">
        <is>
          <t>Extirpación submandibular ampliada (incluye piso de boca, arco mandibular, músculos y articulaciones)</t>
        </is>
      </c>
      <c r="D415" s="2" t="inlineStr">
        <is>
          <t>Cmay</t>
        </is>
      </c>
      <c r="E415" s="3" t="inlineStr">
        <is>
          <t>Cirugía Mayor</t>
        </is>
      </c>
    </row>
    <row r="416" ht="16" customHeight="1" s="151">
      <c r="A416" s="1" t="inlineStr">
        <is>
          <t>1402016</t>
        </is>
      </c>
      <c r="B416" s="2" t="inlineStr">
        <is>
          <t>6</t>
        </is>
      </c>
      <c r="C416" s="2" t="inlineStr">
        <is>
          <t>Extirpación de glándula salival submandibular</t>
        </is>
      </c>
      <c r="D416" s="2" t="inlineStr">
        <is>
          <t>Cmay</t>
        </is>
      </c>
      <c r="E416" s="3" t="inlineStr">
        <is>
          <t>Cirugía Mayor</t>
        </is>
      </c>
    </row>
    <row r="417" ht="16" customHeight="1" s="151">
      <c r="A417" s="1" t="inlineStr">
        <is>
          <t>1402017</t>
        </is>
      </c>
      <c r="B417" s="2" t="inlineStr">
        <is>
          <t>5</t>
        </is>
      </c>
      <c r="C417" s="2" t="inlineStr">
        <is>
          <t>Extirpación glándula salival sublingual</t>
        </is>
      </c>
      <c r="D417" s="2" t="inlineStr">
        <is>
          <t>Cmay</t>
        </is>
      </c>
      <c r="E417" s="3" t="inlineStr">
        <is>
          <t>Cirugía Mayor</t>
        </is>
      </c>
    </row>
    <row r="418" ht="16" customHeight="1" s="151">
      <c r="A418" s="1" t="inlineStr">
        <is>
          <t>1402018</t>
        </is>
      </c>
      <c r="B418" s="2" t="inlineStr">
        <is>
          <t>8</t>
        </is>
      </c>
      <c r="C418" s="2" t="inlineStr">
        <is>
          <t>Extirpación sublingual ampliada (incluye piso de boca, arco mandibular, músculos, ganglios y articulaciones)</t>
        </is>
      </c>
      <c r="D418" s="2" t="inlineStr">
        <is>
          <t>Cmay</t>
        </is>
      </c>
      <c r="E418" s="3" t="inlineStr">
        <is>
          <t>Cirugía Mayor</t>
        </is>
      </c>
    </row>
    <row r="419" ht="16" customHeight="1" s="151">
      <c r="A419" s="1" t="inlineStr">
        <is>
          <t>1402019</t>
        </is>
      </c>
      <c r="B419" s="2" t="inlineStr">
        <is>
          <t>3</t>
        </is>
      </c>
      <c r="C419" s="2" t="inlineStr">
        <is>
          <t>Absceso parotídeo, sub-maxilar y/o cervical profundo, trat. quir.</t>
        </is>
      </c>
      <c r="D419" s="2" t="inlineStr">
        <is>
          <t>CMen</t>
        </is>
      </c>
      <c r="E419" s="3" t="inlineStr">
        <is>
          <t>Cirugía Menor</t>
        </is>
      </c>
    </row>
    <row r="420" ht="16" customHeight="1" s="151">
      <c r="A420" s="1" t="inlineStr">
        <is>
          <t>1402020</t>
        </is>
      </c>
      <c r="B420" s="2" t="inlineStr">
        <is>
          <t>5</t>
        </is>
      </c>
      <c r="C420" s="2" t="inlineStr">
        <is>
          <t>Conductos salivales de excreción, reimplantación oro-faríngea</t>
        </is>
      </c>
      <c r="D420" s="2" t="inlineStr">
        <is>
          <t>Cmay</t>
        </is>
      </c>
      <c r="E420" s="3" t="inlineStr">
        <is>
          <t>Cirugía Mayor</t>
        </is>
      </c>
    </row>
    <row r="421" ht="16" customHeight="1" s="151">
      <c r="A421" s="1" t="inlineStr">
        <is>
          <t>1402021</t>
        </is>
      </c>
      <c r="B421" s="2" t="inlineStr">
        <is>
          <t>3</t>
        </is>
      </c>
      <c r="C421" s="2" t="inlineStr">
        <is>
          <t>Cierre de fístula salival: reparación del conducto de excreción</t>
        </is>
      </c>
      <c r="D421" s="2" t="inlineStr">
        <is>
          <t>CMen</t>
        </is>
      </c>
      <c r="E421" s="3" t="inlineStr">
        <is>
          <t>Cirugía Menor</t>
        </is>
      </c>
    </row>
    <row r="422" ht="16" customHeight="1" s="151">
      <c r="A422" s="1" t="inlineStr">
        <is>
          <t>1402022</t>
        </is>
      </c>
      <c r="B422" s="2" t="inlineStr">
        <is>
          <t>2</t>
        </is>
      </c>
      <c r="C422" s="2" t="inlineStr">
        <is>
          <t>Extirpación de quiste o mucocele de glándula salival menor de labios</t>
        </is>
      </c>
      <c r="D422" s="2" t="inlineStr">
        <is>
          <t>CMen</t>
        </is>
      </c>
      <c r="E422" s="3" t="inlineStr">
        <is>
          <t>Cirugía Menor</t>
        </is>
      </c>
    </row>
    <row r="423" ht="16" customHeight="1" s="151">
      <c r="A423" s="1" t="inlineStr">
        <is>
          <t>1402023</t>
        </is>
      </c>
      <c r="B423" s="2" t="inlineStr">
        <is>
          <t>6</t>
        </is>
      </c>
      <c r="C423" s="2" t="inlineStr">
        <is>
          <t>Tratamiento quirúrgico Torticolis Congénita</t>
        </is>
      </c>
      <c r="D423" s="2" t="inlineStr">
        <is>
          <t>Cmay</t>
        </is>
      </c>
      <c r="E423" s="3" t="inlineStr">
        <is>
          <t>Cirugía Mayor</t>
        </is>
      </c>
    </row>
    <row r="424" ht="16" customHeight="1" s="151">
      <c r="A424" s="1" t="inlineStr">
        <is>
          <t>1402024</t>
        </is>
      </c>
      <c r="B424" s="2" t="inlineStr">
        <is>
          <t>6</t>
        </is>
      </c>
      <c r="C424" s="2" t="inlineStr">
        <is>
          <t>Quistes y/o fístulas del conducto tirogloso, y/o branquial, y/o higroma, y/o fístula preauricular complicada, y/u otros quistes y/o tumores benignos, trat. quir.</t>
        </is>
      </c>
      <c r="D424" s="2" t="inlineStr">
        <is>
          <t>Cmay</t>
        </is>
      </c>
      <c r="E424" s="3" t="inlineStr">
        <is>
          <t>Cirugía Mayor</t>
        </is>
      </c>
    </row>
    <row r="425" ht="16" customHeight="1" s="151">
      <c r="A425" s="1" t="inlineStr">
        <is>
          <t>1402025</t>
        </is>
      </c>
      <c r="B425" s="2" t="inlineStr">
        <is>
          <t>7</t>
        </is>
      </c>
      <c r="C425" s="2" t="inlineStr">
        <is>
          <t>Tumores del cuerpo carotídeo, trat. quir. (incl. proc. vascular)</t>
        </is>
      </c>
      <c r="D425" s="2" t="inlineStr">
        <is>
          <t>Cmay</t>
        </is>
      </c>
      <c r="E425" s="3" t="inlineStr">
        <is>
          <t>Cirugía Mayor</t>
        </is>
      </c>
    </row>
    <row r="426" ht="16" customHeight="1" s="151">
      <c r="A426" s="1" t="inlineStr">
        <is>
          <t>1402026</t>
        </is>
      </c>
      <c r="B426" s="2" t="inlineStr">
        <is>
          <t>2</t>
        </is>
      </c>
      <c r="C426" s="2" t="inlineStr">
        <is>
          <t>Biopsia quir., mucosa oronasofaríngea (proc. aut.)</t>
        </is>
      </c>
      <c r="D426" s="2" t="inlineStr">
        <is>
          <t>CMen</t>
        </is>
      </c>
      <c r="E426" s="3" t="inlineStr">
        <is>
          <t>Cirugía Menor</t>
        </is>
      </c>
    </row>
    <row r="427" ht="16" customHeight="1" s="151">
      <c r="A427" s="1" t="inlineStr">
        <is>
          <t>1402027</t>
        </is>
      </c>
      <c r="B427" s="2" t="inlineStr">
        <is>
          <t>2</t>
        </is>
      </c>
      <c r="C427" s="2" t="inlineStr">
        <is>
          <t>Biopsia quir., piel  y mucosa cara (proc. aut.)</t>
        </is>
      </c>
      <c r="D427" s="2" t="inlineStr">
        <is>
          <t>CMen</t>
        </is>
      </c>
      <c r="E427" s="3" t="inlineStr">
        <is>
          <t>Cirugía Menor</t>
        </is>
      </c>
    </row>
    <row r="428" ht="16" customHeight="1" s="151">
      <c r="A428" s="1" t="inlineStr">
        <is>
          <t>1402028</t>
        </is>
      </c>
      <c r="B428" s="2" t="inlineStr">
        <is>
          <t>6</t>
        </is>
      </c>
      <c r="C428" s="2" t="inlineStr">
        <is>
          <t>Resección cutánea ampliada (incluye musculatura, ganglios y huesos subyacentes; desplazamiento de colgajos)</t>
        </is>
      </c>
      <c r="D428" s="2" t="inlineStr">
        <is>
          <t>Cmay</t>
        </is>
      </c>
      <c r="E428" s="3" t="inlineStr">
        <is>
          <t>Cirugía Mayor</t>
        </is>
      </c>
    </row>
    <row r="429" ht="16" customHeight="1" s="151">
      <c r="A429" s="1" t="inlineStr">
        <is>
          <t>1402029</t>
        </is>
      </c>
      <c r="B429" s="2" t="inlineStr">
        <is>
          <t>3</t>
        </is>
      </c>
      <c r="C429" s="2" t="inlineStr">
        <is>
          <t>Resección cutánea simple (sutura primaria)</t>
        </is>
      </c>
      <c r="D429" s="2" t="inlineStr">
        <is>
          <t>CMen</t>
        </is>
      </c>
      <c r="E429" s="3" t="inlineStr">
        <is>
          <t>Cirugía Menor</t>
        </is>
      </c>
    </row>
    <row r="430" ht="16" customHeight="1" s="151">
      <c r="A430" s="1" t="inlineStr">
        <is>
          <t>1402030</t>
        </is>
      </c>
      <c r="B430" s="2" t="inlineStr">
        <is>
          <t>6</t>
        </is>
      </c>
      <c r="C430" s="2" t="inlineStr">
        <is>
          <t>Tumor maligno de labio superior o inferior, resección total del labio y cirugía reparadora</t>
        </is>
      </c>
      <c r="D430" s="2" t="inlineStr">
        <is>
          <t>Cmay</t>
        </is>
      </c>
      <c r="E430" s="3" t="inlineStr">
        <is>
          <t>Cirugía Mayor</t>
        </is>
      </c>
    </row>
    <row r="431" ht="16" customHeight="1" s="151">
      <c r="A431" s="1" t="inlineStr">
        <is>
          <t>1402031</t>
        </is>
      </c>
      <c r="B431" s="2" t="inlineStr">
        <is>
          <t>6</t>
        </is>
      </c>
      <c r="C431" s="2" t="inlineStr">
        <is>
          <t>Tumor maligno de labio superior o inferior, resección parcial del labio y cirugía reparadora</t>
        </is>
      </c>
      <c r="D431" s="2" t="inlineStr">
        <is>
          <t>Cmay</t>
        </is>
      </c>
      <c r="E431" s="3" t="inlineStr">
        <is>
          <t>Cirugía Mayor</t>
        </is>
      </c>
    </row>
    <row r="432" ht="16" customHeight="1" s="151">
      <c r="A432" s="1" t="inlineStr">
        <is>
          <t>1402032</t>
        </is>
      </c>
      <c r="B432" s="2" t="inlineStr">
        <is>
          <t>5</t>
        </is>
      </c>
      <c r="C432" s="2" t="inlineStr">
        <is>
          <t>Resección parcial y cirugía reparadora nariz</t>
        </is>
      </c>
      <c r="D432" s="2" t="inlineStr">
        <is>
          <t>Cmay</t>
        </is>
      </c>
      <c r="E432" s="3" t="inlineStr">
        <is>
          <t>Cirugía Mayor</t>
        </is>
      </c>
    </row>
    <row r="433" ht="16" customHeight="1" s="151">
      <c r="A433" s="1" t="inlineStr">
        <is>
          <t>1402033</t>
        </is>
      </c>
      <c r="B433" s="2" t="inlineStr">
        <is>
          <t>6</t>
        </is>
      </c>
      <c r="C433" s="2" t="inlineStr">
        <is>
          <t>Resección total y cirugía reparadora nariz</t>
        </is>
      </c>
      <c r="D433" s="2" t="inlineStr">
        <is>
          <t>Cmay</t>
        </is>
      </c>
      <c r="E433" s="3" t="inlineStr">
        <is>
          <t>Cirugía Mayor</t>
        </is>
      </c>
    </row>
    <row r="434" ht="16" customHeight="1" s="151">
      <c r="A434" s="1" t="inlineStr">
        <is>
          <t>1402034</t>
        </is>
      </c>
      <c r="B434" s="2" t="inlineStr">
        <is>
          <t>8</t>
        </is>
      </c>
      <c r="C434" s="2" t="inlineStr">
        <is>
          <t>Extirpación ampliada de nariz incluyendo parte esqueleto facial (naso-etmoidiana)</t>
        </is>
      </c>
      <c r="D434" s="2" t="inlineStr">
        <is>
          <t>Cmay</t>
        </is>
      </c>
      <c r="E434" s="3" t="inlineStr">
        <is>
          <t>Cirugía Mayor</t>
        </is>
      </c>
    </row>
    <row r="435" ht="16" customHeight="1" s="151">
      <c r="A435" s="1" t="inlineStr">
        <is>
          <t>1402035</t>
        </is>
      </c>
      <c r="B435" s="2" t="inlineStr">
        <is>
          <t>12</t>
        </is>
      </c>
      <c r="C435" s="2" t="inlineStr">
        <is>
          <t>Exanteración orbitaria ampliada (incluye etmoides, hueso frontal, base de cráneo anterior y región máxilo-malar)</t>
        </is>
      </c>
      <c r="D435" s="2" t="inlineStr">
        <is>
          <t>Cmay</t>
        </is>
      </c>
      <c r="E435" s="3" t="inlineStr">
        <is>
          <t>Cirugía Mayor</t>
        </is>
      </c>
    </row>
    <row r="436" ht="16" customHeight="1" s="151">
      <c r="A436" s="1" t="inlineStr">
        <is>
          <t>1402036</t>
        </is>
      </c>
      <c r="B436" s="2" t="inlineStr">
        <is>
          <t>11</t>
        </is>
      </c>
      <c r="C436" s="2" t="inlineStr">
        <is>
          <t>Extirpación total ampliada del hueso temporal</t>
        </is>
      </c>
      <c r="D436" s="2" t="inlineStr">
        <is>
          <t>Cmay</t>
        </is>
      </c>
      <c r="E436" s="3" t="inlineStr">
        <is>
          <t>Cirugía Mayor</t>
        </is>
      </c>
    </row>
    <row r="437" ht="16" customHeight="1" s="151">
      <c r="A437" s="1" t="inlineStr">
        <is>
          <t>1402037</t>
        </is>
      </c>
      <c r="B437" s="2" t="inlineStr">
        <is>
          <t>7</t>
        </is>
      </c>
      <c r="C437" s="2" t="inlineStr">
        <is>
          <t>Maxilectomia parcial y reparación protésica</t>
        </is>
      </c>
      <c r="D437" s="2" t="inlineStr">
        <is>
          <t>Cmay</t>
        </is>
      </c>
      <c r="E437" s="3" t="inlineStr">
        <is>
          <t>Cirugía Mayor</t>
        </is>
      </c>
    </row>
    <row r="438" ht="16" customHeight="1" s="151">
      <c r="A438" s="1" t="inlineStr">
        <is>
          <t>1402038</t>
        </is>
      </c>
      <c r="B438" s="2" t="inlineStr">
        <is>
          <t>7</t>
        </is>
      </c>
      <c r="C438" s="2" t="inlineStr">
        <is>
          <t>Maxilectomía parcial (incluye paladar óseo; reparación con colgajo)</t>
        </is>
      </c>
      <c r="D438" s="2" t="inlineStr">
        <is>
          <t>Cmay</t>
        </is>
      </c>
      <c r="E438" s="3" t="inlineStr">
        <is>
          <t>Cirugía Mayor</t>
        </is>
      </c>
    </row>
    <row r="439" ht="16" customHeight="1" s="151">
      <c r="A439" s="1" t="inlineStr">
        <is>
          <t>1402039</t>
        </is>
      </c>
      <c r="B439" s="2" t="inlineStr">
        <is>
          <t>12</t>
        </is>
      </c>
      <c r="C439" s="2" t="inlineStr">
        <is>
          <t>Maxilectomía radical ampliada (incluye exanteración orbitaria y de fosa craneal anterior o media)</t>
        </is>
      </c>
      <c r="D439" s="2" t="inlineStr">
        <is>
          <t>Cmay</t>
        </is>
      </c>
      <c r="E439" s="3" t="inlineStr">
        <is>
          <t>Cirugía Mayor</t>
        </is>
      </c>
    </row>
    <row r="440" ht="16" customHeight="1" s="151">
      <c r="A440" s="1" t="inlineStr">
        <is>
          <t>1402040</t>
        </is>
      </c>
      <c r="B440" s="2" t="inlineStr">
        <is>
          <t>10</t>
        </is>
      </c>
      <c r="C440" s="2" t="inlineStr">
        <is>
          <t>Maxilectomía radical clásica (incluye exanteración orbitaria y reparación con colgajo)</t>
        </is>
      </c>
      <c r="D440" s="2" t="inlineStr">
        <is>
          <t>Cmay</t>
        </is>
      </c>
      <c r="E440" s="3" t="inlineStr">
        <is>
          <t>Cirugía Mayor</t>
        </is>
      </c>
    </row>
    <row r="441" ht="16" customHeight="1" s="151">
      <c r="A441" s="1" t="inlineStr">
        <is>
          <t>1402041</t>
        </is>
      </c>
      <c r="B441" s="2" t="inlineStr">
        <is>
          <t>10</t>
        </is>
      </c>
      <c r="C441" s="2" t="inlineStr">
        <is>
          <t>Maxilectomía radical clásica (incluye exanteración orbitaria y reparación protésica)</t>
        </is>
      </c>
      <c r="D441" s="2" t="inlineStr">
        <is>
          <t>Cmay</t>
        </is>
      </c>
      <c r="E441" s="3" t="inlineStr">
        <is>
          <t>Cirugía Mayor</t>
        </is>
      </c>
    </row>
    <row r="442" ht="16" customHeight="1" s="151">
      <c r="A442" s="1" t="inlineStr">
        <is>
          <t>1402042</t>
        </is>
      </c>
      <c r="B442" s="2" t="inlineStr">
        <is>
          <t>6</t>
        </is>
      </c>
      <c r="C442" s="2" t="inlineStr">
        <is>
          <t>Glosectomía parcial, reparación primaria</t>
        </is>
      </c>
      <c r="D442" s="2" t="inlineStr">
        <is>
          <t>Cmay</t>
        </is>
      </c>
      <c r="E442" s="3" t="inlineStr">
        <is>
          <t>Cirugía Mayor</t>
        </is>
      </c>
    </row>
    <row r="443" ht="16" customHeight="1" s="151">
      <c r="A443" s="1" t="inlineStr">
        <is>
          <t>1402043</t>
        </is>
      </c>
      <c r="B443" s="2" t="inlineStr">
        <is>
          <t>7</t>
        </is>
      </c>
      <c r="C443" s="2" t="inlineStr">
        <is>
          <t>Resección amplia de tumor maligno cavidad oral y orofaringea y disección ganglionar cervical</t>
        </is>
      </c>
      <c r="D443" s="2" t="inlineStr">
        <is>
          <t>Cmay</t>
        </is>
      </c>
      <c r="E443" s="3" t="inlineStr">
        <is>
          <t>Cirugía Mayor</t>
        </is>
      </c>
    </row>
    <row r="444" ht="16" customHeight="1" s="151">
      <c r="A444" s="1" t="inlineStr">
        <is>
          <t>1402044</t>
        </is>
      </c>
      <c r="B444" s="2" t="inlineStr">
        <is>
          <t>7</t>
        </is>
      </c>
      <c r="C444" s="2" t="inlineStr">
        <is>
          <t>Hemimandibulectomía</t>
        </is>
      </c>
      <c r="D444" s="2" t="inlineStr">
        <is>
          <t>Cmay</t>
        </is>
      </c>
      <c r="E444" s="3" t="inlineStr">
        <is>
          <t>Cirugía Mayor</t>
        </is>
      </c>
    </row>
    <row r="445" ht="16" customHeight="1" s="151">
      <c r="A445" s="1" t="inlineStr">
        <is>
          <t>1402045</t>
        </is>
      </c>
      <c r="B445" s="2" t="inlineStr">
        <is>
          <t>9</t>
        </is>
      </c>
      <c r="C445" s="2" t="inlineStr">
        <is>
          <t>Mandibulectomía total</t>
        </is>
      </c>
      <c r="D445" s="2" t="inlineStr">
        <is>
          <t>Cmay</t>
        </is>
      </c>
      <c r="E445" s="3" t="inlineStr">
        <is>
          <t>Cirugía Mayor</t>
        </is>
      </c>
    </row>
    <row r="446" ht="16" customHeight="1" s="151">
      <c r="A446" s="1" t="inlineStr">
        <is>
          <t>1402046</t>
        </is>
      </c>
      <c r="B446" s="2" t="inlineStr">
        <is>
          <t>13</t>
        </is>
      </c>
      <c r="C446" s="2" t="inlineStr">
        <is>
          <t>Operación "comando" (incluye extirp. del tumor, hemimandibulectomía y disección ganglionar radical de cuello)</t>
        </is>
      </c>
      <c r="D446" s="2" t="inlineStr">
        <is>
          <t>Cmay</t>
        </is>
      </c>
      <c r="E446" s="3" t="inlineStr">
        <is>
          <t>Cirugía Mayor</t>
        </is>
      </c>
    </row>
    <row r="447" ht="16" customHeight="1" s="151">
      <c r="A447" s="1" t="inlineStr">
        <is>
          <t>1402047</t>
        </is>
      </c>
      <c r="B447" s="2" t="inlineStr">
        <is>
          <t>5</t>
        </is>
      </c>
      <c r="C447" s="2" t="inlineStr">
        <is>
          <t>Resección parcial de mandíbula</t>
        </is>
      </c>
      <c r="D447" s="2" t="inlineStr">
        <is>
          <t>Cmay</t>
        </is>
      </c>
      <c r="E447" s="3" t="inlineStr">
        <is>
          <t>Cirugía Mayor</t>
        </is>
      </c>
    </row>
    <row r="448" ht="16" customHeight="1" s="151">
      <c r="A448" s="1" t="inlineStr">
        <is>
          <t>1402048</t>
        </is>
      </c>
      <c r="B448" s="2" t="inlineStr">
        <is>
          <t>8</t>
        </is>
      </c>
      <c r="C448" s="2" t="inlineStr">
        <is>
          <t>Extirpación de tumor intraoral amplia en tercio posterior cavidad oral (región faringea)</t>
        </is>
      </c>
      <c r="D448" s="2" t="inlineStr">
        <is>
          <t>Cmay</t>
        </is>
      </c>
      <c r="E448" s="3" t="inlineStr">
        <is>
          <t>Cirugía Mayor</t>
        </is>
      </c>
    </row>
    <row r="449" ht="16" customHeight="1" s="151">
      <c r="A449" s="1" t="inlineStr">
        <is>
          <t>1402050</t>
        </is>
      </c>
      <c r="B449" s="2" t="inlineStr">
        <is>
          <t>6</t>
        </is>
      </c>
      <c r="C449" s="2" t="inlineStr">
        <is>
          <t>Faringectomía parcial</t>
        </is>
      </c>
      <c r="D449" s="2" t="inlineStr">
        <is>
          <t>Cmay</t>
        </is>
      </c>
      <c r="E449" s="3" t="inlineStr">
        <is>
          <t>Cirugía Mayor</t>
        </is>
      </c>
    </row>
    <row r="450" ht="16" customHeight="1" s="151">
      <c r="A450" s="1" t="inlineStr">
        <is>
          <t>1402051</t>
        </is>
      </c>
      <c r="B450" s="2" t="inlineStr">
        <is>
          <t>6</t>
        </is>
      </c>
      <c r="C450" s="2" t="inlineStr">
        <is>
          <t>Genioplastía</t>
        </is>
      </c>
      <c r="D450" s="2" t="inlineStr">
        <is>
          <t>Cmay</t>
        </is>
      </c>
      <c r="E450" s="3" t="inlineStr">
        <is>
          <t>Cirugía Mayor</t>
        </is>
      </c>
    </row>
    <row r="451" ht="16" customHeight="1" s="151">
      <c r="A451" s="1" t="inlineStr">
        <is>
          <t>1402052</t>
        </is>
      </c>
      <c r="B451" s="2" t="inlineStr">
        <is>
          <t>6</t>
        </is>
      </c>
      <c r="C451" s="2" t="inlineStr">
        <is>
          <t>Osteotomias segmentarias del maxilar o mandíbula</t>
        </is>
      </c>
      <c r="D451" s="2" t="inlineStr">
        <is>
          <t>Cmay</t>
        </is>
      </c>
      <c r="E451" s="3" t="inlineStr">
        <is>
          <t>Cirugía Mayor</t>
        </is>
      </c>
    </row>
    <row r="452" ht="16" customHeight="1" s="151">
      <c r="A452" s="1" t="inlineStr">
        <is>
          <t>1402053</t>
        </is>
      </c>
      <c r="B452" s="2" t="inlineStr">
        <is>
          <t>7</t>
        </is>
      </c>
      <c r="C452" s="2" t="inlineStr">
        <is>
          <t>Osteotomias totales del maxilar o mandibula (tipo Le Fort I o sagital de rama)</t>
        </is>
      </c>
      <c r="D452" s="2" t="inlineStr">
        <is>
          <t>Cmay</t>
        </is>
      </c>
      <c r="E452" s="3" t="inlineStr">
        <is>
          <t>Cirugía Mayor</t>
        </is>
      </c>
    </row>
    <row r="453" ht="16" customHeight="1" s="151">
      <c r="A453" s="1" t="inlineStr">
        <is>
          <t>1402054</t>
        </is>
      </c>
      <c r="B453" s="2" t="inlineStr">
        <is>
          <t>4</t>
        </is>
      </c>
      <c r="C453" s="2" t="inlineStr">
        <is>
          <t>Reducción cerrada de fracturas maxilofaciales</t>
        </is>
      </c>
      <c r="D453" s="2" t="inlineStr">
        <is>
          <t>CMen</t>
        </is>
      </c>
      <c r="E453" s="3" t="inlineStr">
        <is>
          <t>Cirugía Menor</t>
        </is>
      </c>
    </row>
    <row r="454" ht="16" customHeight="1" s="151">
      <c r="A454" s="1" t="inlineStr">
        <is>
          <t>1402055</t>
        </is>
      </c>
      <c r="B454" s="2" t="inlineStr">
        <is>
          <t>5</t>
        </is>
      </c>
      <c r="C454" s="2" t="inlineStr">
        <is>
          <t>Reducción abierta de fracturas maxilofaciales y estabilización con elementos de osteosíntesis</t>
        </is>
      </c>
      <c r="D454" s="2" t="inlineStr">
        <is>
          <t>Cmay</t>
        </is>
      </c>
      <c r="E454" s="3" t="inlineStr">
        <is>
          <t>Cirugía Mayor</t>
        </is>
      </c>
    </row>
    <row r="455" ht="16" customHeight="1" s="151">
      <c r="A455" s="1" t="inlineStr">
        <is>
          <t>1402056</t>
        </is>
      </c>
      <c r="B455" s="2" t="inlineStr">
        <is>
          <t>4</t>
        </is>
      </c>
      <c r="C455" s="2" t="inlineStr">
        <is>
          <t>Reducción abierta de fracturas maxilofaciales con osteosíntesis única</t>
        </is>
      </c>
      <c r="D455" s="2" t="inlineStr">
        <is>
          <t>CMen</t>
        </is>
      </c>
      <c r="E455" s="3" t="inlineStr">
        <is>
          <t>Cirugía Menor</t>
        </is>
      </c>
    </row>
    <row r="456" ht="16" customHeight="1" s="151">
      <c r="A456" s="1" t="inlineStr">
        <is>
          <t>1402057</t>
        </is>
      </c>
      <c r="B456" s="2" t="inlineStr">
        <is>
          <t>10</t>
        </is>
      </c>
      <c r="C456" s="2" t="inlineStr">
        <is>
          <t>Reconstrucciones complejas de la cara simultáneas con proc. neuroquirúrgico (craneotomías más abordajes y trat. facial), tiempo facial</t>
        </is>
      </c>
      <c r="D456" s="2" t="inlineStr">
        <is>
          <t>Cmay</t>
        </is>
      </c>
      <c r="E456" s="3" t="inlineStr">
        <is>
          <t>Cirugía Mayor</t>
        </is>
      </c>
    </row>
    <row r="457" ht="16" customHeight="1" s="151">
      <c r="A457" s="1" t="inlineStr">
        <is>
          <t>1402058</t>
        </is>
      </c>
      <c r="B457" s="2" t="inlineStr">
        <is>
          <t>7</t>
        </is>
      </c>
      <c r="C457" s="2" t="inlineStr">
        <is>
          <t>Reconstrucciones de partes duras y blandas de la cara, mediante abordajes múltiples y hemicoronal o coronal</t>
        </is>
      </c>
      <c r="D457" s="2" t="inlineStr">
        <is>
          <t>Cmay</t>
        </is>
      </c>
      <c r="E457" s="3" t="inlineStr">
        <is>
          <t>Cirugía Mayor</t>
        </is>
      </c>
    </row>
    <row r="458" ht="16" customHeight="1" s="151">
      <c r="A458" s="1" t="inlineStr">
        <is>
          <t>1402059</t>
        </is>
      </c>
      <c r="B458" s="2" t="inlineStr">
        <is>
          <t>4</t>
        </is>
      </c>
      <c r="C458" s="2" t="inlineStr">
        <is>
          <t>Remoción de arcos dentarios o ligaduras de alambre</t>
        </is>
      </c>
      <c r="D458" s="2" t="inlineStr">
        <is>
          <t>CMen</t>
        </is>
      </c>
      <c r="E458" s="3" t="inlineStr">
        <is>
          <t>Cirugía Menor</t>
        </is>
      </c>
    </row>
    <row r="459" ht="16" customHeight="1" s="151">
      <c r="A459" s="1" t="inlineStr">
        <is>
          <t>1402060</t>
        </is>
      </c>
      <c r="B459" s="2" t="inlineStr">
        <is>
          <t>3</t>
        </is>
      </c>
      <c r="C459" s="2" t="inlineStr">
        <is>
          <t>Remoción simple (proc.aut.)</t>
        </is>
      </c>
      <c r="D459" s="2" t="inlineStr">
        <is>
          <t>CMen</t>
        </is>
      </c>
      <c r="E459" s="3" t="inlineStr">
        <is>
          <t>Cirugía Menor</t>
        </is>
      </c>
    </row>
    <row r="460" ht="16" customHeight="1" s="151">
      <c r="A460" s="1" t="inlineStr">
        <is>
          <t>1502001</t>
        </is>
      </c>
      <c r="B460" s="2" t="inlineStr">
        <is>
          <t>4</t>
        </is>
      </c>
      <c r="C460" s="2" t="inlineStr">
        <is>
          <t>Heridas de la cara Complicadas: 1 o varias de más de 5 cms. y/o ubicadas en bordes de párpados, labios o ala nasal y/o que comprometen músculos, conductos, vasos o nervios</t>
        </is>
      </c>
      <c r="D460" s="2" t="inlineStr">
        <is>
          <t>CMen</t>
        </is>
      </c>
      <c r="E460" s="3" t="inlineStr">
        <is>
          <t>Cirugía Menor</t>
        </is>
      </c>
    </row>
    <row r="461" ht="16" customHeight="1" s="151">
      <c r="A461" s="1" t="inlineStr">
        <is>
          <t>1502002</t>
        </is>
      </c>
      <c r="B461" s="2" t="inlineStr">
        <is>
          <t>2</t>
        </is>
      </c>
      <c r="C461" s="2" t="inlineStr">
        <is>
          <t>Heridas de la cara simples: 1 o varias de hasta 5 cms. que sólo comprometen piel</t>
        </is>
      </c>
      <c r="D461" s="2" t="inlineStr">
        <is>
          <t>CMen</t>
        </is>
      </c>
      <c r="E461" s="3" t="inlineStr">
        <is>
          <t>Cirugía Menor</t>
        </is>
      </c>
    </row>
    <row r="462" ht="16" customHeight="1" s="151">
      <c r="A462" s="1" t="inlineStr">
        <is>
          <t>1502003</t>
        </is>
      </c>
      <c r="B462" s="2" t="inlineStr">
        <is>
          <t>4</t>
        </is>
      </c>
      <c r="C462" s="2" t="inlineStr">
        <is>
          <t>Implante de silicona facial (cualquier zona o zonas)</t>
        </is>
      </c>
      <c r="D462" s="2" t="inlineStr">
        <is>
          <t>CMen</t>
        </is>
      </c>
      <c r="E462" s="3" t="inlineStr">
        <is>
          <t>Cirugía Menor</t>
        </is>
      </c>
    </row>
    <row r="463" ht="16" customHeight="1" s="151">
      <c r="A463" s="1" t="inlineStr">
        <is>
          <t>1502004</t>
        </is>
      </c>
      <c r="B463" s="2" t="inlineStr">
        <is>
          <t>3</t>
        </is>
      </c>
      <c r="C463" s="2" t="inlineStr">
        <is>
          <t>Resección plástica de hasta 2 cicatrices (cualquier localización o tamaño)</t>
        </is>
      </c>
      <c r="D463" s="2" t="inlineStr">
        <is>
          <t>CMen</t>
        </is>
      </c>
      <c r="E463" s="3" t="inlineStr">
        <is>
          <t>Cirugía Menor</t>
        </is>
      </c>
    </row>
    <row r="464" ht="16" customHeight="1" s="151">
      <c r="A464" s="1" t="inlineStr">
        <is>
          <t>1502005</t>
        </is>
      </c>
      <c r="B464" s="2" t="inlineStr">
        <is>
          <t>4</t>
        </is>
      </c>
      <c r="C464" s="2" t="inlineStr">
        <is>
          <t>Resección plástica de 3 o más cicatrices (cualquier localización o tamaño)</t>
        </is>
      </c>
      <c r="D464" s="2" t="inlineStr">
        <is>
          <t>CMen</t>
        </is>
      </c>
      <c r="E464" s="3" t="inlineStr">
        <is>
          <t>Cirugía Menor</t>
        </is>
      </c>
    </row>
    <row r="465" ht="16" customHeight="1" s="151">
      <c r="A465" s="1" t="inlineStr">
        <is>
          <t>1502006</t>
        </is>
      </c>
      <c r="B465" s="2" t="inlineStr">
        <is>
          <t>3</t>
        </is>
      </c>
      <c r="C465" s="2" t="inlineStr">
        <is>
          <t>Injertos  hasta 1% superficie corporal receptora</t>
        </is>
      </c>
      <c r="D465" s="2" t="inlineStr">
        <is>
          <t>CMen</t>
        </is>
      </c>
      <c r="E465" s="3" t="inlineStr">
        <is>
          <t>Cirugía Menor</t>
        </is>
      </c>
    </row>
    <row r="466" ht="16" customHeight="1" s="151">
      <c r="A466" s="1" t="inlineStr">
        <is>
          <t>1502007</t>
        </is>
      </c>
      <c r="B466" s="2" t="inlineStr">
        <is>
          <t>4</t>
        </is>
      </c>
      <c r="C466" s="2" t="inlineStr">
        <is>
          <t>Injertos  hasta 5% superficie corporal receptora</t>
        </is>
      </c>
      <c r="D466" s="2" t="inlineStr">
        <is>
          <t>CMen</t>
        </is>
      </c>
      <c r="E466" s="3" t="inlineStr">
        <is>
          <t>Cirugía Menor</t>
        </is>
      </c>
    </row>
    <row r="467" ht="16" customHeight="1" s="151">
      <c r="A467" s="1" t="inlineStr">
        <is>
          <t>1502008</t>
        </is>
      </c>
      <c r="B467" s="2" t="inlineStr">
        <is>
          <t>5</t>
        </is>
      </c>
      <c r="C467" s="2" t="inlineStr">
        <is>
          <t>Injertos hasta 10% superficie corporal receptora</t>
        </is>
      </c>
      <c r="D467" s="2" t="inlineStr">
        <is>
          <t>Cmay</t>
        </is>
      </c>
      <c r="E467" s="3" t="inlineStr">
        <is>
          <t>Cirugía Mayor</t>
        </is>
      </c>
    </row>
    <row r="468" ht="16" customHeight="1" s="151">
      <c r="A468" s="1" t="inlineStr">
        <is>
          <t>1502009</t>
        </is>
      </c>
      <c r="B468" s="2" t="inlineStr">
        <is>
          <t>6</t>
        </is>
      </c>
      <c r="C468" s="2" t="inlineStr">
        <is>
          <t>Injertos por cada 10% (o su fracción) adicional hasta 50%</t>
        </is>
      </c>
      <c r="D468" s="2" t="inlineStr">
        <is>
          <t>Cmay</t>
        </is>
      </c>
      <c r="E468" s="3" t="inlineStr">
        <is>
          <t>Cirugía Mayor</t>
        </is>
      </c>
    </row>
    <row r="469" ht="16" customHeight="1" s="151">
      <c r="A469" s="1" t="inlineStr">
        <is>
          <t>1502010</t>
        </is>
      </c>
      <c r="B469" s="2" t="inlineStr">
        <is>
          <t>13</t>
        </is>
      </c>
      <c r="C469" s="2" t="inlineStr">
        <is>
          <t>Injertos 51% y más de superficie corporal receptora</t>
        </is>
      </c>
      <c r="D469" s="2" t="inlineStr">
        <is>
          <t>Cmay</t>
        </is>
      </c>
      <c r="E469" s="3" t="inlineStr">
        <is>
          <t>Cirugía Mayor</t>
        </is>
      </c>
    </row>
    <row r="470" ht="16" customHeight="1" s="151">
      <c r="A470" s="1" t="inlineStr">
        <is>
          <t>1502011</t>
        </is>
      </c>
      <c r="B470" s="2" t="inlineStr">
        <is>
          <t>8</t>
        </is>
      </c>
      <c r="C470" s="2" t="inlineStr">
        <is>
          <t>Piel total, cualquier tamaño (incluye tratamiento zona dadora y receptora)</t>
        </is>
      </c>
      <c r="D470" s="2" t="inlineStr">
        <is>
          <t>Cmay</t>
        </is>
      </c>
      <c r="E470" s="3" t="inlineStr">
        <is>
          <t>Cirugía Mayor</t>
        </is>
      </c>
    </row>
    <row r="471" ht="16" customHeight="1" s="151">
      <c r="A471" s="1" t="inlineStr">
        <is>
          <t>1502012</t>
        </is>
      </c>
      <c r="B471" s="2" t="inlineStr">
        <is>
          <t>4</t>
        </is>
      </c>
      <c r="C471" s="2" t="inlineStr">
        <is>
          <t>Toma de injertos cartílago (auricular, costal o similares) c/u</t>
        </is>
      </c>
      <c r="D471" s="2" t="inlineStr">
        <is>
          <t>CMen</t>
        </is>
      </c>
      <c r="E471" s="3" t="inlineStr">
        <is>
          <t>Cirugía Menor</t>
        </is>
      </c>
    </row>
    <row r="472" ht="16" customHeight="1" s="151">
      <c r="A472" s="1" t="inlineStr">
        <is>
          <t>1502013</t>
        </is>
      </c>
      <c r="B472" s="2" t="inlineStr">
        <is>
          <t>5</t>
        </is>
      </c>
      <c r="C472" s="2" t="inlineStr">
        <is>
          <t>Toma de injertos-óseo (costal, ilíaco, tibial o similares) c/u.</t>
        </is>
      </c>
      <c r="D472" s="2" t="inlineStr">
        <is>
          <t>Cmay</t>
        </is>
      </c>
      <c r="E472" s="3" t="inlineStr">
        <is>
          <t>Cirugía Mayor</t>
        </is>
      </c>
    </row>
    <row r="473" ht="16" customHeight="1" s="151">
      <c r="A473" s="1" t="inlineStr">
        <is>
          <t>1502014</t>
        </is>
      </c>
      <c r="B473" s="2" t="inlineStr">
        <is>
          <t>4</t>
        </is>
      </c>
      <c r="C473" s="2" t="inlineStr">
        <is>
          <t>Plastías en Z, hasta 3</t>
        </is>
      </c>
      <c r="D473" s="2" t="inlineStr">
        <is>
          <t>CMen</t>
        </is>
      </c>
      <c r="E473" s="3" t="inlineStr">
        <is>
          <t>Cirugía Menor</t>
        </is>
      </c>
    </row>
    <row r="474" ht="16" customHeight="1" s="151">
      <c r="A474" s="1" t="inlineStr">
        <is>
          <t>1502015</t>
        </is>
      </c>
      <c r="B474" s="2" t="inlineStr">
        <is>
          <t>5</t>
        </is>
      </c>
      <c r="C474" s="2" t="inlineStr">
        <is>
          <t>Plastías en Z, 4 y más</t>
        </is>
      </c>
      <c r="D474" s="2" t="inlineStr">
        <is>
          <t>Cmay</t>
        </is>
      </c>
      <c r="E474" s="3" t="inlineStr">
        <is>
          <t>Cirugía Mayor</t>
        </is>
      </c>
    </row>
    <row r="475" ht="16" customHeight="1" s="151">
      <c r="A475" s="1" t="inlineStr">
        <is>
          <t>1502016</t>
        </is>
      </c>
      <c r="B475" s="2" t="inlineStr">
        <is>
          <t>7</t>
        </is>
      </c>
      <c r="C475" s="2" t="inlineStr">
        <is>
          <t>Colgajos complejos (Abbe, Mustarda, Converse, Juri, Bakamjian o similar)</t>
        </is>
      </c>
      <c r="D475" s="2" t="inlineStr">
        <is>
          <t>Cmay</t>
        </is>
      </c>
      <c r="E475" s="3" t="inlineStr">
        <is>
          <t>Cirugía Mayor</t>
        </is>
      </c>
    </row>
    <row r="476" ht="16" customHeight="1" s="151">
      <c r="A476" s="1" t="inlineStr">
        <is>
          <t>1502017</t>
        </is>
      </c>
      <c r="B476" s="2" t="inlineStr">
        <is>
          <t>9</t>
        </is>
      </c>
      <c r="C476" s="2" t="inlineStr">
        <is>
          <t>Colgajos libres con microanastomosis (incluye toma del colgajo y las suturas neurovasculares)</t>
        </is>
      </c>
      <c r="D476" s="2" t="inlineStr">
        <is>
          <t>Cmay</t>
        </is>
      </c>
      <c r="E476" s="3" t="inlineStr">
        <is>
          <t>Cirugía Mayor</t>
        </is>
      </c>
    </row>
    <row r="477" ht="16" customHeight="1" s="151">
      <c r="A477" s="1" t="inlineStr">
        <is>
          <t>1502018</t>
        </is>
      </c>
      <c r="B477" s="2" t="inlineStr">
        <is>
          <t>7</t>
        </is>
      </c>
      <c r="C477" s="2" t="inlineStr">
        <is>
          <t>Colgajos musculares o musculocutáneos</t>
        </is>
      </c>
      <c r="D477" s="2" t="inlineStr">
        <is>
          <t>Cmay</t>
        </is>
      </c>
      <c r="E477" s="3" t="inlineStr">
        <is>
          <t>Cirugía Mayor</t>
        </is>
      </c>
    </row>
    <row r="478" ht="16" customHeight="1" s="151">
      <c r="A478" s="1" t="inlineStr">
        <is>
          <t>1502019</t>
        </is>
      </c>
      <c r="B478" s="2" t="inlineStr">
        <is>
          <t>8</t>
        </is>
      </c>
      <c r="C478" s="2" t="inlineStr">
        <is>
          <t>Colgajos osteomusculocutáneos</t>
        </is>
      </c>
      <c r="D478" s="2" t="inlineStr">
        <is>
          <t>Cmay</t>
        </is>
      </c>
      <c r="E478" s="3" t="inlineStr">
        <is>
          <t>Cirugía Mayor</t>
        </is>
      </c>
    </row>
    <row r="479" ht="16" customHeight="1" s="151">
      <c r="A479" s="1" t="inlineStr">
        <is>
          <t>1502020</t>
        </is>
      </c>
      <c r="B479" s="2" t="inlineStr">
        <is>
          <t>6</t>
        </is>
      </c>
      <c r="C479" s="2" t="inlineStr">
        <is>
          <t>Colgajos simples dos o más</t>
        </is>
      </c>
      <c r="D479" s="2" t="inlineStr">
        <is>
          <t>Cmay</t>
        </is>
      </c>
      <c r="E479" s="3" t="inlineStr">
        <is>
          <t>Cirugía Mayor</t>
        </is>
      </c>
    </row>
    <row r="480" ht="16" customHeight="1" s="151">
      <c r="A480" s="1" t="inlineStr">
        <is>
          <t>1502021</t>
        </is>
      </c>
      <c r="B480" s="2" t="inlineStr">
        <is>
          <t>5</t>
        </is>
      </c>
      <c r="C480" s="2" t="inlineStr">
        <is>
          <t>Colgajo simple único</t>
        </is>
      </c>
      <c r="D480" s="2" t="inlineStr">
        <is>
          <t>Cmay</t>
        </is>
      </c>
      <c r="E480" s="3" t="inlineStr">
        <is>
          <t>Cirugía Mayor</t>
        </is>
      </c>
    </row>
    <row r="481" ht="16" customHeight="1" s="151">
      <c r="A481" s="1" t="inlineStr">
        <is>
          <t>1502022</t>
        </is>
      </c>
      <c r="B481" s="2" t="inlineStr">
        <is>
          <t>6</t>
        </is>
      </c>
      <c r="C481" s="2" t="inlineStr">
        <is>
          <t>Parálisis facial, trasplantes musculares</t>
        </is>
      </c>
      <c r="D481" s="2" t="inlineStr">
        <is>
          <t>Cmay</t>
        </is>
      </c>
      <c r="E481" s="3" t="inlineStr">
        <is>
          <t>Cirugía Mayor</t>
        </is>
      </c>
    </row>
    <row r="482" ht="16" customHeight="1" s="151">
      <c r="A482" s="1" t="inlineStr">
        <is>
          <t>1502023</t>
        </is>
      </c>
      <c r="B482" s="2" t="inlineStr">
        <is>
          <t>6</t>
        </is>
      </c>
      <c r="C482" s="2" t="inlineStr">
        <is>
          <t>Ridectomía cérvico-facial, un lado</t>
        </is>
      </c>
      <c r="D482" s="2" t="inlineStr">
        <is>
          <t>Cmay</t>
        </is>
      </c>
      <c r="E482" s="3" t="inlineStr">
        <is>
          <t>Cirugía Mayor</t>
        </is>
      </c>
    </row>
    <row r="483" ht="16" customHeight="1" s="151">
      <c r="A483" s="1" t="inlineStr">
        <is>
          <t>1502024</t>
        </is>
      </c>
      <c r="B483" s="2" t="inlineStr">
        <is>
          <t>5</t>
        </is>
      </c>
      <c r="C483" s="2" t="inlineStr">
        <is>
          <t>Ridectomía frontal</t>
        </is>
      </c>
      <c r="D483" s="2" t="inlineStr">
        <is>
          <t>Cmay</t>
        </is>
      </c>
      <c r="E483" s="3" t="inlineStr">
        <is>
          <t>Cirugía Mayor</t>
        </is>
      </c>
    </row>
    <row r="484" ht="16" customHeight="1" s="151">
      <c r="A484" s="1" t="inlineStr">
        <is>
          <t>1502025</t>
        </is>
      </c>
      <c r="B484" s="2" t="inlineStr">
        <is>
          <t>4</t>
        </is>
      </c>
      <c r="C484" s="2" t="inlineStr">
        <is>
          <t>Orejas aladas o en asa, corrección plástica</t>
        </is>
      </c>
      <c r="D484" s="2" t="inlineStr">
        <is>
          <t>CMen</t>
        </is>
      </c>
      <c r="E484" s="3" t="inlineStr">
        <is>
          <t>Cirugía Menor</t>
        </is>
      </c>
    </row>
    <row r="485" ht="16" customHeight="1" s="151">
      <c r="A485" s="1" t="inlineStr">
        <is>
          <t>1502026</t>
        </is>
      </c>
      <c r="B485" s="2" t="inlineStr">
        <is>
          <t>3</t>
        </is>
      </c>
      <c r="C485" s="2" t="inlineStr">
        <is>
          <t>Lóbulo auricular partido, corrección plástica (proc. aut)</t>
        </is>
      </c>
      <c r="D485" s="2" t="inlineStr">
        <is>
          <t>CMen</t>
        </is>
      </c>
      <c r="E485" s="3" t="inlineStr">
        <is>
          <t>Cirugía Menor</t>
        </is>
      </c>
    </row>
    <row r="486" ht="16" customHeight="1" s="151">
      <c r="A486" s="1" t="inlineStr">
        <is>
          <t>1502027</t>
        </is>
      </c>
      <c r="B486" s="2" t="inlineStr">
        <is>
          <t>5</t>
        </is>
      </c>
      <c r="C486" s="2" t="inlineStr">
        <is>
          <t>Malformación congénita compleja en orejas, cada plastía o plastías en tiempos diferentes</t>
        </is>
      </c>
      <c r="D486" s="2" t="inlineStr">
        <is>
          <t>Cmay</t>
        </is>
      </c>
      <c r="E486" s="3" t="inlineStr">
        <is>
          <t>Cirugía Mayor</t>
        </is>
      </c>
    </row>
    <row r="487" ht="16" customHeight="1" s="151">
      <c r="A487" s="1" t="inlineStr">
        <is>
          <t>1502028</t>
        </is>
      </c>
      <c r="B487" s="2" t="inlineStr">
        <is>
          <t>5</t>
        </is>
      </c>
      <c r="C487" s="2" t="inlineStr">
        <is>
          <t>Corrección nasal parcial (alares, alargamiento columela o similar)</t>
        </is>
      </c>
      <c r="D487" s="2" t="inlineStr">
        <is>
          <t>Cmay</t>
        </is>
      </c>
      <c r="E487" s="3" t="inlineStr">
        <is>
          <t>Cirugía Mayor</t>
        </is>
      </c>
    </row>
    <row r="488" ht="16" customHeight="1" s="151">
      <c r="A488" s="1" t="inlineStr">
        <is>
          <t>1502029</t>
        </is>
      </c>
      <c r="B488" s="2" t="inlineStr">
        <is>
          <t>5</t>
        </is>
      </c>
      <c r="C488" s="2" t="inlineStr">
        <is>
          <t>Blefaroplastia párpados inferiores, uni o bilateral</t>
        </is>
      </c>
      <c r="D488" s="2" t="inlineStr">
        <is>
          <t>Cmay</t>
        </is>
      </c>
      <c r="E488" s="3" t="inlineStr">
        <is>
          <t>Cirugía Mayor</t>
        </is>
      </c>
    </row>
    <row r="489" ht="16" customHeight="1" s="151">
      <c r="A489" s="1" t="inlineStr">
        <is>
          <t>1502030</t>
        </is>
      </c>
      <c r="B489" s="2" t="inlineStr">
        <is>
          <t>5</t>
        </is>
      </c>
      <c r="C489" s="2" t="inlineStr">
        <is>
          <t>Blefaroplastia párpados superiores, uni o bilateral</t>
        </is>
      </c>
      <c r="D489" s="2" t="inlineStr">
        <is>
          <t>Cmay</t>
        </is>
      </c>
      <c r="E489" s="3" t="inlineStr">
        <is>
          <t>Cirugía Mayor</t>
        </is>
      </c>
    </row>
    <row r="490" ht="16" customHeight="1" s="151">
      <c r="A490" s="1" t="inlineStr">
        <is>
          <t>1502031</t>
        </is>
      </c>
      <c r="B490" s="2" t="inlineStr">
        <is>
          <t>5</t>
        </is>
      </c>
      <c r="C490" s="2" t="inlineStr">
        <is>
          <t>Corrección quirúrgica secundaria de queiloplastía</t>
        </is>
      </c>
      <c r="D490" s="2" t="inlineStr">
        <is>
          <t>Cmay</t>
        </is>
      </c>
      <c r="E490" s="3" t="inlineStr">
        <is>
          <t>Cirugía Mayor</t>
        </is>
      </c>
    </row>
    <row r="491" ht="16" customHeight="1" s="151">
      <c r="A491" s="1" t="inlineStr">
        <is>
          <t>1502032</t>
        </is>
      </c>
      <c r="B491" s="2" t="inlineStr">
        <is>
          <t>5</t>
        </is>
      </c>
      <c r="C491" s="2" t="inlineStr">
        <is>
          <t>Queiloplastía primaria, un lado (proc. quir. completo por cualquier técnica)</t>
        </is>
      </c>
      <c r="D491" s="2" t="inlineStr">
        <is>
          <t>Cmay</t>
        </is>
      </c>
      <c r="E491" s="3" t="inlineStr">
        <is>
          <t>Cirugía Mayor</t>
        </is>
      </c>
    </row>
    <row r="492" ht="16" customHeight="1" s="151">
      <c r="A492" s="1" t="inlineStr">
        <is>
          <t>1502033</t>
        </is>
      </c>
      <c r="B492" s="2" t="inlineStr">
        <is>
          <t>5</t>
        </is>
      </c>
      <c r="C492" s="2" t="inlineStr">
        <is>
          <t>Cierre de paladar duro y/o cierre de comunicación oro-nasal</t>
        </is>
      </c>
      <c r="D492" s="2" t="inlineStr">
        <is>
          <t>Cmay</t>
        </is>
      </c>
      <c r="E492" s="3" t="inlineStr">
        <is>
          <t>Cirugía Mayor</t>
        </is>
      </c>
    </row>
    <row r="493" ht="16" customHeight="1" s="151">
      <c r="A493" s="1" t="inlineStr">
        <is>
          <t>1502034</t>
        </is>
      </c>
      <c r="B493" s="2" t="inlineStr">
        <is>
          <t>5</t>
        </is>
      </c>
      <c r="C493" s="2" t="inlineStr">
        <is>
          <t>Cierre mucoso vestíbulo oral o gingivo-periostio-plastía</t>
        </is>
      </c>
      <c r="D493" s="2" t="inlineStr">
        <is>
          <t>Cmay</t>
        </is>
      </c>
      <c r="E493" s="3" t="inlineStr">
        <is>
          <t>Cirugía Mayor</t>
        </is>
      </c>
    </row>
    <row r="494" ht="16" customHeight="1" s="151">
      <c r="A494" s="1" t="inlineStr">
        <is>
          <t>1502035</t>
        </is>
      </c>
      <c r="B494" s="2" t="inlineStr">
        <is>
          <t>5</t>
        </is>
      </c>
      <c r="C494" s="2" t="inlineStr">
        <is>
          <t>Plastia de velo (cualquier técnica)</t>
        </is>
      </c>
      <c r="D494" s="2" t="inlineStr">
        <is>
          <t>Cmay</t>
        </is>
      </c>
      <c r="E494" s="3" t="inlineStr">
        <is>
          <t>Cirugía Mayor</t>
        </is>
      </c>
    </row>
    <row r="495" ht="16" customHeight="1" s="151">
      <c r="A495" s="1" t="inlineStr">
        <is>
          <t>1502036</t>
        </is>
      </c>
      <c r="B495" s="2" t="inlineStr">
        <is>
          <t>5</t>
        </is>
      </c>
      <c r="C495" s="2" t="inlineStr">
        <is>
          <t>Cierre de macrostomía, unilateral</t>
        </is>
      </c>
      <c r="D495" s="2" t="inlineStr">
        <is>
          <t>Cmay</t>
        </is>
      </c>
      <c r="E495" s="3" t="inlineStr">
        <is>
          <t>Cirugía Mayor</t>
        </is>
      </c>
    </row>
    <row r="496" ht="16" customHeight="1" s="151">
      <c r="A496" s="1" t="inlineStr">
        <is>
          <t>1502037</t>
        </is>
      </c>
      <c r="B496" s="2" t="inlineStr">
        <is>
          <t>7</t>
        </is>
      </c>
      <c r="C496" s="2" t="inlineStr">
        <is>
          <t>Tratamiento quirúrgico de anomalías cráneo faciales</t>
        </is>
      </c>
      <c r="D496" s="2" t="inlineStr">
        <is>
          <t>Cmay</t>
        </is>
      </c>
      <c r="E496" s="3" t="inlineStr">
        <is>
          <t>Cirugía Mayor</t>
        </is>
      </c>
    </row>
    <row r="497" ht="16" customHeight="1" s="151">
      <c r="A497" s="1" t="inlineStr">
        <is>
          <t>1502038</t>
        </is>
      </c>
      <c r="B497" s="2" t="inlineStr">
        <is>
          <t>6</t>
        </is>
      </c>
      <c r="C497" s="2" t="inlineStr">
        <is>
          <t>Reconstrucción osteoplástica reborde alveolar bilateral en un tiempo</t>
        </is>
      </c>
      <c r="D497" s="2" t="inlineStr">
        <is>
          <t>Cmay</t>
        </is>
      </c>
      <c r="E497" s="3" t="inlineStr">
        <is>
          <t>Cirugía Mayor</t>
        </is>
      </c>
    </row>
    <row r="498" ht="16" customHeight="1" s="151">
      <c r="A498" s="1" t="inlineStr">
        <is>
          <t>1502039</t>
        </is>
      </c>
      <c r="B498" s="2" t="inlineStr">
        <is>
          <t>5</t>
        </is>
      </c>
      <c r="C498" s="2" t="inlineStr">
        <is>
          <t>Reconstrucción osteoplástica reborde alveolar unilateral</t>
        </is>
      </c>
      <c r="D498" s="2" t="inlineStr">
        <is>
          <t>Cmay</t>
        </is>
      </c>
      <c r="E498" s="3" t="inlineStr">
        <is>
          <t>Cirugía Mayor</t>
        </is>
      </c>
    </row>
    <row r="499" ht="16" customHeight="1" s="151">
      <c r="A499" s="1" t="inlineStr">
        <is>
          <t>1502040</t>
        </is>
      </c>
      <c r="B499" s="2" t="inlineStr">
        <is>
          <t>11</t>
        </is>
      </c>
      <c r="C499" s="2" t="inlineStr">
        <is>
          <t>Distoplasias orbitarias: movilización unilateral o vertical tiempo facial</t>
        </is>
      </c>
      <c r="D499" s="2" t="inlineStr">
        <is>
          <t>Cmay</t>
        </is>
      </c>
      <c r="E499" s="3" t="inlineStr">
        <is>
          <t>Cirugía Mayor</t>
        </is>
      </c>
    </row>
    <row r="500" ht="16" customHeight="1" s="151">
      <c r="A500" s="1" t="inlineStr">
        <is>
          <t>1502041</t>
        </is>
      </c>
      <c r="B500" s="2" t="inlineStr">
        <is>
          <t>11</t>
        </is>
      </c>
      <c r="C500" s="2" t="inlineStr">
        <is>
          <t>Expansión o reconstrucción de un micro-orbitismo</t>
        </is>
      </c>
      <c r="D500" s="2" t="inlineStr">
        <is>
          <t>Cmay</t>
        </is>
      </c>
      <c r="E500" s="3" t="inlineStr">
        <is>
          <t>Cirugía Mayor</t>
        </is>
      </c>
    </row>
    <row r="501" ht="16" customHeight="1" s="151">
      <c r="A501" s="1" t="inlineStr">
        <is>
          <t>1502042</t>
        </is>
      </c>
      <c r="B501" s="2" t="inlineStr">
        <is>
          <t>12</t>
        </is>
      </c>
      <c r="C501" s="2" t="inlineStr">
        <is>
          <t>Síndrome de Apert Crouzon o similar: avance fronto-orbito-maxilar vía intracraneana, tiempo facial</t>
        </is>
      </c>
      <c r="D501" s="2" t="inlineStr">
        <is>
          <t>Cmay</t>
        </is>
      </c>
      <c r="E501" s="3" t="inlineStr">
        <is>
          <t>Cirugía Mayor</t>
        </is>
      </c>
    </row>
    <row r="502" ht="16" customHeight="1" s="151">
      <c r="A502" s="1" t="inlineStr">
        <is>
          <t>1502043</t>
        </is>
      </c>
      <c r="B502" s="2" t="inlineStr">
        <is>
          <t>12</t>
        </is>
      </c>
      <c r="C502" s="2" t="inlineStr">
        <is>
          <t>Síndrome de Apert Crouzon o similar: osteotomía tipo Le Fort III o similar</t>
        </is>
      </c>
      <c r="D502" s="2" t="inlineStr">
        <is>
          <t>Cmay</t>
        </is>
      </c>
      <c r="E502" s="3" t="inlineStr">
        <is>
          <t>Cirugía Mayor</t>
        </is>
      </c>
    </row>
    <row r="503" ht="16" customHeight="1" s="151">
      <c r="A503" s="1" t="inlineStr">
        <is>
          <t>1502044</t>
        </is>
      </c>
      <c r="B503" s="2" t="inlineStr">
        <is>
          <t>6</t>
        </is>
      </c>
      <c r="C503" s="2" t="inlineStr">
        <is>
          <t>Corrección telecanto</t>
        </is>
      </c>
      <c r="D503" s="2" t="inlineStr">
        <is>
          <t>Cmay</t>
        </is>
      </c>
      <c r="E503" s="3" t="inlineStr">
        <is>
          <t>Cirugía Mayor</t>
        </is>
      </c>
    </row>
    <row r="504" ht="16" customHeight="1" s="151">
      <c r="A504" s="1" t="inlineStr">
        <is>
          <t>1502045</t>
        </is>
      </c>
      <c r="B504" s="2" t="inlineStr">
        <is>
          <t>11</t>
        </is>
      </c>
      <c r="C504" s="2" t="inlineStr">
        <is>
          <t>Movilización orbitaria extracraneana</t>
        </is>
      </c>
      <c r="D504" s="2" t="inlineStr">
        <is>
          <t>Cmay</t>
        </is>
      </c>
      <c r="E504" s="3" t="inlineStr">
        <is>
          <t>Cirugía Mayor</t>
        </is>
      </c>
    </row>
    <row r="505" ht="16" customHeight="1" s="151">
      <c r="A505" s="1" t="inlineStr">
        <is>
          <t>1502046</t>
        </is>
      </c>
      <c r="B505" s="2" t="inlineStr">
        <is>
          <t>13</t>
        </is>
      </c>
      <c r="C505" s="2" t="inlineStr">
        <is>
          <t>Movilización orbitaria intracraneana, tiempo facial</t>
        </is>
      </c>
      <c r="D505" s="2" t="inlineStr">
        <is>
          <t>Cmay</t>
        </is>
      </c>
      <c r="E505" s="3" t="inlineStr">
        <is>
          <t>Cirugía Mayor</t>
        </is>
      </c>
    </row>
    <row r="506" ht="16" customHeight="1" s="151">
      <c r="A506" s="1" t="inlineStr">
        <is>
          <t>1502047</t>
        </is>
      </c>
      <c r="B506" s="2" t="inlineStr">
        <is>
          <t>5</t>
        </is>
      </c>
      <c r="C506" s="2" t="inlineStr">
        <is>
          <t>Ginecomastia, corrección plástica</t>
        </is>
      </c>
      <c r="D506" s="2" t="inlineStr">
        <is>
          <t>Cmay</t>
        </is>
      </c>
      <c r="E506" s="3" t="inlineStr">
        <is>
          <t>Cirugía Mayor</t>
        </is>
      </c>
    </row>
    <row r="507" ht="16" customHeight="1" s="151">
      <c r="A507" s="1" t="inlineStr">
        <is>
          <t>1502048</t>
        </is>
      </c>
      <c r="B507" s="2" t="inlineStr">
        <is>
          <t>6</t>
        </is>
      </c>
      <c r="C507" s="2" t="inlineStr">
        <is>
          <t>Mamoplastía de aumento (unilateral)</t>
        </is>
      </c>
      <c r="D507" s="2" t="inlineStr">
        <is>
          <t>Cmay</t>
        </is>
      </c>
      <c r="E507" s="3" t="inlineStr">
        <is>
          <t>Cirugía Mayor</t>
        </is>
      </c>
    </row>
    <row r="508" ht="16" customHeight="1" s="151">
      <c r="A508" s="1" t="inlineStr">
        <is>
          <t>1502049</t>
        </is>
      </c>
      <c r="B508" s="2" t="inlineStr">
        <is>
          <t>6</t>
        </is>
      </c>
      <c r="C508" s="2" t="inlineStr">
        <is>
          <t>Mamoplastía de reducción</t>
        </is>
      </c>
      <c r="D508" s="2" t="inlineStr">
        <is>
          <t>Cmay</t>
        </is>
      </c>
      <c r="E508" s="3" t="inlineStr">
        <is>
          <t>Cirugía Mayor</t>
        </is>
      </c>
    </row>
    <row r="509" ht="16" customHeight="1" s="151">
      <c r="A509" s="1" t="inlineStr">
        <is>
          <t>1502050</t>
        </is>
      </c>
      <c r="B509" s="2" t="inlineStr">
        <is>
          <t>6</t>
        </is>
      </c>
      <c r="C509" s="2" t="inlineStr">
        <is>
          <t>Mastopexia c/s implante de prótesis (no incluye valor de la prótesis)</t>
        </is>
      </c>
      <c r="D509" s="2" t="inlineStr">
        <is>
          <t>Cmay</t>
        </is>
      </c>
      <c r="E509" s="3" t="inlineStr">
        <is>
          <t>Cirugía Mayor</t>
        </is>
      </c>
    </row>
    <row r="510" ht="16" customHeight="1" s="151">
      <c r="A510" s="1" t="inlineStr">
        <is>
          <t>1502051</t>
        </is>
      </c>
      <c r="B510" s="2" t="inlineStr">
        <is>
          <t>5</t>
        </is>
      </c>
      <c r="C510" s="2" t="inlineStr">
        <is>
          <t>Reconstrucción areola y/o pezón c/s plastía (proc. aut.)</t>
        </is>
      </c>
      <c r="D510" s="2" t="inlineStr">
        <is>
          <t>Cmay</t>
        </is>
      </c>
      <c r="E510" s="3" t="inlineStr">
        <is>
          <t>Cirugía Mayor</t>
        </is>
      </c>
    </row>
    <row r="511" ht="16" customHeight="1" s="151">
      <c r="A511" s="1" t="inlineStr">
        <is>
          <t>1502052</t>
        </is>
      </c>
      <c r="B511" s="2" t="inlineStr">
        <is>
          <t>7</t>
        </is>
      </c>
      <c r="C511" s="2" t="inlineStr">
        <is>
          <t>Reconstrucción mamaria</t>
        </is>
      </c>
      <c r="D511" s="2" t="inlineStr">
        <is>
          <t>Cmay</t>
        </is>
      </c>
      <c r="E511" s="3" t="inlineStr">
        <is>
          <t>Cirugía Mayor</t>
        </is>
      </c>
    </row>
    <row r="512" ht="16" customHeight="1" s="151">
      <c r="A512" s="1" t="inlineStr">
        <is>
          <t>1502053</t>
        </is>
      </c>
      <c r="B512" s="2" t="inlineStr">
        <is>
          <t>6</t>
        </is>
      </c>
      <c r="C512" s="2" t="inlineStr">
        <is>
          <t>Abdominoplastia</t>
        </is>
      </c>
      <c r="D512" s="2" t="inlineStr">
        <is>
          <t>Cmay</t>
        </is>
      </c>
      <c r="E512" s="3" t="inlineStr">
        <is>
          <t>Cirugía Mayor</t>
        </is>
      </c>
    </row>
    <row r="513" ht="16" customHeight="1" s="151">
      <c r="A513" s="1" t="inlineStr">
        <is>
          <t>1502054</t>
        </is>
      </c>
      <c r="B513" s="2" t="inlineStr">
        <is>
          <t>7</t>
        </is>
      </c>
      <c r="C513" s="2" t="inlineStr">
        <is>
          <t>Escarectomía con resección ósea c/s colgajo de rotación</t>
        </is>
      </c>
      <c r="D513" s="2" t="inlineStr">
        <is>
          <t>Cmay</t>
        </is>
      </c>
      <c r="E513" s="3" t="inlineStr">
        <is>
          <t>Cirugía Mayor</t>
        </is>
      </c>
    </row>
    <row r="514" ht="16" customHeight="1" s="151">
      <c r="A514" s="1" t="inlineStr">
        <is>
          <t>1502055</t>
        </is>
      </c>
      <c r="B514" s="2" t="inlineStr">
        <is>
          <t>7</t>
        </is>
      </c>
      <c r="C514" s="2" t="inlineStr">
        <is>
          <t>Tratamiento de escaras de decubito, con resección ósea y colgajos musculares o musculocutáneos</t>
        </is>
      </c>
      <c r="D514" s="2" t="inlineStr">
        <is>
          <t>Cmay</t>
        </is>
      </c>
      <c r="E514" s="3" t="inlineStr">
        <is>
          <t>Cirugía Mayor</t>
        </is>
      </c>
    </row>
    <row r="515" ht="16" customHeight="1" s="151">
      <c r="A515" s="1" t="inlineStr">
        <is>
          <t>1502056</t>
        </is>
      </c>
      <c r="B515" s="2" t="inlineStr">
        <is>
          <t>5</t>
        </is>
      </c>
      <c r="C515" s="2" t="inlineStr">
        <is>
          <t>Sindactilia, trat. quir. cada espacio con injerto</t>
        </is>
      </c>
      <c r="D515" s="2" t="inlineStr">
        <is>
          <t>Cmay</t>
        </is>
      </c>
      <c r="E515" s="3" t="inlineStr">
        <is>
          <t>Cirugía Mayor</t>
        </is>
      </c>
    </row>
    <row r="516" ht="16" customHeight="1" s="151">
      <c r="A516" s="1" t="inlineStr">
        <is>
          <t>1502057</t>
        </is>
      </c>
      <c r="B516" s="2" t="inlineStr">
        <is>
          <t>4</t>
        </is>
      </c>
      <c r="C516" s="2" t="inlineStr">
        <is>
          <t>Sindactilia, trat. quir. cada espacio sin injerto</t>
        </is>
      </c>
      <c r="D516" s="2" t="inlineStr">
        <is>
          <t>CMen</t>
        </is>
      </c>
      <c r="E516" s="3" t="inlineStr">
        <is>
          <t>Cirugía Menor</t>
        </is>
      </c>
    </row>
    <row r="517" ht="16" customHeight="1" s="151">
      <c r="A517" s="1" t="inlineStr">
        <is>
          <t>1502058</t>
        </is>
      </c>
      <c r="B517" s="2" t="inlineStr">
        <is>
          <t>5</t>
        </is>
      </c>
      <c r="C517" s="2" t="inlineStr">
        <is>
          <t>Polidactilia, extirpación y plastía unilateral</t>
        </is>
      </c>
      <c r="D517" s="2" t="inlineStr">
        <is>
          <t>Cmay</t>
        </is>
      </c>
      <c r="E517" s="3" t="inlineStr">
        <is>
          <t>Cirugía Mayor</t>
        </is>
      </c>
    </row>
    <row r="518" ht="16" customHeight="1" s="151">
      <c r="A518" s="1" t="inlineStr">
        <is>
          <t>1502059</t>
        </is>
      </c>
      <c r="B518" s="2" t="inlineStr">
        <is>
          <t>6</t>
        </is>
      </c>
      <c r="C518" s="2" t="inlineStr">
        <is>
          <t>Lipectomía glútea, unilateral</t>
        </is>
      </c>
      <c r="D518" s="2" t="inlineStr">
        <is>
          <t>Cmay</t>
        </is>
      </c>
      <c r="E518" s="3" t="inlineStr">
        <is>
          <t>Cirugía Mayor</t>
        </is>
      </c>
    </row>
    <row r="519" ht="16" customHeight="1" s="151">
      <c r="A519" s="1" t="inlineStr">
        <is>
          <t>1502060</t>
        </is>
      </c>
      <c r="B519" s="2" t="inlineStr">
        <is>
          <t>6</t>
        </is>
      </c>
      <c r="C519" s="2" t="inlineStr">
        <is>
          <t>Lipectomía trocantérea, unilateral</t>
        </is>
      </c>
      <c r="D519" s="2" t="inlineStr">
        <is>
          <t>Cmay</t>
        </is>
      </c>
      <c r="E519" s="3" t="inlineStr">
        <is>
          <t>Cirugía Mayor</t>
        </is>
      </c>
    </row>
    <row r="520" ht="16" customHeight="1" s="151">
      <c r="A520" s="1" t="inlineStr">
        <is>
          <t>1502061</t>
        </is>
      </c>
      <c r="B520" s="2" t="inlineStr">
        <is>
          <t>4</t>
        </is>
      </c>
      <c r="C520" s="2" t="inlineStr">
        <is>
          <t>Escarotomía hasta 10 % superficie corporal</t>
        </is>
      </c>
      <c r="D520" s="2" t="inlineStr">
        <is>
          <t>CMen</t>
        </is>
      </c>
      <c r="E520" s="3" t="inlineStr">
        <is>
          <t>Cirugía Menor</t>
        </is>
      </c>
    </row>
    <row r="521" ht="16" customHeight="1" s="151">
      <c r="A521" s="1" t="inlineStr">
        <is>
          <t>1502062</t>
        </is>
      </c>
      <c r="B521" s="2" t="inlineStr">
        <is>
          <t>2</t>
        </is>
      </c>
      <c r="C521" s="2" t="inlineStr">
        <is>
          <t>Escarotomía por cada 10 % adicional (o su fracción)</t>
        </is>
      </c>
      <c r="D521" s="2" t="inlineStr">
        <is>
          <t>CMen</t>
        </is>
      </c>
      <c r="E521" s="3" t="inlineStr">
        <is>
          <t>Cirugía Menor</t>
        </is>
      </c>
    </row>
    <row r="522" ht="16" customHeight="1" s="151">
      <c r="A522" s="1" t="inlineStr">
        <is>
          <t>1502063</t>
        </is>
      </c>
      <c r="B522" s="2" t="inlineStr">
        <is>
          <t>3</t>
        </is>
      </c>
      <c r="C522" s="2" t="inlineStr">
        <is>
          <t>Escarectomía hasta 1 % superficie corporal</t>
        </is>
      </c>
      <c r="D522" s="2" t="inlineStr">
        <is>
          <t>CMen</t>
        </is>
      </c>
      <c r="E522" s="3" t="inlineStr">
        <is>
          <t>Cirugía Menor</t>
        </is>
      </c>
    </row>
    <row r="523" ht="16" customHeight="1" s="151">
      <c r="A523" s="1" t="inlineStr">
        <is>
          <t>1502064</t>
        </is>
      </c>
      <c r="B523" s="2" t="inlineStr">
        <is>
          <t>4</t>
        </is>
      </c>
      <c r="C523" s="2" t="inlineStr">
        <is>
          <t>Escarectomía hasta 5 % superficie corporal</t>
        </is>
      </c>
      <c r="D523" s="2" t="inlineStr">
        <is>
          <t>CMen</t>
        </is>
      </c>
      <c r="E523" s="3" t="inlineStr">
        <is>
          <t>Cirugía Menor</t>
        </is>
      </c>
    </row>
    <row r="524" ht="16" customHeight="1" s="151">
      <c r="A524" s="1" t="inlineStr">
        <is>
          <t>1502065</t>
        </is>
      </c>
      <c r="B524" s="2" t="inlineStr">
        <is>
          <t>5</t>
        </is>
      </c>
      <c r="C524" s="2" t="inlineStr">
        <is>
          <t>Escarectomía  hasta 10% superficie corporal</t>
        </is>
      </c>
      <c r="D524" s="2" t="inlineStr">
        <is>
          <t>Cmay</t>
        </is>
      </c>
      <c r="E524" s="3" t="inlineStr">
        <is>
          <t>Cirugía Mayor</t>
        </is>
      </c>
    </row>
    <row r="525" ht="16" customHeight="1" s="151">
      <c r="A525" s="1" t="inlineStr">
        <is>
          <t>1502066</t>
        </is>
      </c>
      <c r="B525" s="2" t="inlineStr">
        <is>
          <t>6</t>
        </is>
      </c>
      <c r="C525" s="2" t="inlineStr">
        <is>
          <t>Escarectomía por cada 10% adicional (o su fracción) (Se cobrará cód. ad. una sóla vez por superficie entre el 11% y 50%).</t>
        </is>
      </c>
      <c r="D525" s="2" t="inlineStr">
        <is>
          <t>Cmay</t>
        </is>
      </c>
      <c r="E525" s="3" t="inlineStr">
        <is>
          <t>Cirugía Mayor</t>
        </is>
      </c>
    </row>
    <row r="526" ht="16" customHeight="1" s="151">
      <c r="A526" s="1" t="inlineStr">
        <is>
          <t>1502067</t>
        </is>
      </c>
      <c r="B526" s="2" t="inlineStr">
        <is>
          <t>4</t>
        </is>
      </c>
      <c r="C526" s="2" t="inlineStr">
        <is>
          <t>Toma de injerto de cuero cabelludo</t>
        </is>
      </c>
      <c r="D526" s="2" t="inlineStr">
        <is>
          <t>CMen</t>
        </is>
      </c>
      <c r="E526" s="3" t="inlineStr">
        <is>
          <t>Cirugía Menor</t>
        </is>
      </c>
    </row>
    <row r="527" ht="16" customHeight="1" s="151">
      <c r="A527" s="1" t="inlineStr">
        <is>
          <t>1502068</t>
        </is>
      </c>
      <c r="B527" s="2" t="inlineStr">
        <is>
          <t>10</t>
        </is>
      </c>
      <c r="C527" s="2" t="inlineStr">
        <is>
          <t>Expansor de piel (dos o más) primer tiempo</t>
        </is>
      </c>
      <c r="D527" s="2" t="inlineStr">
        <is>
          <t>Cmay</t>
        </is>
      </c>
      <c r="E527" s="3" t="inlineStr">
        <is>
          <t>Cirugía Mayor</t>
        </is>
      </c>
    </row>
    <row r="528" ht="16" customHeight="1" s="151">
      <c r="A528" s="1" t="inlineStr">
        <is>
          <t>1502069</t>
        </is>
      </c>
      <c r="B528" s="2" t="inlineStr">
        <is>
          <t>10</t>
        </is>
      </c>
      <c r="C528" s="2" t="inlineStr">
        <is>
          <t>Expansor de piel (dos o más) segundo tiempo retiro</t>
        </is>
      </c>
      <c r="D528" s="2" t="inlineStr">
        <is>
          <t>Cmay</t>
        </is>
      </c>
      <c r="E528" s="3" t="inlineStr">
        <is>
          <t>Cirugía Mayor</t>
        </is>
      </c>
    </row>
    <row r="529" ht="16" customHeight="1" s="151">
      <c r="A529" s="1" t="inlineStr">
        <is>
          <t>1502070</t>
        </is>
      </c>
      <c r="B529" s="2" t="inlineStr">
        <is>
          <t>10</t>
        </is>
      </c>
      <c r="C529" s="2" t="inlineStr">
        <is>
          <t>Expansor de piel (único) primer tiempo</t>
        </is>
      </c>
      <c r="D529" s="2" t="inlineStr">
        <is>
          <t>Cmay</t>
        </is>
      </c>
      <c r="E529" s="3" t="inlineStr">
        <is>
          <t>Cirugía Mayor</t>
        </is>
      </c>
    </row>
    <row r="530" ht="16" customHeight="1" s="151">
      <c r="A530" s="1" t="inlineStr">
        <is>
          <t>1502071</t>
        </is>
      </c>
      <c r="B530" s="2" t="inlineStr">
        <is>
          <t>10</t>
        </is>
      </c>
      <c r="C530" s="2" t="inlineStr">
        <is>
          <t>Expansor de piel (único) segundo tiempo o retiro</t>
        </is>
      </c>
      <c r="D530" s="2" t="inlineStr">
        <is>
          <t>Cmay</t>
        </is>
      </c>
      <c r="E530" s="3" t="inlineStr">
        <is>
          <t>Cirugía Mayor</t>
        </is>
      </c>
    </row>
    <row r="531" ht="16" customHeight="1" s="151">
      <c r="A531" s="1" t="inlineStr">
        <is>
          <t>1601110</t>
        </is>
      </c>
      <c r="B531" s="2" t="inlineStr">
        <is>
          <t>1</t>
        </is>
      </c>
      <c r="C531" s="2" t="inlineStr">
        <is>
          <t>Curetaje de lesiones virales y similares hasta 10 lesiones por sesión</t>
        </is>
      </c>
      <c r="D531" s="2" t="inlineStr">
        <is>
          <t>Proc</t>
        </is>
      </c>
      <c r="E531" s="3" t="inlineStr">
        <is>
          <t>Procedimiento</t>
        </is>
      </c>
    </row>
    <row r="532" ht="16" customHeight="1" s="151">
      <c r="A532" s="1" t="inlineStr">
        <is>
          <t>1601111</t>
        </is>
      </c>
      <c r="B532" s="2" t="inlineStr">
        <is>
          <t>2</t>
        </is>
      </c>
      <c r="C532" s="2" t="inlineStr">
        <is>
          <t>Aplicación de inmunomoduladores, químicos y similares hasta 10 lesiones por sesión</t>
        </is>
      </c>
      <c r="D532" s="2" t="inlineStr">
        <is>
          <t>Proc</t>
        </is>
      </c>
      <c r="E532" s="3" t="inlineStr">
        <is>
          <t>Procedimiento</t>
        </is>
      </c>
    </row>
    <row r="533" ht="16" customHeight="1" s="151">
      <c r="A533" s="1" t="inlineStr">
        <is>
          <t>1601112</t>
        </is>
      </c>
      <c r="B533" s="2" t="inlineStr">
        <is>
          <t>2</t>
        </is>
      </c>
      <c r="C533" s="2" t="inlineStr">
        <is>
          <t>Fototerapia UVB, UVA localizada, por sesión</t>
        </is>
      </c>
      <c r="D533" s="2" t="inlineStr">
        <is>
          <t>Proc</t>
        </is>
      </c>
      <c r="E533" s="3" t="inlineStr">
        <is>
          <t>Procedimiento</t>
        </is>
      </c>
    </row>
    <row r="534" ht="16" customHeight="1" s="151">
      <c r="A534" s="1" t="inlineStr">
        <is>
          <t>1601113</t>
        </is>
      </c>
      <c r="B534" s="2" t="inlineStr">
        <is>
          <t>2</t>
        </is>
      </c>
      <c r="C534" s="2" t="inlineStr">
        <is>
          <t>Fototerapia UVB, Banda Angosta y UVA por sesión en cabina</t>
        </is>
      </c>
      <c r="D534" s="2" t="inlineStr">
        <is>
          <t>Proc</t>
        </is>
      </c>
      <c r="E534" s="3" t="inlineStr">
        <is>
          <t>Procedimiento</t>
        </is>
      </c>
    </row>
    <row r="535" ht="16" customHeight="1" s="151">
      <c r="A535" s="1" t="inlineStr">
        <is>
          <t>1601115</t>
        </is>
      </c>
      <c r="B535" s="2" t="inlineStr">
        <is>
          <t>2</t>
        </is>
      </c>
      <c r="C535" s="2" t="inlineStr">
        <is>
          <t>Implantes Subcutáneos, instalación o retiro</t>
        </is>
      </c>
      <c r="D535" s="2" t="inlineStr">
        <is>
          <t>Proc</t>
        </is>
      </c>
      <c r="E535" s="3" t="inlineStr">
        <is>
          <t>Procedimiento</t>
        </is>
      </c>
    </row>
    <row r="536" ht="16" customHeight="1" s="151">
      <c r="A536" s="1" t="inlineStr">
        <is>
          <t>1601116</t>
        </is>
      </c>
      <c r="B536" s="2" t="inlineStr">
        <is>
          <t>2</t>
        </is>
      </c>
      <c r="C536" s="2" t="inlineStr">
        <is>
          <t>Crioterapia hasta 5 lesiones por sesión</t>
        </is>
      </c>
      <c r="D536" s="2" t="inlineStr">
        <is>
          <t>Proc</t>
        </is>
      </c>
      <c r="E536" s="3" t="inlineStr">
        <is>
          <t>Procedimiento</t>
        </is>
      </c>
    </row>
    <row r="537" ht="16" customHeight="1" s="151">
      <c r="A537" s="1" t="inlineStr">
        <is>
          <t>1601117</t>
        </is>
      </c>
      <c r="B537" s="2" t="inlineStr">
        <is>
          <t>2</t>
        </is>
      </c>
      <c r="C537" s="2" t="inlineStr">
        <is>
          <t>Crioterapia 6 a 10 lesiones por sesión</t>
        </is>
      </c>
      <c r="D537" s="2" t="inlineStr">
        <is>
          <t>Proc</t>
        </is>
      </c>
      <c r="E537" s="3" t="inlineStr">
        <is>
          <t>Procedimiento</t>
        </is>
      </c>
    </row>
    <row r="538" ht="16" customHeight="1" s="151">
      <c r="A538" s="1" t="inlineStr">
        <is>
          <t>1601118</t>
        </is>
      </c>
      <c r="B538" s="2" t="n"/>
      <c r="C538" s="2" t="inlineStr">
        <is>
          <t>Tumor maligno por criocirugía (por cada lesión) por sesión</t>
        </is>
      </c>
      <c r="D538" s="2" t="inlineStr">
        <is>
          <t>Proc</t>
        </is>
      </c>
      <c r="E538" s="3" t="inlineStr">
        <is>
          <t>Procedimiento</t>
        </is>
      </c>
    </row>
    <row r="539" ht="16" customHeight="1" s="151">
      <c r="A539" s="1" t="inlineStr">
        <is>
          <t>1601119</t>
        </is>
      </c>
      <c r="B539" s="2" t="inlineStr">
        <is>
          <t>2</t>
        </is>
      </c>
      <c r="C539" s="2" t="inlineStr">
        <is>
          <t>Inyección intracutánea en áreas hasta 9 cm2 por sesión</t>
        </is>
      </c>
      <c r="D539" s="2" t="inlineStr">
        <is>
          <t>Proc</t>
        </is>
      </c>
      <c r="E539" s="3" t="inlineStr">
        <is>
          <t>Procedimiento</t>
        </is>
      </c>
    </row>
    <row r="540" ht="16" customHeight="1" s="151">
      <c r="A540" s="1" t="inlineStr">
        <is>
          <t>1601120</t>
        </is>
      </c>
      <c r="B540" s="2" t="inlineStr">
        <is>
          <t>1</t>
        </is>
      </c>
      <c r="C540" s="2" t="inlineStr">
        <is>
          <t>Tratamiento abrasivo cutáneo mecánico por sesión</t>
        </is>
      </c>
      <c r="D540" s="2" t="inlineStr">
        <is>
          <t>Proc</t>
        </is>
      </c>
      <c r="E540" s="3" t="inlineStr">
        <is>
          <t>Procedimiento</t>
        </is>
      </c>
    </row>
    <row r="541" ht="16" customHeight="1" s="151">
      <c r="A541" s="1" t="inlineStr">
        <is>
          <t>1601121</t>
        </is>
      </c>
      <c r="B541" s="2" t="inlineStr">
        <is>
          <t>1</t>
        </is>
      </c>
      <c r="C541" s="2" t="inlineStr">
        <is>
          <t>Tratamiento abrasivo cutáneo químico por sesión</t>
        </is>
      </c>
      <c r="D541" s="2" t="inlineStr">
        <is>
          <t>Proc</t>
        </is>
      </c>
      <c r="E541" s="3" t="inlineStr">
        <is>
          <t>Procedimiento</t>
        </is>
      </c>
    </row>
    <row r="542" ht="16" customHeight="1" s="151">
      <c r="A542" s="1" t="inlineStr">
        <is>
          <t>1601122</t>
        </is>
      </c>
      <c r="B542" s="2" t="inlineStr">
        <is>
          <t>1</t>
        </is>
      </c>
      <c r="C542" s="2" t="inlineStr">
        <is>
          <t>Tricograma</t>
        </is>
      </c>
      <c r="D542" s="2" t="inlineStr">
        <is>
          <t>Proc</t>
        </is>
      </c>
      <c r="E542" s="3" t="inlineStr">
        <is>
          <t>Procedimiento</t>
        </is>
      </c>
    </row>
    <row r="543" ht="16" customHeight="1" s="151">
      <c r="A543" s="1" t="inlineStr">
        <is>
          <t>1601124</t>
        </is>
      </c>
      <c r="B543" s="2" t="inlineStr">
        <is>
          <t>2</t>
        </is>
      </c>
      <c r="C543" s="2" t="inlineStr">
        <is>
          <t>Tratamiento por láser, IPL o similar por área hasta 16 cm2  por sesión</t>
        </is>
      </c>
      <c r="D543" s="2" t="inlineStr">
        <is>
          <t>Proc</t>
        </is>
      </c>
      <c r="E543" s="3" t="inlineStr">
        <is>
          <t>Procedimiento</t>
        </is>
      </c>
    </row>
    <row r="544" ht="16" customHeight="1" s="151">
      <c r="A544" s="1" t="inlineStr">
        <is>
          <t>1601125</t>
        </is>
      </c>
      <c r="B544" s="2" t="n"/>
      <c r="C544" s="2" t="inlineStr">
        <is>
          <t>Terapia fotodinámica (no incluye medicamento) por sesión</t>
        </is>
      </c>
      <c r="D544" s="2" t="inlineStr">
        <is>
          <t>Proc</t>
        </is>
      </c>
      <c r="E544" s="3" t="inlineStr">
        <is>
          <t>Procedimiento</t>
        </is>
      </c>
    </row>
    <row r="545" ht="16" customHeight="1" s="151">
      <c r="A545" s="1" t="inlineStr">
        <is>
          <t>1601126</t>
        </is>
      </c>
      <c r="B545" s="2" t="inlineStr">
        <is>
          <t>1</t>
        </is>
      </c>
      <c r="C545" s="2" t="inlineStr">
        <is>
          <t>Dermatoscopía digital con registro gráfico o digital hasta 5 lesiones</t>
        </is>
      </c>
      <c r="D545" s="2" t="inlineStr">
        <is>
          <t>Proc</t>
        </is>
      </c>
      <c r="E545" s="3" t="inlineStr">
        <is>
          <t>Procedimiento</t>
        </is>
      </c>
    </row>
    <row r="546" ht="16" customHeight="1" s="151">
      <c r="A546" s="1" t="inlineStr">
        <is>
          <t>1602201</t>
        </is>
      </c>
      <c r="B546" s="2" t="inlineStr">
        <is>
          <t>2</t>
        </is>
      </c>
      <c r="C546" s="2" t="inlineStr">
        <is>
          <t>Biopsia de piel y/o mucosa por curetaje o sección tangencial c/s electro por 1 lesión</t>
        </is>
      </c>
      <c r="D546" s="2" t="inlineStr">
        <is>
          <t>CMen</t>
        </is>
      </c>
      <c r="E546" s="3" t="inlineStr">
        <is>
          <t>Cirugía Menor</t>
        </is>
      </c>
    </row>
    <row r="547" ht="16" customHeight="1" s="151">
      <c r="A547" s="1" t="inlineStr">
        <is>
          <t>1602202</t>
        </is>
      </c>
      <c r="B547" s="2" t="inlineStr">
        <is>
          <t>2</t>
        </is>
      </c>
      <c r="C547" s="2" t="inlineStr">
        <is>
          <t>Cabeza, cuello, genitales hasta 3 lesiones: extirpación, reparación o biopsia, total o parcial, de lesiones benignas cutáneas por excisión</t>
        </is>
      </c>
      <c r="D547" s="2" t="inlineStr">
        <is>
          <t>CMen</t>
        </is>
      </c>
      <c r="E547" s="3" t="inlineStr">
        <is>
          <t>Cirugía Menor</t>
        </is>
      </c>
    </row>
    <row r="548" ht="16" customHeight="1" s="151">
      <c r="A548" s="1" t="inlineStr">
        <is>
          <t>1602203</t>
        </is>
      </c>
      <c r="B548" s="2" t="inlineStr">
        <is>
          <t>2</t>
        </is>
      </c>
      <c r="C548" s="2" t="inlineStr">
        <is>
          <t>Resto del cuerpo hasta 3 lesiones: extirpación, reparación o biopsia, total o parcial, de lesiones benignas cutáneas por excisión</t>
        </is>
      </c>
      <c r="D548" s="2" t="inlineStr">
        <is>
          <t>CMen</t>
        </is>
      </c>
      <c r="E548" s="3" t="inlineStr">
        <is>
          <t>Cirugía Menor</t>
        </is>
      </c>
    </row>
    <row r="549" ht="16" customHeight="1" s="151">
      <c r="A549" s="1" t="inlineStr">
        <is>
          <t>1602204</t>
        </is>
      </c>
      <c r="B549" s="2" t="inlineStr">
        <is>
          <t>2</t>
        </is>
      </c>
      <c r="C549" s="2" t="inlineStr">
        <is>
          <t>Cabeza, cuello y genitales desde 4 y hasta 6 lesiones: extirpación, reparación o biopsia, total o parcial, de lesiones benignas cutáneas por excisión</t>
        </is>
      </c>
      <c r="D549" s="2" t="inlineStr">
        <is>
          <t>CMen</t>
        </is>
      </c>
      <c r="E549" s="3" t="inlineStr">
        <is>
          <t>Cirugía Menor</t>
        </is>
      </c>
    </row>
    <row r="550" ht="16" customHeight="1" s="151">
      <c r="A550" s="1" t="inlineStr">
        <is>
          <t>1602205</t>
        </is>
      </c>
      <c r="B550" s="2" t="inlineStr">
        <is>
          <t>2</t>
        </is>
      </c>
      <c r="C550" s="2" t="inlineStr">
        <is>
          <t>Resto del cuerpo desde 4 y hasta 6 lesiones: extirpación, reparación o biopsia, total o parcial, de lesiones benignas cutáneas por excisión</t>
        </is>
      </c>
      <c r="D550" s="2" t="inlineStr">
        <is>
          <t>CMen</t>
        </is>
      </c>
      <c r="E550" s="3" t="inlineStr">
        <is>
          <t>Cirugía Menor</t>
        </is>
      </c>
    </row>
    <row r="551" ht="16" customHeight="1" s="151">
      <c r="A551" s="1" t="inlineStr">
        <is>
          <t>1602206</t>
        </is>
      </c>
      <c r="B551" s="2" t="inlineStr">
        <is>
          <t>2</t>
        </is>
      </c>
      <c r="C551" s="2" t="inlineStr">
        <is>
          <t>Extirpación de lesiones benignas por sec tangencial, curetaje y/o fulguración hasta 15 lesiones</t>
        </is>
      </c>
      <c r="D551" s="2" t="inlineStr">
        <is>
          <t>CMen</t>
        </is>
      </c>
      <c r="E551" s="3" t="inlineStr">
        <is>
          <t>Cirugía Menor</t>
        </is>
      </c>
    </row>
    <row r="552" ht="16" customHeight="1" s="151">
      <c r="A552" s="1" t="inlineStr">
        <is>
          <t>1602207</t>
        </is>
      </c>
      <c r="B552" s="2" t="inlineStr">
        <is>
          <t>2</t>
        </is>
      </c>
      <c r="C552" s="2" t="inlineStr">
        <is>
          <t>Tratamiento por electro de hemangiomas o telangectasias hasta 15 lesiones</t>
        </is>
      </c>
      <c r="D552" s="2" t="inlineStr">
        <is>
          <t>CMen</t>
        </is>
      </c>
      <c r="E552" s="3" t="inlineStr">
        <is>
          <t>Cirugía Menor</t>
        </is>
      </c>
    </row>
    <row r="553" ht="16" customHeight="1" s="151">
      <c r="A553" s="1" t="inlineStr">
        <is>
          <t>1602211</t>
        </is>
      </c>
      <c r="B553" s="2" t="inlineStr">
        <is>
          <t>3</t>
        </is>
      </c>
      <c r="C553" s="2" t="inlineStr">
        <is>
          <t>Cabeza, cuello, genitales: tratamiento quirúrgico de tumor maligno por escisión total o parcial, con o sin sutura, por cada lesión o melanoma cualquier localización</t>
        </is>
      </c>
      <c r="D553" s="2" t="inlineStr">
        <is>
          <t>CMen</t>
        </is>
      </c>
      <c r="E553" s="3" t="inlineStr">
        <is>
          <t>Cirugía Menor</t>
        </is>
      </c>
    </row>
    <row r="554" ht="16" customHeight="1" s="151">
      <c r="A554" s="1" t="inlineStr">
        <is>
          <t>1602212</t>
        </is>
      </c>
      <c r="B554" s="2" t="inlineStr">
        <is>
          <t>3</t>
        </is>
      </c>
      <c r="C554" s="2" t="inlineStr">
        <is>
          <t>Resto del cuerpo: tratamiento quirúrgico de tumor maligno por escisión total o parcial, con o sin sutura, por cada lesión</t>
        </is>
      </c>
      <c r="D554" s="2" t="inlineStr">
        <is>
          <t>CMen</t>
        </is>
      </c>
      <c r="E554" s="3" t="inlineStr">
        <is>
          <t>Cirugía Menor</t>
        </is>
      </c>
    </row>
    <row r="555" ht="16" customHeight="1" s="151">
      <c r="A555" s="1" t="inlineStr">
        <is>
          <t>1602213</t>
        </is>
      </c>
      <c r="B555" s="2" t="inlineStr">
        <is>
          <t>2</t>
        </is>
      </c>
      <c r="C555" s="2" t="inlineStr">
        <is>
          <t>Cabeza, cuello, genitales o melanoma cualquier ubicación: ampliación de márgenes quirúrgicos de tumor maligno extirpado previamente</t>
        </is>
      </c>
      <c r="D555" s="2" t="inlineStr">
        <is>
          <t>CMen</t>
        </is>
      </c>
      <c r="E555" s="3" t="inlineStr">
        <is>
          <t>Cirugía Menor</t>
        </is>
      </c>
    </row>
    <row r="556" ht="16" customHeight="1" s="151">
      <c r="A556" s="1" t="inlineStr">
        <is>
          <t>1602214</t>
        </is>
      </c>
      <c r="B556" s="2" t="inlineStr">
        <is>
          <t>2</t>
        </is>
      </c>
      <c r="C556" s="2" t="inlineStr">
        <is>
          <t>Resto del cuerpo: ampliación de márgenes quirúrgicos de tumor maligno extirpado previamente</t>
        </is>
      </c>
      <c r="D556" s="2" t="inlineStr">
        <is>
          <t>CMen</t>
        </is>
      </c>
      <c r="E556" s="3" t="inlineStr">
        <is>
          <t>Cirugía Menor</t>
        </is>
      </c>
    </row>
    <row r="557" ht="16" customHeight="1" s="151">
      <c r="A557" s="1" t="inlineStr">
        <is>
          <t>1602215</t>
        </is>
      </c>
      <c r="B557" s="2" t="inlineStr">
        <is>
          <t>3</t>
        </is>
      </c>
      <c r="C557" s="2" t="inlineStr">
        <is>
          <t>Tumores vasculares profundos cabeza, cuello, genitales</t>
        </is>
      </c>
      <c r="D557" s="2" t="inlineStr">
        <is>
          <t>CMen</t>
        </is>
      </c>
      <c r="E557" s="3" t="inlineStr">
        <is>
          <t>Cirugía Menor</t>
        </is>
      </c>
    </row>
    <row r="558" ht="16" customHeight="1" s="151">
      <c r="A558" s="1" t="inlineStr">
        <is>
          <t>1602216</t>
        </is>
      </c>
      <c r="B558" s="2" t="inlineStr">
        <is>
          <t>3</t>
        </is>
      </c>
      <c r="C558" s="2" t="inlineStr">
        <is>
          <t>Tumores vasculares profundos resto del cuerpo</t>
        </is>
      </c>
      <c r="D558" s="2" t="inlineStr">
        <is>
          <t>CMen</t>
        </is>
      </c>
      <c r="E558" s="3" t="inlineStr">
        <is>
          <t>Cirugía Menor</t>
        </is>
      </c>
    </row>
    <row r="559" ht="16" customHeight="1" s="151">
      <c r="A559" s="1" t="inlineStr">
        <is>
          <t>1602221</t>
        </is>
      </c>
      <c r="B559" s="2" t="inlineStr">
        <is>
          <t>3</t>
        </is>
      </c>
      <c r="C559" s="2" t="inlineStr">
        <is>
          <t>Herida cortante o contusa complicada, reparación y sutura (más de 5 cm)</t>
        </is>
      </c>
      <c r="D559" s="2" t="inlineStr">
        <is>
          <t>CMen</t>
        </is>
      </c>
      <c r="E559" s="3" t="inlineStr">
        <is>
          <t>Cirugía Menor</t>
        </is>
      </c>
    </row>
    <row r="560" ht="16" customHeight="1" s="151">
      <c r="A560" s="1" t="inlineStr">
        <is>
          <t>1602222</t>
        </is>
      </c>
      <c r="B560" s="2" t="inlineStr">
        <is>
          <t>2</t>
        </is>
      </c>
      <c r="C560" s="2" t="inlineStr">
        <is>
          <t>Herida cortante o contusa no complicada, reparación y sutura (una o múltiple hasta 5 cms. de largo total que comprometa solo la piel)</t>
        </is>
      </c>
      <c r="D560" s="2" t="inlineStr">
        <is>
          <t>CMen</t>
        </is>
      </c>
      <c r="E560" s="3" t="inlineStr">
        <is>
          <t>Cirugía Menor</t>
        </is>
      </c>
    </row>
    <row r="561" ht="16" customHeight="1" s="151">
      <c r="A561" s="1" t="inlineStr">
        <is>
          <t>1602223</t>
        </is>
      </c>
      <c r="B561" s="2" t="inlineStr">
        <is>
          <t>2</t>
        </is>
      </c>
      <c r="C561" s="2" t="inlineStr">
        <is>
          <t>Cabeza, cuello, genitales: extirpación de lesión benigna subepidérmica, incluye tumor sólido, quiste epidérmico y lipoma por lesión</t>
        </is>
      </c>
      <c r="D561" s="2" t="inlineStr">
        <is>
          <t>CMen</t>
        </is>
      </c>
      <c r="E561" s="3" t="inlineStr">
        <is>
          <t>Cirugía Menor</t>
        </is>
      </c>
    </row>
    <row r="562" ht="16" customHeight="1" s="151">
      <c r="A562" s="1" t="inlineStr">
        <is>
          <t>1602224</t>
        </is>
      </c>
      <c r="B562" s="2" t="inlineStr">
        <is>
          <t>2</t>
        </is>
      </c>
      <c r="C562" s="2" t="inlineStr">
        <is>
          <t>Resto del cuerpo: extirpación de lesión benigna subepidérmica, incluye tumor sólido, quiste epidérmico y lipoma por lesión</t>
        </is>
      </c>
      <c r="D562" s="2" t="inlineStr">
        <is>
          <t>CMen</t>
        </is>
      </c>
      <c r="E562" s="3" t="inlineStr">
        <is>
          <t>Cirugía Menor</t>
        </is>
      </c>
    </row>
    <row r="563" ht="16" customHeight="1" s="151">
      <c r="A563" s="1" t="inlineStr">
        <is>
          <t>1602225</t>
        </is>
      </c>
      <c r="B563" s="2" t="inlineStr">
        <is>
          <t>2</t>
        </is>
      </c>
      <c r="C563" s="2" t="inlineStr">
        <is>
          <t>Vaciamiento y curetaje quirúrgico de lesiones quísticas o abscesos</t>
        </is>
      </c>
      <c r="D563" s="2" t="inlineStr">
        <is>
          <t>CMen</t>
        </is>
      </c>
      <c r="E563" s="3" t="inlineStr">
        <is>
          <t>Cirugía Menor</t>
        </is>
      </c>
    </row>
    <row r="564" ht="16" customHeight="1" s="151">
      <c r="A564" s="1" t="inlineStr">
        <is>
          <t>1602231</t>
        </is>
      </c>
      <c r="B564" s="2" t="inlineStr">
        <is>
          <t>2</t>
        </is>
      </c>
      <c r="C564" s="2" t="inlineStr">
        <is>
          <t>Onicectomía total o parcial simple</t>
        </is>
      </c>
      <c r="D564" s="2" t="inlineStr">
        <is>
          <t>CMen</t>
        </is>
      </c>
      <c r="E564" s="3" t="inlineStr">
        <is>
          <t>Cirugía Menor</t>
        </is>
      </c>
    </row>
    <row r="565" ht="16" customHeight="1" s="151">
      <c r="A565" s="1" t="inlineStr">
        <is>
          <t>1602232</t>
        </is>
      </c>
      <c r="B565" s="2" t="inlineStr">
        <is>
          <t>2</t>
        </is>
      </c>
      <c r="C565" s="2" t="inlineStr">
        <is>
          <t>Cirugía reparadora ungueal por proceso inflamatorio</t>
        </is>
      </c>
      <c r="D565" s="2" t="inlineStr">
        <is>
          <t>CMen</t>
        </is>
      </c>
      <c r="E565" s="3" t="inlineStr">
        <is>
          <t>Cirugía Menor</t>
        </is>
      </c>
    </row>
    <row r="566" ht="16" customHeight="1" s="151">
      <c r="A566" s="1" t="inlineStr">
        <is>
          <t>1602233</t>
        </is>
      </c>
      <c r="B566" s="2" t="inlineStr">
        <is>
          <t>2</t>
        </is>
      </c>
      <c r="C566" s="2" t="inlineStr">
        <is>
          <t>Corrección quirúrgica de defecto congénito o por tumor ungueal</t>
        </is>
      </c>
      <c r="D566" s="2" t="inlineStr">
        <is>
          <t>CMen</t>
        </is>
      </c>
      <c r="E566" s="3" t="inlineStr">
        <is>
          <t>Cirugía Menor</t>
        </is>
      </c>
    </row>
    <row r="567" ht="16" customHeight="1" s="151">
      <c r="A567" s="1" t="inlineStr">
        <is>
          <t>1602240</t>
        </is>
      </c>
      <c r="B567" s="2" t="inlineStr">
        <is>
          <t>1</t>
        </is>
      </c>
      <c r="C567" s="2" t="inlineStr">
        <is>
          <t>Curación por Médico, Quemadura o Similar  menor al 5% superficie corporal en pabellón</t>
        </is>
      </c>
      <c r="D567" s="2" t="inlineStr">
        <is>
          <t>CMen</t>
        </is>
      </c>
      <c r="E567" s="3" t="inlineStr">
        <is>
          <t>Cirugía Menor</t>
        </is>
      </c>
    </row>
    <row r="568" ht="16" customHeight="1" s="151">
      <c r="A568" s="1" t="inlineStr">
        <is>
          <t>1602241</t>
        </is>
      </c>
      <c r="B568" s="2" t="inlineStr">
        <is>
          <t>3</t>
        </is>
      </c>
      <c r="C568" s="2" t="inlineStr">
        <is>
          <t>Curación por Médico, Quemadura o Similar  5 a 10% superficie corporal en pabellón</t>
        </is>
      </c>
      <c r="D568" s="2" t="inlineStr">
        <is>
          <t>CMen</t>
        </is>
      </c>
      <c r="E568" s="3" t="inlineStr">
        <is>
          <t>Cirugía Menor</t>
        </is>
      </c>
    </row>
    <row r="569" ht="16" customHeight="1" s="151">
      <c r="A569" s="1" t="inlineStr">
        <is>
          <t>1602242</t>
        </is>
      </c>
      <c r="B569" s="2" t="inlineStr">
        <is>
          <t>6</t>
        </is>
      </c>
      <c r="C569" s="2" t="inlineStr">
        <is>
          <t>Curación por Médico, Quemadura o Similar mayor al 10 %  superficie corporal en pabellón</t>
        </is>
      </c>
      <c r="D569" s="2" t="inlineStr">
        <is>
          <t>Cmay</t>
        </is>
      </c>
      <c r="E569" s="3" t="inlineStr">
        <is>
          <t>Cirugía Mayor</t>
        </is>
      </c>
    </row>
    <row r="570" ht="16" customHeight="1" s="151">
      <c r="A570" s="1" t="inlineStr">
        <is>
          <t>1701001</t>
        </is>
      </c>
      <c r="B570" s="2" t="n"/>
      <c r="C570" s="2" t="inlineStr">
        <is>
          <t>E.C.G. de reposo (incluye mínimo 12 derivaciones y 4 complejos por derivación)</t>
        </is>
      </c>
      <c r="D570" s="2" t="inlineStr">
        <is>
          <t>Proc</t>
        </is>
      </c>
      <c r="E570" s="3" t="inlineStr">
        <is>
          <t>Procedimiento</t>
        </is>
      </c>
    </row>
    <row r="571" ht="16" customHeight="1" s="151">
      <c r="A571" s="1" t="inlineStr">
        <is>
          <t>1701003</t>
        </is>
      </c>
      <c r="B571" s="2" t="n"/>
      <c r="C571" s="2" t="inlineStr">
        <is>
          <t>Electrocardiograma de esfuerzo</t>
        </is>
      </c>
      <c r="D571" s="2" t="inlineStr">
        <is>
          <t>Proc</t>
        </is>
      </c>
      <c r="E571" s="3" t="inlineStr">
        <is>
          <t>Procedimiento</t>
        </is>
      </c>
    </row>
    <row r="572" ht="16" customHeight="1" s="151">
      <c r="A572" s="1" t="inlineStr">
        <is>
          <t>1701004</t>
        </is>
      </c>
      <c r="B572" s="2" t="n"/>
      <c r="C572" s="2" t="inlineStr">
        <is>
          <t>Registro de Haz de His, en adultos o niños</t>
        </is>
      </c>
      <c r="D572" s="2" t="inlineStr">
        <is>
          <t>Proc</t>
        </is>
      </c>
      <c r="E572" s="3" t="inlineStr">
        <is>
          <t>Procedimiento</t>
        </is>
      </c>
    </row>
    <row r="573" ht="16" customHeight="1" s="151">
      <c r="A573" s="1" t="inlineStr">
        <is>
          <t>1701006</t>
        </is>
      </c>
      <c r="B573" s="2" t="n"/>
      <c r="C573" s="2" t="inlineStr">
        <is>
          <t>E.C.G. continuo (test Holter o similares, por ej. variabilidad de la frecuencia cardíaca y/o alta resolución del ST y/o depolarización tardía); 20 a 24 horas de registro</t>
        </is>
      </c>
      <c r="D573" s="2" t="inlineStr">
        <is>
          <t>Proc</t>
        </is>
      </c>
      <c r="E573" s="3" t="inlineStr">
        <is>
          <t>Procedimiento</t>
        </is>
      </c>
    </row>
    <row r="574" ht="16" customHeight="1" s="151">
      <c r="A574" s="1" t="inlineStr">
        <is>
          <t>1701007</t>
        </is>
      </c>
      <c r="B574" s="2" t="n"/>
      <c r="C574" s="2" t="inlineStr">
        <is>
          <t>Ecocardiograma  Doppler, con registro (incluye cód. 17-01-008)</t>
        </is>
      </c>
      <c r="D574" s="2" t="inlineStr">
        <is>
          <t>Proc</t>
        </is>
      </c>
      <c r="E574" s="3" t="inlineStr">
        <is>
          <t>Procedimiento</t>
        </is>
      </c>
    </row>
    <row r="575" ht="16" customHeight="1" s="151">
      <c r="A575" s="1" t="inlineStr">
        <is>
          <t>1701008</t>
        </is>
      </c>
      <c r="B575" s="2" t="n"/>
      <c r="C575" s="2" t="inlineStr">
        <is>
          <t>Ecocardiograma bidimensional (incluye registro modo M, papel fotosensible y fotografía), en adultos o niños (proc. aut.)</t>
        </is>
      </c>
      <c r="D575" s="2" t="inlineStr">
        <is>
          <t>Proc</t>
        </is>
      </c>
      <c r="E575" s="3" t="inlineStr">
        <is>
          <t>Procedimiento</t>
        </is>
      </c>
    </row>
    <row r="576" ht="16" customHeight="1" s="151">
      <c r="A576" s="1" t="inlineStr">
        <is>
          <t>1701009</t>
        </is>
      </c>
      <c r="B576" s="2" t="n"/>
      <c r="C576" s="2" t="inlineStr">
        <is>
          <t>Monitoreo de presión arterial continuo</t>
        </is>
      </c>
      <c r="D576" s="2" t="inlineStr">
        <is>
          <t>Proc</t>
        </is>
      </c>
      <c r="E576" s="3" t="inlineStr">
        <is>
          <t>Procedimiento</t>
        </is>
      </c>
    </row>
    <row r="577" ht="16" customHeight="1" s="151">
      <c r="A577" s="1" t="inlineStr">
        <is>
          <t>1701010</t>
        </is>
      </c>
      <c r="B577" s="2" t="n"/>
      <c r="C577" s="2" t="inlineStr">
        <is>
          <t>Sondeo cardíaco derecho c/s termodilución, en adultos o niños</t>
        </is>
      </c>
      <c r="D577" s="2" t="inlineStr">
        <is>
          <t>Proc</t>
        </is>
      </c>
      <c r="E577" s="3" t="inlineStr">
        <is>
          <t>Procedimiento</t>
        </is>
      </c>
    </row>
    <row r="578" ht="16" customHeight="1" s="151">
      <c r="A578" s="1" t="inlineStr">
        <is>
          <t>1701011</t>
        </is>
      </c>
      <c r="B578" s="2" t="n"/>
      <c r="C578" s="2" t="inlineStr">
        <is>
          <t>Sondeo cardíaco izquierdo y derecho, en adultos o niños</t>
        </is>
      </c>
      <c r="D578" s="2" t="inlineStr">
        <is>
          <t>Proc</t>
        </is>
      </c>
      <c r="E578" s="3" t="inlineStr">
        <is>
          <t>Procedimiento</t>
        </is>
      </c>
    </row>
    <row r="579" ht="16" customHeight="1" s="151">
      <c r="A579" s="1" t="inlineStr">
        <is>
          <t>1701012</t>
        </is>
      </c>
      <c r="B579" s="2" t="n"/>
      <c r="C579" s="2" t="inlineStr">
        <is>
          <t>Sondeo cardíaco izquierdo, en adultos o niños</t>
        </is>
      </c>
      <c r="D579" s="2" t="inlineStr">
        <is>
          <t>Proc</t>
        </is>
      </c>
      <c r="E579" s="3" t="inlineStr">
        <is>
          <t>Procedimiento</t>
        </is>
      </c>
    </row>
    <row r="580" ht="16" customHeight="1" s="151">
      <c r="A580" s="1" t="inlineStr">
        <is>
          <t>1701013</t>
        </is>
      </c>
      <c r="B580" s="2" t="inlineStr">
        <is>
          <t>4</t>
        </is>
      </c>
      <c r="C580" s="2" t="inlineStr">
        <is>
          <t>Cateterismo en recién nacido por arteria umbilical</t>
        </is>
      </c>
      <c r="D580" s="2" t="inlineStr">
        <is>
          <t>Proc</t>
        </is>
      </c>
      <c r="E580" s="3" t="inlineStr">
        <is>
          <t>Procedimiento</t>
        </is>
      </c>
    </row>
    <row r="581" ht="16" customHeight="1" s="151">
      <c r="A581" s="1" t="inlineStr">
        <is>
          <t>1701014</t>
        </is>
      </c>
      <c r="B581" s="2" t="n"/>
      <c r="C581" s="2" t="inlineStr">
        <is>
          <t>Instalación de catéter Swan-Ganz o similar, en adultos o niños (proc. aut.)</t>
        </is>
      </c>
      <c r="D581" s="2" t="inlineStr">
        <is>
          <t>Proc</t>
        </is>
      </c>
      <c r="E581" s="3" t="inlineStr">
        <is>
          <t>Procedimiento</t>
        </is>
      </c>
    </row>
    <row r="582" ht="16" customHeight="1" s="151">
      <c r="A582" s="1" t="inlineStr">
        <is>
          <t>1701015</t>
        </is>
      </c>
      <c r="B582" s="2" t="n"/>
      <c r="C582" s="2" t="inlineStr">
        <is>
          <t>Doppler con ergometría (por sesión)</t>
        </is>
      </c>
      <c r="D582" s="2" t="inlineStr">
        <is>
          <t>Proc</t>
        </is>
      </c>
      <c r="E582" s="3" t="inlineStr">
        <is>
          <t>Procedimiento</t>
        </is>
      </c>
    </row>
    <row r="583" ht="16" customHeight="1" s="151">
      <c r="A583" s="1" t="inlineStr">
        <is>
          <t>1701016</t>
        </is>
      </c>
      <c r="B583" s="2" t="n"/>
      <c r="C583" s="2" t="inlineStr">
        <is>
          <t>Doppler simple de vasos periféricos (por sesión)</t>
        </is>
      </c>
      <c r="D583" s="2" t="inlineStr">
        <is>
          <t>Proc</t>
        </is>
      </c>
      <c r="E583" s="3" t="inlineStr">
        <is>
          <t>Procedimiento</t>
        </is>
      </c>
    </row>
    <row r="584" ht="16" customHeight="1" s="151">
      <c r="A584" s="1" t="inlineStr">
        <is>
          <t>1701017</t>
        </is>
      </c>
      <c r="B584" s="2" t="n"/>
      <c r="C584" s="2" t="inlineStr">
        <is>
          <t>Pletismografía en reposo, esfuerzo c/u (por sesión)</t>
        </is>
      </c>
      <c r="D584" s="2" t="inlineStr">
        <is>
          <t>Proc</t>
        </is>
      </c>
      <c r="E584" s="3" t="inlineStr">
        <is>
          <t>Procedimiento</t>
        </is>
      </c>
    </row>
    <row r="585" ht="16" customHeight="1" s="151">
      <c r="A585" s="1" t="inlineStr">
        <is>
          <t>1701018</t>
        </is>
      </c>
      <c r="B585" s="2" t="n"/>
      <c r="C585" s="2" t="inlineStr">
        <is>
          <t>Registro ecoarterial o ecovenoso periférico c/u (por sesión)</t>
        </is>
      </c>
      <c r="D585" s="2" t="inlineStr">
        <is>
          <t>Proc</t>
        </is>
      </c>
      <c r="E585" s="3" t="inlineStr">
        <is>
          <t>Procedimiento</t>
        </is>
      </c>
    </row>
    <row r="586" ht="16" customHeight="1" s="151">
      <c r="A586" s="1" t="inlineStr">
        <is>
          <t>1701019</t>
        </is>
      </c>
      <c r="B586" s="2" t="n"/>
      <c r="C586" s="2" t="inlineStr">
        <is>
          <t>Cinecoronariografía derecha y/o izquierda (incluye sondeo cardíaco izquierdo  y ventriculografía izquierda)</t>
        </is>
      </c>
      <c r="D586" s="2" t="inlineStr">
        <is>
          <t>Proc</t>
        </is>
      </c>
      <c r="E586" s="3" t="inlineStr">
        <is>
          <t>Procedimiento</t>
        </is>
      </c>
    </row>
    <row r="587" ht="16" customHeight="1" s="151">
      <c r="A587" s="1" t="inlineStr">
        <is>
          <t>1701020</t>
        </is>
      </c>
      <c r="B587" s="2" t="n"/>
      <c r="C587" s="2" t="inlineStr">
        <is>
          <t>Ventriculografía derecha, en adultos o niños (incl. proc. rad., y sondeo cardíaco derecho)</t>
        </is>
      </c>
      <c r="D587" s="2" t="inlineStr">
        <is>
          <t>Proc</t>
        </is>
      </c>
      <c r="E587" s="3" t="inlineStr">
        <is>
          <t>Procedimiento</t>
        </is>
      </c>
    </row>
    <row r="588" ht="16" customHeight="1" s="151">
      <c r="A588" s="1" t="inlineStr">
        <is>
          <t>1701021</t>
        </is>
      </c>
      <c r="B588" s="2" t="n"/>
      <c r="C588" s="2" t="inlineStr">
        <is>
          <t>Ventriculografía izquierda, en adultos o niños (incl. proc. rad., y sondeo cardíaco izquierdo)</t>
        </is>
      </c>
      <c r="D588" s="2" t="inlineStr">
        <is>
          <t>Proc</t>
        </is>
      </c>
      <c r="E588" s="3" t="inlineStr">
        <is>
          <t>Procedimiento</t>
        </is>
      </c>
    </row>
    <row r="589" ht="16" customHeight="1" s="151">
      <c r="A589" s="1" t="inlineStr">
        <is>
          <t>1701022</t>
        </is>
      </c>
      <c r="B589" s="2" t="n"/>
      <c r="C589" s="2" t="inlineStr">
        <is>
          <t>Aortografía, en adultos o niños (Incluye proc. rad.)</t>
        </is>
      </c>
      <c r="D589" s="2" t="inlineStr">
        <is>
          <t>Proc</t>
        </is>
      </c>
      <c r="E589" s="3" t="inlineStr">
        <is>
          <t>Procedimiento</t>
        </is>
      </c>
    </row>
    <row r="590" ht="16" customHeight="1" s="151">
      <c r="A590" s="1" t="inlineStr">
        <is>
          <t>1701023</t>
        </is>
      </c>
      <c r="B590" s="2" t="n"/>
      <c r="C590" s="2" t="inlineStr">
        <is>
          <t>Arteriografía de extremidades, en adultos o niños (incluye proc. rad.)</t>
        </is>
      </c>
      <c r="D590" s="2" t="inlineStr">
        <is>
          <t>Proc</t>
        </is>
      </c>
      <c r="E590" s="3" t="inlineStr">
        <is>
          <t>Procedimiento</t>
        </is>
      </c>
    </row>
    <row r="591" ht="16" customHeight="1" s="151">
      <c r="A591" s="1" t="inlineStr">
        <is>
          <t>1701030</t>
        </is>
      </c>
      <c r="B591" s="2" t="n"/>
      <c r="C591" s="2" t="inlineStr">
        <is>
          <t>Punción evacuadora de pericardio, c/s toma de muestra c/s inyección de medicamento</t>
        </is>
      </c>
      <c r="D591" s="2" t="inlineStr">
        <is>
          <t>Proc</t>
        </is>
      </c>
      <c r="E591" s="3" t="inlineStr">
        <is>
          <t>Procedimiento</t>
        </is>
      </c>
    </row>
    <row r="592" ht="16" customHeight="1" s="151">
      <c r="A592" s="1" t="inlineStr">
        <is>
          <t>1701033</t>
        </is>
      </c>
      <c r="B592" s="2" t="n"/>
      <c r="C592" s="2" t="inlineStr">
        <is>
          <t>Biopsia endomiocárdica (proc. completo)</t>
        </is>
      </c>
      <c r="D592" s="2" t="inlineStr">
        <is>
          <t>Proc</t>
        </is>
      </c>
      <c r="E592" s="3" t="inlineStr">
        <is>
          <t>Procedimiento</t>
        </is>
      </c>
    </row>
    <row r="593" ht="16" customHeight="1" s="151">
      <c r="A593" s="1" t="inlineStr">
        <is>
          <t>1701034</t>
        </is>
      </c>
      <c r="B593" s="2" t="n"/>
      <c r="C593" s="2" t="inlineStr">
        <is>
          <t>Cardioversión</t>
        </is>
      </c>
      <c r="D593" s="2" t="inlineStr">
        <is>
          <t>Proc</t>
        </is>
      </c>
      <c r="E593" s="3" t="inlineStr">
        <is>
          <t>Procedimiento</t>
        </is>
      </c>
    </row>
    <row r="594" ht="16" customHeight="1" s="151">
      <c r="A594" s="1" t="inlineStr">
        <is>
          <t>1701035</t>
        </is>
      </c>
      <c r="B594" s="2" t="n"/>
      <c r="C594" s="2" t="inlineStr">
        <is>
          <t>Colocación de sonda marcapaso transitorio (proc. completo)</t>
        </is>
      </c>
      <c r="D594" s="2" t="inlineStr">
        <is>
          <t>Proc</t>
        </is>
      </c>
      <c r="E594" s="3" t="inlineStr">
        <is>
          <t>Procedimiento</t>
        </is>
      </c>
    </row>
    <row r="595" ht="16" customHeight="1" s="151">
      <c r="A595" s="1" t="inlineStr">
        <is>
          <t>1701037</t>
        </is>
      </c>
      <c r="B595" s="2" t="inlineStr">
        <is>
          <t>3</t>
        </is>
      </c>
      <c r="C595" s="2" t="inlineStr">
        <is>
          <t>Punción subclavia o yugular con colocación de catéter</t>
        </is>
      </c>
      <c r="D595" s="2" t="inlineStr">
        <is>
          <t>Proc</t>
        </is>
      </c>
      <c r="E595" s="3" t="inlineStr">
        <is>
          <t>Procedimiento</t>
        </is>
      </c>
    </row>
    <row r="596" ht="16" customHeight="1" s="151">
      <c r="A596" s="1" t="inlineStr">
        <is>
          <t>1701038</t>
        </is>
      </c>
      <c r="B596" s="2" t="n"/>
      <c r="C596" s="2" t="inlineStr">
        <is>
          <t>Septostomía de Rashkind o con controlada con balón</t>
        </is>
      </c>
      <c r="D596" s="2" t="inlineStr">
        <is>
          <t>Proc</t>
        </is>
      </c>
      <c r="E596" s="3" t="inlineStr">
        <is>
          <t>Procedimiento</t>
        </is>
      </c>
    </row>
    <row r="597" ht="16" customHeight="1" s="151">
      <c r="A597" s="1" t="inlineStr">
        <is>
          <t>1701039</t>
        </is>
      </c>
      <c r="B597" s="2" t="inlineStr">
        <is>
          <t>3</t>
        </is>
      </c>
      <c r="C597" s="2" t="inlineStr">
        <is>
          <t>Trombólisis arterial periférica</t>
        </is>
      </c>
      <c r="D597" s="2" t="inlineStr">
        <is>
          <t>Proc</t>
        </is>
      </c>
      <c r="E597" s="3" t="inlineStr">
        <is>
          <t>Procedimiento</t>
        </is>
      </c>
    </row>
    <row r="598" ht="16" customHeight="1" s="151">
      <c r="A598" s="1" t="inlineStr">
        <is>
          <t>1701040</t>
        </is>
      </c>
      <c r="B598" s="2" t="inlineStr">
        <is>
          <t>3</t>
        </is>
      </c>
      <c r="C598" s="2" t="inlineStr">
        <is>
          <t>Trombólisis intracoronaria</t>
        </is>
      </c>
      <c r="D598" s="2" t="inlineStr">
        <is>
          <t>Proc</t>
        </is>
      </c>
      <c r="E598" s="3" t="inlineStr">
        <is>
          <t>Procedimiento</t>
        </is>
      </c>
    </row>
    <row r="599" ht="16" customHeight="1" s="151">
      <c r="A599" s="1" t="inlineStr">
        <is>
          <t>1701043</t>
        </is>
      </c>
      <c r="B599" s="2" t="n"/>
      <c r="C599" s="2" t="inlineStr">
        <is>
          <t>Angioplastía de coartación aórtica (incl. proc. rad.) (proc. completo)</t>
        </is>
      </c>
      <c r="D599" s="2" t="inlineStr">
        <is>
          <t>Proc</t>
        </is>
      </c>
      <c r="E599" s="3" t="inlineStr">
        <is>
          <t>Procedimiento</t>
        </is>
      </c>
    </row>
    <row r="600" ht="16" customHeight="1" s="151">
      <c r="A600" s="1" t="inlineStr">
        <is>
          <t>1701045</t>
        </is>
      </c>
      <c r="B600" s="2" t="n"/>
      <c r="C600" s="2" t="inlineStr">
        <is>
          <t>Ecocardiograma bidimensional doppler color</t>
        </is>
      </c>
      <c r="D600" s="2" t="inlineStr">
        <is>
          <t>Proc</t>
        </is>
      </c>
      <c r="E600" s="3" t="inlineStr">
        <is>
          <t>Procedimiento</t>
        </is>
      </c>
    </row>
    <row r="601" ht="16" customHeight="1" s="151">
      <c r="A601" s="1" t="inlineStr">
        <is>
          <t>1701046</t>
        </is>
      </c>
      <c r="B601" s="2" t="inlineStr">
        <is>
          <t>4</t>
        </is>
      </c>
      <c r="C601" s="2" t="inlineStr">
        <is>
          <t>Estudio electrofisiológico endocardíaco de las arritmias</t>
        </is>
      </c>
      <c r="D601" s="2" t="inlineStr">
        <is>
          <t>Proc</t>
        </is>
      </c>
      <c r="E601" s="3" t="inlineStr">
        <is>
          <t>Procedimiento</t>
        </is>
      </c>
    </row>
    <row r="602" ht="16" customHeight="1" s="151">
      <c r="A602" s="1" t="inlineStr">
        <is>
          <t>1701050</t>
        </is>
      </c>
      <c r="B602" s="2" t="inlineStr">
        <is>
          <t>4</t>
        </is>
      </c>
      <c r="C602" s="2" t="inlineStr">
        <is>
          <t>Ablación con corriente continua o radiofrecuencia de nódulo aurículo-ventricular</t>
        </is>
      </c>
      <c r="D602" s="2" t="inlineStr">
        <is>
          <t>Proc</t>
        </is>
      </c>
      <c r="E602" s="3" t="inlineStr">
        <is>
          <t>Procedimiento</t>
        </is>
      </c>
    </row>
    <row r="603" ht="16" customHeight="1" s="151">
      <c r="A603" s="1" t="inlineStr">
        <is>
          <t>1701051</t>
        </is>
      </c>
      <c r="B603" s="2" t="inlineStr">
        <is>
          <t>4</t>
        </is>
      </c>
      <c r="C603" s="2" t="inlineStr">
        <is>
          <t>Ablación con corriente continua o con radiofrecuencia de vías accesorias y otros</t>
        </is>
      </c>
      <c r="D603" s="2" t="inlineStr">
        <is>
          <t>Proc</t>
        </is>
      </c>
      <c r="E603" s="3" t="inlineStr">
        <is>
          <t>Procedimiento</t>
        </is>
      </c>
    </row>
    <row r="604" ht="16" customHeight="1" s="151">
      <c r="A604" s="1" t="inlineStr">
        <is>
          <t>1701055</t>
        </is>
      </c>
      <c r="B604" s="2" t="inlineStr">
        <is>
          <t>3</t>
        </is>
      </c>
      <c r="C604" s="2" t="inlineStr">
        <is>
          <t>Ecocardiograma bidimensional doppler color transesofágico</t>
        </is>
      </c>
      <c r="D604" s="2" t="inlineStr">
        <is>
          <t>Proc</t>
        </is>
      </c>
      <c r="E604" s="3" t="inlineStr">
        <is>
          <t>Procedimiento</t>
        </is>
      </c>
    </row>
    <row r="605" ht="16" customHeight="1" s="151">
      <c r="A605" s="1" t="inlineStr">
        <is>
          <t>1701056</t>
        </is>
      </c>
      <c r="B605" s="2" t="n"/>
      <c r="C605" s="2" t="inlineStr">
        <is>
          <t>Ecocardiograma Fetal</t>
        </is>
      </c>
      <c r="D605" s="2" t="inlineStr">
        <is>
          <t>Proc</t>
        </is>
      </c>
      <c r="E605" s="3" t="inlineStr">
        <is>
          <t>Procedimiento</t>
        </is>
      </c>
    </row>
    <row r="606" ht="16" customHeight="1" s="151">
      <c r="A606" s="1" t="inlineStr">
        <is>
          <t>1701057</t>
        </is>
      </c>
      <c r="B606" s="2" t="n"/>
      <c r="C606" s="2" t="inlineStr">
        <is>
          <t>Ecocardiograma de estrés (incluye medicamento)</t>
        </is>
      </c>
      <c r="D606" s="2" t="inlineStr">
        <is>
          <t>Proc</t>
        </is>
      </c>
      <c r="E606" s="3" t="inlineStr">
        <is>
          <t>Procedimiento</t>
        </is>
      </c>
    </row>
    <row r="607" ht="16" customHeight="1" s="151">
      <c r="A607" s="1" t="inlineStr">
        <is>
          <t>1701058</t>
        </is>
      </c>
      <c r="B607" s="2" t="n"/>
      <c r="C607" s="2" t="inlineStr">
        <is>
          <t>Test de esfuerzo con consumo de oxígeno (adultos y niños)</t>
        </is>
      </c>
      <c r="D607" s="2" t="inlineStr">
        <is>
          <t>Proc</t>
        </is>
      </c>
      <c r="E607" s="3" t="inlineStr">
        <is>
          <t>Procedimiento</t>
        </is>
      </c>
    </row>
    <row r="608" ht="16" customHeight="1" s="151">
      <c r="A608" s="1" t="inlineStr">
        <is>
          <t>1701059</t>
        </is>
      </c>
      <c r="B608" s="2" t="n"/>
      <c r="C608" s="2" t="inlineStr">
        <is>
          <t>Tilt test o prueba de inclinación</t>
        </is>
      </c>
      <c r="D608" s="2" t="inlineStr">
        <is>
          <t>Proc</t>
        </is>
      </c>
      <c r="E608" s="3" t="inlineStr">
        <is>
          <t>Procedimiento</t>
        </is>
      </c>
    </row>
    <row r="609" ht="16" customHeight="1" s="151">
      <c r="A609" s="1" t="inlineStr">
        <is>
          <t>1701060</t>
        </is>
      </c>
      <c r="B609" s="2" t="n"/>
      <c r="C609" s="2" t="inlineStr">
        <is>
          <t>Revisión (re-implante) electrodo desfibrilador automático transvenoso</t>
        </is>
      </c>
      <c r="D609" s="2" t="inlineStr">
        <is>
          <t>Proc</t>
        </is>
      </c>
      <c r="E609" s="3" t="inlineStr">
        <is>
          <t>Procedimiento</t>
        </is>
      </c>
    </row>
    <row r="610" ht="16" customHeight="1" s="151">
      <c r="A610" s="1" t="inlineStr">
        <is>
          <t>1701061</t>
        </is>
      </c>
      <c r="B610" s="2" t="n"/>
      <c r="C610" s="2" t="inlineStr">
        <is>
          <t>Arteriografía selectiva o superselectiva pulmonar en adultos o niños (incl. proc. rad.)</t>
        </is>
      </c>
      <c r="D610" s="2" t="inlineStr">
        <is>
          <t>Proc</t>
        </is>
      </c>
      <c r="E610" s="3" t="inlineStr">
        <is>
          <t>Procedimiento</t>
        </is>
      </c>
    </row>
    <row r="611" ht="16" customHeight="1" s="151">
      <c r="A611" s="1" t="inlineStr">
        <is>
          <t>1701062</t>
        </is>
      </c>
      <c r="B611" s="2" t="n"/>
      <c r="C611" s="2" t="inlineStr">
        <is>
          <t>Arteriografía selectiva o superselectiva renal en adultos o niños (incl. proc. rad.)</t>
        </is>
      </c>
      <c r="D611" s="2" t="inlineStr">
        <is>
          <t>Proc</t>
        </is>
      </c>
      <c r="E611" s="3" t="inlineStr">
        <is>
          <t>Procedimiento</t>
        </is>
      </c>
    </row>
    <row r="612" ht="16" customHeight="1" s="151">
      <c r="A612" s="1" t="inlineStr">
        <is>
          <t>1701063</t>
        </is>
      </c>
      <c r="B612" s="2" t="n"/>
      <c r="C612" s="2" t="inlineStr">
        <is>
          <t>Arteriografía selectiva o superselectiva tronco celíaco en adultos o niños (incl. proc. rad.)</t>
        </is>
      </c>
      <c r="D612" s="2" t="inlineStr">
        <is>
          <t>Proc</t>
        </is>
      </c>
      <c r="E612" s="3" t="inlineStr">
        <is>
          <t>Procedimiento</t>
        </is>
      </c>
    </row>
    <row r="613" ht="16" customHeight="1" s="151">
      <c r="A613" s="1" t="inlineStr">
        <is>
          <t>1701064</t>
        </is>
      </c>
      <c r="B613" s="2" t="n"/>
      <c r="C613" s="2" t="inlineStr">
        <is>
          <t>Arteriografía selectiva o superselectiva arteria glútea en adultos o niños (incl. proc. rad.)</t>
        </is>
      </c>
      <c r="D613" s="2" t="inlineStr">
        <is>
          <t>Proc</t>
        </is>
      </c>
      <c r="E613" s="3" t="inlineStr">
        <is>
          <t>Procedimiento</t>
        </is>
      </c>
    </row>
    <row r="614" ht="16" customHeight="1" s="151">
      <c r="A614" s="1" t="inlineStr">
        <is>
          <t>1701065</t>
        </is>
      </c>
      <c r="B614" s="2" t="n"/>
      <c r="C614" s="2" t="inlineStr">
        <is>
          <t>Arteriografía selectiva o superselectiva hipogástrica en adultos o niños (incl. proc. rad.)</t>
        </is>
      </c>
      <c r="D614" s="2" t="inlineStr">
        <is>
          <t>Proc</t>
        </is>
      </c>
      <c r="E614" s="3" t="inlineStr">
        <is>
          <t>Procedimiento</t>
        </is>
      </c>
    </row>
    <row r="615" ht="16" customHeight="1" s="151">
      <c r="A615" s="1" t="inlineStr">
        <is>
          <t>1701066</t>
        </is>
      </c>
      <c r="B615" s="2" t="n"/>
      <c r="C615" s="2" t="inlineStr">
        <is>
          <t>Arteriografía selectiva o superselectiva hepática en adultos o niños (incl. proc. rad.)</t>
        </is>
      </c>
      <c r="D615" s="2" t="inlineStr">
        <is>
          <t>Proc</t>
        </is>
      </c>
      <c r="E615" s="3" t="inlineStr">
        <is>
          <t>Procedimiento</t>
        </is>
      </c>
    </row>
    <row r="616" ht="16" customHeight="1" s="151">
      <c r="A616" s="1" t="inlineStr">
        <is>
          <t>1701067</t>
        </is>
      </c>
      <c r="B616" s="2" t="n"/>
      <c r="C616" s="2" t="inlineStr">
        <is>
          <t>Arteriografía selectiva o superselectiva mesentérica en adultos o niños (incl. proc. rad.)</t>
        </is>
      </c>
      <c r="D616" s="2" t="inlineStr">
        <is>
          <t>Proc</t>
        </is>
      </c>
      <c r="E616" s="3" t="inlineStr">
        <is>
          <t>Procedimiento</t>
        </is>
      </c>
    </row>
    <row r="617" ht="16" customHeight="1" s="151">
      <c r="A617" s="1" t="inlineStr">
        <is>
          <t>1701068</t>
        </is>
      </c>
      <c r="B617" s="2" t="n"/>
      <c r="C617" s="2" t="inlineStr">
        <is>
          <t>Arteriografía selectiva o superselectiva arteria lumbar en adultos o niños (incl. proc. rad.)</t>
        </is>
      </c>
      <c r="D617" s="2" t="inlineStr">
        <is>
          <t>Proc</t>
        </is>
      </c>
      <c r="E617" s="3" t="inlineStr">
        <is>
          <t>Procedimiento</t>
        </is>
      </c>
    </row>
    <row r="618" ht="16" customHeight="1" s="151">
      <c r="A618" s="1" t="inlineStr">
        <is>
          <t>1701069</t>
        </is>
      </c>
      <c r="B618" s="2" t="n"/>
      <c r="C618" s="2" t="inlineStr">
        <is>
          <t>Arteriografía selectiva o superselectiva arteria vesical en adultos o niños (incl. proc. rad.)</t>
        </is>
      </c>
      <c r="D618" s="2" t="inlineStr">
        <is>
          <t>Proc</t>
        </is>
      </c>
      <c r="E618" s="3" t="inlineStr">
        <is>
          <t>Procedimiento</t>
        </is>
      </c>
    </row>
    <row r="619" ht="16" customHeight="1" s="151">
      <c r="A619" s="1" t="inlineStr">
        <is>
          <t>1701078</t>
        </is>
      </c>
      <c r="B619" s="2" t="inlineStr">
        <is>
          <t>4</t>
        </is>
      </c>
      <c r="C619" s="2" t="inlineStr">
        <is>
          <t>Instalación de reservorio subcutáneo (catéter de quimioterapia)</t>
        </is>
      </c>
      <c r="D619" s="2" t="inlineStr">
        <is>
          <t>CMen</t>
        </is>
      </c>
      <c r="E619" s="3" t="inlineStr">
        <is>
          <t>Cirugía Menor</t>
        </is>
      </c>
    </row>
    <row r="620" ht="16" customHeight="1" s="151">
      <c r="A620" s="1" t="inlineStr">
        <is>
          <t>1701079</t>
        </is>
      </c>
      <c r="B620" s="2" t="inlineStr">
        <is>
          <t>4</t>
        </is>
      </c>
      <c r="C620" s="2" t="inlineStr">
        <is>
          <t>Retiro de reservorio subcutáneo (catéter de quimioterapia)</t>
        </is>
      </c>
      <c r="D620" s="2" t="inlineStr">
        <is>
          <t>CMen</t>
        </is>
      </c>
      <c r="E620" s="3" t="inlineStr">
        <is>
          <t>Cirugía Menor</t>
        </is>
      </c>
    </row>
    <row r="621" ht="16" customHeight="1" s="151">
      <c r="A621" s="1" t="inlineStr">
        <is>
          <t>1701131</t>
        </is>
      </c>
      <c r="B621" s="2" t="n"/>
      <c r="C621" s="2" t="inlineStr">
        <is>
          <t>Angioplastía Intraluminal coronaria uno o múltiples vasos (incl. proc. rad; balón, rotablator, Stent o similar)</t>
        </is>
      </c>
      <c r="D621" s="2" t="inlineStr">
        <is>
          <t>Proc</t>
        </is>
      </c>
      <c r="E621" s="3" t="inlineStr">
        <is>
          <t>Procedimiento</t>
        </is>
      </c>
    </row>
    <row r="622" ht="16" customHeight="1" s="151">
      <c r="A622" s="1" t="inlineStr">
        <is>
          <t>1701132</t>
        </is>
      </c>
      <c r="B622" s="2" t="n"/>
      <c r="C622" s="2" t="inlineStr">
        <is>
          <t>Angioplastía Intraluminal periférica (incluye proc. rad., balón, Stent o similar)</t>
        </is>
      </c>
      <c r="D622" s="2" t="inlineStr">
        <is>
          <t>Proc</t>
        </is>
      </c>
      <c r="E622" s="3" t="inlineStr">
        <is>
          <t>Procedimiento</t>
        </is>
      </c>
    </row>
    <row r="623" ht="16" customHeight="1" s="151">
      <c r="A623" s="1" t="inlineStr">
        <is>
          <t>1701141</t>
        </is>
      </c>
      <c r="B623" s="2" t="inlineStr">
        <is>
          <t>4</t>
        </is>
      </c>
      <c r="C623" s="2" t="inlineStr">
        <is>
          <t>Valvuloplastía mitral o tricúspide (incl. proc. radiológico,  incluye balón)</t>
        </is>
      </c>
      <c r="D623" s="2" t="inlineStr">
        <is>
          <t>Proc</t>
        </is>
      </c>
      <c r="E623" s="3" t="inlineStr">
        <is>
          <t>Procedimiento</t>
        </is>
      </c>
    </row>
    <row r="624" ht="16" customHeight="1" s="151">
      <c r="A624" s="1" t="inlineStr">
        <is>
          <t>1701142</t>
        </is>
      </c>
      <c r="B624" s="2" t="inlineStr">
        <is>
          <t>4</t>
        </is>
      </c>
      <c r="C624" s="2" t="inlineStr">
        <is>
          <t>Valvuloplastía aórtica y/o pulmonar c/u (incl. proc. radiológico,  incluye balón)</t>
        </is>
      </c>
      <c r="D624" s="2" t="inlineStr">
        <is>
          <t>Proc</t>
        </is>
      </c>
      <c r="E624" s="3" t="inlineStr">
        <is>
          <t>Procedimiento</t>
        </is>
      </c>
    </row>
    <row r="625" ht="16" customHeight="1" s="151">
      <c r="A625" s="1" t="inlineStr">
        <is>
          <t>1701144</t>
        </is>
      </c>
      <c r="B625" s="2" t="n"/>
      <c r="C625" s="2" t="inlineStr">
        <is>
          <t>Angioplastía de arteria pulmonar o vena cava en niños (incluye proc. rad., balón, Stent o similar)</t>
        </is>
      </c>
      <c r="D625" s="2" t="inlineStr">
        <is>
          <t>Proc</t>
        </is>
      </c>
      <c r="E625" s="3" t="inlineStr">
        <is>
          <t>Procedimiento</t>
        </is>
      </c>
    </row>
    <row r="626" ht="16" customHeight="1" s="151">
      <c r="A626" s="1" t="inlineStr">
        <is>
          <t>1703001</t>
        </is>
      </c>
      <c r="B626" s="2" t="inlineStr">
        <is>
          <t>8</t>
        </is>
      </c>
      <c r="C626" s="2" t="inlineStr">
        <is>
          <t>Embolectomía y/o trombectomía, unilateral, miembro superior o inferior (proc. aut.)</t>
        </is>
      </c>
      <c r="D626" s="2" t="inlineStr">
        <is>
          <t>Cmay</t>
        </is>
      </c>
      <c r="E626" s="3" t="inlineStr">
        <is>
          <t>Cirugía Mayor</t>
        </is>
      </c>
    </row>
    <row r="627" ht="16" customHeight="1" s="151">
      <c r="A627" s="1" t="inlineStr">
        <is>
          <t>1703002</t>
        </is>
      </c>
      <c r="B627" s="2" t="inlineStr">
        <is>
          <t>7</t>
        </is>
      </c>
      <c r="C627" s="2" t="inlineStr">
        <is>
          <t>Fístula arteriovenosa congénita o traumática, repar. quir.</t>
        </is>
      </c>
      <c r="D627" s="2" t="inlineStr">
        <is>
          <t>Cmay</t>
        </is>
      </c>
      <c r="E627" s="3" t="inlineStr">
        <is>
          <t>Cirugía Mayor</t>
        </is>
      </c>
    </row>
    <row r="628" ht="16" customHeight="1" s="151">
      <c r="A628" s="1" t="inlineStr">
        <is>
          <t>1703003</t>
        </is>
      </c>
      <c r="B628" s="2" t="inlineStr">
        <is>
          <t>7</t>
        </is>
      </c>
      <c r="C628" s="2" t="inlineStr">
        <is>
          <t>Fístula arteriovenosa nativa (vena autóloga)</t>
        </is>
      </c>
      <c r="D628" s="2" t="inlineStr">
        <is>
          <t>Cmay</t>
        </is>
      </c>
      <c r="E628" s="3" t="inlineStr">
        <is>
          <t>Cirugía Mayor</t>
        </is>
      </c>
    </row>
    <row r="629" ht="16" customHeight="1" s="151">
      <c r="A629" s="1" t="inlineStr">
        <is>
          <t>1703005</t>
        </is>
      </c>
      <c r="B629" s="2" t="inlineStr">
        <is>
          <t>10</t>
        </is>
      </c>
      <c r="C629" s="2" t="inlineStr">
        <is>
          <t>Reparación quirúrgica de vasos arteriales y/o venosos intra-abdominales o intra-torácicos c/s injerto (biológicos o sintéticos)</t>
        </is>
      </c>
      <c r="D629" s="2" t="inlineStr">
        <is>
          <t>Cmay</t>
        </is>
      </c>
      <c r="E629" s="3" t="inlineStr">
        <is>
          <t>Cirugía Mayor</t>
        </is>
      </c>
    </row>
    <row r="630" ht="16" customHeight="1" s="151">
      <c r="A630" s="1" t="inlineStr">
        <is>
          <t>1703006</t>
        </is>
      </c>
      <c r="B630" s="2" t="inlineStr">
        <is>
          <t>8</t>
        </is>
      </c>
      <c r="C630" s="2" t="inlineStr">
        <is>
          <t>Reparación quirúrgica de vasos arteriales y/o venosos periféricos c/s injerto (biológicos o sintéticos)</t>
        </is>
      </c>
      <c r="D630" s="2" t="inlineStr">
        <is>
          <t>Cmay</t>
        </is>
      </c>
      <c r="E630" s="3" t="inlineStr">
        <is>
          <t>Cirugía Mayor</t>
        </is>
      </c>
    </row>
    <row r="631" ht="16" customHeight="1" s="151">
      <c r="A631" s="1" t="inlineStr">
        <is>
          <t>1703007</t>
        </is>
      </c>
      <c r="B631" s="2" t="inlineStr">
        <is>
          <t>12</t>
        </is>
      </c>
      <c r="C631" s="2" t="inlineStr">
        <is>
          <t>Aneurisma aórtico-abdominal trat. quir.</t>
        </is>
      </c>
      <c r="D631" s="2" t="inlineStr">
        <is>
          <t>Cmay</t>
        </is>
      </c>
      <c r="E631" s="3" t="inlineStr">
        <is>
          <t>Cirugía Mayor</t>
        </is>
      </c>
    </row>
    <row r="632" ht="16" customHeight="1" s="151">
      <c r="A632" s="1" t="inlineStr">
        <is>
          <t>1703008</t>
        </is>
      </c>
      <c r="B632" s="2" t="inlineStr">
        <is>
          <t>7</t>
        </is>
      </c>
      <c r="C632" s="2" t="inlineStr">
        <is>
          <t>Aneurismas periféricos, trat. quir.</t>
        </is>
      </c>
      <c r="D632" s="2" t="inlineStr">
        <is>
          <t>Cmay</t>
        </is>
      </c>
      <c r="E632" s="3" t="inlineStr">
        <is>
          <t>Cirugía Mayor</t>
        </is>
      </c>
    </row>
    <row r="633" ht="16" customHeight="1" s="151">
      <c r="A633" s="1" t="inlineStr">
        <is>
          <t>1703009</t>
        </is>
      </c>
      <c r="B633" s="2" t="inlineStr">
        <is>
          <t>14</t>
        </is>
      </c>
      <c r="C633" s="2" t="inlineStr">
        <is>
          <t>Aneurisma tóraco-abdominal trat. quir.</t>
        </is>
      </c>
      <c r="D633" s="2" t="inlineStr">
        <is>
          <t>Cmay</t>
        </is>
      </c>
      <c r="E633" s="3" t="inlineStr">
        <is>
          <t>Cirugía Mayor</t>
        </is>
      </c>
    </row>
    <row r="634" ht="16" customHeight="1" s="151">
      <c r="A634" s="1" t="inlineStr">
        <is>
          <t>1703010</t>
        </is>
      </c>
      <c r="B634" s="2" t="inlineStr">
        <is>
          <t>10</t>
        </is>
      </c>
      <c r="C634" s="2" t="inlineStr">
        <is>
          <t>Puente aorto-bifemoral; puentes de troncos supra-aórticos</t>
        </is>
      </c>
      <c r="D634" s="2" t="inlineStr">
        <is>
          <t>Cmay</t>
        </is>
      </c>
      <c r="E634" s="3" t="inlineStr">
        <is>
          <t>Cirugía Mayor</t>
        </is>
      </c>
    </row>
    <row r="635" ht="16" customHeight="1" s="151">
      <c r="A635" s="1" t="inlineStr">
        <is>
          <t>1703011</t>
        </is>
      </c>
      <c r="B635" s="2" t="inlineStr">
        <is>
          <t>10</t>
        </is>
      </c>
      <c r="C635" s="2" t="inlineStr">
        <is>
          <t>Puente aorto-unifemoral</t>
        </is>
      </c>
      <c r="D635" s="2" t="inlineStr">
        <is>
          <t>Cmay</t>
        </is>
      </c>
      <c r="E635" s="3" t="inlineStr">
        <is>
          <t>Cirugía Mayor</t>
        </is>
      </c>
    </row>
    <row r="636" ht="16" customHeight="1" s="151">
      <c r="A636" s="1" t="inlineStr">
        <is>
          <t>1703012</t>
        </is>
      </c>
      <c r="B636" s="2" t="inlineStr">
        <is>
          <t>12</t>
        </is>
      </c>
      <c r="C636" s="2" t="inlineStr">
        <is>
          <t>Puente aorto-visceral (renal, mesentérico o similar); c/u</t>
        </is>
      </c>
      <c r="D636" s="2" t="inlineStr">
        <is>
          <t>Cmay</t>
        </is>
      </c>
      <c r="E636" s="3" t="inlineStr">
        <is>
          <t>Cirugía Mayor</t>
        </is>
      </c>
    </row>
    <row r="637" ht="16" customHeight="1" s="151">
      <c r="A637" s="1" t="inlineStr">
        <is>
          <t>1703013</t>
        </is>
      </c>
      <c r="B637" s="2" t="inlineStr">
        <is>
          <t>12</t>
        </is>
      </c>
      <c r="C637" s="2" t="inlineStr">
        <is>
          <t>Puente aorto-ilíaco</t>
        </is>
      </c>
      <c r="D637" s="2" t="inlineStr">
        <is>
          <t>Cmay</t>
        </is>
      </c>
      <c r="E637" s="3" t="inlineStr">
        <is>
          <t>Cirugía Mayor</t>
        </is>
      </c>
    </row>
    <row r="638" ht="16" customHeight="1" s="151">
      <c r="A638" s="1" t="inlineStr">
        <is>
          <t>1703014</t>
        </is>
      </c>
      <c r="B638" s="2" t="inlineStr">
        <is>
          <t>10</t>
        </is>
      </c>
      <c r="C638" s="2" t="inlineStr">
        <is>
          <t>Endarterectomía carotídea, subclavia, vertebral, femoral, o similar  c/s injerto (proc. aut.)</t>
        </is>
      </c>
      <c r="D638" s="2" t="inlineStr">
        <is>
          <t>Cmay</t>
        </is>
      </c>
      <c r="E638" s="3" t="inlineStr">
        <is>
          <t>Cirugía Mayor</t>
        </is>
      </c>
    </row>
    <row r="639" ht="16" customHeight="1" s="151">
      <c r="A639" s="1" t="inlineStr">
        <is>
          <t>1703015</t>
        </is>
      </c>
      <c r="B639" s="2" t="inlineStr">
        <is>
          <t>10</t>
        </is>
      </c>
      <c r="C639" s="2" t="inlineStr">
        <is>
          <t>Endarterectomía femoral común, superficial o profunda, poplítea u otras c/s injerto (proc. aut.)</t>
        </is>
      </c>
      <c r="D639" s="2" t="inlineStr">
        <is>
          <t>Cmay</t>
        </is>
      </c>
      <c r="E639" s="3" t="inlineStr">
        <is>
          <t>Cirugía Mayor</t>
        </is>
      </c>
    </row>
    <row r="640" ht="16" customHeight="1" s="151">
      <c r="A640" s="1" t="inlineStr">
        <is>
          <t>1703016</t>
        </is>
      </c>
      <c r="B640" s="2" t="inlineStr">
        <is>
          <t>11</t>
        </is>
      </c>
      <c r="C640" s="2" t="inlineStr">
        <is>
          <t>Endarterectomía renal, c/s injerto (proc. aut.)</t>
        </is>
      </c>
      <c r="D640" s="2" t="inlineStr">
        <is>
          <t>Cmay</t>
        </is>
      </c>
      <c r="E640" s="3" t="inlineStr">
        <is>
          <t>Cirugía Mayor</t>
        </is>
      </c>
    </row>
    <row r="641" ht="16" customHeight="1" s="151">
      <c r="A641" s="1" t="inlineStr">
        <is>
          <t>1703017</t>
        </is>
      </c>
      <c r="B641" s="2" t="inlineStr">
        <is>
          <t>10</t>
        </is>
      </c>
      <c r="C641" s="2" t="inlineStr">
        <is>
          <t>Puente fémoro-tibial o distales</t>
        </is>
      </c>
      <c r="D641" s="2" t="inlineStr">
        <is>
          <t>Cmay</t>
        </is>
      </c>
      <c r="E641" s="3" t="inlineStr">
        <is>
          <t>Cirugía Mayor</t>
        </is>
      </c>
    </row>
    <row r="642" ht="16" customHeight="1" s="151">
      <c r="A642" s="1" t="inlineStr">
        <is>
          <t>1703018</t>
        </is>
      </c>
      <c r="B642" s="2" t="inlineStr">
        <is>
          <t>10</t>
        </is>
      </c>
      <c r="C642" s="2" t="inlineStr">
        <is>
          <t>Puente fémoro-poplíteo</t>
        </is>
      </c>
      <c r="D642" s="2" t="inlineStr">
        <is>
          <t>Cmay</t>
        </is>
      </c>
      <c r="E642" s="3" t="inlineStr">
        <is>
          <t>Cirugía Mayor</t>
        </is>
      </c>
    </row>
    <row r="643" ht="16" customHeight="1" s="151">
      <c r="A643" s="1" t="inlineStr">
        <is>
          <t>1703019</t>
        </is>
      </c>
      <c r="B643" s="2" t="inlineStr">
        <is>
          <t>8</t>
        </is>
      </c>
      <c r="C643" s="2" t="inlineStr">
        <is>
          <t>Ligadura troncos arteriales, (proc. aut.)</t>
        </is>
      </c>
      <c r="D643" s="2" t="inlineStr">
        <is>
          <t>Cmay</t>
        </is>
      </c>
      <c r="E643" s="3" t="inlineStr">
        <is>
          <t>Cirugía Mayor</t>
        </is>
      </c>
    </row>
    <row r="644" ht="16" customHeight="1" s="151">
      <c r="A644" s="1" t="inlineStr">
        <is>
          <t>1703020</t>
        </is>
      </c>
      <c r="B644" s="2" t="inlineStr">
        <is>
          <t>10</t>
        </is>
      </c>
      <c r="C644" s="2" t="inlineStr">
        <is>
          <t>Otras derivaciones: fémoro–femoral, axilo-humeral, axilo-femoral, carótidosubclavio, axilo-axilar o similares; c/u</t>
        </is>
      </c>
      <c r="D644" s="2" t="inlineStr">
        <is>
          <t>Cmay</t>
        </is>
      </c>
      <c r="E644" s="3" t="inlineStr">
        <is>
          <t>Cirugía Mayor</t>
        </is>
      </c>
    </row>
    <row r="645" ht="16" customHeight="1" s="151">
      <c r="A645" s="1" t="inlineStr">
        <is>
          <t>1703021</t>
        </is>
      </c>
      <c r="B645" s="2" t="inlineStr">
        <is>
          <t>12</t>
        </is>
      </c>
      <c r="C645" s="2" t="inlineStr">
        <is>
          <t>Anastomosis portocava u otras portosistémicas</t>
        </is>
      </c>
      <c r="D645" s="2" t="inlineStr">
        <is>
          <t>Cmay</t>
        </is>
      </c>
      <c r="E645" s="3" t="inlineStr">
        <is>
          <t>Cirugía Mayor</t>
        </is>
      </c>
    </row>
    <row r="646" ht="16" customHeight="1" s="151">
      <c r="A646" s="1" t="inlineStr">
        <is>
          <t>1703022</t>
        </is>
      </c>
      <c r="B646" s="2" t="inlineStr">
        <is>
          <t>12</t>
        </is>
      </c>
      <c r="C646" s="2" t="inlineStr">
        <is>
          <t>Anastomosis venosas intraabdominales</t>
        </is>
      </c>
      <c r="D646" s="2" t="inlineStr">
        <is>
          <t>Cmay</t>
        </is>
      </c>
      <c r="E646" s="3" t="inlineStr">
        <is>
          <t>Cirugía Mayor</t>
        </is>
      </c>
    </row>
    <row r="647" ht="16" customHeight="1" s="151">
      <c r="A647" s="1" t="inlineStr">
        <is>
          <t>1703023</t>
        </is>
      </c>
      <c r="B647" s="2" t="n"/>
      <c r="C647" s="2" t="inlineStr">
        <is>
          <t>Denudación venosa (proc. aut.)</t>
        </is>
      </c>
      <c r="D647" s="2" t="inlineStr">
        <is>
          <t>CMen</t>
        </is>
      </c>
      <c r="E647" s="3" t="inlineStr">
        <is>
          <t>Cirugía Menor</t>
        </is>
      </c>
    </row>
    <row r="648" ht="16" customHeight="1" s="151">
      <c r="A648" s="1" t="inlineStr">
        <is>
          <t>1703024</t>
        </is>
      </c>
      <c r="B648" s="2" t="inlineStr">
        <is>
          <t>9</t>
        </is>
      </c>
      <c r="C648" s="2" t="inlineStr">
        <is>
          <t>Derivaciones venosas de extremidades puentes venosos</t>
        </is>
      </c>
      <c r="D648" s="2" t="inlineStr">
        <is>
          <t>Cmay</t>
        </is>
      </c>
      <c r="E648" s="3" t="inlineStr">
        <is>
          <t>Cirugía Mayor</t>
        </is>
      </c>
    </row>
    <row r="649" ht="16" customHeight="1" s="151">
      <c r="A649" s="1" t="inlineStr">
        <is>
          <t>1703025</t>
        </is>
      </c>
      <c r="B649" s="2" t="inlineStr">
        <is>
          <t>8</t>
        </is>
      </c>
      <c r="C649" s="2" t="inlineStr">
        <is>
          <t>Implante filtros venosos</t>
        </is>
      </c>
      <c r="D649" s="2" t="inlineStr">
        <is>
          <t>Cmay</t>
        </is>
      </c>
      <c r="E649" s="3" t="inlineStr">
        <is>
          <t>Cirugía Mayor</t>
        </is>
      </c>
    </row>
    <row r="650" ht="16" customHeight="1" s="151">
      <c r="A650" s="1" t="inlineStr">
        <is>
          <t>1703026</t>
        </is>
      </c>
      <c r="B650" s="2" t="inlineStr">
        <is>
          <t>5</t>
        </is>
      </c>
      <c r="C650" s="2" t="inlineStr">
        <is>
          <t>Ligadura cayado safena interna, unilateral</t>
        </is>
      </c>
      <c r="D650" s="2" t="inlineStr">
        <is>
          <t>Cmay</t>
        </is>
      </c>
      <c r="E650" s="3" t="inlineStr">
        <is>
          <t>Cirugía Mayor</t>
        </is>
      </c>
    </row>
    <row r="651" ht="16" customHeight="1" s="151">
      <c r="A651" s="1" t="inlineStr">
        <is>
          <t>1703027</t>
        </is>
      </c>
      <c r="B651" s="2" t="inlineStr">
        <is>
          <t>5</t>
        </is>
      </c>
      <c r="C651" s="2" t="inlineStr">
        <is>
          <t>Ligadura otros troncos venosos (poplíteo, femoral, ilíacas, humeral, axilar, otros); ligadura de venas comunicantes y/o perforantes, y/o resección de paquetes varicosos, cualquier técnica (una extremidad); c/u</t>
        </is>
      </c>
      <c r="D651" s="2" t="inlineStr">
        <is>
          <t>Cmay</t>
        </is>
      </c>
      <c r="E651" s="3" t="inlineStr">
        <is>
          <t>Cirugía Mayor</t>
        </is>
      </c>
    </row>
    <row r="652" ht="16" customHeight="1" s="151">
      <c r="A652" s="1" t="inlineStr">
        <is>
          <t>1703028</t>
        </is>
      </c>
      <c r="B652" s="2" t="inlineStr">
        <is>
          <t>8</t>
        </is>
      </c>
      <c r="C652" s="2" t="inlineStr">
        <is>
          <t>Ligadura vena cava inferior</t>
        </is>
      </c>
      <c r="D652" s="2" t="inlineStr">
        <is>
          <t>Cmay</t>
        </is>
      </c>
      <c r="E652" s="3" t="inlineStr">
        <is>
          <t>Cirugía Mayor</t>
        </is>
      </c>
    </row>
    <row r="653" ht="16" customHeight="1" s="151">
      <c r="A653" s="1" t="inlineStr">
        <is>
          <t>1703029</t>
        </is>
      </c>
      <c r="B653" s="2" t="inlineStr">
        <is>
          <t>6</t>
        </is>
      </c>
      <c r="C653" s="2" t="inlineStr">
        <is>
          <t>Resección cutáneo-aponeurótica unilateral (incluye fasciotomía interna o posterior)</t>
        </is>
      </c>
      <c r="D653" s="2" t="inlineStr">
        <is>
          <t>Cmay</t>
        </is>
      </c>
      <c r="E653" s="3" t="inlineStr">
        <is>
          <t>Cirugía Mayor</t>
        </is>
      </c>
    </row>
    <row r="654" ht="16" customHeight="1" s="151">
      <c r="A654" s="1" t="inlineStr">
        <is>
          <t>1703030</t>
        </is>
      </c>
      <c r="B654" s="2" t="inlineStr">
        <is>
          <t>6</t>
        </is>
      </c>
      <c r="C654" s="2" t="inlineStr">
        <is>
          <t>Safenectomía interna y/o externa, unilateral, o endoablación por cualquier técnica (láser, radiofrecuencia o similar).</t>
        </is>
      </c>
      <c r="D654" s="2" t="inlineStr">
        <is>
          <t>Cmay</t>
        </is>
      </c>
      <c r="E654" s="3" t="inlineStr">
        <is>
          <t>Cirugía Mayor</t>
        </is>
      </c>
    </row>
    <row r="655" ht="16" customHeight="1" s="151">
      <c r="A655" s="1" t="inlineStr">
        <is>
          <t>1703031</t>
        </is>
      </c>
      <c r="B655" s="2" t="inlineStr">
        <is>
          <t>6</t>
        </is>
      </c>
      <c r="C655" s="2" t="inlineStr">
        <is>
          <t>Trombectomía de venas profundas</t>
        </is>
      </c>
      <c r="D655" s="2" t="inlineStr">
        <is>
          <t>Cmay</t>
        </is>
      </c>
      <c r="E655" s="3" t="inlineStr">
        <is>
          <t>Cirugía Mayor</t>
        </is>
      </c>
    </row>
    <row r="656" ht="16" customHeight="1" s="151">
      <c r="A656" s="1" t="inlineStr">
        <is>
          <t>1703032</t>
        </is>
      </c>
      <c r="B656" s="2" t="inlineStr">
        <is>
          <t>7</t>
        </is>
      </c>
      <c r="C656" s="2" t="inlineStr">
        <is>
          <t>Anastomosis linfovenosas</t>
        </is>
      </c>
      <c r="D656" s="2" t="inlineStr">
        <is>
          <t>Cmay</t>
        </is>
      </c>
      <c r="E656" s="3" t="inlineStr">
        <is>
          <t>Cirugía Mayor</t>
        </is>
      </c>
    </row>
    <row r="657" ht="16" customHeight="1" s="151">
      <c r="A657" s="1" t="inlineStr">
        <is>
          <t>1703033</t>
        </is>
      </c>
      <c r="B657" s="2" t="inlineStr">
        <is>
          <t>7</t>
        </is>
      </c>
      <c r="C657" s="2" t="inlineStr">
        <is>
          <t>Linfedema, trat. quir. una extremidad</t>
        </is>
      </c>
      <c r="D657" s="2" t="inlineStr">
        <is>
          <t>Cmay</t>
        </is>
      </c>
      <c r="E657" s="3" t="inlineStr">
        <is>
          <t>Cirugía Mayor</t>
        </is>
      </c>
    </row>
    <row r="658" ht="16" customHeight="1" s="151">
      <c r="A658" s="1" t="inlineStr">
        <is>
          <t>1703034</t>
        </is>
      </c>
      <c r="B658" s="2" t="inlineStr">
        <is>
          <t>3</t>
        </is>
      </c>
      <c r="C658" s="2" t="inlineStr">
        <is>
          <t>Drenaje quirúrgico adenitis</t>
        </is>
      </c>
      <c r="D658" s="2" t="inlineStr">
        <is>
          <t>CMen</t>
        </is>
      </c>
      <c r="E658" s="3" t="inlineStr">
        <is>
          <t>Cirugía Menor</t>
        </is>
      </c>
    </row>
    <row r="659" ht="16" customHeight="1" s="151">
      <c r="A659" s="1" t="inlineStr">
        <is>
          <t>1703035</t>
        </is>
      </c>
      <c r="B659" s="2" t="inlineStr">
        <is>
          <t>3</t>
        </is>
      </c>
      <c r="C659" s="2" t="inlineStr">
        <is>
          <t>Biopsia quir. ganglionar (cualquier región periférica superficial o profunda) (proc. aut.)</t>
        </is>
      </c>
      <c r="D659" s="2" t="inlineStr">
        <is>
          <t>CMen</t>
        </is>
      </c>
      <c r="E659" s="3" t="inlineStr">
        <is>
          <t>Cirugía Menor</t>
        </is>
      </c>
    </row>
    <row r="660" ht="16" customHeight="1" s="151">
      <c r="A660" s="1" t="inlineStr">
        <is>
          <t>1703036</t>
        </is>
      </c>
      <c r="B660" s="2" t="inlineStr">
        <is>
          <t>9</t>
        </is>
      </c>
      <c r="C660" s="2" t="inlineStr">
        <is>
          <t>Disección y extirpación ganglionar regional: axilo-supraclavicular</t>
        </is>
      </c>
      <c r="D660" s="2" t="inlineStr">
        <is>
          <t>Cmay</t>
        </is>
      </c>
      <c r="E660" s="3" t="inlineStr">
        <is>
          <t>Cirugía Mayor</t>
        </is>
      </c>
    </row>
    <row r="661" ht="16" customHeight="1" s="151">
      <c r="A661" s="1" t="inlineStr">
        <is>
          <t>1703037</t>
        </is>
      </c>
      <c r="B661" s="2" t="inlineStr">
        <is>
          <t>9</t>
        </is>
      </c>
      <c r="C661" s="2" t="inlineStr">
        <is>
          <t>Disección y extirpación ganglionar regional: cérvico-torácica</t>
        </is>
      </c>
      <c r="D661" s="2" t="inlineStr">
        <is>
          <t>Cmay</t>
        </is>
      </c>
      <c r="E661" s="3" t="inlineStr">
        <is>
          <t>Cirugía Mayor</t>
        </is>
      </c>
    </row>
    <row r="662" ht="16" customHeight="1" s="151">
      <c r="A662" s="1" t="inlineStr">
        <is>
          <t>1703038</t>
        </is>
      </c>
      <c r="B662" s="2" t="inlineStr">
        <is>
          <t>9</t>
        </is>
      </c>
      <c r="C662" s="2" t="inlineStr">
        <is>
          <t>Disección y extirpación ganglionar regional: ileoinguinal</t>
        </is>
      </c>
      <c r="D662" s="2" t="inlineStr">
        <is>
          <t>Cmay</t>
        </is>
      </c>
      <c r="E662" s="3" t="inlineStr">
        <is>
          <t>Cirugía Mayor</t>
        </is>
      </c>
    </row>
    <row r="663" ht="16" customHeight="1" s="151">
      <c r="A663" s="1" t="inlineStr">
        <is>
          <t>1703039</t>
        </is>
      </c>
      <c r="B663" s="2" t="inlineStr">
        <is>
          <t>9</t>
        </is>
      </c>
      <c r="C663" s="2" t="inlineStr">
        <is>
          <t>Disección y extirpación ganglionar regional: inguinoescrotales</t>
        </is>
      </c>
      <c r="D663" s="2" t="inlineStr">
        <is>
          <t>Cmay</t>
        </is>
      </c>
      <c r="E663" s="3" t="inlineStr">
        <is>
          <t>Cirugía Mayor</t>
        </is>
      </c>
    </row>
    <row r="664" ht="16" customHeight="1" s="151">
      <c r="A664" s="1" t="inlineStr">
        <is>
          <t>1703040</t>
        </is>
      </c>
      <c r="B664" s="2" t="inlineStr">
        <is>
          <t>10</t>
        </is>
      </c>
      <c r="C664" s="2" t="inlineStr">
        <is>
          <t>Disección y extirpación ganglionar regional: lumbo-aórticos</t>
        </is>
      </c>
      <c r="D664" s="2" t="inlineStr">
        <is>
          <t>Cmay</t>
        </is>
      </c>
      <c r="E664" s="3" t="inlineStr">
        <is>
          <t>Cirugía Mayor</t>
        </is>
      </c>
    </row>
    <row r="665" ht="16" customHeight="1" s="151">
      <c r="A665" s="1" t="inlineStr">
        <is>
          <t>1703042</t>
        </is>
      </c>
      <c r="B665" s="2" t="inlineStr">
        <is>
          <t>6</t>
        </is>
      </c>
      <c r="C665" s="2" t="inlineStr">
        <is>
          <t>Disección y extirpación ganglionar regional: poplíteos</t>
        </is>
      </c>
      <c r="D665" s="2" t="inlineStr">
        <is>
          <t>Cmay</t>
        </is>
      </c>
      <c r="E665" s="3" t="inlineStr">
        <is>
          <t>Cirugía Mayor</t>
        </is>
      </c>
    </row>
    <row r="666" ht="16" customHeight="1" s="151">
      <c r="A666" s="1" t="inlineStr">
        <is>
          <t>1703043</t>
        </is>
      </c>
      <c r="B666" s="2" t="inlineStr">
        <is>
          <t>8</t>
        </is>
      </c>
      <c r="C666" s="2" t="inlineStr">
        <is>
          <t>Vaciamiento (disección) radical cuello (v.r.c.) clásico ipsilateral</t>
        </is>
      </c>
      <c r="D666" s="2" t="inlineStr">
        <is>
          <t>Cmay</t>
        </is>
      </c>
      <c r="E666" s="3" t="inlineStr">
        <is>
          <t>Cirugía Mayor</t>
        </is>
      </c>
    </row>
    <row r="667" ht="16" customHeight="1" s="151">
      <c r="A667" s="1" t="inlineStr">
        <is>
          <t>1703044</t>
        </is>
      </c>
      <c r="B667" s="2" t="inlineStr">
        <is>
          <t>5</t>
        </is>
      </c>
      <c r="C667" s="2" t="inlineStr">
        <is>
          <t>Disección y extirpación ganglionar regional: yugular simple</t>
        </is>
      </c>
      <c r="D667" s="2" t="inlineStr">
        <is>
          <t>Cmay</t>
        </is>
      </c>
      <c r="E667" s="3" t="inlineStr">
        <is>
          <t>Cirugía Mayor</t>
        </is>
      </c>
    </row>
    <row r="668" ht="16" customHeight="1" s="151">
      <c r="A668" s="1" t="inlineStr">
        <is>
          <t>1703045</t>
        </is>
      </c>
      <c r="B668" s="2" t="inlineStr">
        <is>
          <t>9</t>
        </is>
      </c>
      <c r="C668" s="2" t="inlineStr">
        <is>
          <t>Simpatectomía cérvico-torácica</t>
        </is>
      </c>
      <c r="D668" s="2" t="inlineStr">
        <is>
          <t>Cmay</t>
        </is>
      </c>
      <c r="E668" s="3" t="inlineStr">
        <is>
          <t>Cirugía Mayor</t>
        </is>
      </c>
    </row>
    <row r="669" ht="16" customHeight="1" s="151">
      <c r="A669" s="1" t="inlineStr">
        <is>
          <t>1703046</t>
        </is>
      </c>
      <c r="B669" s="2" t="inlineStr">
        <is>
          <t>9</t>
        </is>
      </c>
      <c r="C669" s="2" t="inlineStr">
        <is>
          <t>Simpatectomía lumbar</t>
        </is>
      </c>
      <c r="D669" s="2" t="inlineStr">
        <is>
          <t>Cmay</t>
        </is>
      </c>
      <c r="E669" s="3" t="inlineStr">
        <is>
          <t>Cirugía Mayor</t>
        </is>
      </c>
    </row>
    <row r="670" ht="16" customHeight="1" s="151">
      <c r="A670" s="1" t="inlineStr">
        <is>
          <t>1703047</t>
        </is>
      </c>
      <c r="B670" s="2" t="inlineStr">
        <is>
          <t>12</t>
        </is>
      </c>
      <c r="C670" s="2" t="inlineStr">
        <is>
          <t>Anastomosis vasculares sistémicopulmonares (Blalock-Pott-Glenn o similares)</t>
        </is>
      </c>
      <c r="D670" s="2" t="inlineStr">
        <is>
          <t>Cmay</t>
        </is>
      </c>
      <c r="E670" s="3" t="inlineStr">
        <is>
          <t>Cirugía Mayor</t>
        </is>
      </c>
    </row>
    <row r="671" ht="16" customHeight="1" s="151">
      <c r="A671" s="1" t="inlineStr">
        <is>
          <t>1703048</t>
        </is>
      </c>
      <c r="B671" s="2" t="inlineStr">
        <is>
          <t>5</t>
        </is>
      </c>
      <c r="C671" s="2" t="inlineStr">
        <is>
          <t>Cambio de generador de marcapaso, sin cambio de electrodo (no incluye el valor de la prótesis)</t>
        </is>
      </c>
      <c r="D671" s="2" t="inlineStr">
        <is>
          <t>Cmay</t>
        </is>
      </c>
      <c r="E671" s="3" t="inlineStr">
        <is>
          <t>Cirugía Mayor</t>
        </is>
      </c>
    </row>
    <row r="672" ht="16" customHeight="1" s="151">
      <c r="A672" s="1" t="inlineStr">
        <is>
          <t>1703049</t>
        </is>
      </c>
      <c r="B672" s="2" t="inlineStr">
        <is>
          <t>12</t>
        </is>
      </c>
      <c r="C672" s="2" t="inlineStr">
        <is>
          <t>Coartación aórtica infantil (preductal) trat. quir.</t>
        </is>
      </c>
      <c r="D672" s="2" t="inlineStr">
        <is>
          <t>Cmay</t>
        </is>
      </c>
      <c r="E672" s="3" t="inlineStr">
        <is>
          <t>Cirugía Mayor</t>
        </is>
      </c>
    </row>
    <row r="673" ht="16" customHeight="1" s="151">
      <c r="A673" s="1" t="inlineStr">
        <is>
          <t>1703050</t>
        </is>
      </c>
      <c r="B673" s="2" t="inlineStr">
        <is>
          <t>12</t>
        </is>
      </c>
      <c r="C673" s="2" t="inlineStr">
        <is>
          <t>Coartación aórtica, trat. quir.</t>
        </is>
      </c>
      <c r="D673" s="2" t="inlineStr">
        <is>
          <t>Cmay</t>
        </is>
      </c>
      <c r="E673" s="3" t="inlineStr">
        <is>
          <t>Cirugía Mayor</t>
        </is>
      </c>
    </row>
    <row r="674" ht="16" customHeight="1" s="151">
      <c r="A674" s="1" t="inlineStr">
        <is>
          <t>1703051</t>
        </is>
      </c>
      <c r="B674" s="2" t="inlineStr">
        <is>
          <t>10</t>
        </is>
      </c>
      <c r="C674" s="2" t="inlineStr">
        <is>
          <t>Conducto arterioso persistente, trat. quir.</t>
        </is>
      </c>
      <c r="D674" s="2" t="inlineStr">
        <is>
          <t>Cmay</t>
        </is>
      </c>
      <c r="E674" s="3" t="inlineStr">
        <is>
          <t>Cirugía Mayor</t>
        </is>
      </c>
    </row>
    <row r="675" ht="16" customHeight="1" s="151">
      <c r="A675" s="1" t="inlineStr">
        <is>
          <t>1703052</t>
        </is>
      </c>
      <c r="B675" s="2" t="inlineStr">
        <is>
          <t>11</t>
        </is>
      </c>
      <c r="C675" s="2" t="inlineStr">
        <is>
          <t>Fístula coronaria, trat. quir.</t>
        </is>
      </c>
      <c r="D675" s="2" t="inlineStr">
        <is>
          <t>Cmay</t>
        </is>
      </c>
      <c r="E675" s="3" t="inlineStr">
        <is>
          <t>Cirugía Mayor</t>
        </is>
      </c>
    </row>
    <row r="676" ht="16" customHeight="1" s="151">
      <c r="A676" s="1" t="inlineStr">
        <is>
          <t>1703053</t>
        </is>
      </c>
      <c r="B676" s="2" t="inlineStr">
        <is>
          <t>8</t>
        </is>
      </c>
      <c r="C676" s="2" t="inlineStr">
        <is>
          <t>Implantación de marcapaso c/electrod. intraven. o epicárdico (no incluye el valor de la prótesis)</t>
        </is>
      </c>
      <c r="D676" s="2" t="inlineStr">
        <is>
          <t>Cmay</t>
        </is>
      </c>
      <c r="E676" s="3" t="inlineStr">
        <is>
          <t>Cirugía Mayor</t>
        </is>
      </c>
    </row>
    <row r="677" ht="16" customHeight="1" s="151">
      <c r="A677" s="1" t="inlineStr">
        <is>
          <t>1703054</t>
        </is>
      </c>
      <c r="B677" s="2" t="inlineStr">
        <is>
          <t>11</t>
        </is>
      </c>
      <c r="C677" s="2" t="inlineStr">
        <is>
          <t>Operación sobre anillos valvulares o vasculares</t>
        </is>
      </c>
      <c r="D677" s="2" t="inlineStr">
        <is>
          <t>Cmay</t>
        </is>
      </c>
      <c r="E677" s="3" t="inlineStr">
        <is>
          <t>Cirugía Mayor</t>
        </is>
      </c>
    </row>
    <row r="678" ht="16" customHeight="1" s="151">
      <c r="A678" s="1" t="inlineStr">
        <is>
          <t>1703055</t>
        </is>
      </c>
      <c r="B678" s="2" t="inlineStr">
        <is>
          <t>10</t>
        </is>
      </c>
      <c r="C678" s="2" t="inlineStr">
        <is>
          <t>Operaciones sobre arteria pulmonar, constricción por cinta</t>
        </is>
      </c>
      <c r="D678" s="2" t="inlineStr">
        <is>
          <t>Cmay</t>
        </is>
      </c>
      <c r="E678" s="3" t="inlineStr">
        <is>
          <t>Cirugía Mayor</t>
        </is>
      </c>
    </row>
    <row r="679" ht="16" customHeight="1" s="151">
      <c r="A679" s="1" t="inlineStr">
        <is>
          <t>1703056</t>
        </is>
      </c>
      <c r="B679" s="2" t="inlineStr">
        <is>
          <t>10</t>
        </is>
      </c>
      <c r="C679" s="2" t="inlineStr">
        <is>
          <t>Pericardiectomía y/o extirp. de quistes y/o tumores</t>
        </is>
      </c>
      <c r="D679" s="2" t="inlineStr">
        <is>
          <t>Cmay</t>
        </is>
      </c>
      <c r="E679" s="3" t="inlineStr">
        <is>
          <t>Cirugía Mayor</t>
        </is>
      </c>
    </row>
    <row r="680" ht="16" customHeight="1" s="151">
      <c r="A680" s="1" t="inlineStr">
        <is>
          <t>1703057</t>
        </is>
      </c>
      <c r="B680" s="2" t="inlineStr">
        <is>
          <t>10</t>
        </is>
      </c>
      <c r="C680" s="2" t="inlineStr">
        <is>
          <t>Pericardiorrafia o miopericardiorrafia en heridas penetrantes</t>
        </is>
      </c>
      <c r="D680" s="2" t="inlineStr">
        <is>
          <t>Cmay</t>
        </is>
      </c>
      <c r="E680" s="3" t="inlineStr">
        <is>
          <t>Cirugía Mayor</t>
        </is>
      </c>
    </row>
    <row r="681" ht="16" customHeight="1" s="151">
      <c r="A681" s="1" t="inlineStr">
        <is>
          <t>1703058</t>
        </is>
      </c>
      <c r="B681" s="2" t="inlineStr">
        <is>
          <t>10</t>
        </is>
      </c>
      <c r="C681" s="2" t="inlineStr">
        <is>
          <t>Pericardiotomía</t>
        </is>
      </c>
      <c r="D681" s="2" t="inlineStr">
        <is>
          <t>Cmay</t>
        </is>
      </c>
      <c r="E681" s="3" t="inlineStr">
        <is>
          <t>Cirugía Mayor</t>
        </is>
      </c>
    </row>
    <row r="682" ht="32" customHeight="1" s="151">
      <c r="A682" s="1" t="inlineStr">
        <is>
          <t>1703061</t>
        </is>
      </c>
      <c r="B682" s="2" t="inlineStr">
        <is>
          <t>14</t>
        </is>
      </c>
      <c r="C682" s="2" t="inlineStr">
        <is>
          <t>De complejidad mayor: incluye reemplazo valvular múltiple, tres o más puentes aortocoronarios y/o anastomosis con arteria mamaria, corrección de cardiopatías congénitas complejas (por ejemplo: Fallot; atresia tricuspídea; doble salida del ventrículo derecho; transposición grandes vasos; ventrículo único o similares), aneurisma aórtico torácico, trasplante cardíaco y cualquier operación cardíaca en lactantes</t>
        </is>
      </c>
      <c r="D682" s="2" t="inlineStr">
        <is>
          <t>Cmay</t>
        </is>
      </c>
      <c r="E682" s="3" t="inlineStr">
        <is>
          <t>Cirugía Mayor</t>
        </is>
      </c>
    </row>
    <row r="683" ht="16" customHeight="1" s="151">
      <c r="A683" s="1" t="inlineStr">
        <is>
          <t>1703062</t>
        </is>
      </c>
      <c r="B683" s="2" t="inlineStr">
        <is>
          <t>14</t>
        </is>
      </c>
      <c r="C683" s="2" t="inlineStr">
        <is>
          <t>De complejidad mediana: incluye comunicación interventricular, reemplazo univalvular, uno o dos puentes aortocoronarios; aneurisma ventricular, corrección de Wolf-Parkinson White y otras arritmias</t>
        </is>
      </c>
      <c r="D683" s="2" t="inlineStr">
        <is>
          <t>Cmay</t>
        </is>
      </c>
      <c r="E683" s="3" t="inlineStr">
        <is>
          <t>Cirugía Mayor</t>
        </is>
      </c>
    </row>
    <row r="684" ht="16" customHeight="1" s="151">
      <c r="A684" s="1" t="inlineStr">
        <is>
          <t>1703063</t>
        </is>
      </c>
      <c r="B684" s="2" t="inlineStr">
        <is>
          <t>14</t>
        </is>
      </c>
      <c r="C684" s="2" t="inlineStr">
        <is>
          <t>De complejidad menor: incluye comunicación interauricular simple, estenosis pulmonar valvular, estenosis mitral o similar</t>
        </is>
      </c>
      <c r="D684" s="2" t="inlineStr">
        <is>
          <t>Cmay</t>
        </is>
      </c>
      <c r="E684" s="3" t="inlineStr">
        <is>
          <t>Cirugía Mayor</t>
        </is>
      </c>
    </row>
    <row r="685" ht="16" customHeight="1" s="151">
      <c r="A685" s="1" t="inlineStr">
        <is>
          <t>1703064</t>
        </is>
      </c>
      <c r="B685" s="2" t="inlineStr">
        <is>
          <t>4</t>
        </is>
      </c>
      <c r="C685" s="2" t="inlineStr">
        <is>
          <t>Implante de prótesis para hemodiálisis</t>
        </is>
      </c>
      <c r="D685" s="2" t="inlineStr">
        <is>
          <t>Cmen</t>
        </is>
      </c>
      <c r="E685" s="3" t="inlineStr">
        <is>
          <t>Cirugía Menor</t>
        </is>
      </c>
    </row>
    <row r="686" ht="16" customHeight="1" s="151">
      <c r="A686" s="1" t="inlineStr">
        <is>
          <t>1703065</t>
        </is>
      </c>
      <c r="B686" s="2" t="inlineStr">
        <is>
          <t>10</t>
        </is>
      </c>
      <c r="C686" s="2" t="inlineStr">
        <is>
          <t>Transposición basílica o similar</t>
        </is>
      </c>
      <c r="D686" s="2" t="inlineStr">
        <is>
          <t>Cmay</t>
        </is>
      </c>
      <c r="E686" s="3" t="inlineStr">
        <is>
          <t>Cirugía Mayor</t>
        </is>
      </c>
    </row>
    <row r="687" ht="16" customHeight="1" s="151">
      <c r="A687" s="1" t="inlineStr">
        <is>
          <t>1703066</t>
        </is>
      </c>
      <c r="B687" s="2" t="inlineStr">
        <is>
          <t>7</t>
        </is>
      </c>
      <c r="C687" s="2" t="inlineStr">
        <is>
          <t>Instalación de catéter venoso de larga duración tunelizado (incluye cateter)</t>
        </is>
      </c>
      <c r="D687" s="2" t="inlineStr">
        <is>
          <t>Cmay</t>
        </is>
      </c>
      <c r="E687" s="3" t="inlineStr">
        <is>
          <t>Cirugía Mayor</t>
        </is>
      </c>
    </row>
    <row r="688" ht="16" customHeight="1" s="151">
      <c r="A688" s="1" t="inlineStr">
        <is>
          <t>1703067</t>
        </is>
      </c>
      <c r="B688" s="2" t="inlineStr">
        <is>
          <t>9</t>
        </is>
      </c>
      <c r="C688" s="2" t="inlineStr">
        <is>
          <t>Simpatectomía cervico-torácica toracoscopia</t>
        </is>
      </c>
      <c r="D688" s="2" t="inlineStr">
        <is>
          <t>Cmay</t>
        </is>
      </c>
      <c r="E688" s="3" t="inlineStr">
        <is>
          <t>Cirugía Mayor</t>
        </is>
      </c>
    </row>
    <row r="689" ht="16" customHeight="1" s="151">
      <c r="A689" s="1" t="inlineStr">
        <is>
          <t>1703068</t>
        </is>
      </c>
      <c r="B689" s="2" t="inlineStr">
        <is>
          <t>10</t>
        </is>
      </c>
      <c r="C689" s="2" t="inlineStr">
        <is>
          <t>Resección ganglios mediastínicos por toracotomía</t>
        </is>
      </c>
      <c r="D689" s="2" t="inlineStr">
        <is>
          <t>Cmay</t>
        </is>
      </c>
      <c r="E689" s="3" t="inlineStr">
        <is>
          <t>Cirugía Mayor</t>
        </is>
      </c>
    </row>
    <row r="690" ht="16" customHeight="1" s="151">
      <c r="A690" s="1" t="inlineStr">
        <is>
          <t>1703069</t>
        </is>
      </c>
      <c r="B690" s="2" t="inlineStr">
        <is>
          <t>12</t>
        </is>
      </c>
      <c r="C690" s="2" t="inlineStr">
        <is>
          <t>Resección ganglios mediastínicos por vía videotoracoscopica</t>
        </is>
      </c>
      <c r="D690" s="2" t="inlineStr">
        <is>
          <t>Cmay</t>
        </is>
      </c>
      <c r="E690" s="3" t="inlineStr">
        <is>
          <t>Cirugía Mayor</t>
        </is>
      </c>
    </row>
    <row r="691" ht="16" customHeight="1" s="151">
      <c r="A691" s="1" t="inlineStr">
        <is>
          <t>1703070</t>
        </is>
      </c>
      <c r="B691" s="2" t="inlineStr">
        <is>
          <t>10</t>
        </is>
      </c>
      <c r="C691" s="2" t="inlineStr">
        <is>
          <t>Vaciamiento mediastínico ántero-superior</t>
        </is>
      </c>
      <c r="D691" s="2" t="inlineStr">
        <is>
          <t>Cmay</t>
        </is>
      </c>
      <c r="E691" s="3" t="inlineStr">
        <is>
          <t>Cirugía Mayor</t>
        </is>
      </c>
    </row>
    <row r="692" ht="16" customHeight="1" s="151">
      <c r="A692" s="1" t="inlineStr">
        <is>
          <t>1703071</t>
        </is>
      </c>
      <c r="B692" s="2" t="inlineStr">
        <is>
          <t>14</t>
        </is>
      </c>
      <c r="C692" s="2" t="inlineStr">
        <is>
          <t>Aneurisma torácico con compromiso de arco aórtico tratamiento endovascular</t>
        </is>
      </c>
      <c r="D692" s="2" t="inlineStr">
        <is>
          <t>Cmay</t>
        </is>
      </c>
      <c r="E692" s="3" t="inlineStr">
        <is>
          <t>Cirugía Mayor</t>
        </is>
      </c>
    </row>
    <row r="693" ht="16" customHeight="1" s="151">
      <c r="A693" s="1" t="inlineStr">
        <is>
          <t>1703072</t>
        </is>
      </c>
      <c r="B693" s="2" t="inlineStr">
        <is>
          <t>8</t>
        </is>
      </c>
      <c r="C693" s="2" t="inlineStr">
        <is>
          <t>Implante de desfribilador con resincronizador VVI (incluye dispositivo)</t>
        </is>
      </c>
      <c r="D693" s="2" t="inlineStr">
        <is>
          <t>Cmay</t>
        </is>
      </c>
      <c r="E693" s="3" t="inlineStr">
        <is>
          <t>Cirugía Mayor</t>
        </is>
      </c>
    </row>
    <row r="694" ht="16" customHeight="1" s="151">
      <c r="A694" s="1" t="inlineStr">
        <is>
          <t>1703073</t>
        </is>
      </c>
      <c r="B694" s="2" t="inlineStr">
        <is>
          <t>8</t>
        </is>
      </c>
      <c r="C694" s="2" t="inlineStr">
        <is>
          <t>Implante de desfribilador con resincronizador DDD  (incluye dispositivo)</t>
        </is>
      </c>
      <c r="D694" s="2" t="inlineStr">
        <is>
          <t>Cmay</t>
        </is>
      </c>
      <c r="E694" s="3" t="inlineStr">
        <is>
          <t>Cirugía Mayor</t>
        </is>
      </c>
    </row>
    <row r="695" ht="16" customHeight="1" s="151">
      <c r="A695" s="1" t="inlineStr">
        <is>
          <t>1703074</t>
        </is>
      </c>
      <c r="B695" s="2" t="inlineStr">
        <is>
          <t>4</t>
        </is>
      </c>
      <c r="C695" s="2" t="inlineStr">
        <is>
          <t>Retiro de catéter venoso de larga duración tunelizado</t>
        </is>
      </c>
      <c r="D695" s="2" t="inlineStr">
        <is>
          <t>Proc</t>
        </is>
      </c>
      <c r="E695" s="3" t="inlineStr">
        <is>
          <t>Procedimiento</t>
        </is>
      </c>
    </row>
    <row r="696" ht="16" customHeight="1" s="151">
      <c r="A696" s="1" t="inlineStr">
        <is>
          <t>1703075</t>
        </is>
      </c>
      <c r="B696" s="2" t="inlineStr">
        <is>
          <t>6</t>
        </is>
      </c>
      <c r="C696" s="2" t="inlineStr">
        <is>
          <t>Fístula Arteriovenosa Protésica</t>
        </is>
      </c>
      <c r="D696" s="2" t="inlineStr">
        <is>
          <t>Cmay</t>
        </is>
      </c>
      <c r="E696" s="3" t="inlineStr">
        <is>
          <t>Cirugía Mayor</t>
        </is>
      </c>
    </row>
    <row r="697" ht="16" customHeight="1" s="151">
      <c r="A697" s="1" t="inlineStr">
        <is>
          <t>1703076</t>
        </is>
      </c>
      <c r="B697" s="2" t="inlineStr">
        <is>
          <t>10</t>
        </is>
      </c>
      <c r="C697" s="2" t="inlineStr">
        <is>
          <t>Transposición de vena basílica para hemodiálisis</t>
        </is>
      </c>
      <c r="D697" s="2" t="inlineStr">
        <is>
          <t>Cmay</t>
        </is>
      </c>
      <c r="E697" s="3" t="inlineStr">
        <is>
          <t>Cirugía Mayor</t>
        </is>
      </c>
    </row>
    <row r="698" ht="16" customHeight="1" s="151">
      <c r="A698" s="1" t="inlineStr">
        <is>
          <t>1703077</t>
        </is>
      </c>
      <c r="B698" s="2" t="inlineStr">
        <is>
          <t>6</t>
        </is>
      </c>
      <c r="C698" s="2" t="inlineStr">
        <is>
          <t>Extracción de electrodo endocavitario, con o sin extracción de generador de marcapaso o desfibrilador</t>
        </is>
      </c>
      <c r="D698" s="2" t="inlineStr">
        <is>
          <t>Cmay</t>
        </is>
      </c>
      <c r="E698" s="3" t="inlineStr">
        <is>
          <t>Cirugía Mayor</t>
        </is>
      </c>
    </row>
    <row r="699" ht="16" customHeight="1" s="151">
      <c r="A699" s="1" t="inlineStr">
        <is>
          <t>1703080</t>
        </is>
      </c>
      <c r="B699" s="2" t="inlineStr">
        <is>
          <t>7</t>
        </is>
      </c>
      <c r="C699" s="2" t="inlineStr">
        <is>
          <t>Implante y retiro de implante venoso (filtro de vena cava) por vía endovascular</t>
        </is>
      </c>
      <c r="D699" s="2" t="inlineStr">
        <is>
          <t>Cmay</t>
        </is>
      </c>
      <c r="E699" s="3" t="inlineStr">
        <is>
          <t>Cirugía Mayor</t>
        </is>
      </c>
    </row>
    <row r="700" ht="16" customHeight="1" s="151">
      <c r="A700" s="1" t="inlineStr">
        <is>
          <t>1703081</t>
        </is>
      </c>
      <c r="B700" s="2" t="inlineStr">
        <is>
          <t>4</t>
        </is>
      </c>
      <c r="C700" s="2" t="inlineStr">
        <is>
          <t>Ablación troncos venosos con técnica térmica (laser, radiofrecuencia u otras)</t>
        </is>
      </c>
      <c r="D700" s="2" t="inlineStr">
        <is>
          <t>Proc</t>
        </is>
      </c>
      <c r="E700" s="3" t="inlineStr">
        <is>
          <t>Procedimiento</t>
        </is>
      </c>
    </row>
    <row r="701" ht="16" customHeight="1" s="151">
      <c r="A701" s="1" t="inlineStr">
        <is>
          <t>1703082</t>
        </is>
      </c>
      <c r="B701" s="2" t="inlineStr">
        <is>
          <t>4</t>
        </is>
      </c>
      <c r="C701" s="2" t="inlineStr">
        <is>
          <t>Ablación troncos venosos con técnica no térmica no tumescente (cianocrilato, fármaco, mecánico u otras)</t>
        </is>
      </c>
      <c r="D701" s="2" t="inlineStr">
        <is>
          <t>Proc</t>
        </is>
      </c>
      <c r="E701" s="3" t="inlineStr">
        <is>
          <t>Procedimiento</t>
        </is>
      </c>
    </row>
    <row r="702" ht="16" customHeight="1" s="151">
      <c r="A702" s="1" t="inlineStr">
        <is>
          <t>1703148</t>
        </is>
      </c>
      <c r="B702" s="2" t="inlineStr">
        <is>
          <t>5</t>
        </is>
      </c>
      <c r="C702" s="2" t="inlineStr">
        <is>
          <t>Cambio de generador de marcapaso (incluye el valor de la prótesis)</t>
        </is>
      </c>
      <c r="D702" s="2" t="inlineStr">
        <is>
          <t>Cmay</t>
        </is>
      </c>
      <c r="E702" s="3" t="inlineStr">
        <is>
          <t>Cirugía Mayor</t>
        </is>
      </c>
    </row>
    <row r="703" ht="16" customHeight="1" s="151">
      <c r="A703" s="1" t="inlineStr">
        <is>
          <t>1703153</t>
        </is>
      </c>
      <c r="B703" s="2" t="inlineStr">
        <is>
          <t>8</t>
        </is>
      </c>
      <c r="C703" s="2" t="inlineStr">
        <is>
          <t>Implantación de marcapaso c/electrod. intraven. o epicárdico (incluye el valor de la prótesis)</t>
        </is>
      </c>
      <c r="D703" s="2" t="inlineStr">
        <is>
          <t>Cmay</t>
        </is>
      </c>
      <c r="E703" s="3" t="inlineStr">
        <is>
          <t>Cirugía Mayor</t>
        </is>
      </c>
    </row>
    <row r="704" ht="16" customHeight="1" s="151">
      <c r="A704" s="1" t="inlineStr">
        <is>
          <t>1704001</t>
        </is>
      </c>
      <c r="B704" s="2" t="inlineStr">
        <is>
          <t>10</t>
        </is>
      </c>
      <c r="C704" s="2" t="inlineStr">
        <is>
          <t>Cirugía del opérculo torácico (resección de primera costilla, cualquier abordaje); unilateral</t>
        </is>
      </c>
      <c r="D704" s="2" t="inlineStr">
        <is>
          <t>Cmay</t>
        </is>
      </c>
      <c r="E704" s="3" t="inlineStr">
        <is>
          <t>Cirugía Mayor</t>
        </is>
      </c>
    </row>
    <row r="705" ht="16" customHeight="1" s="151">
      <c r="A705" s="1" t="inlineStr">
        <is>
          <t>1704002</t>
        </is>
      </c>
      <c r="B705" s="2" t="inlineStr">
        <is>
          <t>10</t>
        </is>
      </c>
      <c r="C705" s="2" t="inlineStr">
        <is>
          <t>Cirugía tórax abierto traumático y/o fijación tórax volante, osteosíntesis costales múltiples y de esternón (no incluye el valor de la prótesis)</t>
        </is>
      </c>
      <c r="D705" s="2" t="inlineStr">
        <is>
          <t>Cmay</t>
        </is>
      </c>
      <c r="E705" s="3" t="inlineStr">
        <is>
          <t>Cirugía Mayor</t>
        </is>
      </c>
    </row>
    <row r="706" ht="16" customHeight="1" s="151">
      <c r="A706" s="1" t="inlineStr">
        <is>
          <t>1704003</t>
        </is>
      </c>
      <c r="B706" s="2" t="inlineStr">
        <is>
          <t>9</t>
        </is>
      </c>
      <c r="C706" s="2" t="inlineStr">
        <is>
          <t>Fenestración o toracoplastía</t>
        </is>
      </c>
      <c r="D706" s="2" t="inlineStr">
        <is>
          <t>Cmay</t>
        </is>
      </c>
      <c r="E706" s="3" t="inlineStr">
        <is>
          <t>Cirugía Mayor</t>
        </is>
      </c>
    </row>
    <row r="707" ht="16" customHeight="1" s="151">
      <c r="A707" s="1" t="inlineStr">
        <is>
          <t>1704004</t>
        </is>
      </c>
      <c r="B707" s="2" t="inlineStr">
        <is>
          <t>9</t>
        </is>
      </c>
      <c r="C707" s="2" t="inlineStr">
        <is>
          <t>Reparación pectum excavatum o carinatum, (proc. aut.)</t>
        </is>
      </c>
      <c r="D707" s="2" t="inlineStr">
        <is>
          <t>Cmay</t>
        </is>
      </c>
      <c r="E707" s="3" t="inlineStr">
        <is>
          <t>Cirugía Mayor</t>
        </is>
      </c>
    </row>
    <row r="708" ht="16" customHeight="1" s="151">
      <c r="A708" s="1" t="inlineStr">
        <is>
          <t>1704005</t>
        </is>
      </c>
      <c r="B708" s="2" t="inlineStr">
        <is>
          <t>8</t>
        </is>
      </c>
      <c r="C708" s="2" t="inlineStr">
        <is>
          <t>Resección de costillas y/o pared costal y/o cartílago y/o esternón s/plastía (proc. aut.)</t>
        </is>
      </c>
      <c r="D708" s="2" t="inlineStr">
        <is>
          <t>Cmay</t>
        </is>
      </c>
      <c r="E708" s="3" t="inlineStr">
        <is>
          <t>Cirugía Mayor</t>
        </is>
      </c>
    </row>
    <row r="709" ht="16" customHeight="1" s="151">
      <c r="A709" s="1" t="inlineStr">
        <is>
          <t>1704006</t>
        </is>
      </c>
      <c r="B709" s="2" t="inlineStr">
        <is>
          <t>8</t>
        </is>
      </c>
      <c r="C709" s="2" t="inlineStr">
        <is>
          <t>Resección de pared costal c/plastía (toracoplastía osteoplástica de York o similar)</t>
        </is>
      </c>
      <c r="D709" s="2" t="inlineStr">
        <is>
          <t>Cmay</t>
        </is>
      </c>
      <c r="E709" s="3" t="inlineStr">
        <is>
          <t>Cirugía Mayor</t>
        </is>
      </c>
    </row>
    <row r="710" ht="16" customHeight="1" s="151">
      <c r="A710" s="1" t="inlineStr">
        <is>
          <t>1704007</t>
        </is>
      </c>
      <c r="B710" s="2" t="inlineStr">
        <is>
          <t>10</t>
        </is>
      </c>
      <c r="C710" s="2" t="inlineStr">
        <is>
          <t>Toracofrenolaparatomía exploradora c/s reparación vísceras torácicas y abdominales</t>
        </is>
      </c>
      <c r="D710" s="2" t="inlineStr">
        <is>
          <t>Cmay</t>
        </is>
      </c>
      <c r="E710" s="3" t="inlineStr">
        <is>
          <t>Cirugía Mayor</t>
        </is>
      </c>
    </row>
    <row r="711" ht="16" customHeight="1" s="151">
      <c r="A711" s="1" t="inlineStr">
        <is>
          <t>1704008</t>
        </is>
      </c>
      <c r="B711" s="2" t="inlineStr">
        <is>
          <t>10</t>
        </is>
      </c>
      <c r="C711" s="2" t="inlineStr">
        <is>
          <t>Toracofrenotomía exploradora</t>
        </is>
      </c>
      <c r="D711" s="2" t="inlineStr">
        <is>
          <t>Cmay</t>
        </is>
      </c>
      <c r="E711" s="3" t="inlineStr">
        <is>
          <t>Cirugía Mayor</t>
        </is>
      </c>
    </row>
    <row r="712" ht="16" customHeight="1" s="151">
      <c r="A712" s="1" t="inlineStr">
        <is>
          <t>1704009</t>
        </is>
      </c>
      <c r="B712" s="2" t="inlineStr">
        <is>
          <t>9</t>
        </is>
      </c>
      <c r="C712" s="2" t="inlineStr">
        <is>
          <t>Toracotomía exploradora, c/s biopsia, c/s debridación, c/s drenaje</t>
        </is>
      </c>
      <c r="D712" s="2" t="inlineStr">
        <is>
          <t>Cmay</t>
        </is>
      </c>
      <c r="E712" s="3" t="inlineStr">
        <is>
          <t>Cirugía Mayor</t>
        </is>
      </c>
    </row>
    <row r="713" ht="16" customHeight="1" s="151">
      <c r="A713" s="1" t="inlineStr">
        <is>
          <t>1704010</t>
        </is>
      </c>
      <c r="B713" s="2" t="inlineStr">
        <is>
          <t>6</t>
        </is>
      </c>
      <c r="C713" s="2" t="inlineStr">
        <is>
          <t>Toracotomía mínima c/s resección costal, c/s biopsia, c/s drenaje</t>
        </is>
      </c>
      <c r="D713" s="2" t="inlineStr">
        <is>
          <t>Cmay</t>
        </is>
      </c>
      <c r="E713" s="3" t="inlineStr">
        <is>
          <t>Cirugía Mayor</t>
        </is>
      </c>
    </row>
    <row r="714" ht="16" customHeight="1" s="151">
      <c r="A714" s="1" t="inlineStr">
        <is>
          <t>1704011</t>
        </is>
      </c>
      <c r="B714" s="2" t="inlineStr">
        <is>
          <t>8</t>
        </is>
      </c>
      <c r="C714" s="2" t="inlineStr">
        <is>
          <t>Mediastinotomía exploradora ant. o post. c/s biopsia proc. aut</t>
        </is>
      </c>
      <c r="D714" s="2" t="inlineStr">
        <is>
          <t>Cmay</t>
        </is>
      </c>
      <c r="E714" s="3" t="inlineStr">
        <is>
          <t>Cirugía Mayor</t>
        </is>
      </c>
    </row>
    <row r="715" ht="16" customHeight="1" s="151">
      <c r="A715" s="1" t="inlineStr">
        <is>
          <t>1704012</t>
        </is>
      </c>
      <c r="B715" s="2" t="inlineStr">
        <is>
          <t>7</t>
        </is>
      </c>
      <c r="C715" s="2" t="inlineStr">
        <is>
          <t>Drenaje quir. de mediastino, vía cervical</t>
        </is>
      </c>
      <c r="D715" s="2" t="inlineStr">
        <is>
          <t>Cmay</t>
        </is>
      </c>
      <c r="E715" s="3" t="inlineStr">
        <is>
          <t>Cirugía Mayor</t>
        </is>
      </c>
    </row>
    <row r="716" ht="16" customHeight="1" s="151">
      <c r="A716" s="1" t="inlineStr">
        <is>
          <t>1704013</t>
        </is>
      </c>
      <c r="B716" s="2" t="inlineStr">
        <is>
          <t>8</t>
        </is>
      </c>
      <c r="C716" s="2" t="inlineStr">
        <is>
          <t>Drenaje quir. de mediastino, vía torácica</t>
        </is>
      </c>
      <c r="D716" s="2" t="inlineStr">
        <is>
          <t>Cmay</t>
        </is>
      </c>
      <c r="E716" s="3" t="inlineStr">
        <is>
          <t>Cirugía Mayor</t>
        </is>
      </c>
    </row>
    <row r="717" ht="16" customHeight="1" s="151">
      <c r="A717" s="1" t="inlineStr">
        <is>
          <t>1704014</t>
        </is>
      </c>
      <c r="B717" s="2" t="inlineStr">
        <is>
          <t>7</t>
        </is>
      </c>
      <c r="C717" s="2" t="inlineStr">
        <is>
          <t>Timectomía vía cervical</t>
        </is>
      </c>
      <c r="D717" s="2" t="inlineStr">
        <is>
          <t>Cmay</t>
        </is>
      </c>
      <c r="E717" s="3" t="inlineStr">
        <is>
          <t>Cirugía Mayor</t>
        </is>
      </c>
    </row>
    <row r="718" ht="16" customHeight="1" s="151">
      <c r="A718" s="1" t="inlineStr">
        <is>
          <t>1704015</t>
        </is>
      </c>
      <c r="B718" s="2" t="inlineStr">
        <is>
          <t>8</t>
        </is>
      </c>
      <c r="C718" s="2" t="inlineStr">
        <is>
          <t>Timectomía  vía torácica medioesternal</t>
        </is>
      </c>
      <c r="D718" s="2" t="inlineStr">
        <is>
          <t>Cmay</t>
        </is>
      </c>
      <c r="E718" s="3" t="inlineStr">
        <is>
          <t>Cirugía Mayor</t>
        </is>
      </c>
    </row>
    <row r="719" ht="16" customHeight="1" s="151">
      <c r="A719" s="1" t="inlineStr">
        <is>
          <t>1704016</t>
        </is>
      </c>
      <c r="B719" s="2" t="inlineStr">
        <is>
          <t>9</t>
        </is>
      </c>
      <c r="C719" s="2" t="inlineStr">
        <is>
          <t>Conducto torácico, ligadura quirúrgica</t>
        </is>
      </c>
      <c r="D719" s="2" t="inlineStr">
        <is>
          <t>Cmay</t>
        </is>
      </c>
      <c r="E719" s="3" t="inlineStr">
        <is>
          <t>Cirugía Mayor</t>
        </is>
      </c>
    </row>
    <row r="720" ht="16" customHeight="1" s="151">
      <c r="A720" s="1" t="inlineStr">
        <is>
          <t>1704017</t>
        </is>
      </c>
      <c r="B720" s="2" t="inlineStr">
        <is>
          <t>10</t>
        </is>
      </c>
      <c r="C720" s="2" t="inlineStr">
        <is>
          <t>Tumores o quistes de mediastino (anterior o posterior) trat. quir. c/s disección ganglionar</t>
        </is>
      </c>
      <c r="D720" s="2" t="inlineStr">
        <is>
          <t>Cmay</t>
        </is>
      </c>
      <c r="E720" s="3" t="inlineStr">
        <is>
          <t>Cirugía Mayor</t>
        </is>
      </c>
    </row>
    <row r="721" ht="16" customHeight="1" s="151">
      <c r="A721" s="1" t="inlineStr">
        <is>
          <t>1704018</t>
        </is>
      </c>
      <c r="B721" s="2" t="inlineStr">
        <is>
          <t>10</t>
        </is>
      </c>
      <c r="C721" s="2" t="inlineStr">
        <is>
          <t>Cirugía del diafragma con cirugía de vísceras abdominales o torácicas</t>
        </is>
      </c>
      <c r="D721" s="2" t="inlineStr">
        <is>
          <t>Cmay</t>
        </is>
      </c>
      <c r="E721" s="3" t="inlineStr">
        <is>
          <t>Cirugía Mayor</t>
        </is>
      </c>
    </row>
    <row r="722" ht="16" customHeight="1" s="151">
      <c r="A722" s="1" t="inlineStr">
        <is>
          <t>1704019</t>
        </is>
      </c>
      <c r="B722" s="2" t="inlineStr">
        <is>
          <t>9</t>
        </is>
      </c>
      <c r="C722" s="2" t="inlineStr">
        <is>
          <t>Heridas traumáticas del diafragma, trat. quir.</t>
        </is>
      </c>
      <c r="D722" s="2" t="inlineStr">
        <is>
          <t>Cmay</t>
        </is>
      </c>
      <c r="E722" s="3" t="inlineStr">
        <is>
          <t>Cirugía Mayor</t>
        </is>
      </c>
    </row>
    <row r="723" ht="16" customHeight="1" s="151">
      <c r="A723" s="1" t="inlineStr">
        <is>
          <t>1704020</t>
        </is>
      </c>
      <c r="B723" s="2" t="inlineStr">
        <is>
          <t>10</t>
        </is>
      </c>
      <c r="C723" s="2" t="inlineStr">
        <is>
          <t>Hernioplastía diafragmática por vía torácica c/ prótesis (no incluye valor de la prótesis)</t>
        </is>
      </c>
      <c r="D723" s="2" t="inlineStr">
        <is>
          <t>Cmay</t>
        </is>
      </c>
      <c r="E723" s="3" t="inlineStr">
        <is>
          <t>Cirugía Mayor</t>
        </is>
      </c>
    </row>
    <row r="724" ht="16" customHeight="1" s="151">
      <c r="A724" s="1" t="inlineStr">
        <is>
          <t>1704021</t>
        </is>
      </c>
      <c r="B724" s="2" t="inlineStr">
        <is>
          <t>9</t>
        </is>
      </c>
      <c r="C724" s="2" t="inlineStr">
        <is>
          <t>Hernioplastía diafragmática por vía torácica, sin prótesis</t>
        </is>
      </c>
      <c r="D724" s="2" t="inlineStr">
        <is>
          <t>Cmay</t>
        </is>
      </c>
      <c r="E724" s="3" t="inlineStr">
        <is>
          <t>Cirugía Mayor</t>
        </is>
      </c>
    </row>
    <row r="725" ht="16" customHeight="1" s="151">
      <c r="A725" s="1" t="inlineStr">
        <is>
          <t>1704022</t>
        </is>
      </c>
      <c r="B725" s="2" t="inlineStr">
        <is>
          <t>10</t>
        </is>
      </c>
      <c r="C725" s="2" t="inlineStr">
        <is>
          <t>Tumores, malformaciones o quistes del diafragma (no incluye valor de la prótesis) trat. quir.</t>
        </is>
      </c>
      <c r="D725" s="2" t="inlineStr">
        <is>
          <t>Cmay</t>
        </is>
      </c>
      <c r="E725" s="3" t="inlineStr">
        <is>
          <t>Cirugía Mayor</t>
        </is>
      </c>
    </row>
    <row r="726" ht="16" customHeight="1" s="151">
      <c r="A726" s="1" t="inlineStr">
        <is>
          <t>1704023</t>
        </is>
      </c>
      <c r="B726" s="2" t="inlineStr">
        <is>
          <t>9</t>
        </is>
      </c>
      <c r="C726" s="2" t="inlineStr">
        <is>
          <t>Cuerpo extraño pleural, extrac. quir.</t>
        </is>
      </c>
      <c r="D726" s="2" t="inlineStr">
        <is>
          <t>Cmay</t>
        </is>
      </c>
      <c r="E726" s="3" t="inlineStr">
        <is>
          <t>Cirugía Mayor</t>
        </is>
      </c>
    </row>
    <row r="727" ht="16" customHeight="1" s="151">
      <c r="A727" s="1" t="inlineStr">
        <is>
          <t>1704024</t>
        </is>
      </c>
      <c r="B727" s="2" t="inlineStr">
        <is>
          <t>11</t>
        </is>
      </c>
      <c r="C727" s="2" t="inlineStr">
        <is>
          <t>Decorticación pleuropulmonar (pleurectomía parcial o total)</t>
        </is>
      </c>
      <c r="D727" s="2" t="inlineStr">
        <is>
          <t>Cmay</t>
        </is>
      </c>
      <c r="E727" s="3" t="inlineStr">
        <is>
          <t>Cirugía Mayor</t>
        </is>
      </c>
    </row>
    <row r="728" ht="16" customHeight="1" s="151">
      <c r="A728" s="1" t="inlineStr">
        <is>
          <t>1704025</t>
        </is>
      </c>
      <c r="B728" s="2" t="inlineStr">
        <is>
          <t>6</t>
        </is>
      </c>
      <c r="C728" s="2" t="inlineStr">
        <is>
          <t>Pleurodesis por pleurotomía</t>
        </is>
      </c>
      <c r="D728" s="2" t="inlineStr">
        <is>
          <t>Cmay</t>
        </is>
      </c>
      <c r="E728" s="3" t="inlineStr">
        <is>
          <t>Cirugía Mayor</t>
        </is>
      </c>
    </row>
    <row r="729" ht="16" customHeight="1" s="151">
      <c r="A729" s="1" t="inlineStr">
        <is>
          <t>1704026</t>
        </is>
      </c>
      <c r="B729" s="2" t="inlineStr">
        <is>
          <t>10</t>
        </is>
      </c>
      <c r="C729" s="2" t="inlineStr">
        <is>
          <t>Pleurodesis por toracotomía</t>
        </is>
      </c>
      <c r="D729" s="2" t="inlineStr">
        <is>
          <t>Cmay</t>
        </is>
      </c>
      <c r="E729" s="3" t="inlineStr">
        <is>
          <t>Cirugía Mayor</t>
        </is>
      </c>
    </row>
    <row r="730" ht="16" customHeight="1" s="151">
      <c r="A730" s="1" t="inlineStr">
        <is>
          <t>1704027</t>
        </is>
      </c>
      <c r="B730" s="2" t="inlineStr">
        <is>
          <t>4</t>
        </is>
      </c>
      <c r="C730" s="2" t="inlineStr">
        <is>
          <t>Pleurotomía única o doble</t>
        </is>
      </c>
      <c r="D730" s="2" t="inlineStr">
        <is>
          <t>CMen</t>
        </is>
      </c>
      <c r="E730" s="3" t="inlineStr">
        <is>
          <t>Cirugía Menor</t>
        </is>
      </c>
    </row>
    <row r="731" ht="16" customHeight="1" s="151">
      <c r="A731" s="1" t="inlineStr">
        <is>
          <t>1704028</t>
        </is>
      </c>
      <c r="B731" s="2" t="inlineStr">
        <is>
          <t>10</t>
        </is>
      </c>
      <c r="C731" s="2" t="inlineStr">
        <is>
          <t>Tratamiento resectivo de tumores pleurales</t>
        </is>
      </c>
      <c r="D731" s="2" t="inlineStr">
        <is>
          <t>Cmay</t>
        </is>
      </c>
      <c r="E731" s="3" t="inlineStr">
        <is>
          <t>Cirugía Mayor</t>
        </is>
      </c>
    </row>
    <row r="732" ht="16" customHeight="1" s="151">
      <c r="A732" s="1" t="inlineStr">
        <is>
          <t>1704029</t>
        </is>
      </c>
      <c r="B732" s="2" t="inlineStr">
        <is>
          <t>10</t>
        </is>
      </c>
      <c r="C732" s="2" t="inlineStr">
        <is>
          <t>Broncotomía o traqueobroncotomía exploradora o terapéutica por toracotomía (proc. aut.)</t>
        </is>
      </c>
      <c r="D732" s="2" t="inlineStr">
        <is>
          <t>Cmay</t>
        </is>
      </c>
      <c r="E732" s="3" t="inlineStr">
        <is>
          <t>Cirugía Mayor</t>
        </is>
      </c>
    </row>
    <row r="733" ht="16" customHeight="1" s="151">
      <c r="A733" s="1" t="inlineStr">
        <is>
          <t>1704030</t>
        </is>
      </c>
      <c r="B733" s="2" t="inlineStr">
        <is>
          <t>11</t>
        </is>
      </c>
      <c r="C733" s="2" t="inlineStr">
        <is>
          <t>Cirugía ruptura traqueobronquial o tratamiento quirúrgico fístula bronquial por esternotomía media</t>
        </is>
      </c>
      <c r="D733" s="2" t="inlineStr">
        <is>
          <t>Cmay</t>
        </is>
      </c>
      <c r="E733" s="3" t="inlineStr">
        <is>
          <t>Cirugía Mayor</t>
        </is>
      </c>
    </row>
    <row r="734" ht="16" customHeight="1" s="151">
      <c r="A734" s="1" t="inlineStr">
        <is>
          <t>1704031</t>
        </is>
      </c>
      <c r="B734" s="2" t="inlineStr">
        <is>
          <t>10</t>
        </is>
      </c>
      <c r="C734" s="2" t="inlineStr">
        <is>
          <t>Plastía de tráquea y/o bronquios c/s resección, c/s prótesis (no incluye el valor de la prótesis)</t>
        </is>
      </c>
      <c r="D734" s="2" t="inlineStr">
        <is>
          <t>Cmay</t>
        </is>
      </c>
      <c r="E734" s="3" t="inlineStr">
        <is>
          <t>Cirugía Mayor</t>
        </is>
      </c>
    </row>
    <row r="735" ht="16" customHeight="1" s="151">
      <c r="A735" s="1" t="inlineStr">
        <is>
          <t>1704032</t>
        </is>
      </c>
      <c r="B735" s="2" t="inlineStr">
        <is>
          <t>11</t>
        </is>
      </c>
      <c r="C735" s="2" t="inlineStr">
        <is>
          <t>Tratamiento quirúrgico fístula bronquial por toracotomía</t>
        </is>
      </c>
      <c r="D735" s="2" t="inlineStr">
        <is>
          <t>Cmay</t>
        </is>
      </c>
      <c r="E735" s="3" t="inlineStr">
        <is>
          <t>Cirugía Mayor</t>
        </is>
      </c>
    </row>
    <row r="736" ht="16" customHeight="1" s="151">
      <c r="A736" s="1" t="inlineStr">
        <is>
          <t>1704033</t>
        </is>
      </c>
      <c r="B736" s="2" t="inlineStr">
        <is>
          <t>9</t>
        </is>
      </c>
      <c r="C736" s="2" t="inlineStr">
        <is>
          <t>Tumores traqueales, extirpación</t>
        </is>
      </c>
      <c r="D736" s="2" t="inlineStr">
        <is>
          <t>Cmay</t>
        </is>
      </c>
      <c r="E736" s="3" t="inlineStr">
        <is>
          <t>Cirugía Mayor</t>
        </is>
      </c>
    </row>
    <row r="737" ht="16" customHeight="1" s="151">
      <c r="A737" s="1" t="inlineStr">
        <is>
          <t>1704034</t>
        </is>
      </c>
      <c r="B737" s="2" t="inlineStr">
        <is>
          <t>10</t>
        </is>
      </c>
      <c r="C737" s="2" t="inlineStr">
        <is>
          <t>Absceso pulmonar, drenaje por toracotomía</t>
        </is>
      </c>
      <c r="D737" s="2" t="inlineStr">
        <is>
          <t>Cmay</t>
        </is>
      </c>
      <c r="E737" s="3" t="inlineStr">
        <is>
          <t>Cirugía Mayor</t>
        </is>
      </c>
    </row>
    <row r="738" ht="16" customHeight="1" s="151">
      <c r="A738" s="1" t="inlineStr">
        <is>
          <t>1704035</t>
        </is>
      </c>
      <c r="B738" s="2" t="inlineStr">
        <is>
          <t>9</t>
        </is>
      </c>
      <c r="C738" s="2" t="inlineStr">
        <is>
          <t>Biopsia pulmonar por toracotomía</t>
        </is>
      </c>
      <c r="D738" s="2" t="inlineStr">
        <is>
          <t>Cmay</t>
        </is>
      </c>
      <c r="E738" s="3" t="inlineStr">
        <is>
          <t>Cirugía Mayor</t>
        </is>
      </c>
    </row>
    <row r="739" ht="16" customHeight="1" s="151">
      <c r="A739" s="1" t="inlineStr">
        <is>
          <t>1704036</t>
        </is>
      </c>
      <c r="B739" s="2" t="inlineStr">
        <is>
          <t>9</t>
        </is>
      </c>
      <c r="C739" s="2" t="inlineStr">
        <is>
          <t>Bulas, trat. quir.</t>
        </is>
      </c>
      <c r="D739" s="2" t="inlineStr">
        <is>
          <t>Cmay</t>
        </is>
      </c>
      <c r="E739" s="3" t="inlineStr">
        <is>
          <t>Cirugía Mayor</t>
        </is>
      </c>
    </row>
    <row r="740" ht="16" customHeight="1" s="151">
      <c r="A740" s="1" t="inlineStr">
        <is>
          <t>1704037</t>
        </is>
      </c>
      <c r="B740" s="2" t="inlineStr">
        <is>
          <t>11</t>
        </is>
      </c>
      <c r="C740" s="2" t="inlineStr">
        <is>
          <t>Cirugía de quiste hidatídico sin resección pulmonar</t>
        </is>
      </c>
      <c r="D740" s="2" t="inlineStr">
        <is>
          <t>Cmay</t>
        </is>
      </c>
      <c r="E740" s="3" t="inlineStr">
        <is>
          <t>Cirugía Mayor</t>
        </is>
      </c>
    </row>
    <row r="741" ht="16" customHeight="1" s="151">
      <c r="A741" s="1" t="inlineStr">
        <is>
          <t>1704038</t>
        </is>
      </c>
      <c r="B741" s="2" t="inlineStr">
        <is>
          <t>9</t>
        </is>
      </c>
      <c r="C741" s="2" t="inlineStr">
        <is>
          <t>Cuerpo extraño intrapulmonar, extirp. quir.</t>
        </is>
      </c>
      <c r="D741" s="2" t="inlineStr">
        <is>
          <t>Cmay</t>
        </is>
      </c>
      <c r="E741" s="3" t="inlineStr">
        <is>
          <t>Cirugía Mayor</t>
        </is>
      </c>
    </row>
    <row r="742" ht="16" customHeight="1" s="151">
      <c r="A742" s="1" t="inlineStr">
        <is>
          <t>1704039</t>
        </is>
      </c>
      <c r="B742" s="2" t="inlineStr">
        <is>
          <t>8</t>
        </is>
      </c>
      <c r="C742" s="2" t="inlineStr">
        <is>
          <t>Heridas de pulmón, trat. quir. (proc. aut.)</t>
        </is>
      </c>
      <c r="D742" s="2" t="inlineStr">
        <is>
          <t>Cmay</t>
        </is>
      </c>
      <c r="E742" s="3" t="inlineStr">
        <is>
          <t>Cirugía Mayor</t>
        </is>
      </c>
    </row>
    <row r="743" ht="16" customHeight="1" s="151">
      <c r="A743" s="1" t="inlineStr">
        <is>
          <t>1704040</t>
        </is>
      </c>
      <c r="B743" s="2" t="inlineStr">
        <is>
          <t>11</t>
        </is>
      </c>
      <c r="C743" s="2" t="inlineStr">
        <is>
          <t>Lobectomía o bilobectomía</t>
        </is>
      </c>
      <c r="D743" s="2" t="inlineStr">
        <is>
          <t>Cmay</t>
        </is>
      </c>
      <c r="E743" s="3" t="inlineStr">
        <is>
          <t>Cirugía Mayor</t>
        </is>
      </c>
    </row>
    <row r="744" ht="16" customHeight="1" s="151">
      <c r="A744" s="1" t="inlineStr">
        <is>
          <t>1704041</t>
        </is>
      </c>
      <c r="B744" s="2" t="inlineStr">
        <is>
          <t>11</t>
        </is>
      </c>
      <c r="C744" s="2" t="inlineStr">
        <is>
          <t>Metástasis bilateral pulmón, trat. quir. por esternotomía</t>
        </is>
      </c>
      <c r="D744" s="2" t="inlineStr">
        <is>
          <t>Cmay</t>
        </is>
      </c>
      <c r="E744" s="3" t="inlineStr">
        <is>
          <t>Cirugía Mayor</t>
        </is>
      </c>
    </row>
    <row r="745" ht="16" customHeight="1" s="151">
      <c r="A745" s="1" t="inlineStr">
        <is>
          <t>1704042</t>
        </is>
      </c>
      <c r="B745" s="2" t="inlineStr">
        <is>
          <t>10</t>
        </is>
      </c>
      <c r="C745" s="2" t="inlineStr">
        <is>
          <t>Metástasis unilateral pulmón</t>
        </is>
      </c>
      <c r="D745" s="2" t="inlineStr">
        <is>
          <t>Cmay</t>
        </is>
      </c>
      <c r="E745" s="3" t="inlineStr">
        <is>
          <t>Cirugía Mayor</t>
        </is>
      </c>
    </row>
    <row r="746" ht="16" customHeight="1" s="151">
      <c r="A746" s="1" t="inlineStr">
        <is>
          <t>1704043</t>
        </is>
      </c>
      <c r="B746" s="2" t="inlineStr">
        <is>
          <t>11</t>
        </is>
      </c>
      <c r="C746" s="2" t="inlineStr">
        <is>
          <t>Neumonectomía c/s resección de pared costal</t>
        </is>
      </c>
      <c r="D746" s="2" t="inlineStr">
        <is>
          <t>Cmay</t>
        </is>
      </c>
      <c r="E746" s="3" t="inlineStr">
        <is>
          <t>Cirugía Mayor</t>
        </is>
      </c>
    </row>
    <row r="747" ht="16" customHeight="1" s="151">
      <c r="A747" s="1" t="inlineStr">
        <is>
          <t>1704045</t>
        </is>
      </c>
      <c r="B747" s="2" t="inlineStr">
        <is>
          <t>10</t>
        </is>
      </c>
      <c r="C747" s="2" t="inlineStr">
        <is>
          <t>Quistectomía simple de pulmón</t>
        </is>
      </c>
      <c r="D747" s="2" t="inlineStr">
        <is>
          <t>Cmay</t>
        </is>
      </c>
      <c r="E747" s="3" t="inlineStr">
        <is>
          <t>Cirugía Mayor</t>
        </is>
      </c>
    </row>
    <row r="748" ht="16" customHeight="1" s="151">
      <c r="A748" s="1" t="inlineStr">
        <is>
          <t>1704046</t>
        </is>
      </c>
      <c r="B748" s="2" t="inlineStr">
        <is>
          <t>10</t>
        </is>
      </c>
      <c r="C748" s="2" t="inlineStr">
        <is>
          <t>Resecciones segmentarias anatómicas de pulmón</t>
        </is>
      </c>
      <c r="D748" s="2" t="inlineStr">
        <is>
          <t>Cmay</t>
        </is>
      </c>
      <c r="E748" s="3" t="inlineStr">
        <is>
          <t>Cirugía Mayor</t>
        </is>
      </c>
    </row>
    <row r="749" ht="16" customHeight="1" s="151">
      <c r="A749" s="1" t="inlineStr">
        <is>
          <t>1704047</t>
        </is>
      </c>
      <c r="B749" s="2" t="inlineStr">
        <is>
          <t>6</t>
        </is>
      </c>
      <c r="C749" s="2" t="inlineStr">
        <is>
          <t>Extracción cuerpo extraño esofágico por vía cervical</t>
        </is>
      </c>
      <c r="D749" s="2" t="inlineStr">
        <is>
          <t>Cmay</t>
        </is>
      </c>
      <c r="E749" s="3" t="inlineStr">
        <is>
          <t>Cirugía Mayor</t>
        </is>
      </c>
    </row>
    <row r="750" ht="16" customHeight="1" s="151">
      <c r="A750" s="1" t="inlineStr">
        <is>
          <t>1704048</t>
        </is>
      </c>
      <c r="B750" s="2" t="inlineStr">
        <is>
          <t>9</t>
        </is>
      </c>
      <c r="C750" s="2" t="inlineStr">
        <is>
          <t>Cuerpo extraño esofágico, extracción por esofagotomía, vía torácica</t>
        </is>
      </c>
      <c r="D750" s="2" t="inlineStr">
        <is>
          <t>Cmay</t>
        </is>
      </c>
      <c r="E750" s="3" t="inlineStr">
        <is>
          <t>Cirugía Mayor</t>
        </is>
      </c>
    </row>
    <row r="751" ht="16" customHeight="1" s="151">
      <c r="A751" s="1" t="inlineStr">
        <is>
          <t>1704049</t>
        </is>
      </c>
      <c r="B751" s="2" t="inlineStr">
        <is>
          <t>6</t>
        </is>
      </c>
      <c r="C751" s="2" t="inlineStr">
        <is>
          <t>Esofagostomía cervical (proc. aut.)</t>
        </is>
      </c>
      <c r="D751" s="2" t="inlineStr">
        <is>
          <t>Cmay</t>
        </is>
      </c>
      <c r="E751" s="3" t="inlineStr">
        <is>
          <t>Cirugía Mayor</t>
        </is>
      </c>
    </row>
    <row r="752" ht="16" customHeight="1" s="151">
      <c r="A752" s="1" t="inlineStr">
        <is>
          <t>1704050</t>
        </is>
      </c>
      <c r="B752" s="2" t="inlineStr">
        <is>
          <t>9</t>
        </is>
      </c>
      <c r="C752" s="2" t="inlineStr">
        <is>
          <t>Tumores benignos y/o quistes esofágicos,  trat. quir., vía cervical</t>
        </is>
      </c>
      <c r="D752" s="2" t="inlineStr">
        <is>
          <t>Cmay</t>
        </is>
      </c>
      <c r="E752" s="3" t="inlineStr">
        <is>
          <t>Cirugía Mayor</t>
        </is>
      </c>
    </row>
    <row r="753" ht="16" customHeight="1" s="151">
      <c r="A753" s="1" t="inlineStr">
        <is>
          <t>1704051</t>
        </is>
      </c>
      <c r="B753" s="2" t="inlineStr">
        <is>
          <t>9</t>
        </is>
      </c>
      <c r="C753" s="2" t="inlineStr">
        <is>
          <t>Tratamiento quirúrgico de tumores esofagicos benignos y/o quistes vía torácica</t>
        </is>
      </c>
      <c r="D753" s="2" t="inlineStr">
        <is>
          <t>Cmay</t>
        </is>
      </c>
      <c r="E753" s="3" t="inlineStr">
        <is>
          <t>Cirugía Mayor</t>
        </is>
      </c>
    </row>
    <row r="754" ht="16" customHeight="1" s="151">
      <c r="A754" s="1" t="inlineStr">
        <is>
          <t>1704052</t>
        </is>
      </c>
      <c r="B754" s="2" t="inlineStr">
        <is>
          <t>8</t>
        </is>
      </c>
      <c r="C754" s="2" t="inlineStr">
        <is>
          <t>Divertículos esofágicos, trat. quir., vía cervical</t>
        </is>
      </c>
      <c r="D754" s="2" t="inlineStr">
        <is>
          <t>Cmay</t>
        </is>
      </c>
      <c r="E754" s="3" t="inlineStr">
        <is>
          <t>Cirugía Mayor</t>
        </is>
      </c>
    </row>
    <row r="755" ht="16" customHeight="1" s="151">
      <c r="A755" s="1" t="inlineStr">
        <is>
          <t>1704053</t>
        </is>
      </c>
      <c r="B755" s="2" t="inlineStr">
        <is>
          <t>8</t>
        </is>
      </c>
      <c r="C755" s="2" t="inlineStr">
        <is>
          <t>Divertículos esofágicos, trat. quir., vía torácica</t>
        </is>
      </c>
      <c r="D755" s="2" t="inlineStr">
        <is>
          <t>Cmay</t>
        </is>
      </c>
      <c r="E755" s="3" t="inlineStr">
        <is>
          <t>Cirugía Mayor</t>
        </is>
      </c>
    </row>
    <row r="756" ht="16" customHeight="1" s="151">
      <c r="A756" s="1" t="inlineStr">
        <is>
          <t>1704054</t>
        </is>
      </c>
      <c r="B756" s="2" t="inlineStr">
        <is>
          <t>8</t>
        </is>
      </c>
      <c r="C756" s="2" t="inlineStr">
        <is>
          <t>Achalasia, trat. quir.</t>
        </is>
      </c>
      <c r="D756" s="2" t="inlineStr">
        <is>
          <t>Cmay</t>
        </is>
      </c>
      <c r="E756" s="3" t="inlineStr">
        <is>
          <t>Cirugía Mayor</t>
        </is>
      </c>
    </row>
    <row r="757" ht="16" customHeight="1" s="151">
      <c r="A757" s="1" t="inlineStr">
        <is>
          <t>1704055</t>
        </is>
      </c>
      <c r="B757" s="2" t="inlineStr">
        <is>
          <t>12</t>
        </is>
      </c>
      <c r="C757" s="2" t="inlineStr">
        <is>
          <t>Atresia esofágica, trat. quir.</t>
        </is>
      </c>
      <c r="D757" s="2" t="inlineStr">
        <is>
          <t>Cmay</t>
        </is>
      </c>
      <c r="E757" s="3" t="inlineStr">
        <is>
          <t>Cirugía Mayor</t>
        </is>
      </c>
    </row>
    <row r="758" ht="16" customHeight="1" s="151">
      <c r="A758" s="1" t="inlineStr">
        <is>
          <t>1704056</t>
        </is>
      </c>
      <c r="B758" s="2" t="inlineStr">
        <is>
          <t>12</t>
        </is>
      </c>
      <c r="C758" s="2" t="inlineStr">
        <is>
          <t>Esofagectomía con restitución del tránsito mediante estómago o intestino; parcial o total</t>
        </is>
      </c>
      <c r="D758" s="2" t="inlineStr">
        <is>
          <t>Cmay</t>
        </is>
      </c>
      <c r="E758" s="3" t="inlineStr">
        <is>
          <t>Cirugía Mayor</t>
        </is>
      </c>
    </row>
    <row r="759" ht="16" customHeight="1" s="151">
      <c r="A759" s="1" t="inlineStr">
        <is>
          <t>1704057</t>
        </is>
      </c>
      <c r="B759" s="2" t="inlineStr">
        <is>
          <t>12</t>
        </is>
      </c>
      <c r="C759" s="2" t="inlineStr">
        <is>
          <t>Esofagectomía total con esofagostomía, gastrostomía y yeyunostomía</t>
        </is>
      </c>
      <c r="D759" s="2" t="inlineStr">
        <is>
          <t>Cmay</t>
        </is>
      </c>
      <c r="E759" s="3" t="inlineStr">
        <is>
          <t>Cirugía Mayor</t>
        </is>
      </c>
    </row>
    <row r="760" ht="16" customHeight="1" s="151">
      <c r="A760" s="1" t="inlineStr">
        <is>
          <t>1704058</t>
        </is>
      </c>
      <c r="B760" s="2" t="inlineStr">
        <is>
          <t>12</t>
        </is>
      </c>
      <c r="C760" s="2" t="inlineStr">
        <is>
          <t>Esofagogastrectomía proximal</t>
        </is>
      </c>
      <c r="D760" s="2" t="inlineStr">
        <is>
          <t>Cmay</t>
        </is>
      </c>
      <c r="E760" s="3" t="inlineStr">
        <is>
          <t>Cirugía Mayor</t>
        </is>
      </c>
    </row>
    <row r="761" ht="16" customHeight="1" s="151">
      <c r="A761" s="1" t="inlineStr">
        <is>
          <t>1704059</t>
        </is>
      </c>
      <c r="B761" s="2" t="inlineStr">
        <is>
          <t>8</t>
        </is>
      </c>
      <c r="C761" s="2" t="inlineStr">
        <is>
          <t>Prótesis o tubo endoesofágico, colocación de (proc. aut.)</t>
        </is>
      </c>
      <c r="D761" s="2" t="inlineStr">
        <is>
          <t>Cmay</t>
        </is>
      </c>
      <c r="E761" s="3" t="inlineStr">
        <is>
          <t>Cirugía Mayor</t>
        </is>
      </c>
    </row>
    <row r="762" ht="16" customHeight="1" s="151">
      <c r="A762" s="1" t="inlineStr">
        <is>
          <t>1704060</t>
        </is>
      </c>
      <c r="B762" s="2" t="inlineStr">
        <is>
          <t>11</t>
        </is>
      </c>
      <c r="C762" s="2" t="inlineStr">
        <is>
          <t>Reconstitución de tránsito en segundo tiempo (estómago o intestino) de operación cód. 17-04-057</t>
        </is>
      </c>
      <c r="D762" s="2" t="inlineStr">
        <is>
          <t>Cmay</t>
        </is>
      </c>
      <c r="E762" s="3" t="inlineStr">
        <is>
          <t>Cirugía Mayor</t>
        </is>
      </c>
    </row>
    <row r="763" ht="16" customHeight="1" s="151">
      <c r="A763" s="1" t="inlineStr">
        <is>
          <t>1704061</t>
        </is>
      </c>
      <c r="B763" s="2" t="inlineStr">
        <is>
          <t>9</t>
        </is>
      </c>
      <c r="C763" s="2" t="inlineStr">
        <is>
          <t>Sutura herida o perforación esófago cervical</t>
        </is>
      </c>
      <c r="D763" s="2" t="inlineStr">
        <is>
          <t>Cmay</t>
        </is>
      </c>
      <c r="E763" s="3" t="inlineStr">
        <is>
          <t>Cirugía Mayor</t>
        </is>
      </c>
    </row>
    <row r="764" ht="16" customHeight="1" s="151">
      <c r="A764" s="1" t="inlineStr">
        <is>
          <t>1704062</t>
        </is>
      </c>
      <c r="B764" s="2" t="inlineStr">
        <is>
          <t>11</t>
        </is>
      </c>
      <c r="C764" s="2" t="inlineStr">
        <is>
          <t>Sutura herida o perforación esófago torácico</t>
        </is>
      </c>
      <c r="D764" s="2" t="inlineStr">
        <is>
          <t>Cmay</t>
        </is>
      </c>
      <c r="E764" s="3" t="inlineStr">
        <is>
          <t>Cirugía Mayor</t>
        </is>
      </c>
    </row>
    <row r="765" ht="16" customHeight="1" s="151">
      <c r="A765" s="1" t="inlineStr">
        <is>
          <t>1704063</t>
        </is>
      </c>
      <c r="B765" s="2" t="inlineStr">
        <is>
          <t>8</t>
        </is>
      </c>
      <c r="C765" s="2" t="inlineStr">
        <is>
          <t>Várices esofágicos, ligadura directa</t>
        </is>
      </c>
      <c r="D765" s="2" t="inlineStr">
        <is>
          <t>Cmay</t>
        </is>
      </c>
      <c r="E765" s="3" t="inlineStr">
        <is>
          <t>Cirugía Mayor</t>
        </is>
      </c>
    </row>
    <row r="766" ht="16" customHeight="1" s="151">
      <c r="A766" s="1" t="inlineStr">
        <is>
          <t>1704064</t>
        </is>
      </c>
      <c r="B766" s="2" t="inlineStr">
        <is>
          <t>10</t>
        </is>
      </c>
      <c r="C766" s="2" t="inlineStr">
        <is>
          <t>Frenoparálisis trat. quir.</t>
        </is>
      </c>
      <c r="D766" s="2" t="inlineStr">
        <is>
          <t>Cmay</t>
        </is>
      </c>
      <c r="E766" s="3" t="inlineStr">
        <is>
          <t>Cirugía Mayor</t>
        </is>
      </c>
    </row>
    <row r="767" ht="16" customHeight="1" s="151">
      <c r="A767" s="1" t="inlineStr">
        <is>
          <t>1704065</t>
        </is>
      </c>
      <c r="B767" s="2" t="inlineStr">
        <is>
          <t>10</t>
        </is>
      </c>
      <c r="C767" s="2" t="inlineStr">
        <is>
          <t>Mediastinoscopía y/o videomediastinoscopía c/s biopsia</t>
        </is>
      </c>
      <c r="D767" s="2" t="inlineStr">
        <is>
          <t>Cmay</t>
        </is>
      </c>
      <c r="E767" s="3" t="inlineStr">
        <is>
          <t>Cirugía Mayor</t>
        </is>
      </c>
    </row>
    <row r="768" ht="16" customHeight="1" s="151">
      <c r="A768" s="1" t="inlineStr">
        <is>
          <t>1704066</t>
        </is>
      </c>
      <c r="B768" s="2" t="inlineStr">
        <is>
          <t>11</t>
        </is>
      </c>
      <c r="C768" s="2" t="inlineStr">
        <is>
          <t>Tumores o quistes de mediastino (anterior o posterior) tratamiento quirúrgico c/s disección ganglionar por videotoracoscopia</t>
        </is>
      </c>
      <c r="D768" s="2" t="inlineStr">
        <is>
          <t>Cmay</t>
        </is>
      </c>
      <c r="E768" s="3" t="inlineStr">
        <is>
          <t>Cirugía Mayor</t>
        </is>
      </c>
    </row>
    <row r="769" ht="16" customHeight="1" s="151">
      <c r="A769" s="1" t="inlineStr">
        <is>
          <t>1704067</t>
        </is>
      </c>
      <c r="B769" s="2" t="inlineStr">
        <is>
          <t>11</t>
        </is>
      </c>
      <c r="C769" s="2" t="inlineStr">
        <is>
          <t>Cirugía del diafragma con cirugía de vísceras abdominales o torácicas por vía toracoscopia</t>
        </is>
      </c>
      <c r="D769" s="2" t="inlineStr">
        <is>
          <t>Cmay</t>
        </is>
      </c>
      <c r="E769" s="3" t="inlineStr">
        <is>
          <t>Cirugía Mayor</t>
        </is>
      </c>
    </row>
    <row r="770" ht="16" customHeight="1" s="151">
      <c r="A770" s="1" t="inlineStr">
        <is>
          <t>1704068</t>
        </is>
      </c>
      <c r="B770" s="2" t="inlineStr">
        <is>
          <t>10</t>
        </is>
      </c>
      <c r="C770" s="2" t="inlineStr">
        <is>
          <t>Heridas traumáticas, trat. quir. por vía videotoracoscopia</t>
        </is>
      </c>
      <c r="D770" s="2" t="inlineStr">
        <is>
          <t>Cmay</t>
        </is>
      </c>
      <c r="E770" s="3" t="inlineStr">
        <is>
          <t>Cirugía Mayor</t>
        </is>
      </c>
    </row>
    <row r="771" ht="16" customHeight="1" s="151">
      <c r="A771" s="1" t="inlineStr">
        <is>
          <t>1704069</t>
        </is>
      </c>
      <c r="B771" s="2" t="inlineStr">
        <is>
          <t>11</t>
        </is>
      </c>
      <c r="C771" s="2" t="inlineStr">
        <is>
          <t>Cirugía de tumores o malformaciones diafragmaticos por videotoracoscopia</t>
        </is>
      </c>
      <c r="D771" s="2" t="inlineStr">
        <is>
          <t>Cmay</t>
        </is>
      </c>
      <c r="E771" s="3" t="inlineStr">
        <is>
          <t>Cirugía Mayor</t>
        </is>
      </c>
    </row>
    <row r="772" ht="16" customHeight="1" s="151">
      <c r="A772" s="1" t="inlineStr">
        <is>
          <t>1704070</t>
        </is>
      </c>
      <c r="B772" s="2" t="inlineStr">
        <is>
          <t>10</t>
        </is>
      </c>
      <c r="C772" s="2" t="inlineStr">
        <is>
          <t>Biopsia pleural por videotoracoscopia</t>
        </is>
      </c>
      <c r="D772" s="2" t="inlineStr">
        <is>
          <t>Cmay</t>
        </is>
      </c>
      <c r="E772" s="3" t="inlineStr">
        <is>
          <t>Cirugía Mayor</t>
        </is>
      </c>
    </row>
    <row r="773" ht="16" customHeight="1" s="151">
      <c r="A773" s="1" t="inlineStr">
        <is>
          <t>1704071</t>
        </is>
      </c>
      <c r="B773" s="2" t="inlineStr">
        <is>
          <t>11</t>
        </is>
      </c>
      <c r="C773" s="2" t="inlineStr">
        <is>
          <t>Cuerpo extraño pleural, por videotoracoscopia</t>
        </is>
      </c>
      <c r="D773" s="2" t="inlineStr">
        <is>
          <t>Cmay</t>
        </is>
      </c>
      <c r="E773" s="3" t="inlineStr">
        <is>
          <t>Cirugía Mayor</t>
        </is>
      </c>
    </row>
    <row r="774" ht="16" customHeight="1" s="151">
      <c r="A774" s="1" t="inlineStr">
        <is>
          <t>1704072</t>
        </is>
      </c>
      <c r="B774" s="2" t="inlineStr">
        <is>
          <t>12</t>
        </is>
      </c>
      <c r="C774" s="2" t="inlineStr">
        <is>
          <t>Decorticación pleuropulmonar (pleurectomía parcial o total) por videotoracoscopia</t>
        </is>
      </c>
      <c r="D774" s="2" t="inlineStr">
        <is>
          <t>Cmay</t>
        </is>
      </c>
      <c r="E774" s="3" t="inlineStr">
        <is>
          <t>Cirugía Mayor</t>
        </is>
      </c>
    </row>
    <row r="775" ht="16" customHeight="1" s="151">
      <c r="A775" s="1" t="inlineStr">
        <is>
          <t>1704073</t>
        </is>
      </c>
      <c r="B775" s="2" t="inlineStr">
        <is>
          <t>11</t>
        </is>
      </c>
      <c r="C775" s="2" t="inlineStr">
        <is>
          <t>Absceso pulmonar, drenaje por videotoracoscopia</t>
        </is>
      </c>
      <c r="D775" s="2" t="inlineStr">
        <is>
          <t>Cmay</t>
        </is>
      </c>
      <c r="E775" s="3" t="inlineStr">
        <is>
          <t>Cirugía Mayor</t>
        </is>
      </c>
    </row>
    <row r="776" ht="16" customHeight="1" s="151">
      <c r="A776" s="1" t="inlineStr">
        <is>
          <t>1704074</t>
        </is>
      </c>
      <c r="B776" s="2" t="inlineStr">
        <is>
          <t>11</t>
        </is>
      </c>
      <c r="C776" s="2" t="inlineStr">
        <is>
          <t>Cirugía de quiste hidatídico c/s resección pulmonar por vía videotoracoscopia</t>
        </is>
      </c>
      <c r="D776" s="2" t="inlineStr">
        <is>
          <t>Cmay</t>
        </is>
      </c>
      <c r="E776" s="3" t="inlineStr">
        <is>
          <t>Cirugía Mayor</t>
        </is>
      </c>
    </row>
    <row r="777" ht="16" customHeight="1" s="151">
      <c r="A777" s="1" t="inlineStr">
        <is>
          <t>1704075</t>
        </is>
      </c>
      <c r="B777" s="2" t="inlineStr">
        <is>
          <t>11</t>
        </is>
      </c>
      <c r="C777" s="2" t="inlineStr">
        <is>
          <t>Metástasis unilateral, trat. quir. por videotoracoscopia</t>
        </is>
      </c>
      <c r="D777" s="2" t="inlineStr">
        <is>
          <t>Cmay</t>
        </is>
      </c>
      <c r="E777" s="3" t="inlineStr">
        <is>
          <t>Cirugía Mayor</t>
        </is>
      </c>
    </row>
    <row r="778" ht="16" customHeight="1" s="151">
      <c r="A778" s="1" t="inlineStr">
        <is>
          <t>1704076</t>
        </is>
      </c>
      <c r="B778" s="2" t="inlineStr">
        <is>
          <t>13</t>
        </is>
      </c>
      <c r="C778" s="2" t="inlineStr">
        <is>
          <t>Atresia esofágica con fístula traqueoesofágica por toracoscopia</t>
        </is>
      </c>
      <c r="D778" s="2" t="inlineStr">
        <is>
          <t>Cmay</t>
        </is>
      </c>
      <c r="E778" s="3" t="inlineStr">
        <is>
          <t>Cirugía Mayor</t>
        </is>
      </c>
    </row>
    <row r="779" ht="16" customHeight="1" s="151">
      <c r="A779" s="1" t="inlineStr">
        <is>
          <t>1704077</t>
        </is>
      </c>
      <c r="B779" s="2" t="inlineStr">
        <is>
          <t>13</t>
        </is>
      </c>
      <c r="C779" s="2" t="inlineStr">
        <is>
          <t>Atresia esofágica sin fístula traqueoesofágica por toracoscopia</t>
        </is>
      </c>
      <c r="D779" s="2" t="inlineStr">
        <is>
          <t>Cmay</t>
        </is>
      </c>
      <c r="E779" s="3" t="inlineStr">
        <is>
          <t>Cirugía Mayor</t>
        </is>
      </c>
    </row>
    <row r="780" ht="16" customHeight="1" s="151">
      <c r="A780" s="1" t="inlineStr">
        <is>
          <t>1704078</t>
        </is>
      </c>
      <c r="B780" s="2" t="inlineStr">
        <is>
          <t>12</t>
        </is>
      </c>
      <c r="C780" s="2" t="inlineStr">
        <is>
          <t>Atresia esofágica sin fístula traqueoesofágica. Anastomosis</t>
        </is>
      </c>
      <c r="D780" s="2" t="inlineStr">
        <is>
          <t>Cmay</t>
        </is>
      </c>
      <c r="E780" s="3" t="inlineStr">
        <is>
          <t>Cirugía Mayor</t>
        </is>
      </c>
    </row>
    <row r="781" ht="16" customHeight="1" s="151">
      <c r="A781" s="1" t="inlineStr">
        <is>
          <t>1704079</t>
        </is>
      </c>
      <c r="B781" s="2" t="inlineStr">
        <is>
          <t>12</t>
        </is>
      </c>
      <c r="C781" s="2" t="inlineStr">
        <is>
          <t>Cirugía del opérculo torácico por vía videotoracoscopica</t>
        </is>
      </c>
      <c r="D781" s="2" t="inlineStr">
        <is>
          <t>Cmay</t>
        </is>
      </c>
      <c r="E781" s="3" t="inlineStr">
        <is>
          <t>Cirugía Mayor</t>
        </is>
      </c>
    </row>
    <row r="782" ht="16" customHeight="1" s="151">
      <c r="A782" s="1" t="inlineStr">
        <is>
          <t>1704080</t>
        </is>
      </c>
      <c r="B782" s="2" t="inlineStr">
        <is>
          <t>12</t>
        </is>
      </c>
      <c r="C782" s="2" t="inlineStr">
        <is>
          <t>Videotoracoscopía exploradora</t>
        </is>
      </c>
      <c r="D782" s="2" t="inlineStr">
        <is>
          <t>Cmay</t>
        </is>
      </c>
      <c r="E782" s="3" t="inlineStr">
        <is>
          <t>Cirugía Mayor</t>
        </is>
      </c>
    </row>
    <row r="783" ht="16" customHeight="1" s="151">
      <c r="A783" s="1" t="inlineStr">
        <is>
          <t>1704081</t>
        </is>
      </c>
      <c r="B783" s="2" t="inlineStr">
        <is>
          <t>10</t>
        </is>
      </c>
      <c r="C783" s="2" t="inlineStr">
        <is>
          <t>Conducto torácico, ligadura por vía videotoracoscopica</t>
        </is>
      </c>
      <c r="D783" s="2" t="inlineStr">
        <is>
          <t>Cmay</t>
        </is>
      </c>
      <c r="E783" s="3" t="inlineStr">
        <is>
          <t>Cirugía Mayor</t>
        </is>
      </c>
    </row>
    <row r="784" ht="16" customHeight="1" s="151">
      <c r="A784" s="1" t="inlineStr">
        <is>
          <t>1704082</t>
        </is>
      </c>
      <c r="B784" s="2" t="inlineStr">
        <is>
          <t>12</t>
        </is>
      </c>
      <c r="C784" s="2" t="inlineStr">
        <is>
          <t>Frenoparalisis tratatamiento quirúrgico laparoscópico</t>
        </is>
      </c>
      <c r="D784" s="2" t="inlineStr">
        <is>
          <t>Cmay</t>
        </is>
      </c>
      <c r="E784" s="3" t="inlineStr">
        <is>
          <t>Cirugía Mayor</t>
        </is>
      </c>
    </row>
    <row r="785" ht="16" customHeight="1" s="151">
      <c r="A785" s="1" t="inlineStr">
        <is>
          <t>1704083</t>
        </is>
      </c>
      <c r="B785" s="2" t="inlineStr">
        <is>
          <t>12</t>
        </is>
      </c>
      <c r="C785" s="2" t="inlineStr">
        <is>
          <t>Frenoparalisis tratamiento quirúrgico por vía videotoracoscopica</t>
        </is>
      </c>
      <c r="D785" s="2" t="inlineStr">
        <is>
          <t>Cmay</t>
        </is>
      </c>
      <c r="E785" s="3" t="inlineStr">
        <is>
          <t>Cirugía Mayor</t>
        </is>
      </c>
    </row>
    <row r="786" ht="16" customHeight="1" s="151">
      <c r="A786" s="1" t="inlineStr">
        <is>
          <t>1704084</t>
        </is>
      </c>
      <c r="B786" s="2" t="inlineStr">
        <is>
          <t>12</t>
        </is>
      </c>
      <c r="C786" s="2" t="inlineStr">
        <is>
          <t>Hernioplastía diafragmática por vía torácica c/s prótesis por vía videotoracoscopica</t>
        </is>
      </c>
      <c r="D786" s="2" t="inlineStr">
        <is>
          <t>Cmay</t>
        </is>
      </c>
      <c r="E786" s="3" t="inlineStr">
        <is>
          <t>Cirugía Mayor</t>
        </is>
      </c>
    </row>
    <row r="787" ht="16" customHeight="1" s="151">
      <c r="A787" s="1" t="inlineStr">
        <is>
          <t>1704085</t>
        </is>
      </c>
      <c r="B787" s="2" t="inlineStr">
        <is>
          <t>10</t>
        </is>
      </c>
      <c r="C787" s="2" t="inlineStr">
        <is>
          <t>Pleurodesis por vía videotoracoscopica</t>
        </is>
      </c>
      <c r="D787" s="2" t="inlineStr">
        <is>
          <t>Cmay</t>
        </is>
      </c>
      <c r="E787" s="3" t="inlineStr">
        <is>
          <t>Cirugía Mayor</t>
        </is>
      </c>
    </row>
    <row r="788" ht="16" customHeight="1" s="151">
      <c r="A788" s="1" t="inlineStr">
        <is>
          <t>1704086</t>
        </is>
      </c>
      <c r="B788" s="2" t="inlineStr">
        <is>
          <t>11</t>
        </is>
      </c>
      <c r="C788" s="2" t="inlineStr">
        <is>
          <t>Tumores pleurales, por vía videotoracoscopica</t>
        </is>
      </c>
      <c r="D788" s="2" t="inlineStr">
        <is>
          <t>Cmay</t>
        </is>
      </c>
      <c r="E788" s="3" t="inlineStr">
        <is>
          <t>Cirugía Mayor</t>
        </is>
      </c>
    </row>
    <row r="789" ht="16" customHeight="1" s="151">
      <c r="A789" s="1" t="inlineStr">
        <is>
          <t>1704087</t>
        </is>
      </c>
      <c r="B789" s="2" t="inlineStr">
        <is>
          <t>14</t>
        </is>
      </c>
      <c r="C789" s="2" t="inlineStr">
        <is>
          <t>Cirugía del mesotelioma maligno</t>
        </is>
      </c>
      <c r="D789" s="2" t="inlineStr">
        <is>
          <t>Cmay</t>
        </is>
      </c>
      <c r="E789" s="3" t="inlineStr">
        <is>
          <t>Cirugía Mayor</t>
        </is>
      </c>
    </row>
    <row r="790" ht="16" customHeight="1" s="151">
      <c r="A790" s="1" t="inlineStr">
        <is>
          <t>1704088</t>
        </is>
      </c>
      <c r="B790" s="2" t="inlineStr">
        <is>
          <t>8</t>
        </is>
      </c>
      <c r="C790" s="2" t="inlineStr">
        <is>
          <t>Fibrinolisis pleural por pleurotomía</t>
        </is>
      </c>
      <c r="D790" s="2" t="inlineStr">
        <is>
          <t>Cmay</t>
        </is>
      </c>
      <c r="E790" s="3" t="inlineStr">
        <is>
          <t>Cirugía Mayor</t>
        </is>
      </c>
    </row>
    <row r="791" ht="16" customHeight="1" s="151">
      <c r="A791" s="1" t="inlineStr">
        <is>
          <t>1704089</t>
        </is>
      </c>
      <c r="B791" s="2" t="inlineStr">
        <is>
          <t>14</t>
        </is>
      </c>
      <c r="C791" s="2" t="inlineStr">
        <is>
          <t>Resección segmentaria atipica por vía videotoracoscopica</t>
        </is>
      </c>
      <c r="D791" s="2" t="inlineStr">
        <is>
          <t>Cmay</t>
        </is>
      </c>
      <c r="E791" s="3" t="inlineStr">
        <is>
          <t>Cirugía Mayor</t>
        </is>
      </c>
    </row>
    <row r="792" ht="16" customHeight="1" s="151">
      <c r="A792" s="1" t="inlineStr">
        <is>
          <t>1704090</t>
        </is>
      </c>
      <c r="B792" s="2" t="inlineStr">
        <is>
          <t>10</t>
        </is>
      </c>
      <c r="C792" s="2" t="inlineStr">
        <is>
          <t>Heridas de pulmón, trat. quir. por vía videotoracoscopica</t>
        </is>
      </c>
      <c r="D792" s="2" t="inlineStr">
        <is>
          <t>Cmay</t>
        </is>
      </c>
      <c r="E792" s="3" t="inlineStr">
        <is>
          <t>Cirugía Mayor</t>
        </is>
      </c>
    </row>
    <row r="793" ht="16" customHeight="1" s="151">
      <c r="A793" s="1" t="inlineStr">
        <is>
          <t>1704091</t>
        </is>
      </c>
      <c r="B793" s="2" t="inlineStr">
        <is>
          <t>12</t>
        </is>
      </c>
      <c r="C793" s="2" t="inlineStr">
        <is>
          <t>Lobectomía o bilobectomía por vía videotoracoscopica</t>
        </is>
      </c>
      <c r="D793" s="2" t="inlineStr">
        <is>
          <t>Cmay</t>
        </is>
      </c>
      <c r="E793" s="3" t="inlineStr">
        <is>
          <t>Cirugía Mayor</t>
        </is>
      </c>
    </row>
    <row r="794" ht="16" customHeight="1" s="151">
      <c r="A794" s="1" t="inlineStr">
        <is>
          <t>1704092</t>
        </is>
      </c>
      <c r="B794" s="2" t="inlineStr">
        <is>
          <t>13</t>
        </is>
      </c>
      <c r="C794" s="2" t="inlineStr">
        <is>
          <t>Neumonectomía por vía videotoracoscopica</t>
        </is>
      </c>
      <c r="D794" s="2" t="inlineStr">
        <is>
          <t>Cmay</t>
        </is>
      </c>
      <c r="E794" s="3" t="inlineStr">
        <is>
          <t>Cirugía Mayor</t>
        </is>
      </c>
    </row>
    <row r="795" ht="16" customHeight="1" s="151">
      <c r="A795" s="1" t="inlineStr">
        <is>
          <t>1704093</t>
        </is>
      </c>
      <c r="B795" s="2" t="inlineStr">
        <is>
          <t>13</t>
        </is>
      </c>
      <c r="C795" s="2" t="inlineStr">
        <is>
          <t>Resecciones segmentarias anatómica por vía videotoracoscopica</t>
        </is>
      </c>
      <c r="D795" s="2" t="inlineStr">
        <is>
          <t>Cmay</t>
        </is>
      </c>
      <c r="E795" s="3" t="inlineStr">
        <is>
          <t>Cirugía Mayor</t>
        </is>
      </c>
    </row>
    <row r="796" ht="16" customHeight="1" s="151">
      <c r="A796" s="1" t="inlineStr">
        <is>
          <t>1704094</t>
        </is>
      </c>
      <c r="B796" s="2" t="inlineStr">
        <is>
          <t>11</t>
        </is>
      </c>
      <c r="C796" s="2" t="inlineStr">
        <is>
          <t>Extracción cuerpo extraño esofágico por vía videotoracoscopica</t>
        </is>
      </c>
      <c r="D796" s="2" t="inlineStr">
        <is>
          <t>Cmay</t>
        </is>
      </c>
      <c r="E796" s="3" t="inlineStr">
        <is>
          <t>Cirugía Mayor</t>
        </is>
      </c>
    </row>
    <row r="797" ht="16" customHeight="1" s="151">
      <c r="A797" s="1" t="inlineStr">
        <is>
          <t>1704095</t>
        </is>
      </c>
      <c r="B797" s="2" t="inlineStr">
        <is>
          <t>11</t>
        </is>
      </c>
      <c r="C797" s="2" t="inlineStr">
        <is>
          <t>Resección de tumor esofagico benignos por vía videotoracoscopica</t>
        </is>
      </c>
      <c r="D797" s="2" t="inlineStr">
        <is>
          <t>Cmay</t>
        </is>
      </c>
      <c r="E797" s="3" t="inlineStr">
        <is>
          <t>Cirugía Mayor</t>
        </is>
      </c>
    </row>
    <row r="798" ht="16" customHeight="1" s="151">
      <c r="A798" s="1" t="inlineStr">
        <is>
          <t>1704096</t>
        </is>
      </c>
      <c r="B798" s="2" t="inlineStr">
        <is>
          <t>10</t>
        </is>
      </c>
      <c r="C798" s="2" t="inlineStr">
        <is>
          <t>Resección de diverticulos esofágicos por vía videotoracoscopica</t>
        </is>
      </c>
      <c r="D798" s="2" t="inlineStr">
        <is>
          <t>Cmay</t>
        </is>
      </c>
      <c r="E798" s="3" t="inlineStr">
        <is>
          <t>Cirugía Mayor</t>
        </is>
      </c>
    </row>
    <row r="799" ht="16" customHeight="1" s="151">
      <c r="A799" s="1" t="inlineStr">
        <is>
          <t>1704097</t>
        </is>
      </c>
      <c r="B799" s="2" t="inlineStr">
        <is>
          <t>12</t>
        </is>
      </c>
      <c r="C799" s="2" t="inlineStr">
        <is>
          <t>Sutura herida o perforación esófago torácico por vía videotoracoscopica</t>
        </is>
      </c>
      <c r="D799" s="2" t="inlineStr">
        <is>
          <t>Cmay</t>
        </is>
      </c>
      <c r="E799" s="3" t="inlineStr">
        <is>
          <t>Cirugía Mayor</t>
        </is>
      </c>
    </row>
    <row r="800" ht="16" customHeight="1" s="151">
      <c r="A800" s="1" t="inlineStr">
        <is>
          <t>1707001</t>
        </is>
      </c>
      <c r="B800" s="2" t="n"/>
      <c r="C800" s="2" t="inlineStr">
        <is>
          <t>Espirometría Basal</t>
        </is>
      </c>
      <c r="D800" s="2" t="inlineStr">
        <is>
          <t>Proc</t>
        </is>
      </c>
      <c r="E800" s="3" t="inlineStr">
        <is>
          <t>Procedimiento</t>
        </is>
      </c>
    </row>
    <row r="801" ht="16" customHeight="1" s="151">
      <c r="A801" s="1" t="inlineStr">
        <is>
          <t>1707002</t>
        </is>
      </c>
      <c r="B801" s="2" t="n"/>
      <c r="C801" s="2" t="inlineStr">
        <is>
          <t>Espirometría Basal y con broncodilatador</t>
        </is>
      </c>
      <c r="D801" s="2" t="inlineStr">
        <is>
          <t>Proc</t>
        </is>
      </c>
      <c r="E801" s="3" t="inlineStr">
        <is>
          <t>Procedimiento</t>
        </is>
      </c>
    </row>
    <row r="802" ht="16" customHeight="1" s="151">
      <c r="A802" s="1" t="inlineStr">
        <is>
          <t>1707003</t>
        </is>
      </c>
      <c r="B802" s="2" t="n"/>
      <c r="C802" s="2" t="inlineStr">
        <is>
          <t>Prueba de provocación con alergeno (incluye alergeno)</t>
        </is>
      </c>
      <c r="D802" s="2" t="inlineStr">
        <is>
          <t>Proc</t>
        </is>
      </c>
      <c r="E802" s="3" t="inlineStr">
        <is>
          <t>Procedimiento</t>
        </is>
      </c>
    </row>
    <row r="803" ht="16" customHeight="1" s="151">
      <c r="A803" s="1" t="inlineStr">
        <is>
          <t>1707004</t>
        </is>
      </c>
      <c r="B803" s="2" t="n"/>
      <c r="C803" s="2" t="inlineStr">
        <is>
          <t>Provocación con ejercicio, test de</t>
        </is>
      </c>
      <c r="D803" s="2" t="inlineStr">
        <is>
          <t>Proc</t>
        </is>
      </c>
      <c r="E803" s="3" t="inlineStr">
        <is>
          <t>Procedimiento</t>
        </is>
      </c>
    </row>
    <row r="804" ht="16" customHeight="1" s="151">
      <c r="A804" s="1" t="inlineStr">
        <is>
          <t>1707005</t>
        </is>
      </c>
      <c r="B804" s="2" t="n"/>
      <c r="C804" s="2" t="inlineStr">
        <is>
          <t>Test de provocación con metacolina (pc20) (incluye espirometría basal y tratamiento de efectos adversos de la metacolina)</t>
        </is>
      </c>
      <c r="D804" s="2" t="inlineStr">
        <is>
          <t>Proc</t>
        </is>
      </c>
      <c r="E804" s="3" t="inlineStr">
        <is>
          <t>Procedimiento</t>
        </is>
      </c>
    </row>
    <row r="805" ht="16" customHeight="1" s="151">
      <c r="A805" s="1" t="inlineStr">
        <is>
          <t>1707007</t>
        </is>
      </c>
      <c r="B805" s="2" t="n"/>
      <c r="C805" s="2" t="inlineStr">
        <is>
          <t>Análisis de gas espirado</t>
        </is>
      </c>
      <c r="D805" s="2" t="inlineStr">
        <is>
          <t>Proc</t>
        </is>
      </c>
      <c r="E805" s="3" t="inlineStr">
        <is>
          <t>Procedimiento</t>
        </is>
      </c>
    </row>
    <row r="806" ht="16" customHeight="1" s="151">
      <c r="A806" s="1" t="inlineStr">
        <is>
          <t>1707008</t>
        </is>
      </c>
      <c r="B806" s="2" t="n"/>
      <c r="C806" s="2" t="inlineStr">
        <is>
          <t>Capacidad de difusión, estudio de</t>
        </is>
      </c>
      <c r="D806" s="2" t="inlineStr">
        <is>
          <t>Proc</t>
        </is>
      </c>
      <c r="E806" s="3" t="inlineStr">
        <is>
          <t>Procedimiento</t>
        </is>
      </c>
    </row>
    <row r="807" ht="16" customHeight="1" s="151">
      <c r="A807" s="1" t="inlineStr">
        <is>
          <t>1707009</t>
        </is>
      </c>
      <c r="B807" s="2" t="n"/>
      <c r="C807" s="2" t="inlineStr">
        <is>
          <t>Capacidad física del trabajo</t>
        </is>
      </c>
      <c r="D807" s="2" t="inlineStr">
        <is>
          <t>Proc</t>
        </is>
      </c>
      <c r="E807" s="3" t="inlineStr">
        <is>
          <t>Procedimiento</t>
        </is>
      </c>
    </row>
    <row r="808" ht="16" customHeight="1" s="151">
      <c r="A808" s="1" t="inlineStr">
        <is>
          <t>1707010</t>
        </is>
      </c>
      <c r="B808" s="2" t="n"/>
      <c r="C808" s="2" t="inlineStr">
        <is>
          <t>Curva de lavado de nitrógeno (N)</t>
        </is>
      </c>
      <c r="D808" s="2" t="inlineStr">
        <is>
          <t>Proc</t>
        </is>
      </c>
      <c r="E808" s="3" t="inlineStr">
        <is>
          <t>Procedimiento</t>
        </is>
      </c>
    </row>
    <row r="809" ht="16" customHeight="1" s="151">
      <c r="A809" s="1" t="inlineStr">
        <is>
          <t>1707011</t>
        </is>
      </c>
      <c r="B809" s="2" t="n"/>
      <c r="C809" s="2" t="inlineStr">
        <is>
          <t>Curva de relación flujo-volumen basal</t>
        </is>
      </c>
      <c r="D809" s="2" t="inlineStr">
        <is>
          <t>Proc</t>
        </is>
      </c>
      <c r="E809" s="3" t="inlineStr">
        <is>
          <t>Procedimiento</t>
        </is>
      </c>
    </row>
    <row r="810" ht="16" customHeight="1" s="151">
      <c r="A810" s="1" t="inlineStr">
        <is>
          <t>1707012</t>
        </is>
      </c>
      <c r="B810" s="2" t="n"/>
      <c r="C810" s="2" t="inlineStr">
        <is>
          <t>Distensibilidad pulmonar, (compliance), estudio de</t>
        </is>
      </c>
      <c r="D810" s="2" t="inlineStr">
        <is>
          <t>Proc</t>
        </is>
      </c>
      <c r="E810" s="3" t="inlineStr">
        <is>
          <t>Procedimiento</t>
        </is>
      </c>
    </row>
    <row r="811" ht="16" customHeight="1" s="151">
      <c r="A811" s="1" t="inlineStr">
        <is>
          <t>1707013</t>
        </is>
      </c>
      <c r="B811" s="2" t="n"/>
      <c r="C811" s="2" t="inlineStr">
        <is>
          <t>Medición de presión de oclusión</t>
        </is>
      </c>
      <c r="D811" s="2" t="inlineStr">
        <is>
          <t>Proc</t>
        </is>
      </c>
      <c r="E811" s="3" t="inlineStr">
        <is>
          <t>Procedimiento</t>
        </is>
      </c>
    </row>
    <row r="812" ht="16" customHeight="1" s="151">
      <c r="A812" s="1" t="inlineStr">
        <is>
          <t>1707014</t>
        </is>
      </c>
      <c r="B812" s="2" t="n"/>
      <c r="C812" s="2" t="inlineStr">
        <is>
          <t>Medición de presión inspiratoria máxima (proc. aut.)</t>
        </is>
      </c>
      <c r="D812" s="2" t="inlineStr">
        <is>
          <t>Proc</t>
        </is>
      </c>
      <c r="E812" s="3" t="inlineStr">
        <is>
          <t>Procedimiento</t>
        </is>
      </c>
    </row>
    <row r="813" ht="16" customHeight="1" s="151">
      <c r="A813" s="1" t="inlineStr">
        <is>
          <t>1707015</t>
        </is>
      </c>
      <c r="B813" s="2" t="n"/>
      <c r="C813" s="2" t="inlineStr">
        <is>
          <t>Medición de presión trans-diafragmática</t>
        </is>
      </c>
      <c r="D813" s="2" t="inlineStr">
        <is>
          <t>Proc</t>
        </is>
      </c>
      <c r="E813" s="3" t="inlineStr">
        <is>
          <t>Procedimiento</t>
        </is>
      </c>
    </row>
    <row r="814" ht="16" customHeight="1" s="151">
      <c r="A814" s="1" t="inlineStr">
        <is>
          <t>1707016</t>
        </is>
      </c>
      <c r="B814" s="2" t="n"/>
      <c r="C814" s="2" t="inlineStr">
        <is>
          <t>Registro flujométrico, por semana</t>
        </is>
      </c>
      <c r="D814" s="2" t="inlineStr">
        <is>
          <t>Proc</t>
        </is>
      </c>
      <c r="E814" s="3" t="inlineStr">
        <is>
          <t>Procedimiento</t>
        </is>
      </c>
    </row>
    <row r="815" ht="16" customHeight="1" s="151">
      <c r="A815" s="1" t="inlineStr">
        <is>
          <t>1707017</t>
        </is>
      </c>
      <c r="B815" s="2" t="n"/>
      <c r="C815" s="2" t="inlineStr">
        <is>
          <t>Respuesta respiratoria al co2</t>
        </is>
      </c>
      <c r="D815" s="2" t="inlineStr">
        <is>
          <t>Proc</t>
        </is>
      </c>
      <c r="E815" s="3" t="inlineStr">
        <is>
          <t>Procedimiento</t>
        </is>
      </c>
    </row>
    <row r="816" ht="16" customHeight="1" s="151">
      <c r="A816" s="1" t="inlineStr">
        <is>
          <t>1707018</t>
        </is>
      </c>
      <c r="B816" s="2" t="n"/>
      <c r="C816" s="2" t="inlineStr">
        <is>
          <t>Tiempo de tolerancia a la fatiga respiratoria</t>
        </is>
      </c>
      <c r="D816" s="2" t="inlineStr">
        <is>
          <t>Proc</t>
        </is>
      </c>
      <c r="E816" s="3" t="inlineStr">
        <is>
          <t>Procedimiento</t>
        </is>
      </c>
    </row>
    <row r="817" ht="16" customHeight="1" s="151">
      <c r="A817" s="1" t="inlineStr">
        <is>
          <t>1707019</t>
        </is>
      </c>
      <c r="B817" s="2" t="n"/>
      <c r="C817" s="2" t="inlineStr">
        <is>
          <t>Ventilación alveolar, estudio de (incluye ventilación minuto y alveolar, volumen del espacio muerto y cuociente resp.)</t>
        </is>
      </c>
      <c r="D817" s="2" t="inlineStr">
        <is>
          <t>Proc</t>
        </is>
      </c>
      <c r="E817" s="3" t="inlineStr">
        <is>
          <t>Procedimiento</t>
        </is>
      </c>
    </row>
    <row r="818" ht="16" customHeight="1" s="151">
      <c r="A818" s="1" t="inlineStr">
        <is>
          <t>1707020</t>
        </is>
      </c>
      <c r="B818" s="2" t="n"/>
      <c r="C818" s="2" t="inlineStr">
        <is>
          <t>Volúmenes pulmonares por lavado de nitrógeno</t>
        </is>
      </c>
      <c r="D818" s="2" t="inlineStr">
        <is>
          <t>Proc</t>
        </is>
      </c>
      <c r="E818" s="3" t="inlineStr">
        <is>
          <t>Procedimiento</t>
        </is>
      </c>
    </row>
    <row r="819" ht="16" customHeight="1" s="151">
      <c r="A819" s="1" t="inlineStr">
        <is>
          <t>1707021</t>
        </is>
      </c>
      <c r="B819" s="2" t="inlineStr">
        <is>
          <t>3</t>
        </is>
      </c>
      <c r="C819" s="2" t="inlineStr">
        <is>
          <t>Laringotraqueobroncoscopía con fibroscopio</t>
        </is>
      </c>
      <c r="D819" s="2" t="inlineStr">
        <is>
          <t>Proc</t>
        </is>
      </c>
      <c r="E819" s="3" t="inlineStr">
        <is>
          <t>Procedimiento</t>
        </is>
      </c>
    </row>
    <row r="820" ht="16" customHeight="1" s="151">
      <c r="A820" s="1" t="inlineStr">
        <is>
          <t>1707022</t>
        </is>
      </c>
      <c r="B820" s="2" t="inlineStr">
        <is>
          <t>2</t>
        </is>
      </c>
      <c r="C820" s="2" t="inlineStr">
        <is>
          <t>Larigotraqueoscopía con tubo rígido</t>
        </is>
      </c>
      <c r="D820" s="2" t="inlineStr">
        <is>
          <t>Proc</t>
        </is>
      </c>
      <c r="E820" s="3" t="inlineStr">
        <is>
          <t>Procedimiento</t>
        </is>
      </c>
    </row>
    <row r="821" ht="16" customHeight="1" s="151">
      <c r="A821" s="1" t="inlineStr">
        <is>
          <t>1707024</t>
        </is>
      </c>
      <c r="B821" s="2" t="inlineStr">
        <is>
          <t>3</t>
        </is>
      </c>
      <c r="C821" s="2" t="inlineStr">
        <is>
          <t>Pleuroscopia (toracoscopia) c/s biopsia</t>
        </is>
      </c>
      <c r="D821" s="2" t="inlineStr">
        <is>
          <t>Proc</t>
        </is>
      </c>
      <c r="E821" s="3" t="inlineStr">
        <is>
          <t>Procedimiento</t>
        </is>
      </c>
    </row>
    <row r="822" ht="16" customHeight="1" s="151">
      <c r="A822" s="1" t="inlineStr">
        <is>
          <t>1707025</t>
        </is>
      </c>
      <c r="B822" s="2" t="n"/>
      <c r="C822" s="2" t="inlineStr">
        <is>
          <t>Procedimiento para determinar gasometría arterial en reposo y ejercicio</t>
        </is>
      </c>
      <c r="D822" s="2" t="inlineStr">
        <is>
          <t>Proc</t>
        </is>
      </c>
      <c r="E822" s="3" t="inlineStr">
        <is>
          <t>Procedimiento</t>
        </is>
      </c>
    </row>
    <row r="823" ht="16" customHeight="1" s="151">
      <c r="A823" s="1" t="inlineStr">
        <is>
          <t>1707026</t>
        </is>
      </c>
      <c r="B823" s="2" t="n"/>
      <c r="C823" s="2" t="inlineStr">
        <is>
          <t>Procedimiento para determinar gasometría arterial respirando O2 puro</t>
        </is>
      </c>
      <c r="D823" s="2" t="inlineStr">
        <is>
          <t>Proc</t>
        </is>
      </c>
      <c r="E823" s="3" t="inlineStr">
        <is>
          <t>Procedimiento</t>
        </is>
      </c>
    </row>
    <row r="824" ht="16" customHeight="1" s="151">
      <c r="A824" s="1" t="inlineStr">
        <is>
          <t>1707027</t>
        </is>
      </c>
      <c r="B824" s="2" t="inlineStr">
        <is>
          <t>3</t>
        </is>
      </c>
      <c r="C824" s="2" t="inlineStr">
        <is>
          <t>Broncoaspiración, c/s lavado y/o colocación de medicamentos por sonda traqueobronquial (proc. aut.)</t>
        </is>
      </c>
      <c r="D824" s="2" t="inlineStr">
        <is>
          <t>Proc</t>
        </is>
      </c>
      <c r="E824" s="3" t="inlineStr">
        <is>
          <t>Procedimiento</t>
        </is>
      </c>
    </row>
    <row r="825" ht="16" customHeight="1" s="151">
      <c r="A825" s="1" t="inlineStr">
        <is>
          <t>1707029</t>
        </is>
      </c>
      <c r="B825" s="2" t="n"/>
      <c r="C825" s="2" t="inlineStr">
        <is>
          <t>Toracocentesis evacuadora, c/s toma de muestras c/s inyección de medicamentos</t>
        </is>
      </c>
      <c r="D825" s="2" t="inlineStr">
        <is>
          <t>Proc</t>
        </is>
      </c>
      <c r="E825" s="3" t="inlineStr">
        <is>
          <t>Procedimiento</t>
        </is>
      </c>
    </row>
    <row r="826" ht="16" customHeight="1" s="151">
      <c r="A826" s="1" t="inlineStr">
        <is>
          <t>1707051</t>
        </is>
      </c>
      <c r="B826" s="2" t="n"/>
      <c r="C826" s="2" t="inlineStr">
        <is>
          <t>Curva dosis respuesta a broncodilatadores.</t>
        </is>
      </c>
      <c r="D826" s="2" t="inlineStr">
        <is>
          <t>Proc</t>
        </is>
      </c>
      <c r="E826" s="3" t="inlineStr">
        <is>
          <t>Procedimiento</t>
        </is>
      </c>
    </row>
    <row r="827" ht="16" customHeight="1" s="151">
      <c r="A827" s="1" t="inlineStr">
        <is>
          <t>1707052</t>
        </is>
      </c>
      <c r="B827" s="2" t="n"/>
      <c r="C827" s="2" t="inlineStr">
        <is>
          <t>Saturometría nocturna del sueño</t>
        </is>
      </c>
      <c r="D827" s="2" t="inlineStr">
        <is>
          <t>Proc</t>
        </is>
      </c>
      <c r="E827" s="3" t="inlineStr">
        <is>
          <t>Procedimiento</t>
        </is>
      </c>
    </row>
    <row r="828" ht="16" customHeight="1" s="151">
      <c r="A828" s="1" t="inlineStr">
        <is>
          <t>1707053</t>
        </is>
      </c>
      <c r="B828" s="2" t="n"/>
      <c r="C828" s="2" t="inlineStr">
        <is>
          <t>Titulación Automática de CPAP</t>
        </is>
      </c>
      <c r="D828" s="2" t="inlineStr">
        <is>
          <t>Proc</t>
        </is>
      </c>
      <c r="E828" s="3" t="inlineStr">
        <is>
          <t>Procedimiento</t>
        </is>
      </c>
    </row>
    <row r="829" ht="16" customHeight="1" s="151">
      <c r="A829" s="1" t="inlineStr">
        <is>
          <t>1707054</t>
        </is>
      </c>
      <c r="B829" s="2" t="n"/>
      <c r="C829" s="2" t="inlineStr">
        <is>
          <t>Saturación de O2 en reposo y/o ejercicio (con oxímetro)</t>
        </is>
      </c>
      <c r="D829" s="2" t="inlineStr">
        <is>
          <t>Proc</t>
        </is>
      </c>
      <c r="E829" s="3" t="inlineStr">
        <is>
          <t>Procedimiento</t>
        </is>
      </c>
    </row>
    <row r="830" ht="16" customHeight="1" s="151">
      <c r="A830" s="1" t="inlineStr">
        <is>
          <t>1707055</t>
        </is>
      </c>
      <c r="B830" s="2" t="n"/>
      <c r="C830" s="2" t="inlineStr">
        <is>
          <t>Saturación de O2 en reposo y ejercicio y O2 100% (con oxímetro)</t>
        </is>
      </c>
      <c r="D830" s="2" t="inlineStr">
        <is>
          <t>Proc</t>
        </is>
      </c>
      <c r="E830" s="3" t="inlineStr">
        <is>
          <t>Procedimiento</t>
        </is>
      </c>
    </row>
    <row r="831" ht="16" customHeight="1" s="151">
      <c r="A831" s="1" t="inlineStr">
        <is>
          <t>1707056</t>
        </is>
      </c>
      <c r="B831" s="2" t="n"/>
      <c r="C831" s="2" t="inlineStr">
        <is>
          <t>Endosonografía bronquial (EBUS)</t>
        </is>
      </c>
      <c r="D831" s="2" t="inlineStr">
        <is>
          <t>Proc</t>
        </is>
      </c>
      <c r="E831" s="3" t="inlineStr">
        <is>
          <t>Procedimiento</t>
        </is>
      </c>
    </row>
    <row r="832" ht="16" customHeight="1" s="151">
      <c r="A832" s="1" t="inlineStr">
        <is>
          <t>1707057</t>
        </is>
      </c>
      <c r="B832" s="2" t="n"/>
      <c r="C832" s="2" t="inlineStr">
        <is>
          <t>Determinación de umbral tusígeno</t>
        </is>
      </c>
      <c r="D832" s="2" t="inlineStr">
        <is>
          <t>Proc</t>
        </is>
      </c>
      <c r="E832" s="3" t="inlineStr">
        <is>
          <t>Procedimiento</t>
        </is>
      </c>
    </row>
    <row r="833" ht="16" customHeight="1" s="151">
      <c r="A833" s="1" t="inlineStr">
        <is>
          <t>1707058</t>
        </is>
      </c>
      <c r="B833" s="2" t="n"/>
      <c r="C833" s="2" t="inlineStr">
        <is>
          <t>Volúmenes pulmonares por pletismografía corporal. Estudio basal</t>
        </is>
      </c>
      <c r="D833" s="2" t="inlineStr">
        <is>
          <t>Proc</t>
        </is>
      </c>
      <c r="E833" s="3" t="inlineStr">
        <is>
          <t>Procedimiento</t>
        </is>
      </c>
    </row>
    <row r="834" ht="16" customHeight="1" s="151">
      <c r="A834" s="1" t="inlineStr">
        <is>
          <t>1707059</t>
        </is>
      </c>
      <c r="B834" s="2" t="inlineStr">
        <is>
          <t>1</t>
        </is>
      </c>
      <c r="C834" s="2" t="inlineStr">
        <is>
          <t>Volúmenes pulmonares por pletismografía corporal. Estudio basal y post broncodilatador</t>
        </is>
      </c>
      <c r="D834" s="2" t="inlineStr">
        <is>
          <t>Proc</t>
        </is>
      </c>
      <c r="E834" s="3" t="inlineStr">
        <is>
          <t>Procedimiento</t>
        </is>
      </c>
    </row>
    <row r="835" ht="16" customHeight="1" s="151">
      <c r="A835" s="1" t="inlineStr">
        <is>
          <t>1707060</t>
        </is>
      </c>
      <c r="B835" s="2" t="inlineStr">
        <is>
          <t>11</t>
        </is>
      </c>
      <c r="C835" s="2" t="inlineStr">
        <is>
          <t>Colocación de stent endobronquial por broncoscopía</t>
        </is>
      </c>
      <c r="D835" s="2" t="inlineStr">
        <is>
          <t>Proc</t>
        </is>
      </c>
      <c r="E835" s="3" t="inlineStr">
        <is>
          <t>Procedimiento</t>
        </is>
      </c>
    </row>
    <row r="836" ht="16" customHeight="1" s="151">
      <c r="A836" s="1" t="inlineStr">
        <is>
          <t>1707061</t>
        </is>
      </c>
      <c r="B836" s="2" t="inlineStr">
        <is>
          <t>7</t>
        </is>
      </c>
      <c r="C836" s="2" t="inlineStr">
        <is>
          <t>Fibrobroncoscopía con biopsia transbronquial</t>
        </is>
      </c>
      <c r="D836" s="2" t="inlineStr">
        <is>
          <t>Proc</t>
        </is>
      </c>
      <c r="E836" s="3" t="inlineStr">
        <is>
          <t>Procedimiento</t>
        </is>
      </c>
    </row>
    <row r="837" ht="16" customHeight="1" s="151">
      <c r="A837" s="1" t="inlineStr">
        <is>
          <t>1707062</t>
        </is>
      </c>
      <c r="B837" s="2" t="inlineStr">
        <is>
          <t>4</t>
        </is>
      </c>
      <c r="C837" s="2" t="inlineStr">
        <is>
          <t>Selle endoscópico de fístula bronco-pleural</t>
        </is>
      </c>
      <c r="D837" s="2" t="inlineStr">
        <is>
          <t>Proc</t>
        </is>
      </c>
      <c r="E837" s="3" t="inlineStr">
        <is>
          <t>Procedimiento</t>
        </is>
      </c>
    </row>
    <row r="838" ht="16" customHeight="1" s="151">
      <c r="A838" s="1" t="inlineStr">
        <is>
          <t>1707063</t>
        </is>
      </c>
      <c r="B838" s="2" t="n"/>
      <c r="C838" s="2" t="inlineStr">
        <is>
          <t>Poligrafía cardiorrespiratoria del sueño ambulatoria</t>
        </is>
      </c>
      <c r="D838" s="2" t="inlineStr">
        <is>
          <t>Proc</t>
        </is>
      </c>
      <c r="E838" s="3" t="inlineStr">
        <is>
          <t>Procedimiento</t>
        </is>
      </c>
    </row>
    <row r="839" ht="16" customHeight="1" s="151">
      <c r="A839" s="1" t="inlineStr">
        <is>
          <t>1801001</t>
        </is>
      </c>
      <c r="B839" s="2" t="inlineStr">
        <is>
          <t>3</t>
        </is>
      </c>
      <c r="C839" s="2" t="inlineStr">
        <is>
          <t>Gastroduodenoscopía (incluye esofagoscopía)</t>
        </is>
      </c>
      <c r="D839" s="2" t="inlineStr">
        <is>
          <t>Proc</t>
        </is>
      </c>
      <c r="E839" s="3" t="inlineStr">
        <is>
          <t>Procedimiento</t>
        </is>
      </c>
    </row>
    <row r="840" ht="16" customHeight="1" s="151">
      <c r="A840" s="1" t="inlineStr">
        <is>
          <t>1801002</t>
        </is>
      </c>
      <c r="B840" s="2" t="inlineStr">
        <is>
          <t>3</t>
        </is>
      </c>
      <c r="C840" s="2" t="inlineStr">
        <is>
          <t>Esofagoscopia</t>
        </is>
      </c>
      <c r="D840" s="2" t="inlineStr">
        <is>
          <t>Proc</t>
        </is>
      </c>
      <c r="E840" s="3" t="inlineStr">
        <is>
          <t>Procedimiento</t>
        </is>
      </c>
    </row>
    <row r="841" ht="16" customHeight="1" s="151">
      <c r="A841" s="1" t="inlineStr">
        <is>
          <t>1801003</t>
        </is>
      </c>
      <c r="B841" s="2" t="inlineStr">
        <is>
          <t>3</t>
        </is>
      </c>
      <c r="C841" s="2" t="inlineStr">
        <is>
          <t>Enteroscopía</t>
        </is>
      </c>
      <c r="D841" s="2" t="inlineStr">
        <is>
          <t>Proc</t>
        </is>
      </c>
      <c r="E841" s="3" t="inlineStr">
        <is>
          <t>Procedimiento</t>
        </is>
      </c>
    </row>
    <row r="842" ht="16" customHeight="1" s="151">
      <c r="A842" s="1" t="inlineStr">
        <is>
          <t>1801004</t>
        </is>
      </c>
      <c r="B842" s="2" t="inlineStr">
        <is>
          <t>2</t>
        </is>
      </c>
      <c r="C842" s="2" t="inlineStr">
        <is>
          <t>Ano-recto-sigmoidoscopia en adultos</t>
        </is>
      </c>
      <c r="D842" s="2" t="inlineStr">
        <is>
          <t>Proc</t>
        </is>
      </c>
      <c r="E842" s="3" t="inlineStr">
        <is>
          <t>Procedimiento</t>
        </is>
      </c>
    </row>
    <row r="843" ht="16" customHeight="1" s="151">
      <c r="A843" s="1" t="inlineStr">
        <is>
          <t>1801005</t>
        </is>
      </c>
      <c r="B843" s="2" t="inlineStr">
        <is>
          <t>2</t>
        </is>
      </c>
      <c r="C843" s="2" t="inlineStr">
        <is>
          <t>Ano-recto-sigmoidoscopía en niños</t>
        </is>
      </c>
      <c r="D843" s="2" t="inlineStr">
        <is>
          <t>Proc</t>
        </is>
      </c>
      <c r="E843" s="3" t="inlineStr">
        <is>
          <t>Procedimiento</t>
        </is>
      </c>
    </row>
    <row r="844" ht="16" customHeight="1" s="151">
      <c r="A844" s="1" t="inlineStr">
        <is>
          <t>1801006</t>
        </is>
      </c>
      <c r="B844" s="2" t="inlineStr">
        <is>
          <t>3</t>
        </is>
      </c>
      <c r="C844" s="2" t="inlineStr">
        <is>
          <t>Colonoscopía larga (incluye sigmoidoscopía y colonoscopía izquierda)</t>
        </is>
      </c>
      <c r="D844" s="2" t="inlineStr">
        <is>
          <t>Proc</t>
        </is>
      </c>
      <c r="E844" s="3" t="inlineStr">
        <is>
          <t>Procedimiento</t>
        </is>
      </c>
    </row>
    <row r="845" ht="16" customHeight="1" s="151">
      <c r="A845" s="1" t="inlineStr">
        <is>
          <t>1801007</t>
        </is>
      </c>
      <c r="B845" s="2" t="inlineStr">
        <is>
          <t>3</t>
        </is>
      </c>
      <c r="C845" s="2" t="inlineStr">
        <is>
          <t>Sigmoidoscopía y colonoscopía izquierda con tubo flexible (incluye ano-recto-sigmoidoscopía)</t>
        </is>
      </c>
      <c r="D845" s="2" t="inlineStr">
        <is>
          <t>Proc</t>
        </is>
      </c>
      <c r="E845" s="3" t="inlineStr">
        <is>
          <t>Procedimiento</t>
        </is>
      </c>
    </row>
    <row r="846" ht="16" customHeight="1" s="151">
      <c r="A846" s="1" t="inlineStr">
        <is>
          <t>1801008</t>
        </is>
      </c>
      <c r="B846" s="2" t="n"/>
      <c r="C846" s="2" t="inlineStr">
        <is>
          <t>Coledocoscopia intraoperatoria c/s extracción de cálculos</t>
        </is>
      </c>
      <c r="D846" s="2" t="inlineStr">
        <is>
          <t>Proc</t>
        </is>
      </c>
      <c r="E846" s="3" t="inlineStr">
        <is>
          <t>Procedimiento</t>
        </is>
      </c>
    </row>
    <row r="847" ht="16" customHeight="1" s="151">
      <c r="A847" s="1" t="inlineStr">
        <is>
          <t>1801009</t>
        </is>
      </c>
      <c r="B847" s="2" t="inlineStr">
        <is>
          <t>4</t>
        </is>
      </c>
      <c r="C847" s="2" t="inlineStr">
        <is>
          <t>Peritoneoscopia transparietal (incluye el neumoperitoneo)</t>
        </is>
      </c>
      <c r="D847" s="2" t="inlineStr">
        <is>
          <t>Proc</t>
        </is>
      </c>
      <c r="E847" s="3" t="inlineStr">
        <is>
          <t>Procedimiento</t>
        </is>
      </c>
    </row>
    <row r="848" ht="16" customHeight="1" s="151">
      <c r="A848" s="1" t="inlineStr">
        <is>
          <t>1801011</t>
        </is>
      </c>
      <c r="B848" s="2" t="n"/>
      <c r="C848" s="2" t="inlineStr">
        <is>
          <t>Manometría esofágica convencional</t>
        </is>
      </c>
      <c r="D848" s="2" t="inlineStr">
        <is>
          <t>Proc</t>
        </is>
      </c>
      <c r="E848" s="3" t="inlineStr">
        <is>
          <t>Procedimiento</t>
        </is>
      </c>
    </row>
    <row r="849" ht="16" customHeight="1" s="151">
      <c r="A849" s="1" t="inlineStr">
        <is>
          <t>1801012</t>
        </is>
      </c>
      <c r="B849" s="2" t="n"/>
      <c r="C849" s="2" t="inlineStr">
        <is>
          <t>Reflujo ácido, test de (Grossman o similar) o Reflujo alcalino, test de</t>
        </is>
      </c>
      <c r="D849" s="2" t="inlineStr">
        <is>
          <t>Proc</t>
        </is>
      </c>
      <c r="E849" s="3" t="inlineStr">
        <is>
          <t>Procedimiento</t>
        </is>
      </c>
    </row>
    <row r="850" ht="16" customHeight="1" s="151">
      <c r="A850" s="1" t="inlineStr">
        <is>
          <t>1801015</t>
        </is>
      </c>
      <c r="B850" s="2" t="inlineStr">
        <is>
          <t>2</t>
        </is>
      </c>
      <c r="C850" s="2" t="inlineStr">
        <is>
          <t>Biopsia de intestino delgado, por cápsula (de Rubin, Crosby o sim.)</t>
        </is>
      </c>
      <c r="D850" s="2" t="inlineStr">
        <is>
          <t>Proc</t>
        </is>
      </c>
      <c r="E850" s="3" t="inlineStr">
        <is>
          <t>Procedimiento</t>
        </is>
      </c>
    </row>
    <row r="851" ht="16" customHeight="1" s="151">
      <c r="A851" s="1" t="inlineStr">
        <is>
          <t>1801016</t>
        </is>
      </c>
      <c r="B851" s="2" t="n"/>
      <c r="C851" s="2" t="inlineStr">
        <is>
          <t>Punción biopsia transparietal de órganos abdominales c/u</t>
        </is>
      </c>
      <c r="D851" s="2" t="inlineStr">
        <is>
          <t>Proc</t>
        </is>
      </c>
      <c r="E851" s="3" t="inlineStr">
        <is>
          <t>Procedimiento</t>
        </is>
      </c>
    </row>
    <row r="852" ht="16" customHeight="1" s="151">
      <c r="A852" s="1" t="inlineStr">
        <is>
          <t>1801018</t>
        </is>
      </c>
      <c r="B852" s="2" t="inlineStr">
        <is>
          <t>3</t>
        </is>
      </c>
      <c r="C852" s="2" t="inlineStr">
        <is>
          <t>Colangiopancreatografía retrógrada c/s papilotomía</t>
        </is>
      </c>
      <c r="D852" s="2" t="inlineStr">
        <is>
          <t>Proc</t>
        </is>
      </c>
      <c r="E852" s="3" t="inlineStr">
        <is>
          <t>Procedimiento</t>
        </is>
      </c>
    </row>
    <row r="853" ht="16" customHeight="1" s="151">
      <c r="A853" s="1" t="inlineStr">
        <is>
          <t>1801019</t>
        </is>
      </c>
      <c r="B853" s="2" t="n"/>
      <c r="C853" s="2" t="inlineStr">
        <is>
          <t>Drenaje de la vía biliar transhepática y/o percutáneo</t>
        </is>
      </c>
      <c r="D853" s="2" t="inlineStr">
        <is>
          <t>Proc</t>
        </is>
      </c>
      <c r="E853" s="3" t="inlineStr">
        <is>
          <t>Procedimiento</t>
        </is>
      </c>
    </row>
    <row r="854" ht="16" customHeight="1" s="151">
      <c r="A854" s="1" t="inlineStr">
        <is>
          <t>1801021</t>
        </is>
      </c>
      <c r="B854" s="2" t="n"/>
      <c r="C854" s="2" t="inlineStr">
        <is>
          <t>Neumoperitoneo por punción transparietal</t>
        </is>
      </c>
      <c r="D854" s="2" t="inlineStr">
        <is>
          <t>Proc</t>
        </is>
      </c>
      <c r="E854" s="3" t="inlineStr">
        <is>
          <t>Procedimiento</t>
        </is>
      </c>
    </row>
    <row r="855" ht="16" customHeight="1" s="151">
      <c r="A855" s="1" t="inlineStr">
        <is>
          <t>1801022</t>
        </is>
      </c>
      <c r="B855" s="2" t="n"/>
      <c r="C855" s="2" t="inlineStr">
        <is>
          <t>Instalación sonda de Sengstaken</t>
        </is>
      </c>
      <c r="D855" s="2" t="inlineStr">
        <is>
          <t>Proc</t>
        </is>
      </c>
      <c r="E855" s="3" t="inlineStr">
        <is>
          <t>Procedimiento</t>
        </is>
      </c>
    </row>
    <row r="856" ht="16" customHeight="1" s="151">
      <c r="A856" s="1" t="inlineStr">
        <is>
          <t>1801023</t>
        </is>
      </c>
      <c r="B856" s="2" t="n"/>
      <c r="C856" s="2" t="inlineStr">
        <is>
          <t>Instalación endoscópica de sonda nasogástrica</t>
        </is>
      </c>
      <c r="D856" s="2" t="inlineStr">
        <is>
          <t>Proc</t>
        </is>
      </c>
      <c r="E856" s="3" t="inlineStr">
        <is>
          <t>Procedimiento</t>
        </is>
      </c>
    </row>
    <row r="857" ht="16" customHeight="1" s="151">
      <c r="A857" s="1" t="inlineStr">
        <is>
          <t>1801024</t>
        </is>
      </c>
      <c r="B857" s="2" t="n"/>
      <c r="C857" s="2" t="inlineStr">
        <is>
          <t>Instalación endoscópica de sonda enteral</t>
        </is>
      </c>
      <c r="D857" s="2" t="inlineStr">
        <is>
          <t>Proc</t>
        </is>
      </c>
      <c r="E857" s="3" t="inlineStr">
        <is>
          <t>Procedimiento</t>
        </is>
      </c>
    </row>
    <row r="858" ht="16" customHeight="1" s="151">
      <c r="A858" s="1" t="inlineStr">
        <is>
          <t>1801025</t>
        </is>
      </c>
      <c r="B858" s="2" t="inlineStr">
        <is>
          <t>2</t>
        </is>
      </c>
      <c r="C858" s="2" t="inlineStr">
        <is>
          <t>Dilatación de estenosis benignas o malignas del tracto digestivo por balón</t>
        </is>
      </c>
      <c r="D858" s="2" t="inlineStr">
        <is>
          <t>Proc</t>
        </is>
      </c>
      <c r="E858" s="3" t="inlineStr">
        <is>
          <t>Procedimiento</t>
        </is>
      </c>
    </row>
    <row r="859" ht="16" customHeight="1" s="151">
      <c r="A859" s="1" t="inlineStr">
        <is>
          <t>1801026</t>
        </is>
      </c>
      <c r="B859" s="2" t="inlineStr">
        <is>
          <t>2</t>
        </is>
      </c>
      <c r="C859" s="2" t="inlineStr">
        <is>
          <t>Dilatación de estenosis benignas o malignas del tracto digestivo por bujía</t>
        </is>
      </c>
      <c r="D859" s="2" t="inlineStr">
        <is>
          <t>Proc</t>
        </is>
      </c>
      <c r="E859" s="3" t="inlineStr">
        <is>
          <t>Procedimiento</t>
        </is>
      </c>
    </row>
    <row r="860" ht="16" customHeight="1" s="151">
      <c r="A860" s="1" t="inlineStr">
        <is>
          <t>1801027</t>
        </is>
      </c>
      <c r="B860" s="2" t="inlineStr">
        <is>
          <t>4</t>
        </is>
      </c>
      <c r="C860" s="2" t="inlineStr">
        <is>
          <t>Instalación prótesis plástica (s) en vía biliar o pancreática</t>
        </is>
      </c>
      <c r="D860" s="2" t="inlineStr">
        <is>
          <t>Proc</t>
        </is>
      </c>
      <c r="E860" s="3" t="inlineStr">
        <is>
          <t>Procedimiento</t>
        </is>
      </c>
    </row>
    <row r="861" ht="16" customHeight="1" s="151">
      <c r="A861" s="1" t="inlineStr">
        <is>
          <t>1801028</t>
        </is>
      </c>
      <c r="B861" s="2" t="inlineStr">
        <is>
          <t>2</t>
        </is>
      </c>
      <c r="C861" s="2" t="inlineStr">
        <is>
          <t>Cuerpo extraño, extracción endoscópica</t>
        </is>
      </c>
      <c r="D861" s="2" t="inlineStr">
        <is>
          <t>Proc</t>
        </is>
      </c>
      <c r="E861" s="3" t="inlineStr">
        <is>
          <t>Procedimiento</t>
        </is>
      </c>
    </row>
    <row r="862" ht="16" customHeight="1" s="151">
      <c r="A862" s="1" t="inlineStr">
        <is>
          <t>1801029</t>
        </is>
      </c>
      <c r="B862" s="2" t="inlineStr">
        <is>
          <t>3</t>
        </is>
      </c>
      <c r="C862" s="2" t="inlineStr">
        <is>
          <t>Devolvulación de colon por colonoscopía</t>
        </is>
      </c>
      <c r="D862" s="2" t="inlineStr">
        <is>
          <t>Proc</t>
        </is>
      </c>
      <c r="E862" s="3" t="inlineStr">
        <is>
          <t>Procedimiento</t>
        </is>
      </c>
    </row>
    <row r="863" ht="16" customHeight="1" s="151">
      <c r="A863" s="1" t="inlineStr">
        <is>
          <t>1801030</t>
        </is>
      </c>
      <c r="B863" s="2" t="inlineStr">
        <is>
          <t>1</t>
        </is>
      </c>
      <c r="C863" s="2" t="inlineStr">
        <is>
          <t>Dilatación ano-rectal, por sesión</t>
        </is>
      </c>
      <c r="D863" s="2" t="inlineStr">
        <is>
          <t>Proc</t>
        </is>
      </c>
      <c r="E863" s="3" t="inlineStr">
        <is>
          <t>Procedimiento</t>
        </is>
      </c>
    </row>
    <row r="864" ht="16" customHeight="1" s="151">
      <c r="A864" s="1" t="inlineStr">
        <is>
          <t>1801031</t>
        </is>
      </c>
      <c r="B864" s="2" t="inlineStr">
        <is>
          <t>4</t>
        </is>
      </c>
      <c r="C864" s="2" t="inlineStr">
        <is>
          <t>Polipectomía o Mucosectomía endoscópica alta</t>
        </is>
      </c>
      <c r="D864" s="2" t="inlineStr">
        <is>
          <t>Proc</t>
        </is>
      </c>
      <c r="E864" s="3" t="inlineStr">
        <is>
          <t>Procedimiento</t>
        </is>
      </c>
    </row>
    <row r="865" ht="16" customHeight="1" s="151">
      <c r="A865" s="1" t="inlineStr">
        <is>
          <t>1801032</t>
        </is>
      </c>
      <c r="B865" s="2" t="inlineStr">
        <is>
          <t>2</t>
        </is>
      </c>
      <c r="C865" s="2" t="inlineStr">
        <is>
          <t>Escleroterapia de hemorroides, cualquier número</t>
        </is>
      </c>
      <c r="D865" s="2" t="inlineStr">
        <is>
          <t>Proc</t>
        </is>
      </c>
      <c r="E865" s="3" t="inlineStr">
        <is>
          <t>Procedimiento</t>
        </is>
      </c>
    </row>
    <row r="866" ht="16" customHeight="1" s="151">
      <c r="A866" s="1" t="inlineStr">
        <is>
          <t>1801033</t>
        </is>
      </c>
      <c r="B866" s="2" t="inlineStr">
        <is>
          <t>4</t>
        </is>
      </c>
      <c r="C866" s="2" t="inlineStr">
        <is>
          <t>Inyectoterapia hemostática, Hemostasia mecánica, Hemostasia térmica, Ligadura elástica</t>
        </is>
      </c>
      <c r="D866" s="2" t="inlineStr">
        <is>
          <t>Proc</t>
        </is>
      </c>
      <c r="E866" s="3" t="inlineStr">
        <is>
          <t>Procedimiento</t>
        </is>
      </c>
    </row>
    <row r="867" ht="16" customHeight="1" s="151">
      <c r="A867" s="1" t="inlineStr">
        <is>
          <t>1801035</t>
        </is>
      </c>
      <c r="B867" s="2" t="inlineStr">
        <is>
          <t>2</t>
        </is>
      </c>
      <c r="C867" s="2" t="inlineStr">
        <is>
          <t>Ligadura hemorroides</t>
        </is>
      </c>
      <c r="D867" s="2" t="inlineStr">
        <is>
          <t>Proc</t>
        </is>
      </c>
      <c r="E867" s="3" t="inlineStr">
        <is>
          <t>Procedimiento</t>
        </is>
      </c>
    </row>
    <row r="868" ht="16" customHeight="1" s="151">
      <c r="A868" s="1" t="inlineStr">
        <is>
          <t>1801036</t>
        </is>
      </c>
      <c r="B868" s="2" t="inlineStr">
        <is>
          <t>4</t>
        </is>
      </c>
      <c r="C868" s="2" t="inlineStr">
        <is>
          <t>Extracción endoscópica de cálculos biliares o pancreáticos</t>
        </is>
      </c>
      <c r="D868" s="2" t="inlineStr">
        <is>
          <t>Proc</t>
        </is>
      </c>
      <c r="E868" s="3" t="inlineStr">
        <is>
          <t>Procedimiento</t>
        </is>
      </c>
    </row>
    <row r="869" ht="16" customHeight="1" s="151">
      <c r="A869" s="1" t="inlineStr">
        <is>
          <t>1801037</t>
        </is>
      </c>
      <c r="B869" s="2" t="n"/>
      <c r="C869" s="2" t="inlineStr">
        <is>
          <t>Test Ureasa (para Helicobacter pylori) en gastroscopía</t>
        </is>
      </c>
      <c r="D869" s="2" t="inlineStr">
        <is>
          <t>Proc</t>
        </is>
      </c>
      <c r="E869" s="3" t="inlineStr">
        <is>
          <t>Procedimiento</t>
        </is>
      </c>
    </row>
    <row r="870" ht="16" customHeight="1" s="151">
      <c r="A870" s="1" t="inlineStr">
        <is>
          <t>1801038</t>
        </is>
      </c>
      <c r="B870" s="2" t="inlineStr">
        <is>
          <t>2</t>
        </is>
      </c>
      <c r="C870" s="2" t="inlineStr">
        <is>
          <t>Punción evacuadora de absceso intraabdominales (hepático u otros), c/s toma de muestra, c/s inyección de medicamentos</t>
        </is>
      </c>
      <c r="D870" s="2" t="inlineStr">
        <is>
          <t>Proc</t>
        </is>
      </c>
      <c r="E870" s="3" t="inlineStr">
        <is>
          <t>Procedimiento</t>
        </is>
      </c>
    </row>
    <row r="871" ht="16" customHeight="1" s="151">
      <c r="A871" s="1" t="inlineStr">
        <is>
          <t>1801041</t>
        </is>
      </c>
      <c r="B871" s="2" t="inlineStr">
        <is>
          <t>4</t>
        </is>
      </c>
      <c r="C871" s="2" t="inlineStr">
        <is>
          <t>Punción de líquido ascítico, diagnóstica</t>
        </is>
      </c>
      <c r="D871" s="2" t="inlineStr">
        <is>
          <t>Proc</t>
        </is>
      </c>
      <c r="E871" s="3" t="inlineStr">
        <is>
          <t>Procedimiento</t>
        </is>
      </c>
    </row>
    <row r="872" ht="16" customHeight="1" s="151">
      <c r="A872" s="1" t="inlineStr">
        <is>
          <t>1801042</t>
        </is>
      </c>
      <c r="B872" s="2" t="inlineStr">
        <is>
          <t>4</t>
        </is>
      </c>
      <c r="C872" s="2" t="inlineStr">
        <is>
          <t>Vaciamiento manual de fecaloma</t>
        </is>
      </c>
      <c r="D872" s="2" t="inlineStr">
        <is>
          <t>Proc</t>
        </is>
      </c>
      <c r="E872" s="3" t="inlineStr">
        <is>
          <t>Procedimiento</t>
        </is>
      </c>
    </row>
    <row r="873" ht="16" customHeight="1" s="151">
      <c r="A873" s="1" t="inlineStr">
        <is>
          <t>1801043</t>
        </is>
      </c>
      <c r="B873" s="2" t="n"/>
      <c r="C873" s="2" t="inlineStr">
        <is>
          <t>Manometría anorectal convencional</t>
        </is>
      </c>
      <c r="D873" s="2" t="inlineStr">
        <is>
          <t>Proc</t>
        </is>
      </c>
      <c r="E873" s="3" t="inlineStr">
        <is>
          <t>Procedimiento</t>
        </is>
      </c>
    </row>
    <row r="874" ht="16" customHeight="1" s="151">
      <c r="A874" s="1" t="inlineStr">
        <is>
          <t>1801045</t>
        </is>
      </c>
      <c r="B874" s="2" t="inlineStr">
        <is>
          <t>4</t>
        </is>
      </c>
      <c r="C874" s="2" t="inlineStr">
        <is>
          <t>Polipectomía o Mucosectomía endoscópica baja</t>
        </is>
      </c>
      <c r="D874" s="2" t="inlineStr">
        <is>
          <t>Proc</t>
        </is>
      </c>
      <c r="E874" s="3" t="inlineStr">
        <is>
          <t>Procedimiento</t>
        </is>
      </c>
    </row>
    <row r="875" ht="16" customHeight="1" s="151">
      <c r="A875" s="1" t="inlineStr">
        <is>
          <t>1801046</t>
        </is>
      </c>
      <c r="B875" s="2" t="inlineStr">
        <is>
          <t>4</t>
        </is>
      </c>
      <c r="C875" s="2" t="inlineStr">
        <is>
          <t>Hemorroidopexia grapada</t>
        </is>
      </c>
      <c r="D875" s="2" t="inlineStr">
        <is>
          <t>Proc</t>
        </is>
      </c>
      <c r="E875" s="3" t="inlineStr">
        <is>
          <t>Procedimiento</t>
        </is>
      </c>
    </row>
    <row r="876" ht="16" customHeight="1" s="151">
      <c r="A876" s="1" t="inlineStr">
        <is>
          <t>1801047</t>
        </is>
      </c>
      <c r="B876" s="2" t="inlineStr">
        <is>
          <t>4</t>
        </is>
      </c>
      <c r="C876" s="2" t="inlineStr">
        <is>
          <t>Ligadura hemorroidaria con doppler</t>
        </is>
      </c>
      <c r="D876" s="2" t="inlineStr">
        <is>
          <t>Proc</t>
        </is>
      </c>
      <c r="E876" s="3" t="inlineStr">
        <is>
          <t>Procedimiento</t>
        </is>
      </c>
    </row>
    <row r="877" ht="16" customHeight="1" s="151">
      <c r="A877" s="1" t="inlineStr">
        <is>
          <t>1801048</t>
        </is>
      </c>
      <c r="B877" s="2" t="inlineStr">
        <is>
          <t>2</t>
        </is>
      </c>
      <c r="C877" s="2" t="inlineStr">
        <is>
          <t>Punción evacuadora de líquido ascítico</t>
        </is>
      </c>
      <c r="D877" s="2" t="inlineStr">
        <is>
          <t>Proc</t>
        </is>
      </c>
      <c r="E877" s="3" t="inlineStr">
        <is>
          <t>Procedimiento</t>
        </is>
      </c>
    </row>
    <row r="878" ht="16" customHeight="1" s="151">
      <c r="A878" s="1" t="inlineStr">
        <is>
          <t>1801049</t>
        </is>
      </c>
      <c r="B878" s="2" t="inlineStr">
        <is>
          <t>1</t>
        </is>
      </c>
      <c r="C878" s="2" t="inlineStr">
        <is>
          <t>Manometría anorrectal alta resolución</t>
        </is>
      </c>
      <c r="D878" s="2" t="inlineStr">
        <is>
          <t>Proc</t>
        </is>
      </c>
      <c r="E878" s="3" t="inlineStr">
        <is>
          <t>Procedimiento</t>
        </is>
      </c>
    </row>
    <row r="879" ht="16" customHeight="1" s="151">
      <c r="A879" s="1" t="inlineStr">
        <is>
          <t>1801050</t>
        </is>
      </c>
      <c r="B879" s="2" t="inlineStr">
        <is>
          <t>2</t>
        </is>
      </c>
      <c r="C879" s="2" t="inlineStr">
        <is>
          <t>Endosonografía digestiva alta</t>
        </is>
      </c>
      <c r="D879" s="2" t="inlineStr">
        <is>
          <t>Proc</t>
        </is>
      </c>
      <c r="E879" s="3" t="inlineStr">
        <is>
          <t>Procedimiento</t>
        </is>
      </c>
    </row>
    <row r="880" ht="16" customHeight="1" s="151">
      <c r="A880" s="1" t="inlineStr">
        <is>
          <t>1801051</t>
        </is>
      </c>
      <c r="B880" s="2" t="inlineStr">
        <is>
          <t>2</t>
        </is>
      </c>
      <c r="C880" s="2" t="inlineStr">
        <is>
          <t>Endosonografía digestiva baja</t>
        </is>
      </c>
      <c r="D880" s="2" t="inlineStr">
        <is>
          <t>Proc</t>
        </is>
      </c>
      <c r="E880" s="3" t="inlineStr">
        <is>
          <t>Procedimiento</t>
        </is>
      </c>
    </row>
    <row r="881" ht="16" customHeight="1" s="151">
      <c r="A881" s="1" t="inlineStr">
        <is>
          <t>1801052</t>
        </is>
      </c>
      <c r="B881" s="2" t="inlineStr">
        <is>
          <t>3</t>
        </is>
      </c>
      <c r="C881" s="2" t="inlineStr">
        <is>
          <t>Punción guiada con endosonografía digestiva</t>
        </is>
      </c>
      <c r="D881" s="2" t="inlineStr">
        <is>
          <t>Proc</t>
        </is>
      </c>
      <c r="E881" s="3" t="inlineStr">
        <is>
          <t>Procedimiento</t>
        </is>
      </c>
    </row>
    <row r="882" ht="16" customHeight="1" s="151">
      <c r="A882" s="1" t="inlineStr">
        <is>
          <t>1801053</t>
        </is>
      </c>
      <c r="B882" s="2" t="inlineStr">
        <is>
          <t>3</t>
        </is>
      </c>
      <c r="C882" s="2" t="inlineStr">
        <is>
          <t>Drenaje guiado con endosonografía digestiva</t>
        </is>
      </c>
      <c r="D882" s="2" t="inlineStr">
        <is>
          <t>Proc</t>
        </is>
      </c>
      <c r="E882" s="3" t="inlineStr">
        <is>
          <t>Procedimiento</t>
        </is>
      </c>
    </row>
    <row r="883" ht="16" customHeight="1" s="151">
      <c r="A883" s="1" t="inlineStr">
        <is>
          <t>1801054</t>
        </is>
      </c>
      <c r="B883" s="2" t="inlineStr">
        <is>
          <t>2</t>
        </is>
      </c>
      <c r="C883" s="2" t="inlineStr">
        <is>
          <t>Endosonografía ano-rectal</t>
        </is>
      </c>
      <c r="D883" s="2" t="inlineStr">
        <is>
          <t>Proc</t>
        </is>
      </c>
      <c r="E883" s="3" t="inlineStr">
        <is>
          <t>Procedimiento</t>
        </is>
      </c>
    </row>
    <row r="884" ht="16" customHeight="1" s="151">
      <c r="A884" s="1" t="inlineStr">
        <is>
          <t>1801055</t>
        </is>
      </c>
      <c r="B884" s="2" t="inlineStr">
        <is>
          <t>4</t>
        </is>
      </c>
      <c r="C884" s="2" t="inlineStr">
        <is>
          <t>Septotomía endoscópica (divertículo de zenker y otros)</t>
        </is>
      </c>
      <c r="D884" s="2" t="inlineStr">
        <is>
          <t>Proc</t>
        </is>
      </c>
      <c r="E884" s="3" t="inlineStr">
        <is>
          <t>Procedimiento</t>
        </is>
      </c>
    </row>
    <row r="885" ht="16" customHeight="1" s="151">
      <c r="A885" s="1" t="inlineStr">
        <is>
          <t>1801056</t>
        </is>
      </c>
      <c r="B885" s="2" t="inlineStr">
        <is>
          <t>3</t>
        </is>
      </c>
      <c r="C885" s="2" t="inlineStr">
        <is>
          <t>Dilatación de acalasia</t>
        </is>
      </c>
      <c r="D885" s="2" t="inlineStr">
        <is>
          <t>Proc</t>
        </is>
      </c>
      <c r="E885" s="3" t="inlineStr">
        <is>
          <t>Procedimiento</t>
        </is>
      </c>
    </row>
    <row r="886" ht="16" customHeight="1" s="151">
      <c r="A886" s="1" t="inlineStr">
        <is>
          <t>1801057</t>
        </is>
      </c>
      <c r="B886" s="2" t="inlineStr">
        <is>
          <t>3</t>
        </is>
      </c>
      <c r="C886" s="2" t="inlineStr">
        <is>
          <t>Instalación de prótesis autoexpandibles en tracto digestivo</t>
        </is>
      </c>
      <c r="D886" s="2" t="inlineStr">
        <is>
          <t>Proc</t>
        </is>
      </c>
      <c r="E886" s="3" t="inlineStr">
        <is>
          <t>Procedimiento</t>
        </is>
      </c>
    </row>
    <row r="887" ht="16" customHeight="1" s="151">
      <c r="A887" s="1" t="inlineStr">
        <is>
          <t>1801058</t>
        </is>
      </c>
      <c r="B887" s="2" t="inlineStr">
        <is>
          <t>3</t>
        </is>
      </c>
      <c r="C887" s="2" t="inlineStr">
        <is>
          <t>Instalación de prótesis en vía biliar</t>
        </is>
      </c>
      <c r="D887" s="2" t="inlineStr">
        <is>
          <t>Proc</t>
        </is>
      </c>
      <c r="E887" s="3" t="inlineStr">
        <is>
          <t>Procedimiento</t>
        </is>
      </c>
    </row>
    <row r="888" ht="16" customHeight="1" s="151">
      <c r="A888" s="1" t="inlineStr">
        <is>
          <t>1801059</t>
        </is>
      </c>
      <c r="B888" s="2" t="n"/>
      <c r="C888" s="2" t="inlineStr">
        <is>
          <t>Test de hidrógeno en aire espirado</t>
        </is>
      </c>
      <c r="D888" s="2" t="inlineStr">
        <is>
          <t>Proc</t>
        </is>
      </c>
      <c r="E888" s="3" t="inlineStr">
        <is>
          <t>Procedimiento</t>
        </is>
      </c>
    </row>
    <row r="889" ht="16" customHeight="1" s="151">
      <c r="A889" s="1" t="inlineStr">
        <is>
          <t>1801060</t>
        </is>
      </c>
      <c r="B889" s="2" t="n"/>
      <c r="C889" s="2" t="inlineStr">
        <is>
          <t>Test de carbono en aire espirado</t>
        </is>
      </c>
      <c r="D889" s="2" t="inlineStr">
        <is>
          <t>Proc</t>
        </is>
      </c>
      <c r="E889" s="3" t="inlineStr">
        <is>
          <t>Procedimiento</t>
        </is>
      </c>
    </row>
    <row r="890" ht="16" customHeight="1" s="151">
      <c r="A890" s="1" t="inlineStr">
        <is>
          <t>1802001</t>
        </is>
      </c>
      <c r="B890" s="2" t="inlineStr">
        <is>
          <t>8</t>
        </is>
      </c>
      <c r="C890" s="2" t="inlineStr">
        <is>
          <t>Hernia abdominal por laparotomía (no incluye malla)</t>
        </is>
      </c>
      <c r="D890" s="2" t="inlineStr">
        <is>
          <t>Cmay</t>
        </is>
      </c>
      <c r="E890" s="3" t="inlineStr">
        <is>
          <t>Cirugía Mayor</t>
        </is>
      </c>
    </row>
    <row r="891" ht="16" customHeight="1" s="151">
      <c r="A891" s="1" t="inlineStr">
        <is>
          <t>1802004</t>
        </is>
      </c>
      <c r="B891" s="2" t="inlineStr">
        <is>
          <t>7</t>
        </is>
      </c>
      <c r="C891" s="2" t="inlineStr">
        <is>
          <t>Laparotomía exploradora, c/s liberación de adherencias, c/s drenaje, c/s biopsias como proc. aut. o como resultado de una herida penetrante abdominal no complicada o de un hemoperitoneo postoperatorio o como tratamiento de una peritonitis (laparostomía contenida -máximo cuatro-, resuturas, etc.)</t>
        </is>
      </c>
      <c r="D891" s="2" t="inlineStr">
        <is>
          <t>Cmay</t>
        </is>
      </c>
      <c r="E891" s="3" t="inlineStr">
        <is>
          <t>Cirugía Mayor</t>
        </is>
      </c>
    </row>
    <row r="892" ht="16" customHeight="1" s="151">
      <c r="A892" s="1" t="inlineStr">
        <is>
          <t>1802005</t>
        </is>
      </c>
      <c r="B892" s="2" t="inlineStr">
        <is>
          <t>7</t>
        </is>
      </c>
      <c r="C892" s="2" t="inlineStr">
        <is>
          <t>Onfalocele (hasta 5 cms.); trat. quir.</t>
        </is>
      </c>
      <c r="D892" s="2" t="inlineStr">
        <is>
          <t>Cmay</t>
        </is>
      </c>
      <c r="E892" s="3" t="inlineStr">
        <is>
          <t>Cirugía Mayor</t>
        </is>
      </c>
    </row>
    <row r="893" ht="16" customHeight="1" s="151">
      <c r="A893" s="1" t="inlineStr">
        <is>
          <t>1802006</t>
        </is>
      </c>
      <c r="B893" s="2" t="inlineStr">
        <is>
          <t>7</t>
        </is>
      </c>
      <c r="C893" s="2" t="inlineStr">
        <is>
          <t>Onfalocele (más de 5 cms.); trat. quir.</t>
        </is>
      </c>
      <c r="D893" s="2" t="inlineStr">
        <is>
          <t>Cmay</t>
        </is>
      </c>
      <c r="E893" s="3" t="inlineStr">
        <is>
          <t>Cirugía Mayor</t>
        </is>
      </c>
    </row>
    <row r="894" ht="16" customHeight="1" s="151">
      <c r="A894" s="1" t="inlineStr">
        <is>
          <t>1802007</t>
        </is>
      </c>
      <c r="B894" s="2" t="inlineStr">
        <is>
          <t>8</t>
        </is>
      </c>
      <c r="C894" s="2" t="inlineStr">
        <is>
          <t>Peritonitis difusa aguda, trat. quir. (proc. aut.)</t>
        </is>
      </c>
      <c r="D894" s="2" t="inlineStr">
        <is>
          <t>Cmay</t>
        </is>
      </c>
      <c r="E894" s="3" t="inlineStr">
        <is>
          <t>Cirugía Mayor</t>
        </is>
      </c>
    </row>
    <row r="895" ht="16" customHeight="1" s="151">
      <c r="A895" s="1" t="inlineStr">
        <is>
          <t>1802008</t>
        </is>
      </c>
      <c r="B895" s="2" t="inlineStr">
        <is>
          <t>7</t>
        </is>
      </c>
      <c r="C895" s="2" t="inlineStr">
        <is>
          <t>Tumor y/o quiste peritoneal (parietal)</t>
        </is>
      </c>
      <c r="D895" s="2" t="inlineStr">
        <is>
          <t>Cmay</t>
        </is>
      </c>
      <c r="E895" s="3" t="inlineStr">
        <is>
          <t>Cirugía Mayor</t>
        </is>
      </c>
    </row>
    <row r="896" ht="16" customHeight="1" s="151">
      <c r="A896" s="1" t="inlineStr">
        <is>
          <t>1802009</t>
        </is>
      </c>
      <c r="B896" s="2" t="inlineStr">
        <is>
          <t>8</t>
        </is>
      </c>
      <c r="C896" s="2" t="inlineStr">
        <is>
          <t>Tumor y/o quiste retroperitoneal</t>
        </is>
      </c>
      <c r="D896" s="2" t="inlineStr">
        <is>
          <t>Cmay</t>
        </is>
      </c>
      <c r="E896" s="3" t="inlineStr">
        <is>
          <t>Cirugía Mayor</t>
        </is>
      </c>
    </row>
    <row r="897" ht="16" customHeight="1" s="151">
      <c r="A897" s="1" t="inlineStr">
        <is>
          <t>1802010</t>
        </is>
      </c>
      <c r="B897" s="2" t="inlineStr">
        <is>
          <t>9</t>
        </is>
      </c>
      <c r="C897" s="2" t="inlineStr">
        <is>
          <t>Antrectomía y vagotomía troncular o selectiva (proc. aut.)</t>
        </is>
      </c>
      <c r="D897" s="2" t="inlineStr">
        <is>
          <t>Cmay</t>
        </is>
      </c>
      <c r="E897" s="3" t="inlineStr">
        <is>
          <t>Cirugía Mayor</t>
        </is>
      </c>
    </row>
    <row r="898" ht="16" customHeight="1" s="151">
      <c r="A898" s="1" t="inlineStr">
        <is>
          <t>1802011</t>
        </is>
      </c>
      <c r="B898" s="2" t="inlineStr">
        <is>
          <t>10</t>
        </is>
      </c>
      <c r="C898" s="2" t="inlineStr">
        <is>
          <t>Desgastrectomía y neoanastomosis, c/s vaguectomía</t>
        </is>
      </c>
      <c r="D898" s="2" t="inlineStr">
        <is>
          <t>Cmay</t>
        </is>
      </c>
      <c r="E898" s="3" t="inlineStr">
        <is>
          <t>Cirugía Mayor</t>
        </is>
      </c>
    </row>
    <row r="899" ht="16" customHeight="1" s="151">
      <c r="A899" s="1" t="inlineStr">
        <is>
          <t>1802012</t>
        </is>
      </c>
      <c r="B899" s="2" t="inlineStr">
        <is>
          <t>7</t>
        </is>
      </c>
      <c r="C899" s="2" t="inlineStr">
        <is>
          <t>Gastroenteroanastomosis, cualquier técnica. (proc. aut.)</t>
        </is>
      </c>
      <c r="D899" s="2" t="inlineStr">
        <is>
          <t>Cmay</t>
        </is>
      </c>
      <c r="E899" s="3" t="inlineStr">
        <is>
          <t>Cirugía Mayor</t>
        </is>
      </c>
    </row>
    <row r="900" ht="16" customHeight="1" s="151">
      <c r="A900" s="1" t="inlineStr">
        <is>
          <t>1802013</t>
        </is>
      </c>
      <c r="B900" s="2" t="inlineStr">
        <is>
          <t>9</t>
        </is>
      </c>
      <c r="C900" s="2" t="inlineStr">
        <is>
          <t>Gastrosquisis</t>
        </is>
      </c>
      <c r="D900" s="2" t="inlineStr">
        <is>
          <t>Cmay</t>
        </is>
      </c>
      <c r="E900" s="3" t="inlineStr">
        <is>
          <t>Cirugía Mayor</t>
        </is>
      </c>
    </row>
    <row r="901" ht="16" customHeight="1" s="151">
      <c r="A901" s="1" t="inlineStr">
        <is>
          <t>1802014</t>
        </is>
      </c>
      <c r="B901" s="2" t="inlineStr">
        <is>
          <t>6</t>
        </is>
      </c>
      <c r="C901" s="2" t="inlineStr">
        <is>
          <t>Gastrotomía y/o gastrostomía (proc. aut.)</t>
        </is>
      </c>
      <c r="D901" s="2" t="inlineStr">
        <is>
          <t>Cmay</t>
        </is>
      </c>
      <c r="E901" s="3" t="inlineStr">
        <is>
          <t>Cirugía Mayor</t>
        </is>
      </c>
    </row>
    <row r="902" ht="16" customHeight="1" s="151">
      <c r="A902" s="1" t="inlineStr">
        <is>
          <t>1802015</t>
        </is>
      </c>
      <c r="B902" s="2" t="inlineStr">
        <is>
          <t>7</t>
        </is>
      </c>
      <c r="C902" s="2" t="inlineStr">
        <is>
          <t>Perforación gástrica aguda, trat. quir. (proc. aut.)</t>
        </is>
      </c>
      <c r="D902" s="2" t="inlineStr">
        <is>
          <t>Cmay</t>
        </is>
      </c>
      <c r="E902" s="3" t="inlineStr">
        <is>
          <t>Cirugía Mayor</t>
        </is>
      </c>
    </row>
    <row r="903" ht="16" customHeight="1" s="151">
      <c r="A903" s="1" t="inlineStr">
        <is>
          <t>1802016</t>
        </is>
      </c>
      <c r="B903" s="2" t="inlineStr">
        <is>
          <t>7</t>
        </is>
      </c>
      <c r="C903" s="2" t="inlineStr">
        <is>
          <t>Piloroplastía (proc. aut.)</t>
        </is>
      </c>
      <c r="D903" s="2" t="inlineStr">
        <is>
          <t>Cmay</t>
        </is>
      </c>
      <c r="E903" s="3" t="inlineStr">
        <is>
          <t>Cirugía Mayor</t>
        </is>
      </c>
    </row>
    <row r="904" ht="16" customHeight="1" s="151">
      <c r="A904" s="1" t="inlineStr">
        <is>
          <t>1802017</t>
        </is>
      </c>
      <c r="B904" s="2" t="inlineStr">
        <is>
          <t>9</t>
        </is>
      </c>
      <c r="C904" s="2" t="inlineStr">
        <is>
          <t>Gastrectomía subtotal con disección ganglionar</t>
        </is>
      </c>
      <c r="D904" s="2" t="inlineStr">
        <is>
          <t>Cmay</t>
        </is>
      </c>
      <c r="E904" s="3" t="inlineStr">
        <is>
          <t>Cirugía Mayor</t>
        </is>
      </c>
    </row>
    <row r="905" ht="16" customHeight="1" s="151">
      <c r="A905" s="1" t="inlineStr">
        <is>
          <t>1802018</t>
        </is>
      </c>
      <c r="B905" s="2" t="inlineStr">
        <is>
          <t>9</t>
        </is>
      </c>
      <c r="C905" s="2" t="inlineStr">
        <is>
          <t>Gastrectomía subtotal sin disección ganglionar</t>
        </is>
      </c>
      <c r="D905" s="2" t="inlineStr">
        <is>
          <t>Cmay</t>
        </is>
      </c>
      <c r="E905" s="3" t="inlineStr">
        <is>
          <t>Cirugía Mayor</t>
        </is>
      </c>
    </row>
    <row r="906" ht="16" customHeight="1" s="151">
      <c r="A906" s="1" t="inlineStr">
        <is>
          <t>1802019</t>
        </is>
      </c>
      <c r="B906" s="2" t="inlineStr">
        <is>
          <t>9</t>
        </is>
      </c>
      <c r="C906" s="2" t="inlineStr">
        <is>
          <t>Dumping y/o síndrome asa aferente, trat. quir.</t>
        </is>
      </c>
      <c r="D906" s="2" t="inlineStr">
        <is>
          <t>Cmay</t>
        </is>
      </c>
      <c r="E906" s="3" t="inlineStr">
        <is>
          <t>Cirugía Mayor</t>
        </is>
      </c>
    </row>
    <row r="907" ht="16" customHeight="1" s="151">
      <c r="A907" s="1" t="inlineStr">
        <is>
          <t>1802021</t>
        </is>
      </c>
      <c r="B907" s="2" t="inlineStr">
        <is>
          <t>11</t>
        </is>
      </c>
      <c r="C907" s="2" t="inlineStr">
        <is>
          <t>Gastrectomía sub-total proximal con esófago-gastro-anastomosis u otra derivación</t>
        </is>
      </c>
      <c r="D907" s="2" t="inlineStr">
        <is>
          <t>Cmay</t>
        </is>
      </c>
      <c r="E907" s="3" t="inlineStr">
        <is>
          <t>Cirugía Mayor</t>
        </is>
      </c>
    </row>
    <row r="908" ht="16" customHeight="1" s="151">
      <c r="A908" s="1" t="inlineStr">
        <is>
          <t>1802022</t>
        </is>
      </c>
      <c r="B908" s="2" t="inlineStr">
        <is>
          <t>11</t>
        </is>
      </c>
      <c r="C908" s="2" t="inlineStr">
        <is>
          <t>Gastrectomía total</t>
        </is>
      </c>
      <c r="D908" s="2" t="inlineStr">
        <is>
          <t>Cmay</t>
        </is>
      </c>
      <c r="E908" s="3" t="inlineStr">
        <is>
          <t>Cirugía Mayor</t>
        </is>
      </c>
    </row>
    <row r="909" ht="16" customHeight="1" s="151">
      <c r="A909" s="1" t="inlineStr">
        <is>
          <t>1802023</t>
        </is>
      </c>
      <c r="B909" s="2" t="inlineStr">
        <is>
          <t>13</t>
        </is>
      </c>
      <c r="C909" s="2" t="inlineStr">
        <is>
          <t>Gastrectomía total o sub-total ampliada (incluye esplenectomía y pancreatectomía corporocaudal y disección ganglionar)</t>
        </is>
      </c>
      <c r="D909" s="2" t="inlineStr">
        <is>
          <t>Cmay</t>
        </is>
      </c>
      <c r="E909" s="3" t="inlineStr">
        <is>
          <t>Cirugía Mayor</t>
        </is>
      </c>
    </row>
    <row r="910" ht="16" customHeight="1" s="151">
      <c r="A910" s="1" t="inlineStr">
        <is>
          <t>1802024</t>
        </is>
      </c>
      <c r="B910" s="2" t="inlineStr">
        <is>
          <t>8</t>
        </is>
      </c>
      <c r="C910" s="2" t="inlineStr">
        <is>
          <t>Gastropexia y/u otra cirugía antirreflujo, c/s vagotomía</t>
        </is>
      </c>
      <c r="D910" s="2" t="inlineStr">
        <is>
          <t>Cmay</t>
        </is>
      </c>
      <c r="E910" s="3" t="inlineStr">
        <is>
          <t>Cirugía Mayor</t>
        </is>
      </c>
    </row>
    <row r="911" ht="16" customHeight="1" s="151">
      <c r="A911" s="1" t="inlineStr">
        <is>
          <t>1802025</t>
        </is>
      </c>
      <c r="B911" s="2" t="inlineStr">
        <is>
          <t>8</t>
        </is>
      </c>
      <c r="C911" s="2" t="inlineStr">
        <is>
          <t>Vagotomía selectiva y superselectiva c/s dren. gástrico, c/s piloroplastía (proc. aut.)</t>
        </is>
      </c>
      <c r="D911" s="2" t="inlineStr">
        <is>
          <t>Cmay</t>
        </is>
      </c>
      <c r="E911" s="3" t="inlineStr">
        <is>
          <t>Cirugía Mayor</t>
        </is>
      </c>
    </row>
    <row r="912" ht="16" customHeight="1" s="151">
      <c r="A912" s="1" t="inlineStr">
        <is>
          <t>1802026</t>
        </is>
      </c>
      <c r="B912" s="2" t="inlineStr">
        <is>
          <t>8</t>
        </is>
      </c>
      <c r="C912" s="2" t="inlineStr">
        <is>
          <t>Drenaje de colecciones líquidas hepáticas</t>
        </is>
      </c>
      <c r="D912" s="2" t="inlineStr">
        <is>
          <t>Cmay</t>
        </is>
      </c>
      <c r="E912" s="3" t="inlineStr">
        <is>
          <t>Cirugía Mayor</t>
        </is>
      </c>
    </row>
    <row r="913" ht="16" customHeight="1" s="151">
      <c r="A913" s="1" t="inlineStr">
        <is>
          <t>1802027</t>
        </is>
      </c>
      <c r="B913" s="2" t="inlineStr">
        <is>
          <t>10</t>
        </is>
      </c>
      <c r="C913" s="2" t="inlineStr">
        <is>
          <t>Colangioenteroanastomosis intrahepática</t>
        </is>
      </c>
      <c r="D913" s="2" t="inlineStr">
        <is>
          <t>Cmay</t>
        </is>
      </c>
      <c r="E913" s="3" t="inlineStr">
        <is>
          <t>Cirugía Mayor</t>
        </is>
      </c>
    </row>
    <row r="914" ht="16" customHeight="1" s="151">
      <c r="A914" s="1" t="inlineStr">
        <is>
          <t>1802028</t>
        </is>
      </c>
      <c r="B914" s="2" t="inlineStr">
        <is>
          <t>8</t>
        </is>
      </c>
      <c r="C914" s="2" t="inlineStr">
        <is>
          <t>Colecistectomía c/s colangiografía operatoria</t>
        </is>
      </c>
      <c r="D914" s="2" t="inlineStr">
        <is>
          <t>Cmay</t>
        </is>
      </c>
      <c r="E914" s="3" t="inlineStr">
        <is>
          <t>Cirugía Mayor</t>
        </is>
      </c>
    </row>
    <row r="915" ht="16" customHeight="1" s="151">
      <c r="A915" s="1" t="inlineStr">
        <is>
          <t>1802029</t>
        </is>
      </c>
      <c r="B915" s="2" t="inlineStr">
        <is>
          <t>8</t>
        </is>
      </c>
      <c r="C915" s="2" t="inlineStr">
        <is>
          <t>Colecistectomía y coledocostomía (sonda T y colangiografía postoperatoria) c/s colangiografía operatoria</t>
        </is>
      </c>
      <c r="D915" s="2" t="inlineStr">
        <is>
          <t>Cmay</t>
        </is>
      </c>
      <c r="E915" s="3" t="inlineStr">
        <is>
          <t>Cirugía Mayor</t>
        </is>
      </c>
    </row>
    <row r="916" ht="16" customHeight="1" s="151">
      <c r="A916" s="1" t="inlineStr">
        <is>
          <t>1802030</t>
        </is>
      </c>
      <c r="B916" s="2" t="inlineStr">
        <is>
          <t>8</t>
        </is>
      </c>
      <c r="C916" s="2" t="inlineStr">
        <is>
          <t>Colecistogastroanastomosis o colecistoenteroanastomosis</t>
        </is>
      </c>
      <c r="D916" s="2" t="inlineStr">
        <is>
          <t>Cmay</t>
        </is>
      </c>
      <c r="E916" s="3" t="inlineStr">
        <is>
          <t>Cirugía Mayor</t>
        </is>
      </c>
    </row>
    <row r="917" ht="16" customHeight="1" s="151">
      <c r="A917" s="1" t="inlineStr">
        <is>
          <t>1802031</t>
        </is>
      </c>
      <c r="B917" s="2" t="inlineStr">
        <is>
          <t>7</t>
        </is>
      </c>
      <c r="C917" s="2" t="inlineStr">
        <is>
          <t>Colecistostomía (proc. aut.)</t>
        </is>
      </c>
      <c r="D917" s="2" t="inlineStr">
        <is>
          <t>Cmay</t>
        </is>
      </c>
      <c r="E917" s="3" t="inlineStr">
        <is>
          <t>Cirugía Mayor</t>
        </is>
      </c>
    </row>
    <row r="918" ht="16" customHeight="1" s="151">
      <c r="A918" s="1" t="inlineStr">
        <is>
          <t>1802032</t>
        </is>
      </c>
      <c r="B918" s="2" t="inlineStr">
        <is>
          <t>9</t>
        </is>
      </c>
      <c r="C918" s="2" t="inlineStr">
        <is>
          <t>Colédoco o hepatoenteroanastomosis</t>
        </is>
      </c>
      <c r="D918" s="2" t="inlineStr">
        <is>
          <t>Cmay</t>
        </is>
      </c>
      <c r="E918" s="3" t="inlineStr">
        <is>
          <t>Cirugía Mayor</t>
        </is>
      </c>
    </row>
    <row r="919" ht="16" customHeight="1" s="151">
      <c r="A919" s="1" t="inlineStr">
        <is>
          <t>1802033</t>
        </is>
      </c>
      <c r="B919" s="2" t="inlineStr">
        <is>
          <t>8</t>
        </is>
      </c>
      <c r="C919" s="2" t="inlineStr">
        <is>
          <t>Coledocostomía supraduodenal o hepaticostomía (proc. aut.)</t>
        </is>
      </c>
      <c r="D919" s="2" t="inlineStr">
        <is>
          <t>Cmay</t>
        </is>
      </c>
      <c r="E919" s="3" t="inlineStr">
        <is>
          <t>Cirugía Mayor</t>
        </is>
      </c>
    </row>
    <row r="920" ht="16" customHeight="1" s="151">
      <c r="A920" s="1" t="inlineStr">
        <is>
          <t>1802034</t>
        </is>
      </c>
      <c r="B920" s="2" t="inlineStr">
        <is>
          <t>7</t>
        </is>
      </c>
      <c r="C920" s="2" t="inlineStr">
        <is>
          <t>Colocación de válvula peritoneoyugular derivativa de ascitis</t>
        </is>
      </c>
      <c r="D920" s="2" t="inlineStr">
        <is>
          <t>Cmay</t>
        </is>
      </c>
      <c r="E920" s="3" t="inlineStr">
        <is>
          <t>Cirugía Mayor</t>
        </is>
      </c>
    </row>
    <row r="921" ht="16" customHeight="1" s="151">
      <c r="A921" s="1" t="inlineStr">
        <is>
          <t>1802035</t>
        </is>
      </c>
      <c r="B921" s="2" t="inlineStr">
        <is>
          <t>12</t>
        </is>
      </c>
      <c r="C921" s="2" t="inlineStr">
        <is>
          <t>Desconexión ácigoportal con transección esofágica</t>
        </is>
      </c>
      <c r="D921" s="2" t="inlineStr">
        <is>
          <t>Cmay</t>
        </is>
      </c>
      <c r="E921" s="3" t="inlineStr">
        <is>
          <t>Cirugía Mayor</t>
        </is>
      </c>
    </row>
    <row r="922" ht="16" customHeight="1" s="151">
      <c r="A922" s="1" t="inlineStr">
        <is>
          <t>1802036</t>
        </is>
      </c>
      <c r="B922" s="2" t="inlineStr">
        <is>
          <t>12</t>
        </is>
      </c>
      <c r="C922" s="2" t="inlineStr">
        <is>
          <t>Desconexión ácigoportal sin transección esofágica</t>
        </is>
      </c>
      <c r="D922" s="2" t="inlineStr">
        <is>
          <t>Cmay</t>
        </is>
      </c>
      <c r="E922" s="3" t="inlineStr">
        <is>
          <t>Cirugía Mayor</t>
        </is>
      </c>
    </row>
    <row r="923" ht="16" customHeight="1" s="151">
      <c r="A923" s="1" t="inlineStr">
        <is>
          <t>1802037</t>
        </is>
      </c>
      <c r="B923" s="2" t="inlineStr">
        <is>
          <t>8</t>
        </is>
      </c>
      <c r="C923" s="2" t="inlineStr">
        <is>
          <t>Drenaje vía biliar transhepático</t>
        </is>
      </c>
      <c r="D923" s="2" t="inlineStr">
        <is>
          <t>Cmay</t>
        </is>
      </c>
      <c r="E923" s="3" t="inlineStr">
        <is>
          <t>Cirugía Mayor</t>
        </is>
      </c>
    </row>
    <row r="924" ht="16" customHeight="1" s="151">
      <c r="A924" s="1" t="inlineStr">
        <is>
          <t>1802038</t>
        </is>
      </c>
      <c r="B924" s="2" t="inlineStr">
        <is>
          <t>9</t>
        </is>
      </c>
      <c r="C924" s="2" t="inlineStr">
        <is>
          <t>Esfinteroplastía transduodenal, (proc. aut.)</t>
        </is>
      </c>
      <c r="D924" s="2" t="inlineStr">
        <is>
          <t>Cmay</t>
        </is>
      </c>
      <c r="E924" s="3" t="inlineStr">
        <is>
          <t>Cirugía Mayor</t>
        </is>
      </c>
    </row>
    <row r="925" ht="16" customHeight="1" s="151">
      <c r="A925" s="1" t="inlineStr">
        <is>
          <t>1802039</t>
        </is>
      </c>
      <c r="B925" s="2" t="inlineStr">
        <is>
          <t>10</t>
        </is>
      </c>
      <c r="C925" s="2" t="inlineStr">
        <is>
          <t>Hepatectomía segmentaria (proc. aut.)</t>
        </is>
      </c>
      <c r="D925" s="2" t="inlineStr">
        <is>
          <t>Cmay</t>
        </is>
      </c>
      <c r="E925" s="3" t="inlineStr">
        <is>
          <t>Cirugía Mayor</t>
        </is>
      </c>
    </row>
    <row r="926" ht="16" customHeight="1" s="151">
      <c r="A926" s="1" t="inlineStr">
        <is>
          <t>1802040</t>
        </is>
      </c>
      <c r="B926" s="2" t="inlineStr">
        <is>
          <t>8</t>
        </is>
      </c>
      <c r="C926" s="2" t="inlineStr">
        <is>
          <t>Herida traumática de hígado y/o vía biliar, trat. quir.</t>
        </is>
      </c>
      <c r="D926" s="2" t="inlineStr">
        <is>
          <t>Cmay</t>
        </is>
      </c>
      <c r="E926" s="3" t="inlineStr">
        <is>
          <t>Cirugía Mayor</t>
        </is>
      </c>
    </row>
    <row r="927" ht="16" customHeight="1" s="151">
      <c r="A927" s="1" t="inlineStr">
        <is>
          <t>1802041</t>
        </is>
      </c>
      <c r="B927" s="2" t="inlineStr">
        <is>
          <t>12</t>
        </is>
      </c>
      <c r="C927" s="2" t="inlineStr">
        <is>
          <t>Lobectomía hepática (proc. aut.)</t>
        </is>
      </c>
      <c r="D927" s="2" t="inlineStr">
        <is>
          <t>Cmay</t>
        </is>
      </c>
      <c r="E927" s="3" t="inlineStr">
        <is>
          <t>Cirugía Mayor</t>
        </is>
      </c>
    </row>
    <row r="928" ht="16" customHeight="1" s="151">
      <c r="A928" s="1" t="inlineStr">
        <is>
          <t>1802042</t>
        </is>
      </c>
      <c r="B928" s="2" t="inlineStr">
        <is>
          <t>9</t>
        </is>
      </c>
      <c r="C928" s="2" t="inlineStr">
        <is>
          <t>Quiste hidatídico, único o múltiple, y/o cistoyeyunoanastomosis, trat. quir.</t>
        </is>
      </c>
      <c r="D928" s="2" t="inlineStr">
        <is>
          <t>Cmay</t>
        </is>
      </c>
      <c r="E928" s="3" t="inlineStr">
        <is>
          <t>Cirugía Mayor</t>
        </is>
      </c>
    </row>
    <row r="929" ht="16" customHeight="1" s="151">
      <c r="A929" s="1" t="inlineStr">
        <is>
          <t>1802043</t>
        </is>
      </c>
      <c r="B929" s="2" t="inlineStr">
        <is>
          <t>8</t>
        </is>
      </c>
      <c r="C929" s="2" t="inlineStr">
        <is>
          <t>Abscesos, quistes, pseudoquistes o similares de páncreas, trat. quir.</t>
        </is>
      </c>
      <c r="D929" s="2" t="inlineStr">
        <is>
          <t>Cmay</t>
        </is>
      </c>
      <c r="E929" s="3" t="inlineStr">
        <is>
          <t>Cirugía Mayor</t>
        </is>
      </c>
    </row>
    <row r="930" ht="16" customHeight="1" s="151">
      <c r="A930" s="1" t="inlineStr">
        <is>
          <t>1802044</t>
        </is>
      </c>
      <c r="B930" s="2" t="inlineStr">
        <is>
          <t>8</t>
        </is>
      </c>
      <c r="C930" s="2" t="inlineStr">
        <is>
          <t>Heridas, traumatismos de páncreas, trat.quir.</t>
        </is>
      </c>
      <c r="D930" s="2" t="inlineStr">
        <is>
          <t>Cmay</t>
        </is>
      </c>
      <c r="E930" s="3" t="inlineStr">
        <is>
          <t>Cirugía Mayor</t>
        </is>
      </c>
    </row>
    <row r="931" ht="16" customHeight="1" s="151">
      <c r="A931" s="1" t="inlineStr">
        <is>
          <t>1802045</t>
        </is>
      </c>
      <c r="B931" s="2" t="inlineStr">
        <is>
          <t>10</t>
        </is>
      </c>
      <c r="C931" s="2" t="inlineStr">
        <is>
          <t>Pancreatectomía parcial</t>
        </is>
      </c>
      <c r="D931" s="2" t="inlineStr">
        <is>
          <t>Cmay</t>
        </is>
      </c>
      <c r="E931" s="3" t="inlineStr">
        <is>
          <t>Cirugía Mayor</t>
        </is>
      </c>
    </row>
    <row r="932" ht="16" customHeight="1" s="151">
      <c r="A932" s="1" t="inlineStr">
        <is>
          <t>1802046</t>
        </is>
      </c>
      <c r="B932" s="2" t="inlineStr">
        <is>
          <t>12</t>
        </is>
      </c>
      <c r="C932" s="2" t="inlineStr">
        <is>
          <t>Pancreatectomía total c/s esplenectomía</t>
        </is>
      </c>
      <c r="D932" s="2" t="inlineStr">
        <is>
          <t>Cmay</t>
        </is>
      </c>
      <c r="E932" s="3" t="inlineStr">
        <is>
          <t>Cirugía Mayor</t>
        </is>
      </c>
    </row>
    <row r="933" ht="16" customHeight="1" s="151">
      <c r="A933" s="1" t="inlineStr">
        <is>
          <t>1802047</t>
        </is>
      </c>
      <c r="B933" s="2" t="inlineStr">
        <is>
          <t>12</t>
        </is>
      </c>
      <c r="C933" s="2" t="inlineStr">
        <is>
          <t>Pancreatoduodenectomía</t>
        </is>
      </c>
      <c r="D933" s="2" t="inlineStr">
        <is>
          <t>Cmay</t>
        </is>
      </c>
      <c r="E933" s="3" t="inlineStr">
        <is>
          <t>Cirugía Mayor</t>
        </is>
      </c>
    </row>
    <row r="934" ht="16" customHeight="1" s="151">
      <c r="A934" s="1" t="inlineStr">
        <is>
          <t>1802048</t>
        </is>
      </c>
      <c r="B934" s="2" t="inlineStr">
        <is>
          <t>7</t>
        </is>
      </c>
      <c r="C934" s="2" t="inlineStr">
        <is>
          <t>Secuestrectomía en pancreatitis aguda</t>
        </is>
      </c>
      <c r="D934" s="2" t="inlineStr">
        <is>
          <t>Cmay</t>
        </is>
      </c>
      <c r="E934" s="3" t="inlineStr">
        <is>
          <t>Cirugía Mayor</t>
        </is>
      </c>
    </row>
    <row r="935" ht="16" customHeight="1" s="151">
      <c r="A935" s="1" t="inlineStr">
        <is>
          <t>1802049</t>
        </is>
      </c>
      <c r="B935" s="2" t="inlineStr">
        <is>
          <t>9</t>
        </is>
      </c>
      <c r="C935" s="2" t="inlineStr">
        <is>
          <t>Autoimplante de bazo (incluye esplenectomía)</t>
        </is>
      </c>
      <c r="D935" s="2" t="inlineStr">
        <is>
          <t>Cmay</t>
        </is>
      </c>
      <c r="E935" s="3" t="inlineStr">
        <is>
          <t>Cirugía Mayor</t>
        </is>
      </c>
    </row>
    <row r="936" ht="16" customHeight="1" s="151">
      <c r="A936" s="1" t="inlineStr">
        <is>
          <t>1802050</t>
        </is>
      </c>
      <c r="B936" s="2" t="inlineStr">
        <is>
          <t>8</t>
        </is>
      </c>
      <c r="C936" s="2" t="inlineStr">
        <is>
          <t>Esplenectomía total o parcial (proc. aut.)</t>
        </is>
      </c>
      <c r="D936" s="2" t="inlineStr">
        <is>
          <t>Cmay</t>
        </is>
      </c>
      <c r="E936" s="3" t="inlineStr">
        <is>
          <t>Cirugía Mayor</t>
        </is>
      </c>
    </row>
    <row r="937" ht="16" customHeight="1" s="151">
      <c r="A937" s="1" t="inlineStr">
        <is>
          <t>1802051</t>
        </is>
      </c>
      <c r="B937" s="2" t="inlineStr">
        <is>
          <t>9</t>
        </is>
      </c>
      <c r="C937" s="2" t="inlineStr">
        <is>
          <t>Operación de etapificación (incluye esplenectomía, biopsias hepáticas, de ganglios abdominales y de cresta ilíaca)</t>
        </is>
      </c>
      <c r="D937" s="2" t="inlineStr">
        <is>
          <t>Cmay</t>
        </is>
      </c>
      <c r="E937" s="3" t="inlineStr">
        <is>
          <t>Cirugía Mayor</t>
        </is>
      </c>
    </row>
    <row r="938" ht="16" customHeight="1" s="151">
      <c r="A938" s="1" t="inlineStr">
        <is>
          <t>1802052</t>
        </is>
      </c>
      <c r="B938" s="2" t="inlineStr">
        <is>
          <t>8</t>
        </is>
      </c>
      <c r="C938" s="2" t="inlineStr">
        <is>
          <t>Sutura esplénica (proc. aut.)</t>
        </is>
      </c>
      <c r="D938" s="2" t="inlineStr">
        <is>
          <t>Cmay</t>
        </is>
      </c>
      <c r="E938" s="3" t="inlineStr">
        <is>
          <t>Cirugía Mayor</t>
        </is>
      </c>
    </row>
    <row r="939" ht="16" customHeight="1" s="151">
      <c r="A939" s="1" t="inlineStr">
        <is>
          <t>1802053</t>
        </is>
      </c>
      <c r="B939" s="2" t="inlineStr">
        <is>
          <t>7</t>
        </is>
      </c>
      <c r="C939" s="2" t="inlineStr">
        <is>
          <t>Apendicectomía y/o dren. absceso apendicular (proc. aut.)</t>
        </is>
      </c>
      <c r="D939" s="2" t="inlineStr">
        <is>
          <t>Cmay</t>
        </is>
      </c>
      <c r="E939" s="3" t="inlineStr">
        <is>
          <t>Cirugía Mayor</t>
        </is>
      </c>
    </row>
    <row r="940" ht="16" customHeight="1" s="151">
      <c r="A940" s="1" t="inlineStr">
        <is>
          <t>1802054</t>
        </is>
      </c>
      <c r="B940" s="2" t="inlineStr">
        <is>
          <t>7</t>
        </is>
      </c>
      <c r="C940" s="2" t="inlineStr">
        <is>
          <t>Cierre de colostomía (proc. aut.)</t>
        </is>
      </c>
      <c r="D940" s="2" t="inlineStr">
        <is>
          <t>Cmay</t>
        </is>
      </c>
      <c r="E940" s="3" t="inlineStr">
        <is>
          <t>Cirugía Mayor</t>
        </is>
      </c>
    </row>
    <row r="941" ht="16" customHeight="1" s="151">
      <c r="A941" s="1" t="inlineStr">
        <is>
          <t>1802055</t>
        </is>
      </c>
      <c r="B941" s="2" t="inlineStr">
        <is>
          <t>7</t>
        </is>
      </c>
      <c r="C941" s="2" t="inlineStr">
        <is>
          <t>Colostomía (proc. aut.)</t>
        </is>
      </c>
      <c r="D941" s="2" t="inlineStr">
        <is>
          <t>Cmay</t>
        </is>
      </c>
      <c r="E941" s="3" t="inlineStr">
        <is>
          <t>Cirugía Mayor</t>
        </is>
      </c>
    </row>
    <row r="942" ht="16" customHeight="1" s="151">
      <c r="A942" s="1" t="inlineStr">
        <is>
          <t>1802056</t>
        </is>
      </c>
      <c r="B942" s="2" t="inlineStr">
        <is>
          <t>8</t>
        </is>
      </c>
      <c r="C942" s="2" t="inlineStr">
        <is>
          <t>Colostomía, complicaciones tardías, trat. quir.</t>
        </is>
      </c>
      <c r="D942" s="2" t="inlineStr">
        <is>
          <t>Cmay</t>
        </is>
      </c>
      <c r="E942" s="3" t="inlineStr">
        <is>
          <t>Cirugía Mayor</t>
        </is>
      </c>
    </row>
    <row r="943" ht="16" customHeight="1" s="151">
      <c r="A943" s="1" t="inlineStr">
        <is>
          <t>1802057</t>
        </is>
      </c>
      <c r="B943" s="2" t="inlineStr">
        <is>
          <t>7</t>
        </is>
      </c>
      <c r="C943" s="2" t="inlineStr">
        <is>
          <t>Divertículo de Meckel, trat. quir.</t>
        </is>
      </c>
      <c r="D943" s="2" t="inlineStr">
        <is>
          <t>Cmay</t>
        </is>
      </c>
      <c r="E943" s="3" t="inlineStr">
        <is>
          <t>Cirugía Mayor</t>
        </is>
      </c>
    </row>
    <row r="944" ht="16" customHeight="1" s="151">
      <c r="A944" s="1" t="inlineStr">
        <is>
          <t>1802058</t>
        </is>
      </c>
      <c r="B944" s="2" t="inlineStr">
        <is>
          <t>7</t>
        </is>
      </c>
      <c r="C944" s="2" t="inlineStr">
        <is>
          <t>Entero-enteroanastomosis o enterocoloanastomosis (proc. aut.)</t>
        </is>
      </c>
      <c r="D944" s="2" t="inlineStr">
        <is>
          <t>Cmay</t>
        </is>
      </c>
      <c r="E944" s="3" t="inlineStr">
        <is>
          <t>Cirugía Mayor</t>
        </is>
      </c>
    </row>
    <row r="945" ht="16" customHeight="1" s="151">
      <c r="A945" s="1" t="inlineStr">
        <is>
          <t>1802059</t>
        </is>
      </c>
      <c r="B945" s="2" t="inlineStr">
        <is>
          <t>6</t>
        </is>
      </c>
      <c r="C945" s="2" t="inlineStr">
        <is>
          <t>Enterotomía o enterostomía (yeyunostomía u otra) (proc. aut.)</t>
        </is>
      </c>
      <c r="D945" s="2" t="inlineStr">
        <is>
          <t>Cmay</t>
        </is>
      </c>
      <c r="E945" s="3" t="inlineStr">
        <is>
          <t>Cirugía Mayor</t>
        </is>
      </c>
    </row>
    <row r="946" ht="16" customHeight="1" s="151">
      <c r="A946" s="1" t="inlineStr">
        <is>
          <t>1802060</t>
        </is>
      </c>
      <c r="B946" s="2" t="inlineStr">
        <is>
          <t>8</t>
        </is>
      </c>
      <c r="C946" s="2" t="inlineStr">
        <is>
          <t>Ileostomía terminal o en asa (proc. aut.)</t>
        </is>
      </c>
      <c r="D946" s="2" t="inlineStr">
        <is>
          <t>Cmay</t>
        </is>
      </c>
      <c r="E946" s="3" t="inlineStr">
        <is>
          <t>Cirugía Mayor</t>
        </is>
      </c>
    </row>
    <row r="947" ht="16" customHeight="1" s="151">
      <c r="A947" s="1" t="inlineStr">
        <is>
          <t>1802061</t>
        </is>
      </c>
      <c r="B947" s="2" t="inlineStr">
        <is>
          <t>7</t>
        </is>
      </c>
      <c r="C947" s="2" t="inlineStr">
        <is>
          <t>Invaginación intestinal, trat. quir.</t>
        </is>
      </c>
      <c r="D947" s="2" t="inlineStr">
        <is>
          <t>Cmay</t>
        </is>
      </c>
      <c r="E947" s="3" t="inlineStr">
        <is>
          <t>Cirugía Mayor</t>
        </is>
      </c>
    </row>
    <row r="948" ht="16" customHeight="1" s="151">
      <c r="A948" s="1" t="inlineStr">
        <is>
          <t>1802062</t>
        </is>
      </c>
      <c r="B948" s="2" t="inlineStr">
        <is>
          <t>7</t>
        </is>
      </c>
      <c r="C948" s="2" t="inlineStr">
        <is>
          <t>Persistencia conducto onfalomesentérico, trat. quir.</t>
        </is>
      </c>
      <c r="D948" s="2" t="inlineStr">
        <is>
          <t>Cmay</t>
        </is>
      </c>
      <c r="E948" s="3" t="inlineStr">
        <is>
          <t>Cirugía Mayor</t>
        </is>
      </c>
    </row>
    <row r="949" ht="16" customHeight="1" s="151">
      <c r="A949" s="1" t="inlineStr">
        <is>
          <t>1802063</t>
        </is>
      </c>
      <c r="B949" s="2" t="inlineStr">
        <is>
          <t>7</t>
        </is>
      </c>
      <c r="C949" s="2" t="inlineStr">
        <is>
          <t>Quiste uraco, trat. quir.</t>
        </is>
      </c>
      <c r="D949" s="2" t="inlineStr">
        <is>
          <t>Cmay</t>
        </is>
      </c>
      <c r="E949" s="3" t="inlineStr">
        <is>
          <t>Cirugía Mayor</t>
        </is>
      </c>
    </row>
    <row r="950" ht="16" customHeight="1" s="151">
      <c r="A950" s="1" t="inlineStr">
        <is>
          <t>1802065</t>
        </is>
      </c>
      <c r="B950" s="2" t="inlineStr">
        <is>
          <t>8</t>
        </is>
      </c>
      <c r="C950" s="2" t="inlineStr">
        <is>
          <t>Oclusión intestinal con resección</t>
        </is>
      </c>
      <c r="D950" s="2" t="inlineStr">
        <is>
          <t>Cmay</t>
        </is>
      </c>
      <c r="E950" s="3" t="inlineStr">
        <is>
          <t>Cirugía Mayor</t>
        </is>
      </c>
    </row>
    <row r="951" ht="16" customHeight="1" s="151">
      <c r="A951" s="1" t="inlineStr">
        <is>
          <t>1802066</t>
        </is>
      </c>
      <c r="B951" s="2" t="inlineStr">
        <is>
          <t>7</t>
        </is>
      </c>
      <c r="C951" s="2" t="inlineStr">
        <is>
          <t>Oclusión intestinal sin resección</t>
        </is>
      </c>
      <c r="D951" s="2" t="inlineStr">
        <is>
          <t>Cmay</t>
        </is>
      </c>
      <c r="E951" s="3" t="inlineStr">
        <is>
          <t>Cirugía Mayor</t>
        </is>
      </c>
    </row>
    <row r="952" ht="16" customHeight="1" s="151">
      <c r="A952" s="1" t="inlineStr">
        <is>
          <t>1802067</t>
        </is>
      </c>
      <c r="B952" s="2" t="inlineStr">
        <is>
          <t>9</t>
        </is>
      </c>
      <c r="C952" s="2" t="inlineStr">
        <is>
          <t>Colectomía parcial o hemicolectomía</t>
        </is>
      </c>
      <c r="D952" s="2" t="inlineStr">
        <is>
          <t>Cmay</t>
        </is>
      </c>
      <c r="E952" s="3" t="inlineStr">
        <is>
          <t>Cirugía Mayor</t>
        </is>
      </c>
    </row>
    <row r="953" ht="16" customHeight="1" s="151">
      <c r="A953" s="1" t="inlineStr">
        <is>
          <t>1802068</t>
        </is>
      </c>
      <c r="B953" s="2" t="inlineStr">
        <is>
          <t>10</t>
        </is>
      </c>
      <c r="C953" s="2" t="inlineStr">
        <is>
          <t>Colectomía total abdominal</t>
        </is>
      </c>
      <c r="D953" s="2" t="inlineStr">
        <is>
          <t>Cmay</t>
        </is>
      </c>
      <c r="E953" s="3" t="inlineStr">
        <is>
          <t>Cirugía Mayor</t>
        </is>
      </c>
    </row>
    <row r="954" ht="16" customHeight="1" s="151">
      <c r="A954" s="1" t="inlineStr">
        <is>
          <t>1802069</t>
        </is>
      </c>
      <c r="B954" s="2" t="inlineStr">
        <is>
          <t>10</t>
        </is>
      </c>
      <c r="C954" s="2" t="inlineStr">
        <is>
          <t>Descenso de colon c/conservación del esfínter, incluye resección de colon</t>
        </is>
      </c>
      <c r="D954" s="2" t="inlineStr">
        <is>
          <t>Cmay</t>
        </is>
      </c>
      <c r="E954" s="3" t="inlineStr">
        <is>
          <t>Cirugía Mayor</t>
        </is>
      </c>
    </row>
    <row r="955" ht="16" customHeight="1" s="151">
      <c r="A955" s="1" t="inlineStr">
        <is>
          <t>1802070</t>
        </is>
      </c>
      <c r="B955" s="2" t="inlineStr">
        <is>
          <t>9</t>
        </is>
      </c>
      <c r="C955" s="2" t="inlineStr">
        <is>
          <t>Hartmann, operación de (o similar)</t>
        </is>
      </c>
      <c r="D955" s="2" t="inlineStr">
        <is>
          <t>Cmay</t>
        </is>
      </c>
      <c r="E955" s="3" t="inlineStr">
        <is>
          <t>Cirugía Mayor</t>
        </is>
      </c>
    </row>
    <row r="956" ht="16" customHeight="1" s="151">
      <c r="A956" s="1" t="inlineStr">
        <is>
          <t>1802071</t>
        </is>
      </c>
      <c r="B956" s="2" t="inlineStr">
        <is>
          <t>7</t>
        </is>
      </c>
      <c r="C956" s="2" t="inlineStr">
        <is>
          <t>Perforación y/o herida de intestino, única o múltiple, trat. quir. (proc. aut.)</t>
        </is>
      </c>
      <c r="D956" s="2" t="inlineStr">
        <is>
          <t>Cmay</t>
        </is>
      </c>
      <c r="E956" s="3" t="inlineStr">
        <is>
          <t>Cirugía Mayor</t>
        </is>
      </c>
    </row>
    <row r="957" ht="16" customHeight="1" s="151">
      <c r="A957" s="1" t="inlineStr">
        <is>
          <t>1802072</t>
        </is>
      </c>
      <c r="B957" s="2" t="inlineStr">
        <is>
          <t>7</t>
        </is>
      </c>
      <c r="C957" s="2" t="inlineStr">
        <is>
          <t>Quiste y/o tumor del mesenterio y/o epiplones, único y/o múltiple, trat. quir.</t>
        </is>
      </c>
      <c r="D957" s="2" t="inlineStr">
        <is>
          <t>Cmay</t>
        </is>
      </c>
      <c r="E957" s="3" t="inlineStr">
        <is>
          <t>Cirugía Mayor</t>
        </is>
      </c>
    </row>
    <row r="958" ht="16" customHeight="1" s="151">
      <c r="A958" s="1" t="inlineStr">
        <is>
          <t>1802073</t>
        </is>
      </c>
      <c r="B958" s="2" t="inlineStr">
        <is>
          <t>9</t>
        </is>
      </c>
      <c r="C958" s="2" t="inlineStr">
        <is>
          <t>Reconstitución  tránsito post operación de Hartmann o sim.</t>
        </is>
      </c>
      <c r="D958" s="2" t="inlineStr">
        <is>
          <t>Cmay</t>
        </is>
      </c>
      <c r="E958" s="3" t="inlineStr">
        <is>
          <t>Cirugía Mayor</t>
        </is>
      </c>
    </row>
    <row r="959" ht="16" customHeight="1" s="151">
      <c r="A959" s="1" t="inlineStr">
        <is>
          <t>1802074</t>
        </is>
      </c>
      <c r="B959" s="2" t="inlineStr">
        <is>
          <t>8</t>
        </is>
      </c>
      <c r="C959" s="2" t="inlineStr">
        <is>
          <t>Resección de intestino y enteroanastomosis (proc. aut.)</t>
        </is>
      </c>
      <c r="D959" s="2" t="inlineStr">
        <is>
          <t>Cmay</t>
        </is>
      </c>
      <c r="E959" s="3" t="inlineStr">
        <is>
          <t>Cirugía Mayor</t>
        </is>
      </c>
    </row>
    <row r="960" ht="16" customHeight="1" s="151">
      <c r="A960" s="1" t="inlineStr">
        <is>
          <t>1802075</t>
        </is>
      </c>
      <c r="B960" s="2" t="inlineStr">
        <is>
          <t>9</t>
        </is>
      </c>
      <c r="C960" s="2" t="inlineStr">
        <is>
          <t>Resección intestinal masiva por trombosis mesentérica u otra etiología</t>
        </is>
      </c>
      <c r="D960" s="2" t="inlineStr">
        <is>
          <t>Cmay</t>
        </is>
      </c>
      <c r="E960" s="3" t="inlineStr">
        <is>
          <t>Cirugía Mayor</t>
        </is>
      </c>
    </row>
    <row r="961" ht="16" customHeight="1" s="151">
      <c r="A961" s="1" t="inlineStr">
        <is>
          <t>1802076</t>
        </is>
      </c>
      <c r="B961" s="2" t="inlineStr">
        <is>
          <t>8</t>
        </is>
      </c>
      <c r="C961" s="2" t="inlineStr">
        <is>
          <t>Duplicación intestinal, trat. quir.</t>
        </is>
      </c>
      <c r="D961" s="2" t="inlineStr">
        <is>
          <t>Cmay</t>
        </is>
      </c>
      <c r="E961" s="3" t="inlineStr">
        <is>
          <t>Cirugía Mayor</t>
        </is>
      </c>
    </row>
    <row r="962" ht="16" customHeight="1" s="151">
      <c r="A962" s="1" t="inlineStr">
        <is>
          <t>1802077</t>
        </is>
      </c>
      <c r="B962" s="2" t="inlineStr">
        <is>
          <t>8</t>
        </is>
      </c>
      <c r="C962" s="2" t="inlineStr">
        <is>
          <t>Mal rotación intestinal, trat. quir.</t>
        </is>
      </c>
      <c r="D962" s="2" t="inlineStr">
        <is>
          <t>Cmay</t>
        </is>
      </c>
      <c r="E962" s="3" t="inlineStr">
        <is>
          <t>Cirugía Mayor</t>
        </is>
      </c>
    </row>
    <row r="963" ht="16" customHeight="1" s="151">
      <c r="A963" s="1" t="inlineStr">
        <is>
          <t>1802079</t>
        </is>
      </c>
      <c r="B963" s="2" t="inlineStr">
        <is>
          <t>11</t>
        </is>
      </c>
      <c r="C963" s="2" t="inlineStr">
        <is>
          <t>Gastrectomía total con ostomías proximal y distal</t>
        </is>
      </c>
      <c r="D963" s="2" t="inlineStr">
        <is>
          <t>Cmay</t>
        </is>
      </c>
      <c r="E963" s="3" t="inlineStr">
        <is>
          <t>Cirugía Mayor</t>
        </is>
      </c>
    </row>
    <row r="964" ht="16" customHeight="1" s="151">
      <c r="A964" s="1" t="inlineStr">
        <is>
          <t>1802080</t>
        </is>
      </c>
      <c r="B964" s="2" t="inlineStr">
        <is>
          <t>11</t>
        </is>
      </c>
      <c r="C964" s="2" t="inlineStr">
        <is>
          <t>Reconstitución  de tránsito en 2° tiempo de operación código 18-02-079</t>
        </is>
      </c>
      <c r="D964" s="2" t="inlineStr">
        <is>
          <t>Cmay</t>
        </is>
      </c>
      <c r="E964" s="3" t="inlineStr">
        <is>
          <t>Cirugía Mayor</t>
        </is>
      </c>
    </row>
    <row r="965" ht="16" customHeight="1" s="151">
      <c r="A965" s="1" t="inlineStr">
        <is>
          <t>1802081</t>
        </is>
      </c>
      <c r="B965" s="2" t="inlineStr">
        <is>
          <t>10</t>
        </is>
      </c>
      <c r="C965" s="2" t="inlineStr">
        <is>
          <t>Colecistectomía por videolaparoscopía, proc. completo</t>
        </is>
      </c>
      <c r="D965" s="2" t="inlineStr">
        <is>
          <t>Cmay</t>
        </is>
      </c>
      <c r="E965" s="3" t="inlineStr">
        <is>
          <t>Cirugía Mayor</t>
        </is>
      </c>
    </row>
    <row r="966" ht="16" customHeight="1" s="151">
      <c r="A966" s="1" t="inlineStr">
        <is>
          <t>1802082</t>
        </is>
      </c>
      <c r="B966" s="2" t="inlineStr">
        <is>
          <t>8</t>
        </is>
      </c>
      <c r="C966" s="2" t="inlineStr">
        <is>
          <t>Resección intestinal con ostomías proximal y distal</t>
        </is>
      </c>
      <c r="D966" s="2" t="inlineStr">
        <is>
          <t>Cmay</t>
        </is>
      </c>
      <c r="E966" s="3" t="inlineStr">
        <is>
          <t>Cirugía Mayor</t>
        </is>
      </c>
    </row>
    <row r="967" ht="16" customHeight="1" s="151">
      <c r="A967" s="1" t="inlineStr">
        <is>
          <t>1802083</t>
        </is>
      </c>
      <c r="B967" s="2" t="inlineStr">
        <is>
          <t>7</t>
        </is>
      </c>
      <c r="C967" s="2" t="inlineStr">
        <is>
          <t>Cirugía de la estenosis hipertrófica del píloro. Abierta</t>
        </is>
      </c>
      <c r="D967" s="2" t="inlineStr">
        <is>
          <t>Cmay</t>
        </is>
      </c>
      <c r="E967" s="3" t="inlineStr">
        <is>
          <t>Cirugía Mayor</t>
        </is>
      </c>
    </row>
    <row r="968" ht="16" customHeight="1" s="151">
      <c r="A968" s="1" t="inlineStr">
        <is>
          <t>1802084</t>
        </is>
      </c>
      <c r="B968" s="2" t="inlineStr">
        <is>
          <t>9</t>
        </is>
      </c>
      <c r="C968" s="2" t="inlineStr">
        <is>
          <t>Cirugía de la estenosis hipertrófica del píloro. Laparoscopia</t>
        </is>
      </c>
      <c r="D968" s="2" t="inlineStr">
        <is>
          <t>Cmay</t>
        </is>
      </c>
      <c r="E968" s="3" t="inlineStr">
        <is>
          <t>Cirugía Mayor</t>
        </is>
      </c>
    </row>
    <row r="969" ht="16" customHeight="1" s="151">
      <c r="A969" s="1" t="inlineStr">
        <is>
          <t>1802085</t>
        </is>
      </c>
      <c r="B969" s="2" t="inlineStr">
        <is>
          <t>8</t>
        </is>
      </c>
      <c r="C969" s="2" t="inlineStr">
        <is>
          <t>Laparotomía exploradora, instalación de VAC (por procedimiento)</t>
        </is>
      </c>
      <c r="D969" s="2" t="inlineStr">
        <is>
          <t>Cmay</t>
        </is>
      </c>
      <c r="E969" s="3" t="inlineStr">
        <is>
          <t>Cirugía Mayor</t>
        </is>
      </c>
    </row>
    <row r="970" ht="16" customHeight="1" s="151">
      <c r="A970" s="1" t="inlineStr">
        <is>
          <t>1802086</t>
        </is>
      </c>
      <c r="B970" s="2" t="inlineStr">
        <is>
          <t>9</t>
        </is>
      </c>
      <c r="C970" s="2" t="inlineStr">
        <is>
          <t>Cirugía antirreflujo más gastrostomía</t>
        </is>
      </c>
      <c r="D970" s="2" t="inlineStr">
        <is>
          <t>Cmay</t>
        </is>
      </c>
      <c r="E970" s="3" t="inlineStr">
        <is>
          <t>Cirugía Mayor</t>
        </is>
      </c>
    </row>
    <row r="971" ht="16" customHeight="1" s="151">
      <c r="A971" s="1" t="inlineStr">
        <is>
          <t>1802087</t>
        </is>
      </c>
      <c r="B971" s="2" t="inlineStr">
        <is>
          <t>11</t>
        </is>
      </c>
      <c r="C971" s="2" t="inlineStr">
        <is>
          <t>Cirugía antirreflujo más gastrostomia vía laparoscopia</t>
        </is>
      </c>
      <c r="D971" s="2" t="inlineStr">
        <is>
          <t>Cmay</t>
        </is>
      </c>
      <c r="E971" s="3" t="inlineStr">
        <is>
          <t>Cirugía Mayor</t>
        </is>
      </c>
    </row>
    <row r="972" ht="16" customHeight="1" s="151">
      <c r="A972" s="1" t="inlineStr">
        <is>
          <t>1802088</t>
        </is>
      </c>
      <c r="B972" s="2" t="inlineStr">
        <is>
          <t>10</t>
        </is>
      </c>
      <c r="C972" s="2" t="inlineStr">
        <is>
          <t>Cirugía de la atresia de vía biliar</t>
        </is>
      </c>
      <c r="D972" s="2" t="inlineStr">
        <is>
          <t>Cmay</t>
        </is>
      </c>
      <c r="E972" s="3" t="inlineStr">
        <is>
          <t>Cirugía Mayor</t>
        </is>
      </c>
    </row>
    <row r="973" ht="16" customHeight="1" s="151">
      <c r="A973" s="1" t="inlineStr">
        <is>
          <t>1802089</t>
        </is>
      </c>
      <c r="B973" s="2" t="inlineStr">
        <is>
          <t>12</t>
        </is>
      </c>
      <c r="C973" s="2" t="inlineStr">
        <is>
          <t>Cirugía de la atresia de vía biliar por vía laparoscopia</t>
        </is>
      </c>
      <c r="D973" s="2" t="inlineStr">
        <is>
          <t>Cmay</t>
        </is>
      </c>
      <c r="E973" s="3" t="inlineStr">
        <is>
          <t>Cirugía Mayor</t>
        </is>
      </c>
    </row>
    <row r="974" ht="16" customHeight="1" s="151">
      <c r="A974" s="1" t="inlineStr">
        <is>
          <t>1802090</t>
        </is>
      </c>
      <c r="B974" s="2" t="inlineStr">
        <is>
          <t>9</t>
        </is>
      </c>
      <c r="C974" s="2" t="inlineStr">
        <is>
          <t>Atresia o estenosis duodenal, páncreas anular, reparación quirúrgica. Abierta</t>
        </is>
      </c>
      <c r="D974" s="2" t="inlineStr">
        <is>
          <t>Cmay</t>
        </is>
      </c>
      <c r="E974" s="3" t="inlineStr">
        <is>
          <t>Cirugía Mayor</t>
        </is>
      </c>
    </row>
    <row r="975" ht="16" customHeight="1" s="151">
      <c r="A975" s="1" t="inlineStr">
        <is>
          <t>1802091</t>
        </is>
      </c>
      <c r="B975" s="2" t="inlineStr">
        <is>
          <t>11</t>
        </is>
      </c>
      <c r="C975" s="2" t="inlineStr">
        <is>
          <t>Atresia o estenosis duodenal, páncreas anular, reparación quirúrgica laparoscopia</t>
        </is>
      </c>
      <c r="D975" s="2" t="inlineStr">
        <is>
          <t>Cmay</t>
        </is>
      </c>
      <c r="E975" s="3" t="inlineStr">
        <is>
          <t>Cirugía Mayor</t>
        </is>
      </c>
    </row>
    <row r="976" ht="16" customHeight="1" s="151">
      <c r="A976" s="1" t="inlineStr">
        <is>
          <t>1802092</t>
        </is>
      </c>
      <c r="B976" s="2" t="inlineStr">
        <is>
          <t>11</t>
        </is>
      </c>
      <c r="C976" s="2" t="inlineStr">
        <is>
          <t>Esplenectomía por vía laparoscopia</t>
        </is>
      </c>
      <c r="D976" s="2" t="inlineStr">
        <is>
          <t>Cmay</t>
        </is>
      </c>
      <c r="E976" s="3" t="inlineStr">
        <is>
          <t>Cirugía Mayor</t>
        </is>
      </c>
    </row>
    <row r="977" ht="16" customHeight="1" s="151">
      <c r="A977" s="1" t="inlineStr">
        <is>
          <t>1802093</t>
        </is>
      </c>
      <c r="B977" s="2" t="inlineStr">
        <is>
          <t>10</t>
        </is>
      </c>
      <c r="C977" s="2" t="inlineStr">
        <is>
          <t>Cirugía de la enterocolitis neonatal con resección intestinal</t>
        </is>
      </c>
      <c r="D977" s="2" t="inlineStr">
        <is>
          <t>Cmay</t>
        </is>
      </c>
      <c r="E977" s="3" t="inlineStr">
        <is>
          <t>Cirugía Mayor</t>
        </is>
      </c>
    </row>
    <row r="978" ht="16" customHeight="1" s="151">
      <c r="A978" s="1" t="inlineStr">
        <is>
          <t>1802094</t>
        </is>
      </c>
      <c r="B978" s="2" t="inlineStr">
        <is>
          <t>12</t>
        </is>
      </c>
      <c r="C978" s="2" t="inlineStr">
        <is>
          <t>Cirugía de la enterocolitis neonatal con resección intestinal laparoscopia</t>
        </is>
      </c>
      <c r="D978" s="2" t="inlineStr">
        <is>
          <t>Cmay</t>
        </is>
      </c>
      <c r="E978" s="3" t="inlineStr">
        <is>
          <t>Cirugía Mayor</t>
        </is>
      </c>
    </row>
    <row r="979" ht="16" customHeight="1" s="151">
      <c r="A979" s="1" t="inlineStr">
        <is>
          <t>1802095</t>
        </is>
      </c>
      <c r="B979" s="2" t="inlineStr">
        <is>
          <t>10</t>
        </is>
      </c>
      <c r="C979" s="2" t="inlineStr">
        <is>
          <t>Cirugía de la enterocolitis neonatal con resección múltiple</t>
        </is>
      </c>
      <c r="D979" s="2" t="inlineStr">
        <is>
          <t>Cmay</t>
        </is>
      </c>
      <c r="E979" s="3" t="inlineStr">
        <is>
          <t>Cirugía Mayor</t>
        </is>
      </c>
    </row>
    <row r="980" ht="16" customHeight="1" s="151">
      <c r="A980" s="1" t="inlineStr">
        <is>
          <t>1802096</t>
        </is>
      </c>
      <c r="B980" s="2" t="inlineStr">
        <is>
          <t>12</t>
        </is>
      </c>
      <c r="C980" s="2" t="inlineStr">
        <is>
          <t>Cirugía de la enterocolitis neonatal con resección múltiple laparoscopia</t>
        </is>
      </c>
      <c r="D980" s="2" t="inlineStr">
        <is>
          <t>Cmay</t>
        </is>
      </c>
      <c r="E980" s="3" t="inlineStr">
        <is>
          <t>Cirugía Mayor</t>
        </is>
      </c>
    </row>
    <row r="981" ht="16" customHeight="1" s="151">
      <c r="A981" s="1" t="inlineStr">
        <is>
          <t>1802097</t>
        </is>
      </c>
      <c r="B981" s="2" t="inlineStr">
        <is>
          <t>10</t>
        </is>
      </c>
      <c r="C981" s="2" t="inlineStr">
        <is>
          <t>Cirugía de la enterocolitis neonatal sin resección intestinal</t>
        </is>
      </c>
      <c r="D981" s="2" t="inlineStr">
        <is>
          <t>Cmay</t>
        </is>
      </c>
      <c r="E981" s="3" t="inlineStr">
        <is>
          <t>Cirugía Mayor</t>
        </is>
      </c>
    </row>
    <row r="982" ht="16" customHeight="1" s="151">
      <c r="A982" s="1" t="inlineStr">
        <is>
          <t>1802098</t>
        </is>
      </c>
      <c r="B982" s="2" t="inlineStr">
        <is>
          <t>12</t>
        </is>
      </c>
      <c r="C982" s="2" t="inlineStr">
        <is>
          <t>Cirugía de la enterocolitis neonatal sin resección intestinal laparoscopia</t>
        </is>
      </c>
      <c r="D982" s="2" t="inlineStr">
        <is>
          <t>Cmay</t>
        </is>
      </c>
      <c r="E982" s="3" t="inlineStr">
        <is>
          <t>Cirugía Mayor</t>
        </is>
      </c>
    </row>
    <row r="983" ht="16" customHeight="1" s="151">
      <c r="A983" s="1" t="inlineStr">
        <is>
          <t>1802099</t>
        </is>
      </c>
      <c r="B983" s="2" t="inlineStr">
        <is>
          <t>10</t>
        </is>
      </c>
      <c r="C983" s="2" t="inlineStr">
        <is>
          <t>Reconstitución de transito post enterocolitis neonatal con una entero-entero anastomosis</t>
        </is>
      </c>
      <c r="D983" s="2" t="inlineStr">
        <is>
          <t>Cmay</t>
        </is>
      </c>
      <c r="E983" s="3" t="inlineStr">
        <is>
          <t>Cirugía Mayor</t>
        </is>
      </c>
    </row>
    <row r="984" ht="16" customHeight="1" s="151">
      <c r="A984" s="1" t="inlineStr">
        <is>
          <t>1802100</t>
        </is>
      </c>
      <c r="B984" s="2" t="inlineStr">
        <is>
          <t>14</t>
        </is>
      </c>
      <c r="C984" s="2" t="inlineStr">
        <is>
          <t>Trasplante hepático</t>
        </is>
      </c>
      <c r="D984" s="2" t="inlineStr">
        <is>
          <t>Cmay</t>
        </is>
      </c>
      <c r="E984" s="3" t="inlineStr">
        <is>
          <t>Cirugía Mayor</t>
        </is>
      </c>
    </row>
    <row r="985" ht="16" customHeight="1" s="151">
      <c r="A985" s="1" t="inlineStr">
        <is>
          <t>1802101</t>
        </is>
      </c>
      <c r="B985" s="2" t="inlineStr">
        <is>
          <t>8</t>
        </is>
      </c>
      <c r="C985" s="2" t="inlineStr">
        <is>
          <t>Hernia abdominal por laparotomía (incluye malla)</t>
        </is>
      </c>
      <c r="D985" s="2" t="inlineStr">
        <is>
          <t>Cmay</t>
        </is>
      </c>
      <c r="E985" s="3" t="inlineStr">
        <is>
          <t>Cirugía Mayor</t>
        </is>
      </c>
    </row>
    <row r="986" ht="16" customHeight="1" s="151">
      <c r="A986" s="1" t="inlineStr">
        <is>
          <t>1802102</t>
        </is>
      </c>
      <c r="B986" s="2" t="inlineStr">
        <is>
          <t>10</t>
        </is>
      </c>
      <c r="C986" s="2" t="inlineStr">
        <is>
          <t>Atresia o estenosis yeyuno-ileal, reparación primaria abierta</t>
        </is>
      </c>
      <c r="D986" s="2" t="inlineStr">
        <is>
          <t>Cmay</t>
        </is>
      </c>
      <c r="E986" s="3" t="inlineStr">
        <is>
          <t>Cirugía Mayor</t>
        </is>
      </c>
    </row>
    <row r="987" ht="16" customHeight="1" s="151">
      <c r="A987" s="1" t="inlineStr">
        <is>
          <t>1802103</t>
        </is>
      </c>
      <c r="B987" s="2" t="inlineStr">
        <is>
          <t>12</t>
        </is>
      </c>
      <c r="C987" s="2" t="inlineStr">
        <is>
          <t>Atresia o estenosis yeyuno-ileal, reparación primaria laparoscopia</t>
        </is>
      </c>
      <c r="D987" s="2" t="inlineStr">
        <is>
          <t>Cmay</t>
        </is>
      </c>
      <c r="E987" s="3" t="inlineStr">
        <is>
          <t>Cirugía Mayor</t>
        </is>
      </c>
    </row>
    <row r="988" ht="16" customHeight="1" s="151">
      <c r="A988" s="1" t="inlineStr">
        <is>
          <t>1802104</t>
        </is>
      </c>
      <c r="B988" s="2" t="inlineStr">
        <is>
          <t>10</t>
        </is>
      </c>
      <c r="C988" s="2" t="inlineStr">
        <is>
          <t>Atresia o estenosis yeyuno-ileal, resección y ostomías abierta</t>
        </is>
      </c>
      <c r="D988" s="2" t="inlineStr">
        <is>
          <t>Cmay</t>
        </is>
      </c>
      <c r="E988" s="3" t="inlineStr">
        <is>
          <t>Cirugía Mayor</t>
        </is>
      </c>
    </row>
    <row r="989" ht="16" customHeight="1" s="151">
      <c r="A989" s="1" t="inlineStr">
        <is>
          <t>1802105</t>
        </is>
      </c>
      <c r="B989" s="2" t="inlineStr">
        <is>
          <t>12</t>
        </is>
      </c>
      <c r="C989" s="2" t="inlineStr">
        <is>
          <t>Atresia o estenosis yeyuno-ileal, resección y ostomías laparoscopia</t>
        </is>
      </c>
      <c r="D989" s="2" t="inlineStr">
        <is>
          <t>Cmay</t>
        </is>
      </c>
      <c r="E989" s="3" t="inlineStr">
        <is>
          <t>Cirugía Mayor</t>
        </is>
      </c>
    </row>
    <row r="990" ht="16" customHeight="1" s="151">
      <c r="A990" s="1" t="inlineStr">
        <is>
          <t>1802106</t>
        </is>
      </c>
      <c r="B990" s="2" t="inlineStr">
        <is>
          <t>10</t>
        </is>
      </c>
      <c r="C990" s="2" t="inlineStr">
        <is>
          <t>Reconstitución de transito post enterocolitis neonatal con múltiples entero-entero anastomosis</t>
        </is>
      </c>
      <c r="D990" s="2" t="inlineStr">
        <is>
          <t>Cmay</t>
        </is>
      </c>
      <c r="E990" s="3" t="inlineStr">
        <is>
          <t>Cirugía Mayor</t>
        </is>
      </c>
    </row>
    <row r="991" ht="16" customHeight="1" s="151">
      <c r="A991" s="1" t="inlineStr">
        <is>
          <t>1802148</t>
        </is>
      </c>
      <c r="B991" s="2" t="inlineStr">
        <is>
          <t>9</t>
        </is>
      </c>
      <c r="C991" s="2" t="inlineStr">
        <is>
          <t>Yeyunopancreatostomía</t>
        </is>
      </c>
      <c r="D991" s="2" t="inlineStr">
        <is>
          <t>Cmay</t>
        </is>
      </c>
      <c r="E991" s="3" t="inlineStr">
        <is>
          <t>Cirugía Mayor</t>
        </is>
      </c>
    </row>
    <row r="992" ht="16" customHeight="1" s="151">
      <c r="A992" s="1" t="inlineStr">
        <is>
          <t>1802149</t>
        </is>
      </c>
      <c r="B992" s="2" t="inlineStr">
        <is>
          <t>10</t>
        </is>
      </c>
      <c r="C992" s="2" t="inlineStr">
        <is>
          <t>By pass gástrico por cirugía abierta</t>
        </is>
      </c>
      <c r="D992" s="2" t="inlineStr">
        <is>
          <t>Cmay</t>
        </is>
      </c>
      <c r="E992" s="3" t="inlineStr">
        <is>
          <t>Cirugía Mayor</t>
        </is>
      </c>
    </row>
    <row r="993" ht="16" customHeight="1" s="151">
      <c r="A993" s="1" t="inlineStr">
        <is>
          <t>1802150</t>
        </is>
      </c>
      <c r="B993" s="2" t="inlineStr">
        <is>
          <t>12</t>
        </is>
      </c>
      <c r="C993" s="2" t="inlineStr">
        <is>
          <t>By pass gástrico por laparoscopía</t>
        </is>
      </c>
      <c r="D993" s="2" t="inlineStr">
        <is>
          <t>Cmay</t>
        </is>
      </c>
      <c r="E993" s="3" t="inlineStr">
        <is>
          <t>Cirugía Mayor</t>
        </is>
      </c>
    </row>
    <row r="994" ht="16" customHeight="1" s="151">
      <c r="A994" s="1" t="inlineStr">
        <is>
          <t>1802151</t>
        </is>
      </c>
      <c r="B994" s="2" t="inlineStr">
        <is>
          <t>8</t>
        </is>
      </c>
      <c r="C994" s="2" t="inlineStr">
        <is>
          <t>Cirugía del quiste de colédoco</t>
        </is>
      </c>
      <c r="D994" s="2" t="inlineStr">
        <is>
          <t>Cmay</t>
        </is>
      </c>
      <c r="E994" s="3" t="inlineStr">
        <is>
          <t>Cirugía Mayor</t>
        </is>
      </c>
    </row>
    <row r="995" ht="16" customHeight="1" s="151">
      <c r="A995" s="1" t="inlineStr">
        <is>
          <t>1802152</t>
        </is>
      </c>
      <c r="B995" s="2" t="inlineStr">
        <is>
          <t>10</t>
        </is>
      </c>
      <c r="C995" s="2" t="inlineStr">
        <is>
          <t>Cirugía del quiste de colédoco laparoscópico</t>
        </is>
      </c>
      <c r="D995" s="2" t="inlineStr">
        <is>
          <t>Cmay</t>
        </is>
      </c>
      <c r="E995" s="3" t="inlineStr">
        <is>
          <t>Cirugía Mayor</t>
        </is>
      </c>
    </row>
    <row r="996" ht="16" customHeight="1" s="151">
      <c r="A996" s="1" t="inlineStr">
        <is>
          <t>1802154</t>
        </is>
      </c>
      <c r="B996" s="2" t="inlineStr">
        <is>
          <t>8</t>
        </is>
      </c>
      <c r="C996" s="2" t="inlineStr">
        <is>
          <t>Hernia Abdominal por acceso miniinvasivo (no Incluye malla)</t>
        </is>
      </c>
      <c r="D996" s="2" t="inlineStr">
        <is>
          <t>Cmay</t>
        </is>
      </c>
      <c r="E996" s="3" t="inlineStr">
        <is>
          <t>Cirugía Mayor</t>
        </is>
      </c>
    </row>
    <row r="997" ht="16" customHeight="1" s="151">
      <c r="A997" s="1" t="inlineStr">
        <is>
          <t>1802155</t>
        </is>
      </c>
      <c r="B997" s="2" t="inlineStr">
        <is>
          <t>8</t>
        </is>
      </c>
      <c r="C997" s="2" t="inlineStr">
        <is>
          <t>Hernia diafragmática, hernia hiatal, hernia ventral con abordaje retromuscular, cualquier vía (no incluye malla retromuscular)"</t>
        </is>
      </c>
      <c r="D997" s="2" t="inlineStr">
        <is>
          <t>Cmay</t>
        </is>
      </c>
      <c r="E997" s="3" t="inlineStr">
        <is>
          <t>Cirugía Mayor</t>
        </is>
      </c>
    </row>
    <row r="998" ht="16" customHeight="1" s="151">
      <c r="A998" s="1" t="inlineStr">
        <is>
          <t>1802158</t>
        </is>
      </c>
      <c r="B998" s="2" t="inlineStr">
        <is>
          <t>12</t>
        </is>
      </c>
      <c r="C998" s="2" t="inlineStr">
        <is>
          <t>Cirugia bariátrica By Pass Gástrico por laparoscopia</t>
        </is>
      </c>
      <c r="D998" s="2" t="inlineStr">
        <is>
          <t>Cmay</t>
        </is>
      </c>
      <c r="E998" s="3" t="inlineStr">
        <is>
          <t>Cirugía Mayor</t>
        </is>
      </c>
    </row>
    <row r="999" ht="16" customHeight="1" s="151">
      <c r="A999" s="1" t="inlineStr">
        <is>
          <t>1802159</t>
        </is>
      </c>
      <c r="B999" s="2" t="inlineStr">
        <is>
          <t>12</t>
        </is>
      </c>
      <c r="C999" s="2" t="inlineStr">
        <is>
          <t>Cirugia bariátrica Manga Gástrica por laparoscopia</t>
        </is>
      </c>
      <c r="D999" s="2" t="inlineStr">
        <is>
          <t>Cmay</t>
        </is>
      </c>
      <c r="E999" s="3" t="inlineStr">
        <is>
          <t>Cirugía Mayor</t>
        </is>
      </c>
    </row>
    <row r="1000" ht="16" customHeight="1" s="151">
      <c r="A1000" s="1" t="inlineStr">
        <is>
          <t>1802254</t>
        </is>
      </c>
      <c r="B1000" s="2" t="inlineStr">
        <is>
          <t>8</t>
        </is>
      </c>
      <c r="C1000" s="2" t="inlineStr">
        <is>
          <t>Hernia Abdominal por acceso miniinvasivo (Incluye malla)</t>
        </is>
      </c>
      <c r="D1000" s="2" t="inlineStr">
        <is>
          <t>Cmay</t>
        </is>
      </c>
      <c r="E1000" s="3" t="inlineStr">
        <is>
          <t>Cirugía Mayor</t>
        </is>
      </c>
    </row>
    <row r="1001" ht="16" customHeight="1" s="151">
      <c r="A1001" s="1" t="inlineStr">
        <is>
          <t>1802255</t>
        </is>
      </c>
      <c r="B1001" s="2" t="inlineStr">
        <is>
          <t>8</t>
        </is>
      </c>
      <c r="C1001" s="2" t="inlineStr">
        <is>
          <t>Hernia diafragmática, hernia hiatal, hernia ventral con abordaje retromuscular, cualquier vía (incluye malla retromuscular)"</t>
        </is>
      </c>
      <c r="D1001" s="2" t="inlineStr">
        <is>
          <t>Cmay</t>
        </is>
      </c>
      <c r="E1001" s="3" t="inlineStr">
        <is>
          <t>Cirugía Mayor</t>
        </is>
      </c>
    </row>
    <row r="1002" ht="16" customHeight="1" s="151">
      <c r="A1002" s="1" t="inlineStr">
        <is>
          <t>1803001</t>
        </is>
      </c>
      <c r="B1002" s="2" t="inlineStr">
        <is>
          <t>5</t>
        </is>
      </c>
      <c r="C1002" s="2" t="inlineStr">
        <is>
          <t>Absceso ano rectal complejo, tratamiento quirúrgico</t>
        </is>
      </c>
      <c r="D1002" s="2" t="inlineStr">
        <is>
          <t>Cmay</t>
        </is>
      </c>
      <c r="E1002" s="3" t="inlineStr">
        <is>
          <t>Cirugía Mayor</t>
        </is>
      </c>
    </row>
    <row r="1003" ht="16" customHeight="1" s="151">
      <c r="A1003" s="1" t="inlineStr">
        <is>
          <t>1803002</t>
        </is>
      </c>
      <c r="B1003" s="2" t="inlineStr">
        <is>
          <t>4</t>
        </is>
      </c>
      <c r="C1003" s="2" t="inlineStr">
        <is>
          <t>Absceso anorrectal simple, trat. quir.</t>
        </is>
      </c>
      <c r="D1003" s="2" t="inlineStr">
        <is>
          <t>CMen</t>
        </is>
      </c>
      <c r="E1003" s="3" t="inlineStr">
        <is>
          <t>Cirugía Menor</t>
        </is>
      </c>
    </row>
    <row r="1004" ht="16" customHeight="1" s="151">
      <c r="A1004" s="1" t="inlineStr">
        <is>
          <t>1803003</t>
        </is>
      </c>
      <c r="B1004" s="2" t="inlineStr">
        <is>
          <t>4</t>
        </is>
      </c>
      <c r="C1004" s="2" t="inlineStr">
        <is>
          <t>Absceso sacrocoxígeo, drenaje</t>
        </is>
      </c>
      <c r="D1004" s="2" t="inlineStr">
        <is>
          <t>CMen</t>
        </is>
      </c>
      <c r="E1004" s="3" t="inlineStr">
        <is>
          <t>Cirugía Menor</t>
        </is>
      </c>
    </row>
    <row r="1005" ht="16" customHeight="1" s="151">
      <c r="A1005" s="1" t="inlineStr">
        <is>
          <t>1803004</t>
        </is>
      </c>
      <c r="B1005" s="2" t="inlineStr">
        <is>
          <t>5</t>
        </is>
      </c>
      <c r="C1005" s="2" t="inlineStr">
        <is>
          <t>Biopsia quirúrgica rectal (proc. aut.)</t>
        </is>
      </c>
      <c r="D1005" s="2" t="inlineStr">
        <is>
          <t>Cmay</t>
        </is>
      </c>
      <c r="E1005" s="3" t="inlineStr">
        <is>
          <t>Cirugía Mayor</t>
        </is>
      </c>
    </row>
    <row r="1006" ht="16" customHeight="1" s="151">
      <c r="A1006" s="1" t="inlineStr">
        <is>
          <t>1803006</t>
        </is>
      </c>
      <c r="B1006" s="2" t="inlineStr">
        <is>
          <t>8</t>
        </is>
      </c>
      <c r="C1006" s="2" t="inlineStr">
        <is>
          <t>Cuerpo extraño rectal, extracción por vía abdominal</t>
        </is>
      </c>
      <c r="D1006" s="2" t="inlineStr">
        <is>
          <t>Cmay</t>
        </is>
      </c>
      <c r="E1006" s="3" t="inlineStr">
        <is>
          <t>Cirugía Mayor</t>
        </is>
      </c>
    </row>
    <row r="1007" ht="16" customHeight="1" s="151">
      <c r="A1007" s="1" t="inlineStr">
        <is>
          <t>1803007</t>
        </is>
      </c>
      <c r="B1007" s="2" t="inlineStr">
        <is>
          <t>4</t>
        </is>
      </c>
      <c r="C1007" s="2" t="inlineStr">
        <is>
          <t>Cuerpo extraño rectal, extracción por vía anal</t>
        </is>
      </c>
      <c r="D1007" s="2" t="inlineStr">
        <is>
          <t>CMen</t>
        </is>
      </c>
      <c r="E1007" s="3" t="inlineStr">
        <is>
          <t>Cirugía Menor</t>
        </is>
      </c>
    </row>
    <row r="1008" ht="16" customHeight="1" s="151">
      <c r="A1008" s="1" t="inlineStr">
        <is>
          <t>1803008</t>
        </is>
      </c>
      <c r="B1008" s="2" t="inlineStr">
        <is>
          <t>6</t>
        </is>
      </c>
      <c r="C1008" s="2" t="inlineStr">
        <is>
          <t>Desgarros y heridas anorrectales con compromiso del esfínter</t>
        </is>
      </c>
      <c r="D1008" s="2" t="inlineStr">
        <is>
          <t>Cmay</t>
        </is>
      </c>
      <c r="E1008" s="3" t="inlineStr">
        <is>
          <t>Cirugía Mayor</t>
        </is>
      </c>
    </row>
    <row r="1009" ht="16" customHeight="1" s="151">
      <c r="A1009" s="1" t="inlineStr">
        <is>
          <t>1803009</t>
        </is>
      </c>
      <c r="B1009" s="2" t="inlineStr">
        <is>
          <t>5</t>
        </is>
      </c>
      <c r="C1009" s="2" t="inlineStr">
        <is>
          <t>Desgarros y heridas anorrectales sin compromiso del esfínter</t>
        </is>
      </c>
      <c r="D1009" s="2" t="inlineStr">
        <is>
          <t>Cmay</t>
        </is>
      </c>
      <c r="E1009" s="3" t="inlineStr">
        <is>
          <t>Cirugía Mayor</t>
        </is>
      </c>
    </row>
    <row r="1010" ht="16" customHeight="1" s="151">
      <c r="A1010" s="1" t="inlineStr">
        <is>
          <t>1803010</t>
        </is>
      </c>
      <c r="B1010" s="2" t="inlineStr">
        <is>
          <t>5</t>
        </is>
      </c>
      <c r="C1010" s="2" t="inlineStr">
        <is>
          <t>Esfinterotomía (proc. aut.)</t>
        </is>
      </c>
      <c r="D1010" s="2" t="inlineStr">
        <is>
          <t>Cmay</t>
        </is>
      </c>
      <c r="E1010" s="3" t="inlineStr">
        <is>
          <t>Cirugía Mayor</t>
        </is>
      </c>
    </row>
    <row r="1011" ht="16" customHeight="1" s="151">
      <c r="A1011" s="1" t="inlineStr">
        <is>
          <t>1803011</t>
        </is>
      </c>
      <c r="B1011" s="2" t="inlineStr">
        <is>
          <t>6</t>
        </is>
      </c>
      <c r="C1011" s="2" t="inlineStr">
        <is>
          <t>Estenosis anal, plastía</t>
        </is>
      </c>
      <c r="D1011" s="2" t="inlineStr">
        <is>
          <t>Cmay</t>
        </is>
      </c>
      <c r="E1011" s="3" t="inlineStr">
        <is>
          <t>Cirugía Mayor</t>
        </is>
      </c>
    </row>
    <row r="1012" ht="16" customHeight="1" s="151">
      <c r="A1012" s="1" t="inlineStr">
        <is>
          <t>1803012</t>
        </is>
      </c>
      <c r="B1012" s="2" t="inlineStr">
        <is>
          <t>7</t>
        </is>
      </c>
      <c r="C1012" s="2" t="inlineStr">
        <is>
          <t>Estenosis rectal, plastía</t>
        </is>
      </c>
      <c r="D1012" s="2" t="inlineStr">
        <is>
          <t>Cmay</t>
        </is>
      </c>
      <c r="E1012" s="3" t="inlineStr">
        <is>
          <t>Cirugía Mayor</t>
        </is>
      </c>
    </row>
    <row r="1013" ht="16" customHeight="1" s="151">
      <c r="A1013" s="1" t="inlineStr">
        <is>
          <t>1803013</t>
        </is>
      </c>
      <c r="B1013" s="2" t="inlineStr">
        <is>
          <t>7</t>
        </is>
      </c>
      <c r="C1013" s="2" t="inlineStr">
        <is>
          <t>Fecaloma, trat. quir.</t>
        </is>
      </c>
      <c r="D1013" s="2" t="inlineStr">
        <is>
          <t>Cmay</t>
        </is>
      </c>
      <c r="E1013" s="3" t="inlineStr">
        <is>
          <t>Cirugía Mayor</t>
        </is>
      </c>
    </row>
    <row r="1014" ht="16" customHeight="1" s="151">
      <c r="A1014" s="1" t="inlineStr">
        <is>
          <t>1803014</t>
        </is>
      </c>
      <c r="B1014" s="2" t="inlineStr">
        <is>
          <t>8</t>
        </is>
      </c>
      <c r="C1014" s="2" t="inlineStr">
        <is>
          <t>Fístula rectovesical, trat.quir.</t>
        </is>
      </c>
      <c r="D1014" s="2" t="inlineStr">
        <is>
          <t>Cmay</t>
        </is>
      </c>
      <c r="E1014" s="3" t="inlineStr">
        <is>
          <t>Cirugía Mayor</t>
        </is>
      </c>
    </row>
    <row r="1015" ht="16" customHeight="1" s="151">
      <c r="A1015" s="1" t="inlineStr">
        <is>
          <t>1803015</t>
        </is>
      </c>
      <c r="B1015" s="2" t="inlineStr">
        <is>
          <t>8</t>
        </is>
      </c>
      <c r="C1015" s="2" t="inlineStr">
        <is>
          <t>Fístula rectovaginal, rectouretral o uretrovaginal, trat.quir.</t>
        </is>
      </c>
      <c r="D1015" s="2" t="inlineStr">
        <is>
          <t>Cmay</t>
        </is>
      </c>
      <c r="E1015" s="3" t="inlineStr">
        <is>
          <t>Cirugía Mayor</t>
        </is>
      </c>
    </row>
    <row r="1016" ht="16" customHeight="1" s="151">
      <c r="A1016" s="1" t="inlineStr">
        <is>
          <t>1803016</t>
        </is>
      </c>
      <c r="B1016" s="2" t="inlineStr">
        <is>
          <t>6</t>
        </is>
      </c>
      <c r="C1016" s="2" t="inlineStr">
        <is>
          <t>Fístula anorrectal, trat.quir.de cualquier tipo</t>
        </is>
      </c>
      <c r="D1016" s="2" t="inlineStr">
        <is>
          <t>Cmay</t>
        </is>
      </c>
      <c r="E1016" s="3" t="inlineStr">
        <is>
          <t>Cirugía Mayor</t>
        </is>
      </c>
    </row>
    <row r="1017" ht="16" customHeight="1" s="151">
      <c r="A1017" s="1" t="inlineStr">
        <is>
          <t>1803017</t>
        </is>
      </c>
      <c r="B1017" s="2" t="inlineStr">
        <is>
          <t>5</t>
        </is>
      </c>
      <c r="C1017" s="2" t="inlineStr">
        <is>
          <t>Fisura anal, repar. quir.</t>
        </is>
      </c>
      <c r="D1017" s="2" t="inlineStr">
        <is>
          <t>Cmay</t>
        </is>
      </c>
      <c r="E1017" s="3" t="inlineStr">
        <is>
          <t>Cirugía Mayor</t>
        </is>
      </c>
    </row>
    <row r="1018" ht="16" customHeight="1" s="151">
      <c r="A1018" s="1" t="inlineStr">
        <is>
          <t>1803018</t>
        </is>
      </c>
      <c r="B1018" s="2" t="inlineStr">
        <is>
          <t>6</t>
        </is>
      </c>
      <c r="C1018" s="2" t="inlineStr">
        <is>
          <t>Hemorroidectomía (incluye otras operaciones complementarias en canal anal)</t>
        </is>
      </c>
      <c r="D1018" s="2" t="inlineStr">
        <is>
          <t>Cmay</t>
        </is>
      </c>
      <c r="E1018" s="3" t="inlineStr">
        <is>
          <t>Cirugía Mayor</t>
        </is>
      </c>
    </row>
    <row r="1019" ht="16" customHeight="1" s="151">
      <c r="A1019" s="1" t="inlineStr">
        <is>
          <t>1803019</t>
        </is>
      </c>
      <c r="B1019" s="2" t="inlineStr">
        <is>
          <t>3</t>
        </is>
      </c>
      <c r="C1019" s="2" t="inlineStr">
        <is>
          <t>Hemorroides, trombectomía (proc. aut.)</t>
        </is>
      </c>
      <c r="D1019" s="2" t="inlineStr">
        <is>
          <t>CMen</t>
        </is>
      </c>
      <c r="E1019" s="3" t="inlineStr">
        <is>
          <t>Cirugía Menor</t>
        </is>
      </c>
    </row>
    <row r="1020" ht="16" customHeight="1" s="151">
      <c r="A1020" s="1" t="inlineStr">
        <is>
          <t>1803020</t>
        </is>
      </c>
      <c r="B1020" s="2" t="inlineStr">
        <is>
          <t>9</t>
        </is>
      </c>
      <c r="C1020" s="2" t="inlineStr">
        <is>
          <t>Imperforación anal, reconstitución tránsito por vía abdómino-perineal</t>
        </is>
      </c>
      <c r="D1020" s="2" t="inlineStr">
        <is>
          <t>Cmay</t>
        </is>
      </c>
      <c r="E1020" s="3" t="inlineStr">
        <is>
          <t>Cirugía Mayor</t>
        </is>
      </c>
    </row>
    <row r="1021" ht="16" customHeight="1" s="151">
      <c r="A1021" s="1" t="inlineStr">
        <is>
          <t>1803021</t>
        </is>
      </c>
      <c r="B1021" s="2" t="inlineStr">
        <is>
          <t>7</t>
        </is>
      </c>
      <c r="C1021" s="2" t="inlineStr">
        <is>
          <t>Imperforación anal, reconstitución tránsito por vía perineal</t>
        </is>
      </c>
      <c r="D1021" s="2" t="inlineStr">
        <is>
          <t>Cmay</t>
        </is>
      </c>
      <c r="E1021" s="3" t="inlineStr">
        <is>
          <t>Cirugía Mayor</t>
        </is>
      </c>
    </row>
    <row r="1022" ht="16" customHeight="1" s="151">
      <c r="A1022" s="1" t="inlineStr">
        <is>
          <t>1803023</t>
        </is>
      </c>
      <c r="B1022" s="2" t="inlineStr">
        <is>
          <t>6</t>
        </is>
      </c>
      <c r="C1022" s="2" t="inlineStr">
        <is>
          <t>Incontinencia anal, trat.quir. con cerclaje</t>
        </is>
      </c>
      <c r="D1022" s="2" t="inlineStr">
        <is>
          <t>Cmay</t>
        </is>
      </c>
      <c r="E1022" s="3" t="inlineStr">
        <is>
          <t>Cirugía Mayor</t>
        </is>
      </c>
    </row>
    <row r="1023" ht="16" customHeight="1" s="151">
      <c r="A1023" s="1" t="inlineStr">
        <is>
          <t>1803024</t>
        </is>
      </c>
      <c r="B1023" s="2" t="inlineStr">
        <is>
          <t>7</t>
        </is>
      </c>
      <c r="C1023" s="2" t="inlineStr">
        <is>
          <t>Incontinencia anal, trat.quir. con plastía muscular</t>
        </is>
      </c>
      <c r="D1023" s="2" t="inlineStr">
        <is>
          <t>Cmay</t>
        </is>
      </c>
      <c r="E1023" s="3" t="inlineStr">
        <is>
          <t>Cirugía Mayor</t>
        </is>
      </c>
    </row>
    <row r="1024" ht="16" customHeight="1" s="151">
      <c r="A1024" s="1" t="inlineStr">
        <is>
          <t>1803025</t>
        </is>
      </c>
      <c r="B1024" s="2" t="inlineStr">
        <is>
          <t>8</t>
        </is>
      </c>
      <c r="C1024" s="2" t="inlineStr">
        <is>
          <t>Pólipo rectal, trat.quir. por vía abdominal</t>
        </is>
      </c>
      <c r="D1024" s="2" t="inlineStr">
        <is>
          <t>Cmay</t>
        </is>
      </c>
      <c r="E1024" s="3" t="inlineStr">
        <is>
          <t>Cirugía Mayor</t>
        </is>
      </c>
    </row>
    <row r="1025" ht="16" customHeight="1" s="151">
      <c r="A1025" s="1" t="inlineStr">
        <is>
          <t>1803026</t>
        </is>
      </c>
      <c r="B1025" s="2" t="inlineStr">
        <is>
          <t>5</t>
        </is>
      </c>
      <c r="C1025" s="2" t="inlineStr">
        <is>
          <t>Pólipo rectal, trat.quir. por vía anal</t>
        </is>
      </c>
      <c r="D1025" s="2" t="inlineStr">
        <is>
          <t>Cmay</t>
        </is>
      </c>
      <c r="E1025" s="3" t="inlineStr">
        <is>
          <t>Cirugía Mayor</t>
        </is>
      </c>
    </row>
    <row r="1026" ht="16" customHeight="1" s="151">
      <c r="A1026" s="1" t="inlineStr">
        <is>
          <t>1803027</t>
        </is>
      </c>
      <c r="B1026" s="2" t="inlineStr">
        <is>
          <t>8</t>
        </is>
      </c>
      <c r="C1026" s="2" t="inlineStr">
        <is>
          <t>Prolapso rectal, trat.quir. por vía abdominal</t>
        </is>
      </c>
      <c r="D1026" s="2" t="inlineStr">
        <is>
          <t>Cmay</t>
        </is>
      </c>
      <c r="E1026" s="3" t="inlineStr">
        <is>
          <t>Cirugía Mayor</t>
        </is>
      </c>
    </row>
    <row r="1027" ht="16" customHeight="1" s="151">
      <c r="A1027" s="1" t="inlineStr">
        <is>
          <t>1803028</t>
        </is>
      </c>
      <c r="B1027" s="2" t="inlineStr">
        <is>
          <t>6</t>
        </is>
      </c>
      <c r="C1027" s="2" t="inlineStr">
        <is>
          <t>Prolapso rectal, trat.quir. por vía anal</t>
        </is>
      </c>
      <c r="D1027" s="2" t="inlineStr">
        <is>
          <t>Cmay</t>
        </is>
      </c>
      <c r="E1027" s="3" t="inlineStr">
        <is>
          <t>Cirugía Mayor</t>
        </is>
      </c>
    </row>
    <row r="1028" ht="16" customHeight="1" s="151">
      <c r="A1028" s="1" t="inlineStr">
        <is>
          <t>1803029</t>
        </is>
      </c>
      <c r="B1028" s="2" t="inlineStr">
        <is>
          <t>12</t>
        </is>
      </c>
      <c r="C1028" s="2" t="inlineStr">
        <is>
          <t>Panproctocolectomía (2 equipos)</t>
        </is>
      </c>
      <c r="D1028" s="2" t="inlineStr">
        <is>
          <t>Cmay</t>
        </is>
      </c>
      <c r="E1028" s="3" t="inlineStr">
        <is>
          <t>Cirugía Mayor</t>
        </is>
      </c>
    </row>
    <row r="1029" ht="16" customHeight="1" s="151">
      <c r="A1029" s="1" t="inlineStr">
        <is>
          <t>1803030</t>
        </is>
      </c>
      <c r="B1029" s="2" t="inlineStr">
        <is>
          <t>6</t>
        </is>
      </c>
      <c r="C1029" s="2" t="inlineStr">
        <is>
          <t>Prurito anal, trat. quir. por denervación</t>
        </is>
      </c>
      <c r="D1029" s="2" t="inlineStr">
        <is>
          <t>Cmay</t>
        </is>
      </c>
      <c r="E1029" s="3" t="inlineStr">
        <is>
          <t>Cirugía Mayor</t>
        </is>
      </c>
    </row>
    <row r="1030" ht="16" customHeight="1" s="151">
      <c r="A1030" s="1" t="inlineStr">
        <is>
          <t>1803031</t>
        </is>
      </c>
      <c r="B1030" s="2" t="inlineStr">
        <is>
          <t>6</t>
        </is>
      </c>
      <c r="C1030" s="2" t="inlineStr">
        <is>
          <t>Quiste sacrocoxígeo, trat. quir.</t>
        </is>
      </c>
      <c r="D1030" s="2" t="inlineStr">
        <is>
          <t>Cmay</t>
        </is>
      </c>
      <c r="E1030" s="3" t="inlineStr">
        <is>
          <t>Cirugía Mayor</t>
        </is>
      </c>
    </row>
    <row r="1031" ht="16" customHeight="1" s="151">
      <c r="A1031" s="1" t="inlineStr">
        <is>
          <t>1803032</t>
        </is>
      </c>
      <c r="B1031" s="2" t="inlineStr">
        <is>
          <t>11</t>
        </is>
      </c>
      <c r="C1031" s="2" t="inlineStr">
        <is>
          <t>Resección abdómino-perineal de ano y recto (2 equipos)</t>
        </is>
      </c>
      <c r="D1031" s="2" t="inlineStr">
        <is>
          <t>Cmay</t>
        </is>
      </c>
      <c r="E1031" s="3" t="inlineStr">
        <is>
          <t>Cirugía Mayor</t>
        </is>
      </c>
    </row>
    <row r="1032" ht="16" customHeight="1" s="151">
      <c r="A1032" s="1" t="inlineStr">
        <is>
          <t>1803033</t>
        </is>
      </c>
      <c r="B1032" s="2" t="inlineStr">
        <is>
          <t>12</t>
        </is>
      </c>
      <c r="C1032" s="2" t="inlineStr">
        <is>
          <t>Resección abdómino-perineal de ano y recto ampliada (2 equipos) (incluye genitales femeninos)</t>
        </is>
      </c>
      <c r="D1032" s="2" t="inlineStr">
        <is>
          <t>Cmay</t>
        </is>
      </c>
      <c r="E1032" s="3" t="inlineStr">
        <is>
          <t>Cirugía Mayor</t>
        </is>
      </c>
    </row>
    <row r="1033" ht="16" customHeight="1" s="151">
      <c r="A1033" s="1" t="inlineStr">
        <is>
          <t>1803034</t>
        </is>
      </c>
      <c r="B1033" s="2" t="inlineStr">
        <is>
          <t>9</t>
        </is>
      </c>
      <c r="C1033" s="2" t="inlineStr">
        <is>
          <t>Resección anterior de recto</t>
        </is>
      </c>
      <c r="D1033" s="2" t="inlineStr">
        <is>
          <t>Cmay</t>
        </is>
      </c>
      <c r="E1033" s="3" t="inlineStr">
        <is>
          <t>Cirugía Mayor</t>
        </is>
      </c>
    </row>
    <row r="1034" ht="16" customHeight="1" s="151">
      <c r="A1034" s="1" t="inlineStr">
        <is>
          <t>1803035</t>
        </is>
      </c>
      <c r="B1034" s="2" t="inlineStr">
        <is>
          <t>10</t>
        </is>
      </c>
      <c r="C1034" s="2" t="inlineStr">
        <is>
          <t>Resección perineal de ano y recto</t>
        </is>
      </c>
      <c r="D1034" s="2" t="inlineStr">
        <is>
          <t>Cmay</t>
        </is>
      </c>
      <c r="E1034" s="3" t="inlineStr">
        <is>
          <t>Cirugía Mayor</t>
        </is>
      </c>
    </row>
    <row r="1035" ht="16" customHeight="1" s="151">
      <c r="A1035" s="1" t="inlineStr">
        <is>
          <t>1803038</t>
        </is>
      </c>
      <c r="B1035" s="2" t="inlineStr">
        <is>
          <t>5</t>
        </is>
      </c>
      <c r="C1035" s="2" t="inlineStr">
        <is>
          <t>Condilomas anales, trat. quir.</t>
        </is>
      </c>
      <c r="D1035" s="2" t="inlineStr">
        <is>
          <t>Cmay</t>
        </is>
      </c>
      <c r="E1035" s="3" t="inlineStr">
        <is>
          <t>Cirugía Mayor</t>
        </is>
      </c>
    </row>
    <row r="1036" ht="16" customHeight="1" s="151">
      <c r="A1036" s="1" t="inlineStr">
        <is>
          <t>1803039</t>
        </is>
      </c>
      <c r="B1036" s="2" t="inlineStr">
        <is>
          <t>10</t>
        </is>
      </c>
      <c r="C1036" s="2" t="inlineStr">
        <is>
          <t>Cirugía de la cloaca, primer tiempo de derivación</t>
        </is>
      </c>
      <c r="D1036" s="2" t="inlineStr">
        <is>
          <t>Cmay</t>
        </is>
      </c>
      <c r="E1036" s="3" t="inlineStr">
        <is>
          <t>Cirugía Mayor</t>
        </is>
      </c>
    </row>
    <row r="1037" ht="16" customHeight="1" s="151">
      <c r="A1037" s="1" t="inlineStr">
        <is>
          <t>1803040</t>
        </is>
      </c>
      <c r="B1037" s="2" t="inlineStr">
        <is>
          <t>12</t>
        </is>
      </c>
      <c r="C1037" s="2" t="inlineStr">
        <is>
          <t>Cirugía de la cloaca, reparación definitiva</t>
        </is>
      </c>
      <c r="D1037" s="2" t="inlineStr">
        <is>
          <t>Cmay</t>
        </is>
      </c>
      <c r="E1037" s="3" t="inlineStr">
        <is>
          <t>Cirugía Mayor</t>
        </is>
      </c>
    </row>
    <row r="1038" ht="16" customHeight="1" s="151">
      <c r="A1038" s="1" t="inlineStr">
        <is>
          <t>1803041</t>
        </is>
      </c>
      <c r="B1038" s="2" t="inlineStr">
        <is>
          <t>12</t>
        </is>
      </c>
      <c r="C1038" s="2" t="inlineStr">
        <is>
          <t>Cirugía reparadora en Enfermedad de Hirschsprung vía abdomino-perineal</t>
        </is>
      </c>
      <c r="D1038" s="2" t="inlineStr">
        <is>
          <t>Cmay</t>
        </is>
      </c>
      <c r="E1038" s="3" t="inlineStr">
        <is>
          <t>Cirugía Mayor</t>
        </is>
      </c>
    </row>
    <row r="1039" ht="16" customHeight="1" s="151">
      <c r="A1039" s="1" t="inlineStr">
        <is>
          <t>1803042</t>
        </is>
      </c>
      <c r="B1039" s="2" t="inlineStr">
        <is>
          <t>10</t>
        </is>
      </c>
      <c r="C1039" s="2" t="inlineStr">
        <is>
          <t>Cirugía reparadora en Enfermedad de Hirschsprung vía endoanal</t>
        </is>
      </c>
      <c r="D1039" s="2" t="inlineStr">
        <is>
          <t>Cmay</t>
        </is>
      </c>
      <c r="E1039" s="3" t="inlineStr">
        <is>
          <t>Cirugía Mayor</t>
        </is>
      </c>
    </row>
    <row r="1040" ht="16" customHeight="1" s="151">
      <c r="A1040" s="1" t="inlineStr">
        <is>
          <t>1901001</t>
        </is>
      </c>
      <c r="B1040" s="2" t="n"/>
      <c r="C1040" s="2" t="inlineStr">
        <is>
          <t>Exploración de uretra ántero-posterior con bujía y/o explorador olivar, y/o sonda, y/o Beniqué, y/o medición de residuo vesical (la calibración del meato esta incluída en el valor de la consulta)</t>
        </is>
      </c>
      <c r="D1040" s="2" t="inlineStr">
        <is>
          <t>Proc</t>
        </is>
      </c>
      <c r="E1040" s="3" t="inlineStr">
        <is>
          <t>Procedimiento</t>
        </is>
      </c>
    </row>
    <row r="1041" ht="16" customHeight="1" s="151">
      <c r="A1041" s="1" t="inlineStr">
        <is>
          <t>1901002</t>
        </is>
      </c>
      <c r="B1041" s="2" t="inlineStr">
        <is>
          <t>5</t>
        </is>
      </c>
      <c r="C1041" s="2" t="inlineStr">
        <is>
          <t>Cistoscopía con o sin sondeo de uno o ambos uréteres, con o sin biopsia</t>
        </is>
      </c>
      <c r="D1041" s="2" t="inlineStr">
        <is>
          <t>Proc</t>
        </is>
      </c>
      <c r="E1041" s="3" t="inlineStr">
        <is>
          <t>Procedimiento</t>
        </is>
      </c>
    </row>
    <row r="1042" ht="16" customHeight="1" s="151">
      <c r="A1042" s="1" t="inlineStr">
        <is>
          <t>1901003</t>
        </is>
      </c>
      <c r="B1042" s="2" t="inlineStr">
        <is>
          <t>4</t>
        </is>
      </c>
      <c r="C1042" s="2" t="inlineStr">
        <is>
          <t>Cistoscopia y/o uretrocistoscopia y/o uretroscopia (proc.aut.)</t>
        </is>
      </c>
      <c r="D1042" s="2" t="inlineStr">
        <is>
          <t>Proc</t>
        </is>
      </c>
      <c r="E1042" s="3" t="inlineStr">
        <is>
          <t>Procedimiento</t>
        </is>
      </c>
    </row>
    <row r="1043" ht="16" customHeight="1" s="151">
      <c r="A1043" s="1" t="inlineStr">
        <is>
          <t>1901004</t>
        </is>
      </c>
      <c r="B1043" s="2" t="inlineStr">
        <is>
          <t>5</t>
        </is>
      </c>
      <c r="C1043" s="2" t="inlineStr">
        <is>
          <t>Ureteronefroscopia</t>
        </is>
      </c>
      <c r="D1043" s="2" t="inlineStr">
        <is>
          <t>Proc</t>
        </is>
      </c>
      <c r="E1043" s="3" t="inlineStr">
        <is>
          <t>Procedimiento</t>
        </is>
      </c>
    </row>
    <row r="1044" ht="16" customHeight="1" s="151">
      <c r="A1044" s="1" t="inlineStr">
        <is>
          <t>1901005</t>
        </is>
      </c>
      <c r="B1044" s="2" t="inlineStr">
        <is>
          <t>2</t>
        </is>
      </c>
      <c r="C1044" s="2" t="inlineStr">
        <is>
          <t>Biopsia prostática transrectal o transperineal con apoyo ecográfico</t>
        </is>
      </c>
      <c r="D1044" s="2" t="inlineStr">
        <is>
          <t>Proc</t>
        </is>
      </c>
      <c r="E1044" s="3" t="inlineStr">
        <is>
          <t>Procedimiento</t>
        </is>
      </c>
    </row>
    <row r="1045" ht="16" customHeight="1" s="151">
      <c r="A1045" s="1" t="inlineStr">
        <is>
          <t>1901006</t>
        </is>
      </c>
      <c r="B1045" s="2" t="inlineStr">
        <is>
          <t>3</t>
        </is>
      </c>
      <c r="C1045" s="2" t="inlineStr">
        <is>
          <t>Biopsia renal transparietal</t>
        </is>
      </c>
      <c r="D1045" s="2" t="inlineStr">
        <is>
          <t>Proc</t>
        </is>
      </c>
      <c r="E1045" s="3" t="inlineStr">
        <is>
          <t>Procedimiento</t>
        </is>
      </c>
    </row>
    <row r="1046" ht="16" customHeight="1" s="151">
      <c r="A1046" s="1" t="inlineStr">
        <is>
          <t>1901007</t>
        </is>
      </c>
      <c r="B1046" s="2" t="inlineStr">
        <is>
          <t>3</t>
        </is>
      </c>
      <c r="C1046" s="2" t="inlineStr">
        <is>
          <t>Cistometría (proc.aut.)</t>
        </is>
      </c>
      <c r="D1046" s="2" t="inlineStr">
        <is>
          <t>Proc</t>
        </is>
      </c>
      <c r="E1046" s="3" t="inlineStr">
        <is>
          <t>Procedimiento</t>
        </is>
      </c>
    </row>
    <row r="1047" ht="16" customHeight="1" s="151">
      <c r="A1047" s="1" t="inlineStr">
        <is>
          <t>1901009</t>
        </is>
      </c>
      <c r="B1047" s="2" t="inlineStr">
        <is>
          <t>3</t>
        </is>
      </c>
      <c r="C1047" s="2" t="inlineStr">
        <is>
          <t>Electromiografía perineal y del esfínter uretral en niños (proc.aut.)</t>
        </is>
      </c>
      <c r="D1047" s="2" t="inlineStr">
        <is>
          <t>Proc</t>
        </is>
      </c>
      <c r="E1047" s="3" t="inlineStr">
        <is>
          <t>Procedimiento</t>
        </is>
      </c>
    </row>
    <row r="1048" ht="16" customHeight="1" s="151">
      <c r="A1048" s="1" t="inlineStr">
        <is>
          <t>1901010</t>
        </is>
      </c>
      <c r="B1048" s="2" t="inlineStr">
        <is>
          <t>3</t>
        </is>
      </c>
      <c r="C1048" s="2" t="inlineStr">
        <is>
          <t>Perfil uretral (proc.aut.)</t>
        </is>
      </c>
      <c r="D1048" s="2" t="inlineStr">
        <is>
          <t>Proc</t>
        </is>
      </c>
      <c r="E1048" s="3" t="inlineStr">
        <is>
          <t>Procedimiento</t>
        </is>
      </c>
    </row>
    <row r="1049" ht="16" customHeight="1" s="151">
      <c r="A1049" s="1" t="inlineStr">
        <is>
          <t>1901011</t>
        </is>
      </c>
      <c r="B1049" s="2" t="n"/>
      <c r="C1049" s="2" t="inlineStr">
        <is>
          <t>Uroflujometría (proc.aut.)</t>
        </is>
      </c>
      <c r="D1049" s="2" t="inlineStr">
        <is>
          <t>Proc</t>
        </is>
      </c>
      <c r="E1049" s="3" t="inlineStr">
        <is>
          <t>Procedimiento</t>
        </is>
      </c>
    </row>
    <row r="1050" ht="16" customHeight="1" s="151">
      <c r="A1050" s="1" t="inlineStr">
        <is>
          <t>1901012</t>
        </is>
      </c>
      <c r="B1050" s="2" t="n"/>
      <c r="C1050" s="2" t="inlineStr">
        <is>
          <t>Cistografía por sonda (de relleno) o por punción  hipogástrica</t>
        </is>
      </c>
      <c r="D1050" s="2" t="inlineStr">
        <is>
          <t>Proc</t>
        </is>
      </c>
      <c r="E1050" s="3" t="inlineStr">
        <is>
          <t>Procedimiento</t>
        </is>
      </c>
    </row>
    <row r="1051" ht="16" customHeight="1" s="151">
      <c r="A1051" s="1" t="inlineStr">
        <is>
          <t>1901013</t>
        </is>
      </c>
      <c r="B1051" s="2" t="n"/>
      <c r="C1051" s="2" t="inlineStr">
        <is>
          <t>Inyección de medio de contraste en cuerpo cavernoso</t>
        </is>
      </c>
      <c r="D1051" s="2" t="inlineStr">
        <is>
          <t>Proc</t>
        </is>
      </c>
      <c r="E1051" s="3" t="inlineStr">
        <is>
          <t>Procedimiento</t>
        </is>
      </c>
    </row>
    <row r="1052" ht="16" customHeight="1" s="151">
      <c r="A1052" s="1" t="inlineStr">
        <is>
          <t>1901015</t>
        </is>
      </c>
      <c r="B1052" s="2" t="inlineStr">
        <is>
          <t>5</t>
        </is>
      </c>
      <c r="C1052" s="2" t="inlineStr">
        <is>
          <t>Ureteropielografía ascendente (directa) por cateterismo ureteral uni o bilateral</t>
        </is>
      </c>
      <c r="D1052" s="2" t="inlineStr">
        <is>
          <t>Proc</t>
        </is>
      </c>
      <c r="E1052" s="3" t="inlineStr">
        <is>
          <t>Procedimiento</t>
        </is>
      </c>
    </row>
    <row r="1053" ht="16" customHeight="1" s="151">
      <c r="A1053" s="1" t="inlineStr">
        <is>
          <t>1901016</t>
        </is>
      </c>
      <c r="B1053" s="2" t="inlineStr">
        <is>
          <t>3</t>
        </is>
      </c>
      <c r="C1053" s="2" t="inlineStr">
        <is>
          <t>Uretrografía retrógrada o cistouretrografía (miccional)</t>
        </is>
      </c>
      <c r="D1053" s="2" t="inlineStr">
        <is>
          <t>Proc</t>
        </is>
      </c>
      <c r="E1053" s="3" t="inlineStr">
        <is>
          <t>Procedimiento</t>
        </is>
      </c>
    </row>
    <row r="1054" ht="16" customHeight="1" s="151">
      <c r="A1054" s="1" t="inlineStr">
        <is>
          <t>1901018</t>
        </is>
      </c>
      <c r="B1054" s="2" t="n"/>
      <c r="C1054" s="2" t="inlineStr">
        <is>
          <t>Dilatación uretra c/s masaje, c/s instilación o inyección de medicamentos: anterior y/o posterior</t>
        </is>
      </c>
      <c r="D1054" s="2" t="inlineStr">
        <is>
          <t>Proc</t>
        </is>
      </c>
      <c r="E1054" s="3" t="inlineStr">
        <is>
          <t>Procedimiento</t>
        </is>
      </c>
    </row>
    <row r="1055" ht="16" customHeight="1" s="151">
      <c r="A1055" s="1" t="inlineStr">
        <is>
          <t>1901019</t>
        </is>
      </c>
      <c r="B1055" s="2" t="inlineStr">
        <is>
          <t>3</t>
        </is>
      </c>
      <c r="C1055" s="2" t="inlineStr">
        <is>
          <t>Instilación vesical (incluye colocación de sonda) proc. aut.</t>
        </is>
      </c>
      <c r="D1055" s="2" t="inlineStr">
        <is>
          <t>Proc</t>
        </is>
      </c>
      <c r="E1055" s="3" t="inlineStr">
        <is>
          <t>Procedimiento</t>
        </is>
      </c>
    </row>
    <row r="1056" ht="16" customHeight="1" s="151">
      <c r="A1056" s="1" t="inlineStr">
        <is>
          <t>1901020</t>
        </is>
      </c>
      <c r="B1056" s="2" t="inlineStr">
        <is>
          <t>2</t>
        </is>
      </c>
      <c r="C1056" s="2" t="inlineStr">
        <is>
          <t>Inyección de medicamentos en el pene</t>
        </is>
      </c>
      <c r="D1056" s="2" t="inlineStr">
        <is>
          <t>Proc</t>
        </is>
      </c>
      <c r="E1056" s="3" t="inlineStr">
        <is>
          <t>Procedimiento</t>
        </is>
      </c>
    </row>
    <row r="1057" ht="16" customHeight="1" s="151">
      <c r="A1057" s="1" t="inlineStr">
        <is>
          <t>1901022</t>
        </is>
      </c>
      <c r="B1057" s="2" t="n"/>
      <c r="C1057" s="2" t="inlineStr">
        <is>
          <t>Vaciamiento vesical por sonda uretral, (proc. aut.)</t>
        </is>
      </c>
      <c r="D1057" s="2" t="inlineStr">
        <is>
          <t>Proc</t>
        </is>
      </c>
      <c r="E1057" s="3" t="inlineStr">
        <is>
          <t>Procedimiento</t>
        </is>
      </c>
    </row>
    <row r="1058" ht="16" customHeight="1" s="151">
      <c r="A1058" s="1" t="inlineStr">
        <is>
          <t>1901025</t>
        </is>
      </c>
      <c r="B1058" s="2" t="n"/>
      <c r="C1058" s="2" t="inlineStr">
        <is>
          <t>Peritoneodiálisis por sesión (incluye insumos)</t>
        </is>
      </c>
      <c r="D1058" s="2" t="inlineStr">
        <is>
          <t>Proc</t>
        </is>
      </c>
      <c r="E1058" s="3" t="inlineStr">
        <is>
          <t>Procedimiento</t>
        </is>
      </c>
    </row>
    <row r="1059" ht="16" customHeight="1" s="151">
      <c r="A1059" s="1" t="inlineStr">
        <is>
          <t>1901026</t>
        </is>
      </c>
      <c r="B1059" s="2" t="n"/>
      <c r="C1059" s="2" t="inlineStr">
        <is>
          <t>Peritoneodiálisis continua en paciente crónico (adulto o niños) (tratamiento mensual)</t>
        </is>
      </c>
      <c r="D1059" s="2" t="inlineStr">
        <is>
          <t>Proc</t>
        </is>
      </c>
      <c r="E1059" s="3" t="inlineStr">
        <is>
          <t>Procedimiento</t>
        </is>
      </c>
    </row>
    <row r="1060" ht="16" customHeight="1" s="151">
      <c r="A1060" s="1" t="inlineStr">
        <is>
          <t>1901028</t>
        </is>
      </c>
      <c r="B1060" s="2" t="n"/>
      <c r="C1060" s="2" t="inlineStr">
        <is>
          <t>Hemodiálisis con bicarbonato con insumos (por sesión, incluye traslado paciente)</t>
        </is>
      </c>
      <c r="D1060" s="2" t="inlineStr">
        <is>
          <t>Proc</t>
        </is>
      </c>
      <c r="E1060" s="3" t="inlineStr">
        <is>
          <t>Procedimiento</t>
        </is>
      </c>
    </row>
    <row r="1061" ht="16" customHeight="1" s="151">
      <c r="A1061" s="1" t="inlineStr">
        <is>
          <t>1901029</t>
        </is>
      </c>
      <c r="B1061" s="2" t="n"/>
      <c r="C1061" s="2" t="inlineStr">
        <is>
          <t>Hemodiálisis con bicarbonato con insumos (tratamiento mensual)</t>
        </is>
      </c>
      <c r="D1061" s="2" t="inlineStr">
        <is>
          <t>Proc</t>
        </is>
      </c>
      <c r="E1061" s="3" t="inlineStr">
        <is>
          <t>Procedimiento</t>
        </is>
      </c>
    </row>
    <row r="1062" ht="16" customHeight="1" s="151">
      <c r="A1062" s="1" t="inlineStr">
        <is>
          <t>1901030</t>
        </is>
      </c>
      <c r="B1062" s="2" t="inlineStr">
        <is>
          <t>3</t>
        </is>
      </c>
      <c r="C1062" s="2" t="inlineStr">
        <is>
          <t>Estudio urodinámico (incluye cistometría, EMG perineal y del esfínter uretral, perfil uretral y uroflujometría)</t>
        </is>
      </c>
      <c r="D1062" s="2" t="inlineStr">
        <is>
          <t>Proc</t>
        </is>
      </c>
      <c r="E1062" s="3" t="inlineStr">
        <is>
          <t>Procedimiento</t>
        </is>
      </c>
    </row>
    <row r="1063" ht="16" customHeight="1" s="151">
      <c r="A1063" s="1" t="inlineStr">
        <is>
          <t>1901031</t>
        </is>
      </c>
      <c r="B1063" s="2" t="inlineStr">
        <is>
          <t>4</t>
        </is>
      </c>
      <c r="C1063" s="2" t="inlineStr">
        <is>
          <t>Instalación de catéter de peritoneodiálisis laparoscopia</t>
        </is>
      </c>
      <c r="D1063" s="2" t="inlineStr">
        <is>
          <t>Proc</t>
        </is>
      </c>
      <c r="E1063" s="3" t="inlineStr">
        <is>
          <t>Procedimiento</t>
        </is>
      </c>
    </row>
    <row r="1064" ht="16" customHeight="1" s="151">
      <c r="A1064" s="1" t="inlineStr">
        <is>
          <t>1901032</t>
        </is>
      </c>
      <c r="B1064" s="2" t="inlineStr">
        <is>
          <t>2</t>
        </is>
      </c>
      <c r="C1064" s="2" t="inlineStr">
        <is>
          <t>Retiro de catéter de peritoneodiálisis</t>
        </is>
      </c>
      <c r="D1064" s="2" t="inlineStr">
        <is>
          <t>Proc</t>
        </is>
      </c>
      <c r="E1064" s="3" t="inlineStr">
        <is>
          <t>Procedimiento</t>
        </is>
      </c>
    </row>
    <row r="1065" ht="16" customHeight="1" s="151">
      <c r="A1065" s="1" t="inlineStr">
        <is>
          <t>1901033</t>
        </is>
      </c>
      <c r="B1065" s="2" t="inlineStr">
        <is>
          <t>4</t>
        </is>
      </c>
      <c r="C1065" s="2" t="inlineStr">
        <is>
          <t>Revisión de catéter de peritoneodiálisis laparoscopia</t>
        </is>
      </c>
      <c r="D1065" s="2" t="inlineStr">
        <is>
          <t>Proc</t>
        </is>
      </c>
      <c r="E1065" s="3" t="inlineStr">
        <is>
          <t>Procedimiento</t>
        </is>
      </c>
    </row>
    <row r="1066" ht="16" customHeight="1" s="151">
      <c r="A1066" s="1" t="inlineStr">
        <is>
          <t>1901035</t>
        </is>
      </c>
      <c r="B1066" s="2" t="inlineStr">
        <is>
          <t>4</t>
        </is>
      </c>
      <c r="C1066" s="2" t="inlineStr">
        <is>
          <t>Biopsia estereotáxica digital de próstata</t>
        </is>
      </c>
      <c r="D1066" s="2" t="inlineStr">
        <is>
          <t>Proc</t>
        </is>
      </c>
      <c r="E1066" s="3" t="inlineStr">
        <is>
          <t>Procedimiento</t>
        </is>
      </c>
    </row>
    <row r="1067" ht="16" customHeight="1" s="151">
      <c r="A1067" s="1" t="inlineStr">
        <is>
          <t>1901036</t>
        </is>
      </c>
      <c r="B1067" s="2" t="n"/>
      <c r="C1067" s="2" t="inlineStr">
        <is>
          <t>Instilación vesical (incluye colocación de sonda y Micobacterium Bovis para instilación intravesical proc. aut.)</t>
        </is>
      </c>
      <c r="D1067" s="2" t="inlineStr">
        <is>
          <t>Proc</t>
        </is>
      </c>
      <c r="E1067" s="3" t="inlineStr">
        <is>
          <t>Procedimiento</t>
        </is>
      </c>
    </row>
    <row r="1068" ht="16" customHeight="1" s="151">
      <c r="A1068" s="1" t="inlineStr">
        <is>
          <t>1901126</t>
        </is>
      </c>
      <c r="B1068" s="2" t="n"/>
      <c r="C1068" s="2" t="inlineStr">
        <is>
          <t>Instalación de Catéter para Peritoneodiálisis</t>
        </is>
      </c>
      <c r="D1068" s="2" t="inlineStr">
        <is>
          <t>Proc</t>
        </is>
      </c>
      <c r="E1068" s="3" t="inlineStr">
        <is>
          <t>Procedimiento</t>
        </is>
      </c>
    </row>
    <row r="1069" ht="16" customHeight="1" s="151">
      <c r="A1069" s="1" t="inlineStr">
        <is>
          <t>1901128</t>
        </is>
      </c>
      <c r="B1069" s="2" t="n"/>
      <c r="C1069" s="2" t="inlineStr">
        <is>
          <t>Hemodiálisis con bicarbonato con insumos (por sesión, sin traslado paciente)</t>
        </is>
      </c>
      <c r="D1069" s="2" t="inlineStr">
        <is>
          <t>Proc</t>
        </is>
      </c>
      <c r="E1069" s="3" t="inlineStr">
        <is>
          <t>Procedimiento</t>
        </is>
      </c>
    </row>
    <row r="1070" ht="16" customHeight="1" s="151">
      <c r="A1070" s="1" t="inlineStr">
        <is>
          <t>1902002</t>
        </is>
      </c>
      <c r="B1070" s="2" t="inlineStr">
        <is>
          <t>11</t>
        </is>
      </c>
      <c r="C1070" s="2" t="inlineStr">
        <is>
          <t>Arterias renales, operaciones sobre (proc. aut.)</t>
        </is>
      </c>
      <c r="D1070" s="2" t="inlineStr">
        <is>
          <t>Cmay</t>
        </is>
      </c>
      <c r="E1070" s="3" t="inlineStr">
        <is>
          <t>Cirugía Mayor</t>
        </is>
      </c>
    </row>
    <row r="1071" ht="16" customHeight="1" s="151">
      <c r="A1071" s="1" t="inlineStr">
        <is>
          <t>1902003</t>
        </is>
      </c>
      <c r="B1071" s="2" t="inlineStr">
        <is>
          <t>13</t>
        </is>
      </c>
      <c r="C1071" s="2" t="inlineStr">
        <is>
          <t>Auto o heterotrasplante riñón</t>
        </is>
      </c>
      <c r="D1071" s="2" t="inlineStr">
        <is>
          <t>Cmay</t>
        </is>
      </c>
      <c r="E1071" s="3" t="inlineStr">
        <is>
          <t>Cirugía Mayor</t>
        </is>
      </c>
    </row>
    <row r="1072" ht="16" customHeight="1" s="151">
      <c r="A1072" s="1" t="inlineStr">
        <is>
          <t>1902004</t>
        </is>
      </c>
      <c r="B1072" s="2" t="inlineStr">
        <is>
          <t>13</t>
        </is>
      </c>
      <c r="C1072" s="2" t="inlineStr">
        <is>
          <t>Cirugía de banco, (proc. completo) (micro-extracorpórea), autotrasplante</t>
        </is>
      </c>
      <c r="D1072" s="2" t="inlineStr">
        <is>
          <t>Cmay</t>
        </is>
      </c>
      <c r="E1072" s="3" t="inlineStr">
        <is>
          <t>Cirugía Mayor</t>
        </is>
      </c>
    </row>
    <row r="1073" ht="16" customHeight="1" s="151">
      <c r="A1073" s="1" t="inlineStr">
        <is>
          <t>1902005</t>
        </is>
      </c>
      <c r="B1073" s="2" t="inlineStr">
        <is>
          <t>8</t>
        </is>
      </c>
      <c r="C1073" s="2" t="inlineStr">
        <is>
          <t>Litiasis renal, trat. quir. percutáneo c/s ultrasonido (incluye todo el procedimiento)</t>
        </is>
      </c>
      <c r="D1073" s="2" t="inlineStr">
        <is>
          <t>Cmay</t>
        </is>
      </c>
      <c r="E1073" s="3" t="inlineStr">
        <is>
          <t>Cirugía Mayor</t>
        </is>
      </c>
    </row>
    <row r="1074" ht="16" customHeight="1" s="151">
      <c r="A1074" s="1" t="inlineStr">
        <is>
          <t>1902006</t>
        </is>
      </c>
      <c r="B1074" s="2" t="inlineStr">
        <is>
          <t>8</t>
        </is>
      </c>
      <c r="C1074" s="2" t="inlineStr">
        <is>
          <t>Litiasis renal o ureteral  por cirugía abierta o laparoscópica, por pielotomía o nefrotomía mínima o anatrófica.</t>
        </is>
      </c>
      <c r="D1074" s="2" t="inlineStr">
        <is>
          <t>Cmay</t>
        </is>
      </c>
      <c r="E1074" s="3" t="inlineStr">
        <is>
          <t>Cirugía Mayor</t>
        </is>
      </c>
    </row>
    <row r="1075" ht="16" customHeight="1" s="151">
      <c r="A1075" s="1" t="inlineStr">
        <is>
          <t>1902008</t>
        </is>
      </c>
      <c r="B1075" s="2" t="inlineStr">
        <is>
          <t>7</t>
        </is>
      </c>
      <c r="C1075" s="2" t="inlineStr">
        <is>
          <t>Lumbotomía exploradora c/s dren., c/s biopsia (proc. aut.)</t>
        </is>
      </c>
      <c r="D1075" s="2" t="inlineStr">
        <is>
          <t>Cmay</t>
        </is>
      </c>
      <c r="E1075" s="3" t="inlineStr">
        <is>
          <t>Cirugía Mayor</t>
        </is>
      </c>
    </row>
    <row r="1076" ht="16" customHeight="1" s="151">
      <c r="A1076" s="1" t="inlineStr">
        <is>
          <t>1902009</t>
        </is>
      </c>
      <c r="B1076" s="2" t="inlineStr">
        <is>
          <t>9</t>
        </is>
      </c>
      <c r="C1076" s="2" t="inlineStr">
        <is>
          <t>Nefrectomía parcial cualquier vía y técnica. Incluye disección ganglionar etapificadora o reductiva</t>
        </is>
      </c>
      <c r="D1076" s="2" t="inlineStr">
        <is>
          <t>Cmay</t>
        </is>
      </c>
      <c r="E1076" s="3" t="inlineStr">
        <is>
          <t>Cirugía Mayor</t>
        </is>
      </c>
    </row>
    <row r="1077" ht="16" customHeight="1" s="151">
      <c r="A1077" s="1" t="inlineStr">
        <is>
          <t>1902010</t>
        </is>
      </c>
      <c r="B1077" s="2" t="inlineStr">
        <is>
          <t>9</t>
        </is>
      </c>
      <c r="C1077" s="2" t="inlineStr">
        <is>
          <t>Nefrectomía radical por cáncer renal, traumatismo renal, vía abierta, laparoscópica o robótica, incluye disección ganglionar etapificadora o reductiva</t>
        </is>
      </c>
      <c r="D1077" s="2" t="inlineStr">
        <is>
          <t>Cmay</t>
        </is>
      </c>
      <c r="E1077" s="3" t="inlineStr">
        <is>
          <t>Cirugía Mayor</t>
        </is>
      </c>
    </row>
    <row r="1078" ht="16" customHeight="1" s="151">
      <c r="A1078" s="1" t="inlineStr">
        <is>
          <t>1902011</t>
        </is>
      </c>
      <c r="B1078" s="2" t="inlineStr">
        <is>
          <t>8</t>
        </is>
      </c>
      <c r="C1078" s="2" t="inlineStr">
        <is>
          <t>Nefrectomía por patología benigna o malformación o trasplante.</t>
        </is>
      </c>
      <c r="D1078" s="2" t="inlineStr">
        <is>
          <t>Cmay</t>
        </is>
      </c>
      <c r="E1078" s="3" t="inlineStr">
        <is>
          <t>Cirugía Mayor</t>
        </is>
      </c>
    </row>
    <row r="1079" ht="16" customHeight="1" s="151">
      <c r="A1079" s="1" t="inlineStr">
        <is>
          <t>1902012</t>
        </is>
      </c>
      <c r="B1079" s="2" t="inlineStr">
        <is>
          <t>8</t>
        </is>
      </c>
      <c r="C1079" s="2" t="inlineStr">
        <is>
          <t>Drenaje percutáneo o endoscópico de hidronefrosis.  (proc.autónomo)</t>
        </is>
      </c>
      <c r="D1079" s="2" t="inlineStr">
        <is>
          <t>Cmay</t>
        </is>
      </c>
      <c r="E1079" s="3" t="inlineStr">
        <is>
          <t>Cirugía Mayor</t>
        </is>
      </c>
    </row>
    <row r="1080" ht="16" customHeight="1" s="151">
      <c r="A1080" s="1" t="inlineStr">
        <is>
          <t>1902013</t>
        </is>
      </c>
      <c r="B1080" s="2" t="inlineStr">
        <is>
          <t>8</t>
        </is>
      </c>
      <c r="C1080" s="2" t="inlineStr">
        <is>
          <t>Pielotomía exploradora y/o terapéutica (incluye la  pielostomía y/o pieloplastía)</t>
        </is>
      </c>
      <c r="D1080" s="2" t="inlineStr">
        <is>
          <t>Cmay</t>
        </is>
      </c>
      <c r="E1080" s="3" t="inlineStr">
        <is>
          <t>Cirugía Mayor</t>
        </is>
      </c>
    </row>
    <row r="1081" ht="16" customHeight="1" s="151">
      <c r="A1081" s="1" t="inlineStr">
        <is>
          <t>1902015</t>
        </is>
      </c>
      <c r="B1081" s="2" t="inlineStr">
        <is>
          <t>8</t>
        </is>
      </c>
      <c r="C1081" s="2" t="inlineStr">
        <is>
          <t>Suprarrenalectomía unilateral</t>
        </is>
      </c>
      <c r="D1081" s="2" t="inlineStr">
        <is>
          <t>Cmay</t>
        </is>
      </c>
      <c r="E1081" s="3" t="inlineStr">
        <is>
          <t>Cirugía Mayor</t>
        </is>
      </c>
    </row>
    <row r="1082" ht="16" customHeight="1" s="151">
      <c r="A1082" s="1" t="inlineStr">
        <is>
          <t>1902016</t>
        </is>
      </c>
      <c r="B1082" s="2" t="inlineStr">
        <is>
          <t>9</t>
        </is>
      </c>
      <c r="C1082" s="2" t="inlineStr">
        <is>
          <t>Anastomosis de los uréteres</t>
        </is>
      </c>
      <c r="D1082" s="2" t="inlineStr">
        <is>
          <t>Cmay</t>
        </is>
      </c>
      <c r="E1082" s="3" t="inlineStr">
        <is>
          <t>Cirugía Mayor</t>
        </is>
      </c>
    </row>
    <row r="1083" ht="16" customHeight="1" s="151">
      <c r="A1083" s="1" t="inlineStr">
        <is>
          <t>1902017</t>
        </is>
      </c>
      <c r="B1083" s="2" t="inlineStr">
        <is>
          <t>8</t>
        </is>
      </c>
      <c r="C1083" s="2" t="inlineStr">
        <is>
          <t>Fístula urétero-vaginal, trat. quir.</t>
        </is>
      </c>
      <c r="D1083" s="2" t="inlineStr">
        <is>
          <t>Cmay</t>
        </is>
      </c>
      <c r="E1083" s="3" t="inlineStr">
        <is>
          <t>Cirugía Mayor</t>
        </is>
      </c>
    </row>
    <row r="1084" ht="16" customHeight="1" s="151">
      <c r="A1084" s="1" t="inlineStr">
        <is>
          <t>1902018</t>
        </is>
      </c>
      <c r="B1084" s="2" t="inlineStr">
        <is>
          <t>9</t>
        </is>
      </c>
      <c r="C1084" s="2" t="inlineStr">
        <is>
          <t>Nefroureterectomía en patología tumoral o malformación, cualquier vía o técnica.</t>
        </is>
      </c>
      <c r="D1084" s="2" t="inlineStr">
        <is>
          <t>Cmay</t>
        </is>
      </c>
      <c r="E1084" s="3" t="inlineStr">
        <is>
          <t>Cirugía Mayor</t>
        </is>
      </c>
    </row>
    <row r="1085" ht="16" customHeight="1" s="151">
      <c r="A1085" s="1" t="inlineStr">
        <is>
          <t>1902019</t>
        </is>
      </c>
      <c r="B1085" s="2" t="inlineStr">
        <is>
          <t>8</t>
        </is>
      </c>
      <c r="C1085" s="2" t="inlineStr">
        <is>
          <t>Ureterectomía</t>
        </is>
      </c>
      <c r="D1085" s="2" t="inlineStr">
        <is>
          <t>Cmay</t>
        </is>
      </c>
      <c r="E1085" s="3" t="inlineStr">
        <is>
          <t>Cirugía Mayor</t>
        </is>
      </c>
    </row>
    <row r="1086" ht="16" customHeight="1" s="151">
      <c r="A1086" s="1" t="inlineStr">
        <is>
          <t>1902020</t>
        </is>
      </c>
      <c r="B1086" s="2" t="inlineStr">
        <is>
          <t>7</t>
        </is>
      </c>
      <c r="C1086" s="2" t="inlineStr">
        <is>
          <t>Urétero-litotomía abierta</t>
        </is>
      </c>
      <c r="D1086" s="2" t="inlineStr">
        <is>
          <t>Cmay</t>
        </is>
      </c>
      <c r="E1086" s="3" t="inlineStr">
        <is>
          <t>Cirugía Mayor</t>
        </is>
      </c>
    </row>
    <row r="1087" ht="16" customHeight="1" s="151">
      <c r="A1087" s="1" t="inlineStr">
        <is>
          <t>1902021</t>
        </is>
      </c>
      <c r="B1087" s="2" t="inlineStr">
        <is>
          <t>5</t>
        </is>
      </c>
      <c r="C1087" s="2" t="inlineStr">
        <is>
          <t>Urétero o nefro-litotomía endoscópica c/ureteroscopia rígida o flexible, con o sin fragmentación</t>
        </is>
      </c>
      <c r="D1087" s="2" t="inlineStr">
        <is>
          <t>Cmay</t>
        </is>
      </c>
      <c r="E1087" s="3" t="inlineStr">
        <is>
          <t>Cirugía Mayor</t>
        </is>
      </c>
    </row>
    <row r="1088" ht="16" customHeight="1" s="151">
      <c r="A1088" s="1" t="inlineStr">
        <is>
          <t>1902022</t>
        </is>
      </c>
      <c r="B1088" s="2" t="inlineStr">
        <is>
          <t>9</t>
        </is>
      </c>
      <c r="C1088" s="2" t="inlineStr">
        <is>
          <t>Ureterectomía, ureteroplastía, ureterorrafia, ureterolisis, transureteroanastomosis, cualquier vía o técnica.</t>
        </is>
      </c>
      <c r="D1088" s="2" t="inlineStr">
        <is>
          <t>Cmay</t>
        </is>
      </c>
      <c r="E1088" s="3" t="inlineStr">
        <is>
          <t>Cirugía Mayor</t>
        </is>
      </c>
    </row>
    <row r="1089" ht="16" customHeight="1" s="151">
      <c r="A1089" s="1" t="inlineStr">
        <is>
          <t>1902023</t>
        </is>
      </c>
      <c r="B1089" s="2" t="inlineStr">
        <is>
          <t>8</t>
        </is>
      </c>
      <c r="C1089" s="2" t="inlineStr">
        <is>
          <t>Ureterorrafia y/o ureterolisis c/u</t>
        </is>
      </c>
      <c r="D1089" s="2" t="inlineStr">
        <is>
          <t>Cmay</t>
        </is>
      </c>
      <c r="E1089" s="3" t="inlineStr">
        <is>
          <t>Cirugía Mayor</t>
        </is>
      </c>
    </row>
    <row r="1090" ht="16" customHeight="1" s="151">
      <c r="A1090" s="1" t="inlineStr">
        <is>
          <t>1902024</t>
        </is>
      </c>
      <c r="B1090" s="2" t="inlineStr">
        <is>
          <t>9</t>
        </is>
      </c>
      <c r="C1090" s="2" t="inlineStr">
        <is>
          <t>Ureterostomía bilateral: vesical, cutánea o intestinal</t>
        </is>
      </c>
      <c r="D1090" s="2" t="inlineStr">
        <is>
          <t>Cmay</t>
        </is>
      </c>
      <c r="E1090" s="3" t="inlineStr">
        <is>
          <t>Cirugía Mayor</t>
        </is>
      </c>
    </row>
    <row r="1091" ht="16" customHeight="1" s="151">
      <c r="A1091" s="1" t="inlineStr">
        <is>
          <t>1902025</t>
        </is>
      </c>
      <c r="B1091" s="2" t="inlineStr">
        <is>
          <t>8</t>
        </is>
      </c>
      <c r="C1091" s="2" t="inlineStr">
        <is>
          <t>Ureterostomía unilateral: vesical, cutánea o intestinal</t>
        </is>
      </c>
      <c r="D1091" s="2" t="inlineStr">
        <is>
          <t>Cmay</t>
        </is>
      </c>
      <c r="E1091" s="3" t="inlineStr">
        <is>
          <t>Cirugía Mayor</t>
        </is>
      </c>
    </row>
    <row r="1092" ht="16" customHeight="1" s="151">
      <c r="A1092" s="1" t="inlineStr">
        <is>
          <t>1902027</t>
        </is>
      </c>
      <c r="B1092" s="2" t="inlineStr">
        <is>
          <t>8</t>
        </is>
      </c>
      <c r="C1092" s="2" t="inlineStr">
        <is>
          <t>Cistectomía parcial y/o trat. quir. de divertículo vesical</t>
        </is>
      </c>
      <c r="D1092" s="2" t="inlineStr">
        <is>
          <t>Cmay</t>
        </is>
      </c>
      <c r="E1092" s="3" t="inlineStr">
        <is>
          <t>Cirugía Mayor</t>
        </is>
      </c>
    </row>
    <row r="1093" ht="16" customHeight="1" s="151">
      <c r="A1093" s="1" t="inlineStr">
        <is>
          <t>1902028</t>
        </is>
      </c>
      <c r="B1093" s="2" t="inlineStr">
        <is>
          <t>11</t>
        </is>
      </c>
      <c r="C1093" s="2" t="inlineStr">
        <is>
          <t>Cistectomía radical, cualquier vía o técnica, incluye linfadenectomía ampliada.</t>
        </is>
      </c>
      <c r="D1093" s="2" t="inlineStr">
        <is>
          <t>Cmay</t>
        </is>
      </c>
      <c r="E1093" s="3" t="inlineStr">
        <is>
          <t>Cirugía Mayor</t>
        </is>
      </c>
    </row>
    <row r="1094" ht="16" customHeight="1" s="151">
      <c r="A1094" s="1" t="inlineStr">
        <is>
          <t>1902029</t>
        </is>
      </c>
      <c r="B1094" s="2" t="inlineStr">
        <is>
          <t>9</t>
        </is>
      </c>
      <c r="C1094" s="2" t="inlineStr">
        <is>
          <t>Cistoplastía, proc. completo</t>
        </is>
      </c>
      <c r="D1094" s="2" t="inlineStr">
        <is>
          <t>Cmay</t>
        </is>
      </c>
      <c r="E1094" s="3" t="inlineStr">
        <is>
          <t>Cirugía Mayor</t>
        </is>
      </c>
    </row>
    <row r="1095" ht="16" customHeight="1" s="151">
      <c r="A1095" s="1" t="inlineStr">
        <is>
          <t>1902030</t>
        </is>
      </c>
      <c r="B1095" s="2" t="inlineStr">
        <is>
          <t>7</t>
        </is>
      </c>
      <c r="C1095" s="2" t="inlineStr">
        <is>
          <t>Reparación vesical por trauma o daño de cualquier tipo.</t>
        </is>
      </c>
      <c r="D1095" s="2" t="inlineStr">
        <is>
          <t>Cmay</t>
        </is>
      </c>
      <c r="E1095" s="3" t="inlineStr">
        <is>
          <t>Cirugía Mayor</t>
        </is>
      </c>
    </row>
    <row r="1096" ht="16" customHeight="1" s="151">
      <c r="A1096" s="1" t="inlineStr">
        <is>
          <t>1902031</t>
        </is>
      </c>
      <c r="B1096" s="2" t="inlineStr">
        <is>
          <t>7</t>
        </is>
      </c>
      <c r="C1096" s="2" t="inlineStr">
        <is>
          <t>Cistostomía, extracción de litiasis o cuerpo extraño, instalación de catéter suprapúbico, por vía abierta o endoscopica, c/s láser</t>
        </is>
      </c>
      <c r="D1096" s="2" t="inlineStr">
        <is>
          <t>Cmay</t>
        </is>
      </c>
      <c r="E1096" s="3" t="inlineStr">
        <is>
          <t>Cirugía Mayor</t>
        </is>
      </c>
    </row>
    <row r="1097" ht="16" customHeight="1" s="151">
      <c r="A1097" s="1" t="inlineStr">
        <is>
          <t>1902032</t>
        </is>
      </c>
      <c r="B1097" s="2" t="inlineStr">
        <is>
          <t>8</t>
        </is>
      </c>
      <c r="C1097" s="2" t="inlineStr">
        <is>
          <t>Extrofia vesical, proc. completo</t>
        </is>
      </c>
      <c r="D1097" s="2" t="inlineStr">
        <is>
          <t>Cmay</t>
        </is>
      </c>
      <c r="E1097" s="3" t="inlineStr">
        <is>
          <t>Cirugía Mayor</t>
        </is>
      </c>
    </row>
    <row r="1098" ht="16" customHeight="1" s="151">
      <c r="A1098" s="1" t="inlineStr">
        <is>
          <t>1902033</t>
        </is>
      </c>
      <c r="B1098" s="2" t="inlineStr">
        <is>
          <t>8</t>
        </is>
      </c>
      <c r="C1098" s="2" t="inlineStr">
        <is>
          <t>Fístula vésico-cutánea, y/o vaginal, y/o intest., trat. quir.</t>
        </is>
      </c>
      <c r="D1098" s="2" t="inlineStr">
        <is>
          <t>Cmay</t>
        </is>
      </c>
      <c r="E1098" s="3" t="inlineStr">
        <is>
          <t>Cirugía Mayor</t>
        </is>
      </c>
    </row>
    <row r="1099" ht="16" customHeight="1" s="151">
      <c r="A1099" s="1" t="inlineStr">
        <is>
          <t>1902034</t>
        </is>
      </c>
      <c r="B1099" s="2" t="inlineStr">
        <is>
          <t>8</t>
        </is>
      </c>
      <c r="C1099" s="2" t="inlineStr">
        <is>
          <t>Cirugía abierta o endoscópica de lesiones cuello vesical y/o hemovejiga primaria o post cirugía próstata o vejiga</t>
        </is>
      </c>
      <c r="D1099" s="2" t="inlineStr">
        <is>
          <t>Cmay</t>
        </is>
      </c>
      <c r="E1099" s="3" t="inlineStr">
        <is>
          <t>Cirugía Mayor</t>
        </is>
      </c>
    </row>
    <row r="1100" ht="16" customHeight="1" s="151">
      <c r="A1100" s="1" t="inlineStr">
        <is>
          <t>1902035</t>
        </is>
      </c>
      <c r="B1100" s="2" t="inlineStr">
        <is>
          <t>7</t>
        </is>
      </c>
      <c r="C1100" s="2" t="inlineStr">
        <is>
          <t>Ligadura de arterias hipogástricas (proc. aut.)</t>
        </is>
      </c>
      <c r="D1100" s="2" t="inlineStr">
        <is>
          <t>Cmay</t>
        </is>
      </c>
      <c r="E1100" s="3" t="inlineStr">
        <is>
          <t>Cirugía Mayor</t>
        </is>
      </c>
    </row>
    <row r="1101" ht="16" customHeight="1" s="151">
      <c r="A1101" s="1" t="inlineStr">
        <is>
          <t>1902036</t>
        </is>
      </c>
      <c r="B1101" s="2" t="inlineStr">
        <is>
          <t>10</t>
        </is>
      </c>
      <c r="C1101" s="2" t="inlineStr">
        <is>
          <t>Operación de Bricker</t>
        </is>
      </c>
      <c r="D1101" s="2" t="inlineStr">
        <is>
          <t>Cmay</t>
        </is>
      </c>
      <c r="E1101" s="3" t="inlineStr">
        <is>
          <t>Cirugía Mayor</t>
        </is>
      </c>
    </row>
    <row r="1102" ht="16" customHeight="1" s="151">
      <c r="A1102" s="1" t="inlineStr">
        <is>
          <t>1902037</t>
        </is>
      </c>
      <c r="B1102" s="2" t="inlineStr">
        <is>
          <t>9</t>
        </is>
      </c>
      <c r="C1102" s="2" t="inlineStr">
        <is>
          <t>Resección endoscópica de cáncer vesical</t>
        </is>
      </c>
      <c r="D1102" s="2" t="inlineStr">
        <is>
          <t>Cmay</t>
        </is>
      </c>
      <c r="E1102" s="3" t="inlineStr">
        <is>
          <t>Cirugía Mayor</t>
        </is>
      </c>
    </row>
    <row r="1103" ht="16" customHeight="1" s="151">
      <c r="A1103" s="1" t="inlineStr">
        <is>
          <t>1902038</t>
        </is>
      </c>
      <c r="B1103" s="2" t="inlineStr">
        <is>
          <t>9</t>
        </is>
      </c>
      <c r="C1103" s="2" t="inlineStr">
        <is>
          <t>Reservorio continente intestinal externo o interno</t>
        </is>
      </c>
      <c r="D1103" s="2" t="inlineStr">
        <is>
          <t>Cmay</t>
        </is>
      </c>
      <c r="E1103" s="3" t="inlineStr">
        <is>
          <t>Cirugía Mayor</t>
        </is>
      </c>
    </row>
    <row r="1104" ht="16" customHeight="1" s="151">
      <c r="A1104" s="1" t="inlineStr">
        <is>
          <t>1902040</t>
        </is>
      </c>
      <c r="B1104" s="2" t="inlineStr">
        <is>
          <t>8</t>
        </is>
      </c>
      <c r="C1104" s="2" t="inlineStr">
        <is>
          <t>Extirpación divertículo o quiste para-uretral, cualquier vía</t>
        </is>
      </c>
      <c r="D1104" s="2" t="inlineStr">
        <is>
          <t>Cmay</t>
        </is>
      </c>
      <c r="E1104" s="3" t="inlineStr">
        <is>
          <t>Cirugía Mayor</t>
        </is>
      </c>
    </row>
    <row r="1105" ht="16" customHeight="1" s="151">
      <c r="A1105" s="1" t="inlineStr">
        <is>
          <t>1902041</t>
        </is>
      </c>
      <c r="B1105" s="2" t="inlineStr">
        <is>
          <t>7</t>
        </is>
      </c>
      <c r="C1105" s="2" t="inlineStr">
        <is>
          <t>Flegmón urinoso, drenaje y cistostomía</t>
        </is>
      </c>
      <c r="D1105" s="2" t="inlineStr">
        <is>
          <t>Cmay</t>
        </is>
      </c>
      <c r="E1105" s="3" t="inlineStr">
        <is>
          <t>Cirugía Mayor</t>
        </is>
      </c>
    </row>
    <row r="1106" ht="16" customHeight="1" s="151">
      <c r="A1106" s="1" t="inlineStr">
        <is>
          <t>1902043</t>
        </is>
      </c>
      <c r="B1106" s="2" t="inlineStr">
        <is>
          <t>7</t>
        </is>
      </c>
      <c r="C1106" s="2" t="inlineStr">
        <is>
          <t>Uretroplastía sin substitución - uretrorrafía</t>
        </is>
      </c>
      <c r="D1106" s="2" t="inlineStr">
        <is>
          <t>Cmay</t>
        </is>
      </c>
      <c r="E1106" s="3" t="inlineStr">
        <is>
          <t>Cirugía Mayor</t>
        </is>
      </c>
    </row>
    <row r="1107" ht="16" customHeight="1" s="151">
      <c r="A1107" s="1" t="inlineStr">
        <is>
          <t>1902044</t>
        </is>
      </c>
      <c r="B1107" s="2" t="inlineStr">
        <is>
          <t>8</t>
        </is>
      </c>
      <c r="C1107" s="2" t="inlineStr">
        <is>
          <t>Uretroplastía de substitución, cada tiempo</t>
        </is>
      </c>
      <c r="D1107" s="2" t="inlineStr">
        <is>
          <t>Cmay</t>
        </is>
      </c>
      <c r="E1107" s="3" t="inlineStr">
        <is>
          <t>Cirugía Mayor</t>
        </is>
      </c>
    </row>
    <row r="1108" ht="16" customHeight="1" s="151">
      <c r="A1108" s="1" t="inlineStr">
        <is>
          <t>1902045</t>
        </is>
      </c>
      <c r="B1108" s="2" t="inlineStr">
        <is>
          <t>8</t>
        </is>
      </c>
      <c r="C1108" s="2" t="inlineStr">
        <is>
          <t>Incontinencia urinaria de esfuerzo o d.i.e. (disfunción intrínseca del esfínter), cualquier vía única o combinada, con o sin instalación de mallas, elementos protésicos o esfínter artificial.</t>
        </is>
      </c>
      <c r="D1108" s="2" t="inlineStr">
        <is>
          <t>Cmay</t>
        </is>
      </c>
      <c r="E1108" s="3" t="inlineStr">
        <is>
          <t>Cirugía Mayor</t>
        </is>
      </c>
    </row>
    <row r="1109" ht="16" customHeight="1" s="151">
      <c r="A1109" s="1" t="inlineStr">
        <is>
          <t>1902047</t>
        </is>
      </c>
      <c r="B1109" s="2" t="inlineStr">
        <is>
          <t>5</t>
        </is>
      </c>
      <c r="C1109" s="2" t="inlineStr">
        <is>
          <t>Meatotomía quirúrgica c/s resección de pólipo o carúncula</t>
        </is>
      </c>
      <c r="D1109" s="2" t="inlineStr">
        <is>
          <t>Cmay</t>
        </is>
      </c>
      <c r="E1109" s="3" t="inlineStr">
        <is>
          <t>Cirugía Mayor</t>
        </is>
      </c>
    </row>
    <row r="1110" ht="16" customHeight="1" s="151">
      <c r="A1110" s="1" t="inlineStr">
        <is>
          <t>1902049</t>
        </is>
      </c>
      <c r="B1110" s="2" t="inlineStr">
        <is>
          <t>8</t>
        </is>
      </c>
      <c r="C1110" s="2" t="inlineStr">
        <is>
          <t>Uretrectomía y/o plastía abierta de la uretra en cualquiera de sus porciones, por trauma, o estenosis o cualquier etiología</t>
        </is>
      </c>
      <c r="D1110" s="2" t="inlineStr">
        <is>
          <t>Cmay</t>
        </is>
      </c>
      <c r="E1110" s="3" t="inlineStr">
        <is>
          <t>Cirugía Mayor</t>
        </is>
      </c>
    </row>
    <row r="1111" ht="16" customHeight="1" s="151">
      <c r="A1111" s="1" t="inlineStr">
        <is>
          <t>1902050</t>
        </is>
      </c>
      <c r="B1111" s="2" t="inlineStr">
        <is>
          <t>5</t>
        </is>
      </c>
      <c r="C1111" s="2" t="inlineStr">
        <is>
          <t>Fistulectomía uretral</t>
        </is>
      </c>
      <c r="D1111" s="2" t="inlineStr">
        <is>
          <t>Cmay</t>
        </is>
      </c>
      <c r="E1111" s="3" t="inlineStr">
        <is>
          <t>Cirugía Mayor</t>
        </is>
      </c>
    </row>
    <row r="1112" ht="16" customHeight="1" s="151">
      <c r="A1112" s="1" t="inlineStr">
        <is>
          <t>1902051</t>
        </is>
      </c>
      <c r="B1112" s="2" t="inlineStr">
        <is>
          <t>5</t>
        </is>
      </c>
      <c r="C1112" s="2" t="inlineStr">
        <is>
          <t>Uretrostomía</t>
        </is>
      </c>
      <c r="D1112" s="2" t="inlineStr">
        <is>
          <t>Cmay</t>
        </is>
      </c>
      <c r="E1112" s="3" t="inlineStr">
        <is>
          <t>Cirugía Mayor</t>
        </is>
      </c>
    </row>
    <row r="1113" ht="16" customHeight="1" s="151">
      <c r="A1113" s="1" t="inlineStr">
        <is>
          <t>1902052</t>
        </is>
      </c>
      <c r="B1113" s="2" t="inlineStr">
        <is>
          <t>5</t>
        </is>
      </c>
      <c r="C1113" s="2" t="inlineStr">
        <is>
          <t>Uretrotomía externa (proc. aut.)</t>
        </is>
      </c>
      <c r="D1113" s="2" t="inlineStr">
        <is>
          <t>Cmay</t>
        </is>
      </c>
      <c r="E1113" s="3" t="inlineStr">
        <is>
          <t>Cirugía Mayor</t>
        </is>
      </c>
    </row>
    <row r="1114" ht="16" customHeight="1" s="151">
      <c r="A1114" s="1" t="inlineStr">
        <is>
          <t>1902053</t>
        </is>
      </c>
      <c r="B1114" s="2" t="inlineStr">
        <is>
          <t>5</t>
        </is>
      </c>
      <c r="C1114" s="2" t="inlineStr">
        <is>
          <t>Uretrotomía interna y/o uretrolitotomía (proc. aut.)</t>
        </is>
      </c>
      <c r="D1114" s="2" t="inlineStr">
        <is>
          <t>Cmay</t>
        </is>
      </c>
      <c r="E1114" s="3" t="inlineStr">
        <is>
          <t>Cirugía Mayor</t>
        </is>
      </c>
    </row>
    <row r="1115" ht="16" customHeight="1" s="151">
      <c r="A1115" s="1" t="inlineStr">
        <is>
          <t>1902054</t>
        </is>
      </c>
      <c r="B1115" s="2" t="inlineStr">
        <is>
          <t>5</t>
        </is>
      </c>
      <c r="C1115" s="2" t="inlineStr">
        <is>
          <t>Tratamiento quirúrgico de absceso prostático y/o vesículas seminales, cualquier vía o técnica</t>
        </is>
      </c>
      <c r="D1115" s="2" t="inlineStr">
        <is>
          <t>Cmay</t>
        </is>
      </c>
      <c r="E1115" s="3" t="inlineStr">
        <is>
          <t>Cirugía Mayor</t>
        </is>
      </c>
    </row>
    <row r="1116" ht="16" customHeight="1" s="151">
      <c r="A1116" s="1" t="inlineStr">
        <is>
          <t>1902055</t>
        </is>
      </c>
      <c r="B1116" s="2" t="inlineStr">
        <is>
          <t>8</t>
        </is>
      </c>
      <c r="C1116" s="2" t="inlineStr">
        <is>
          <t>Adenoma o cáncer prostático, resección endoscópica desobstructiva, cualquier técnica (uni, bipolar, láser u otros)</t>
        </is>
      </c>
      <c r="D1116" s="2" t="inlineStr">
        <is>
          <t>Cmay</t>
        </is>
      </c>
      <c r="E1116" s="3" t="inlineStr">
        <is>
          <t>Cirugía Mayor</t>
        </is>
      </c>
    </row>
    <row r="1117" ht="16" customHeight="1" s="151">
      <c r="A1117" s="1" t="inlineStr">
        <is>
          <t>1902056</t>
        </is>
      </c>
      <c r="B1117" s="2" t="inlineStr">
        <is>
          <t>8</t>
        </is>
      </c>
      <c r="C1117" s="2" t="inlineStr">
        <is>
          <t>Adenoma prostático, trat. quir. cualquier vía o técnica abierta</t>
        </is>
      </c>
      <c r="D1117" s="2" t="inlineStr">
        <is>
          <t>Cmay</t>
        </is>
      </c>
      <c r="E1117" s="3" t="inlineStr">
        <is>
          <t>Cirugía Mayor</t>
        </is>
      </c>
    </row>
    <row r="1118" ht="16" customHeight="1" s="151">
      <c r="A1118" s="1" t="inlineStr">
        <is>
          <t>1902057</t>
        </is>
      </c>
      <c r="B1118" s="2" t="inlineStr">
        <is>
          <t>10</t>
        </is>
      </c>
      <c r="C1118" s="2" t="inlineStr">
        <is>
          <t>Prostatectomía radical por cáncer prostático, vía abierta, laparoscópica o robótica, incluye linfadenectomía si corresponde</t>
        </is>
      </c>
      <c r="D1118" s="2" t="inlineStr">
        <is>
          <t>Cmay</t>
        </is>
      </c>
      <c r="E1118" s="3" t="inlineStr">
        <is>
          <t>Cirugía Mayor</t>
        </is>
      </c>
    </row>
    <row r="1119" ht="16" customHeight="1" s="151">
      <c r="A1119" s="1" t="inlineStr">
        <is>
          <t>1902059</t>
        </is>
      </c>
      <c r="B1119" s="2" t="inlineStr">
        <is>
          <t>5</t>
        </is>
      </c>
      <c r="C1119" s="2" t="inlineStr">
        <is>
          <t>Biopsia quirúrgica de testículo y/o aspiración epididimaria.</t>
        </is>
      </c>
      <c r="D1119" s="2" t="inlineStr">
        <is>
          <t>Cmay</t>
        </is>
      </c>
      <c r="E1119" s="3" t="inlineStr">
        <is>
          <t>Cirugía Mayor</t>
        </is>
      </c>
    </row>
    <row r="1120" ht="16" customHeight="1" s="151">
      <c r="A1120" s="1" t="inlineStr">
        <is>
          <t>1902060</t>
        </is>
      </c>
      <c r="B1120" s="2" t="inlineStr">
        <is>
          <t>6</t>
        </is>
      </c>
      <c r="C1120" s="2" t="inlineStr">
        <is>
          <t>Descenso testicular con o sin hernia, cualquier tiempo, cualquier técnica</t>
        </is>
      </c>
      <c r="D1120" s="2" t="inlineStr">
        <is>
          <t>Cmay</t>
        </is>
      </c>
      <c r="E1120" s="3" t="inlineStr">
        <is>
          <t>Cirugía Mayor</t>
        </is>
      </c>
    </row>
    <row r="1121" ht="16" customHeight="1" s="151">
      <c r="A1121" s="1" t="inlineStr">
        <is>
          <t>1902061</t>
        </is>
      </c>
      <c r="B1121" s="2" t="inlineStr">
        <is>
          <t>5</t>
        </is>
      </c>
      <c r="C1121" s="2" t="inlineStr">
        <is>
          <t>Descenso testículo inguinal c/s hernioplastía</t>
        </is>
      </c>
      <c r="D1121" s="2" t="inlineStr">
        <is>
          <t>Cmay</t>
        </is>
      </c>
      <c r="E1121" s="3" t="inlineStr">
        <is>
          <t>Cirugía Mayor</t>
        </is>
      </c>
    </row>
    <row r="1122" ht="16" customHeight="1" s="151">
      <c r="A1122" s="1" t="inlineStr">
        <is>
          <t>1902062</t>
        </is>
      </c>
      <c r="B1122" s="2" t="inlineStr">
        <is>
          <t>6</t>
        </is>
      </c>
      <c r="C1122" s="2" t="inlineStr">
        <is>
          <t>Escroto, plastía de, proc. completo</t>
        </is>
      </c>
      <c r="D1122" s="2" t="inlineStr">
        <is>
          <t>Cmay</t>
        </is>
      </c>
      <c r="E1122" s="3" t="inlineStr">
        <is>
          <t>Cirugía Mayor</t>
        </is>
      </c>
    </row>
    <row r="1123" ht="16" customHeight="1" s="151">
      <c r="A1123" s="1" t="inlineStr">
        <is>
          <t>1902063</t>
        </is>
      </c>
      <c r="B1123" s="2" t="inlineStr">
        <is>
          <t>5</t>
        </is>
      </c>
      <c r="C1123" s="2" t="inlineStr">
        <is>
          <t>Hidatidectomía unilat. c/s eversión de la vaginal (proc. aut.)</t>
        </is>
      </c>
      <c r="D1123" s="2" t="inlineStr">
        <is>
          <t>Cmay</t>
        </is>
      </c>
      <c r="E1123" s="3" t="inlineStr">
        <is>
          <t>Cirugía Mayor</t>
        </is>
      </c>
    </row>
    <row r="1124" ht="16" customHeight="1" s="151">
      <c r="A1124" s="1" t="inlineStr">
        <is>
          <t>1902064</t>
        </is>
      </c>
      <c r="B1124" s="2" t="inlineStr">
        <is>
          <t>5</t>
        </is>
      </c>
      <c r="C1124" s="2" t="inlineStr">
        <is>
          <t>Hidrocele y/o hematocele, incluye quistes cordón y/o epidídimo y/o hidatidectomías y/o cirugía intravaginal del mismo lado</t>
        </is>
      </c>
      <c r="D1124" s="2" t="inlineStr">
        <is>
          <t>Cmay</t>
        </is>
      </c>
      <c r="E1124" s="3" t="inlineStr">
        <is>
          <t>Cirugía Mayor</t>
        </is>
      </c>
    </row>
    <row r="1125" ht="16" customHeight="1" s="151">
      <c r="A1125" s="1" t="inlineStr">
        <is>
          <t>1902065</t>
        </is>
      </c>
      <c r="B1125" s="2" t="inlineStr">
        <is>
          <t>5</t>
        </is>
      </c>
      <c r="C1125" s="2" t="inlineStr">
        <is>
          <t>Orquidectomía unilateral</t>
        </is>
      </c>
      <c r="D1125" s="2" t="inlineStr">
        <is>
          <t>Cmay</t>
        </is>
      </c>
      <c r="E1125" s="3" t="inlineStr">
        <is>
          <t>Cirugía Mayor</t>
        </is>
      </c>
    </row>
    <row r="1126" ht="16" customHeight="1" s="151">
      <c r="A1126" s="1" t="inlineStr">
        <is>
          <t>1902066</t>
        </is>
      </c>
      <c r="B1126" s="2" t="inlineStr">
        <is>
          <t>5</t>
        </is>
      </c>
      <c r="C1126" s="2" t="inlineStr">
        <is>
          <t>Orquidopexia unilateral</t>
        </is>
      </c>
      <c r="D1126" s="2" t="inlineStr">
        <is>
          <t>Cmay</t>
        </is>
      </c>
      <c r="E1126" s="3" t="inlineStr">
        <is>
          <t>Cirugía Mayor</t>
        </is>
      </c>
    </row>
    <row r="1127" ht="16" customHeight="1" s="151">
      <c r="A1127" s="1" t="inlineStr">
        <is>
          <t>1902067</t>
        </is>
      </c>
      <c r="B1127" s="2" t="inlineStr">
        <is>
          <t>5</t>
        </is>
      </c>
      <c r="C1127" s="2" t="inlineStr">
        <is>
          <t>Prótesis testicular, (proc. aut.)</t>
        </is>
      </c>
      <c r="D1127" s="2" t="inlineStr">
        <is>
          <t>Cmay</t>
        </is>
      </c>
      <c r="E1127" s="3" t="inlineStr">
        <is>
          <t>Cirugía Mayor</t>
        </is>
      </c>
    </row>
    <row r="1128" ht="16" customHeight="1" s="151">
      <c r="A1128" s="1" t="inlineStr">
        <is>
          <t>1902068</t>
        </is>
      </c>
      <c r="B1128" s="2" t="inlineStr">
        <is>
          <t>6</t>
        </is>
      </c>
      <c r="C1128" s="2" t="inlineStr">
        <is>
          <t>Orquidectomía ampliada por cáncer testicular</t>
        </is>
      </c>
      <c r="D1128" s="2" t="inlineStr">
        <is>
          <t>Cmay</t>
        </is>
      </c>
      <c r="E1128" s="3" t="inlineStr">
        <is>
          <t>Cirugía Mayor</t>
        </is>
      </c>
    </row>
    <row r="1129" ht="16" customHeight="1" s="151">
      <c r="A1129" s="1" t="inlineStr">
        <is>
          <t>1902069</t>
        </is>
      </c>
      <c r="B1129" s="2" t="inlineStr">
        <is>
          <t>11</t>
        </is>
      </c>
      <c r="C1129" s="2" t="inlineStr">
        <is>
          <t>Disección ganglionar lumboaórtica por cáncer testicular, cualquier vía o técnica, uni o bilateral o modificada.</t>
        </is>
      </c>
      <c r="D1129" s="2" t="inlineStr">
        <is>
          <t>Cmay</t>
        </is>
      </c>
      <c r="E1129" s="3" t="inlineStr">
        <is>
          <t>Cirugía Mayor</t>
        </is>
      </c>
    </row>
    <row r="1130" ht="16" customHeight="1" s="151">
      <c r="A1130" s="1" t="inlineStr">
        <is>
          <t>1902070</t>
        </is>
      </c>
      <c r="B1130" s="2" t="inlineStr">
        <is>
          <t>7</t>
        </is>
      </c>
      <c r="C1130" s="2" t="inlineStr">
        <is>
          <t>Anastomosis deferentes o epidídimo-deferencial</t>
        </is>
      </c>
      <c r="D1130" s="2" t="inlineStr">
        <is>
          <t>Cmay</t>
        </is>
      </c>
      <c r="E1130" s="3" t="inlineStr">
        <is>
          <t>Cirugía Mayor</t>
        </is>
      </c>
    </row>
    <row r="1131" ht="16" customHeight="1" s="151">
      <c r="A1131" s="1" t="inlineStr">
        <is>
          <t>1902071</t>
        </is>
      </c>
      <c r="B1131" s="2" t="inlineStr">
        <is>
          <t>5</t>
        </is>
      </c>
      <c r="C1131" s="2" t="inlineStr">
        <is>
          <t>Cirugía del epidídimo y cordón (proc.aut), incluye cirugía intravaginal y/o varicocele mismo lado</t>
        </is>
      </c>
      <c r="D1131" s="2" t="inlineStr">
        <is>
          <t>Cmay</t>
        </is>
      </c>
      <c r="E1131" s="3" t="inlineStr">
        <is>
          <t>Cirugía Mayor</t>
        </is>
      </c>
    </row>
    <row r="1132" ht="16" customHeight="1" s="151">
      <c r="A1132" s="1" t="inlineStr">
        <is>
          <t>1902072</t>
        </is>
      </c>
      <c r="B1132" s="2" t="inlineStr">
        <is>
          <t>7</t>
        </is>
      </c>
      <c r="C1132" s="2" t="inlineStr">
        <is>
          <t>Plastía epidídimo-deferente (operación de Martín o sim.)</t>
        </is>
      </c>
      <c r="D1132" s="2" t="inlineStr">
        <is>
          <t>Cmay</t>
        </is>
      </c>
      <c r="E1132" s="3" t="inlineStr">
        <is>
          <t>Cirugía Mayor</t>
        </is>
      </c>
    </row>
    <row r="1133" ht="16" customHeight="1" s="151">
      <c r="A1133" s="1" t="inlineStr">
        <is>
          <t>1902073</t>
        </is>
      </c>
      <c r="B1133" s="2" t="inlineStr">
        <is>
          <t>5</t>
        </is>
      </c>
      <c r="C1133" s="2" t="inlineStr">
        <is>
          <t>Quistes del cordón, y/o epidídimo, extirpación; epididimotomía diagnóstica y/o terapéutica (proc. aut.)</t>
        </is>
      </c>
      <c r="D1133" s="2" t="inlineStr">
        <is>
          <t>Cmay</t>
        </is>
      </c>
      <c r="E1133" s="3" t="inlineStr">
        <is>
          <t>Cirugía Mayor</t>
        </is>
      </c>
    </row>
    <row r="1134" ht="16" customHeight="1" s="151">
      <c r="A1134" s="1" t="inlineStr">
        <is>
          <t>1902074</t>
        </is>
      </c>
      <c r="B1134" s="2" t="inlineStr">
        <is>
          <t>5</t>
        </is>
      </c>
      <c r="C1134" s="2" t="inlineStr">
        <is>
          <t>Exploración escroto agudo. Incluye hematocele por trauma, destorsión y fijación testículo, hidatidectomía  y eversión bilateral si corresponde</t>
        </is>
      </c>
      <c r="D1134" s="2" t="inlineStr">
        <is>
          <t>Cmay</t>
        </is>
      </c>
      <c r="E1134" s="3" t="inlineStr">
        <is>
          <t>Cirugía Mayor</t>
        </is>
      </c>
    </row>
    <row r="1135" ht="16" customHeight="1" s="151">
      <c r="A1135" s="1" t="inlineStr">
        <is>
          <t>1902075</t>
        </is>
      </c>
      <c r="B1135" s="2" t="inlineStr">
        <is>
          <t>5</t>
        </is>
      </c>
      <c r="C1135" s="2" t="inlineStr">
        <is>
          <t>Varicocele unilateral y/o denervación cordón espermático (incluye quistes, hidátides e hidrocele mismo lado)</t>
        </is>
      </c>
      <c r="D1135" s="2" t="inlineStr">
        <is>
          <t>Cmay</t>
        </is>
      </c>
      <c r="E1135" s="3" t="inlineStr">
        <is>
          <t>Cirugía Mayor</t>
        </is>
      </c>
    </row>
    <row r="1136" ht="16" customHeight="1" s="151">
      <c r="A1136" s="1" t="inlineStr">
        <is>
          <t>1902076</t>
        </is>
      </c>
      <c r="B1136" s="2" t="inlineStr">
        <is>
          <t>5</t>
        </is>
      </c>
      <c r="C1136" s="2" t="inlineStr">
        <is>
          <t>Vasectomía bilateral, (proc. aut.) (la vasectomía como tiempo previo a una resección de próstata esta incluida en la prostatectomía)</t>
        </is>
      </c>
      <c r="D1136" s="2" t="inlineStr">
        <is>
          <t>Cmay</t>
        </is>
      </c>
      <c r="E1136" s="3" t="inlineStr">
        <is>
          <t>Cirugía Mayor</t>
        </is>
      </c>
    </row>
    <row r="1137" ht="16" customHeight="1" s="151">
      <c r="A1137" s="1" t="inlineStr">
        <is>
          <t>1902078</t>
        </is>
      </c>
      <c r="B1137" s="2" t="inlineStr">
        <is>
          <t>6</t>
        </is>
      </c>
      <c r="C1137" s="2" t="inlineStr">
        <is>
          <t>Amputación parcial del pene (proc. aut.)</t>
        </is>
      </c>
      <c r="D1137" s="2" t="inlineStr">
        <is>
          <t>Cmay</t>
        </is>
      </c>
      <c r="E1137" s="3" t="inlineStr">
        <is>
          <t>Cirugía Mayor</t>
        </is>
      </c>
    </row>
    <row r="1138" ht="16" customHeight="1" s="151">
      <c r="A1138" s="1" t="inlineStr">
        <is>
          <t>1902079</t>
        </is>
      </c>
      <c r="B1138" s="2" t="inlineStr">
        <is>
          <t>8</t>
        </is>
      </c>
      <c r="C1138" s="2" t="inlineStr">
        <is>
          <t>Amputación total del pene, proc. completo</t>
        </is>
      </c>
      <c r="D1138" s="2" t="inlineStr">
        <is>
          <t>Cmay</t>
        </is>
      </c>
      <c r="E1138" s="3" t="inlineStr">
        <is>
          <t>Cirugía Mayor</t>
        </is>
      </c>
    </row>
    <row r="1139" ht="16" customHeight="1" s="151">
      <c r="A1139" s="1" t="inlineStr">
        <is>
          <t>1902080</t>
        </is>
      </c>
      <c r="B1139" s="2" t="inlineStr">
        <is>
          <t>4</t>
        </is>
      </c>
      <c r="C1139" s="2" t="inlineStr">
        <is>
          <t>Biopsia de pene (proc. aut.)</t>
        </is>
      </c>
      <c r="D1139" s="2" t="inlineStr">
        <is>
          <t>CMen</t>
        </is>
      </c>
      <c r="E1139" s="3" t="inlineStr">
        <is>
          <t>Cirugía Menor</t>
        </is>
      </c>
    </row>
    <row r="1140" ht="16" customHeight="1" s="151">
      <c r="A1140" s="1" t="inlineStr">
        <is>
          <t>1902081</t>
        </is>
      </c>
      <c r="B1140" s="2" t="inlineStr">
        <is>
          <t>6</t>
        </is>
      </c>
      <c r="C1140" s="2" t="inlineStr">
        <is>
          <t>Cirugía del priapismo cualquier vía o técnica</t>
        </is>
      </c>
      <c r="D1140" s="2" t="inlineStr">
        <is>
          <t>Cmay</t>
        </is>
      </c>
      <c r="E1140" s="3" t="inlineStr">
        <is>
          <t>Cirugía Mayor</t>
        </is>
      </c>
    </row>
    <row r="1141" ht="16" customHeight="1" s="151">
      <c r="A1141" s="1" t="inlineStr">
        <is>
          <t>1902082</t>
        </is>
      </c>
      <c r="B1141" s="2" t="inlineStr">
        <is>
          <t>5</t>
        </is>
      </c>
      <c r="C1141" s="2" t="inlineStr">
        <is>
          <t>Circuncisión (incluye sección de frenillo, y/o de sinequias bálano-prepuciales, y/o incisión dorsal c/s meatotomía)</t>
        </is>
      </c>
      <c r="D1141" s="2" t="inlineStr">
        <is>
          <t>Cmay</t>
        </is>
      </c>
      <c r="E1141" s="3" t="inlineStr">
        <is>
          <t>Cirugía Mayor</t>
        </is>
      </c>
    </row>
    <row r="1142" ht="16" customHeight="1" s="151">
      <c r="A1142" s="1" t="inlineStr">
        <is>
          <t>1902083</t>
        </is>
      </c>
      <c r="B1142" s="2" t="inlineStr">
        <is>
          <t>5</t>
        </is>
      </c>
      <c r="C1142" s="2" t="inlineStr">
        <is>
          <t>Cirugía traumatismo peneano o curvaturas  adquiridas de la albugínea</t>
        </is>
      </c>
      <c r="D1142" s="2" t="inlineStr">
        <is>
          <t>Cmay</t>
        </is>
      </c>
      <c r="E1142" s="3" t="inlineStr">
        <is>
          <t>Cirugía Mayor</t>
        </is>
      </c>
    </row>
    <row r="1143" ht="16" customHeight="1" s="151">
      <c r="A1143" s="1" t="inlineStr">
        <is>
          <t>1902084</t>
        </is>
      </c>
      <c r="B1143" s="2" t="inlineStr">
        <is>
          <t>4</t>
        </is>
      </c>
      <c r="C1143" s="2" t="inlineStr">
        <is>
          <t>Meatotomía hombre y/o sección frenillo y/o incisión dorsal, (proc. aut.)</t>
        </is>
      </c>
      <c r="D1143" s="2" t="inlineStr">
        <is>
          <t>CMen</t>
        </is>
      </c>
      <c r="E1143" s="3" t="inlineStr">
        <is>
          <t>Cirugía Menor</t>
        </is>
      </c>
    </row>
    <row r="1144" ht="16" customHeight="1" s="151">
      <c r="A1144" s="1" t="inlineStr">
        <is>
          <t>1902085</t>
        </is>
      </c>
      <c r="B1144" s="2" t="inlineStr">
        <is>
          <t>7</t>
        </is>
      </c>
      <c r="C1144" s="2" t="inlineStr">
        <is>
          <t>Implantación prótesis peneana cualquier tipo o vía (no incluye prótesis)</t>
        </is>
      </c>
      <c r="D1144" s="2" t="inlineStr">
        <is>
          <t>Cmay</t>
        </is>
      </c>
      <c r="E1144" s="3" t="inlineStr">
        <is>
          <t>Cirugía Mayor</t>
        </is>
      </c>
    </row>
    <row r="1145" ht="16" customHeight="1" s="151">
      <c r="A1145" s="1" t="inlineStr">
        <is>
          <t>1902090</t>
        </is>
      </c>
      <c r="B1145" s="2" t="inlineStr">
        <is>
          <t>10</t>
        </is>
      </c>
      <c r="C1145" s="2" t="inlineStr">
        <is>
          <t>Tratamiento integral litiasis urinaria por vía litotripsia extracorpórea</t>
        </is>
      </c>
      <c r="D1145" s="2" t="inlineStr">
        <is>
          <t>Cmay</t>
        </is>
      </c>
      <c r="E1145" s="3" t="inlineStr">
        <is>
          <t>Cirugía Mayor</t>
        </is>
      </c>
    </row>
    <row r="1146" ht="16" customHeight="1" s="151">
      <c r="A1146" s="1" t="inlineStr">
        <is>
          <t>1902091</t>
        </is>
      </c>
      <c r="B1146" s="2" t="inlineStr">
        <is>
          <t>9</t>
        </is>
      </c>
      <c r="C1146" s="2" t="inlineStr">
        <is>
          <t>Reparación vesical por trauma o daño de cualquier tipo. Por vía de abordaje laparoscópica</t>
        </is>
      </c>
      <c r="D1146" s="2" t="inlineStr">
        <is>
          <t>Cmay</t>
        </is>
      </c>
      <c r="E1146" s="3" t="inlineStr">
        <is>
          <t>Cirugía Mayor</t>
        </is>
      </c>
    </row>
    <row r="1147" ht="16" customHeight="1" s="151">
      <c r="A1147" s="1" t="inlineStr">
        <is>
          <t>1902092</t>
        </is>
      </c>
      <c r="B1147" s="2" t="inlineStr">
        <is>
          <t>9</t>
        </is>
      </c>
      <c r="C1147" s="2" t="inlineStr">
        <is>
          <t>Inyección ureteral o vesical de medicamentos o sustancias vía endoscópica (no incluye fármaco)</t>
        </is>
      </c>
      <c r="D1147" s="2" t="inlineStr">
        <is>
          <t>Cmay</t>
        </is>
      </c>
      <c r="E1147" s="3" t="inlineStr">
        <is>
          <t>Cirugía Mayor</t>
        </is>
      </c>
    </row>
    <row r="1148" ht="16" customHeight="1" s="151">
      <c r="A1148" s="1" t="inlineStr">
        <is>
          <t>1902093</t>
        </is>
      </c>
      <c r="B1148" s="2" t="inlineStr">
        <is>
          <t>9</t>
        </is>
      </c>
      <c r="C1148" s="2" t="inlineStr">
        <is>
          <t>Ureterostomía unilateral: vesical, cutáneo o intestinal por vía de abordaje laparoscopia</t>
        </is>
      </c>
      <c r="D1148" s="2" t="inlineStr">
        <is>
          <t>Cmay</t>
        </is>
      </c>
      <c r="E1148" s="3" t="inlineStr">
        <is>
          <t>Cirugía Mayor</t>
        </is>
      </c>
    </row>
    <row r="1149" ht="16" customHeight="1" s="151">
      <c r="A1149" s="1" t="inlineStr">
        <is>
          <t>2001002</t>
        </is>
      </c>
      <c r="B1149" s="2" t="inlineStr">
        <is>
          <t>1</t>
        </is>
      </c>
      <c r="C1149" s="2" t="inlineStr">
        <is>
          <t>Colposcopía</t>
        </is>
      </c>
      <c r="D1149" s="2" t="inlineStr">
        <is>
          <t>Proc</t>
        </is>
      </c>
      <c r="E1149" s="3" t="inlineStr">
        <is>
          <t>Procedimiento</t>
        </is>
      </c>
    </row>
    <row r="1150" ht="16" customHeight="1" s="151">
      <c r="A1150" s="1" t="inlineStr">
        <is>
          <t>2001005</t>
        </is>
      </c>
      <c r="B1150" s="2" t="inlineStr">
        <is>
          <t>4</t>
        </is>
      </c>
      <c r="C1150" s="2" t="inlineStr">
        <is>
          <t>Histeroscopía diagnóstica (proc. aut.)</t>
        </is>
      </c>
      <c r="D1150" s="2" t="inlineStr">
        <is>
          <t>Proc</t>
        </is>
      </c>
      <c r="E1150" s="3" t="inlineStr">
        <is>
          <t>Procedimiento</t>
        </is>
      </c>
    </row>
    <row r="1151" ht="16" customHeight="1" s="151">
      <c r="A1151" s="1" t="inlineStr">
        <is>
          <t>2001006</t>
        </is>
      </c>
      <c r="B1151" s="2" t="inlineStr">
        <is>
          <t>4</t>
        </is>
      </c>
      <c r="C1151" s="2" t="inlineStr">
        <is>
          <t>Amniocentesis</t>
        </is>
      </c>
      <c r="D1151" s="2" t="inlineStr">
        <is>
          <t>Proc</t>
        </is>
      </c>
      <c r="E1151" s="3" t="inlineStr">
        <is>
          <t>Procedimiento</t>
        </is>
      </c>
    </row>
    <row r="1152" ht="16" customHeight="1" s="151">
      <c r="A1152" s="1" t="inlineStr">
        <is>
          <t>2001007</t>
        </is>
      </c>
      <c r="B1152" s="2" t="inlineStr">
        <is>
          <t>3</t>
        </is>
      </c>
      <c r="C1152" s="2" t="inlineStr">
        <is>
          <t>Culdocentesis (punción del Douglas)</t>
        </is>
      </c>
      <c r="D1152" s="2" t="inlineStr">
        <is>
          <t>Proc</t>
        </is>
      </c>
      <c r="E1152" s="3" t="inlineStr">
        <is>
          <t>Procedimiento</t>
        </is>
      </c>
    </row>
    <row r="1153" ht="16" customHeight="1" s="151">
      <c r="A1153" s="1" t="inlineStr">
        <is>
          <t>2001009</t>
        </is>
      </c>
      <c r="B1153" s="2" t="n"/>
      <c r="C1153" s="2" t="inlineStr">
        <is>
          <t>Monitoreo basal con informe</t>
        </is>
      </c>
      <c r="D1153" s="2" t="inlineStr">
        <is>
          <t>Proc</t>
        </is>
      </c>
      <c r="E1153" s="3" t="inlineStr">
        <is>
          <t>Procedimiento</t>
        </is>
      </c>
    </row>
    <row r="1154" ht="16" customHeight="1" s="151">
      <c r="A1154" s="1" t="inlineStr">
        <is>
          <t>2001010</t>
        </is>
      </c>
      <c r="B1154" s="2" t="n"/>
      <c r="C1154" s="2" t="inlineStr">
        <is>
          <t>Monitoreo fetal estresante, con control permanente del especialista y tratamiento de las posibles complicaciones</t>
        </is>
      </c>
      <c r="D1154" s="2" t="inlineStr">
        <is>
          <t>Proc</t>
        </is>
      </c>
      <c r="E1154" s="3" t="inlineStr">
        <is>
          <t>Procedimiento</t>
        </is>
      </c>
    </row>
    <row r="1155" ht="16" customHeight="1" s="151">
      <c r="A1155" s="1" t="inlineStr">
        <is>
          <t>2001012</t>
        </is>
      </c>
      <c r="B1155" s="2" t="inlineStr">
        <is>
          <t>3</t>
        </is>
      </c>
      <c r="C1155" s="2" t="inlineStr">
        <is>
          <t>Galactografía (a.c. 04-02-005)</t>
        </is>
      </c>
      <c r="D1155" s="2" t="inlineStr">
        <is>
          <t>Proc</t>
        </is>
      </c>
      <c r="E1155" s="3" t="inlineStr">
        <is>
          <t>Procedimiento</t>
        </is>
      </c>
    </row>
    <row r="1156" ht="16" customHeight="1" s="151">
      <c r="A1156" s="1" t="inlineStr">
        <is>
          <t>2001013</t>
        </is>
      </c>
      <c r="B1156" s="2" t="inlineStr">
        <is>
          <t>3</t>
        </is>
      </c>
      <c r="C1156" s="2" t="inlineStr">
        <is>
          <t>Histerosalpingografía (a.c. 04-02-011)</t>
        </is>
      </c>
      <c r="D1156" s="2" t="inlineStr">
        <is>
          <t>Proc</t>
        </is>
      </c>
      <c r="E1156" s="3" t="inlineStr">
        <is>
          <t>Procedimiento</t>
        </is>
      </c>
    </row>
    <row r="1157" ht="16" customHeight="1" s="151">
      <c r="A1157" s="1" t="inlineStr">
        <is>
          <t>2001014</t>
        </is>
      </c>
      <c r="B1157" s="2" t="inlineStr">
        <is>
          <t>2</t>
        </is>
      </c>
      <c r="C1157" s="2" t="inlineStr">
        <is>
          <t>Biopsia endometrio, vulva, vagina, cuello, c/u (proc. aut.)</t>
        </is>
      </c>
      <c r="D1157" s="2" t="inlineStr">
        <is>
          <t>Proc</t>
        </is>
      </c>
      <c r="E1157" s="3" t="inlineStr">
        <is>
          <t>Procedimiento</t>
        </is>
      </c>
    </row>
    <row r="1158" ht="16" customHeight="1" s="151">
      <c r="A1158" s="1" t="inlineStr">
        <is>
          <t>2001015</t>
        </is>
      </c>
      <c r="B1158" s="2" t="inlineStr">
        <is>
          <t>2</t>
        </is>
      </c>
      <c r="C1158" s="2" t="inlineStr">
        <is>
          <t>Colocación o extracción de dispositivo intrauterino (no incluye el valor del dispositivo)</t>
        </is>
      </c>
      <c r="D1158" s="2" t="inlineStr">
        <is>
          <t>Proc</t>
        </is>
      </c>
      <c r="E1158" s="3" t="inlineStr">
        <is>
          <t>Procedimiento</t>
        </is>
      </c>
    </row>
    <row r="1159" ht="16" customHeight="1" s="151">
      <c r="A1159" s="1" t="inlineStr">
        <is>
          <t>2001016</t>
        </is>
      </c>
      <c r="B1159" s="2" t="inlineStr">
        <is>
          <t>2</t>
        </is>
      </c>
      <c r="C1159" s="2" t="inlineStr">
        <is>
          <t>Electrodiatermo o criocoagulación de lesiones del cuello</t>
        </is>
      </c>
      <c r="D1159" s="2" t="inlineStr">
        <is>
          <t>Proc</t>
        </is>
      </c>
      <c r="E1159" s="3" t="inlineStr">
        <is>
          <t>Procedimiento</t>
        </is>
      </c>
    </row>
    <row r="1160" ht="16" customHeight="1" s="151">
      <c r="A1160" s="1" t="inlineStr">
        <is>
          <t>2001020</t>
        </is>
      </c>
      <c r="B1160" s="2" t="n"/>
      <c r="C1160" s="2" t="inlineStr">
        <is>
          <t>Test postcoital</t>
        </is>
      </c>
      <c r="D1160" s="2" t="inlineStr">
        <is>
          <t>Proc</t>
        </is>
      </c>
      <c r="E1160" s="3" t="inlineStr">
        <is>
          <t>Procedimiento</t>
        </is>
      </c>
    </row>
    <row r="1161" ht="16" customHeight="1" s="151">
      <c r="A1161" s="1" t="inlineStr">
        <is>
          <t>2001021</t>
        </is>
      </c>
      <c r="B1161" s="2" t="n"/>
      <c r="C1161" s="2" t="inlineStr">
        <is>
          <t>Cordocentesis</t>
        </is>
      </c>
      <c r="D1161" s="2" t="inlineStr">
        <is>
          <t>Proc</t>
        </is>
      </c>
      <c r="E1161" s="3" t="inlineStr">
        <is>
          <t>Procedimiento</t>
        </is>
      </c>
    </row>
    <row r="1162" ht="16" customHeight="1" s="151">
      <c r="A1162" s="1" t="inlineStr">
        <is>
          <t>2001022</t>
        </is>
      </c>
      <c r="B1162" s="2" t="inlineStr">
        <is>
          <t>3</t>
        </is>
      </c>
      <c r="C1162" s="2" t="inlineStr">
        <is>
          <t>Punción evacuadora de quistes mamarios, c/s toma de muestras, c/s inyección de medicamentos</t>
        </is>
      </c>
      <c r="D1162" s="2" t="inlineStr">
        <is>
          <t>Proc</t>
        </is>
      </c>
      <c r="E1162" s="3" t="inlineStr">
        <is>
          <t>Procedimiento</t>
        </is>
      </c>
    </row>
    <row r="1163" ht="16" customHeight="1" s="151">
      <c r="A1163" s="1" t="inlineStr">
        <is>
          <t>2001023</t>
        </is>
      </c>
      <c r="B1163" s="2" t="n"/>
      <c r="C1163" s="2" t="inlineStr">
        <is>
          <t>Biopsia estereotáxica digital de mama</t>
        </is>
      </c>
      <c r="D1163" s="2" t="inlineStr">
        <is>
          <t>Proc</t>
        </is>
      </c>
      <c r="E1163" s="3" t="inlineStr">
        <is>
          <t>Procedimiento</t>
        </is>
      </c>
    </row>
    <row r="1164" ht="16" customHeight="1" s="151">
      <c r="A1164" s="1" t="inlineStr">
        <is>
          <t>2001024</t>
        </is>
      </c>
      <c r="B1164" s="2" t="n"/>
      <c r="C1164" s="2" t="inlineStr">
        <is>
          <t>Biopsia Corial</t>
        </is>
      </c>
      <c r="D1164" s="2" t="inlineStr">
        <is>
          <t>Proc</t>
        </is>
      </c>
      <c r="E1164" s="3" t="inlineStr">
        <is>
          <t>Procedimiento</t>
        </is>
      </c>
    </row>
    <row r="1165" ht="16" customHeight="1" s="151">
      <c r="A1165" s="1" t="inlineStr">
        <is>
          <t>2001025</t>
        </is>
      </c>
      <c r="B1165" s="2" t="n"/>
      <c r="C1165" s="2" t="inlineStr">
        <is>
          <t>Toma de biopsia con aguja bajo visión ecográfica de la Mama (Biopsia Core)</t>
        </is>
      </c>
      <c r="D1165" s="2" t="inlineStr">
        <is>
          <t>Proc</t>
        </is>
      </c>
      <c r="E1165" s="3" t="inlineStr">
        <is>
          <t>Procedimiento</t>
        </is>
      </c>
    </row>
    <row r="1166" ht="16" customHeight="1" s="151">
      <c r="A1166" s="1" t="inlineStr">
        <is>
          <t>2001026</t>
        </is>
      </c>
      <c r="B1166" s="2" t="n"/>
      <c r="C1166" s="2" t="inlineStr">
        <is>
          <t>Instalación o retiro dispositivo subdérmico anticonceptivo</t>
        </is>
      </c>
      <c r="D1166" s="2" t="inlineStr">
        <is>
          <t>Proc</t>
        </is>
      </c>
      <c r="E1166" s="3" t="inlineStr">
        <is>
          <t>Procedimiento</t>
        </is>
      </c>
    </row>
    <row r="1167" ht="16" customHeight="1" s="151">
      <c r="A1167" s="1" t="inlineStr">
        <is>
          <t>2002001</t>
        </is>
      </c>
      <c r="B1167" s="2" t="inlineStr">
        <is>
          <t>3</t>
        </is>
      </c>
      <c r="C1167" s="2" t="inlineStr">
        <is>
          <t>Absceso y/o hematoma de mama, trat.quir.</t>
        </is>
      </c>
      <c r="D1167" s="2" t="inlineStr">
        <is>
          <t>CMen</t>
        </is>
      </c>
      <c r="E1167" s="3" t="inlineStr">
        <is>
          <t>Cirugía Menor</t>
        </is>
      </c>
    </row>
    <row r="1168" ht="16" customHeight="1" s="151">
      <c r="A1168" s="1" t="inlineStr">
        <is>
          <t>2002002</t>
        </is>
      </c>
      <c r="B1168" s="2" t="inlineStr">
        <is>
          <t>6</t>
        </is>
      </c>
      <c r="C1168" s="2" t="inlineStr">
        <is>
          <t>Mastectomía parcial (cuadrantectomía o similar) o total s/vaciamiento ganglionar</t>
        </is>
      </c>
      <c r="D1168" s="2" t="inlineStr">
        <is>
          <t>Cmay</t>
        </is>
      </c>
      <c r="E1168" s="3" t="inlineStr">
        <is>
          <t>Cirugía Mayor</t>
        </is>
      </c>
    </row>
    <row r="1169" ht="16" customHeight="1" s="151">
      <c r="A1169" s="1" t="inlineStr">
        <is>
          <t>2002003</t>
        </is>
      </c>
      <c r="B1169" s="2" t="inlineStr">
        <is>
          <t>7</t>
        </is>
      </c>
      <c r="C1169" s="2" t="inlineStr">
        <is>
          <t>Mastectomía radical o tumorectomía c/vaciamiento ganglionar o mastectomía total c/vaciamiento ganglionar</t>
        </is>
      </c>
      <c r="D1169" s="2" t="inlineStr">
        <is>
          <t>Cmay</t>
        </is>
      </c>
      <c r="E1169" s="3" t="inlineStr">
        <is>
          <t>Cirugía Mayor</t>
        </is>
      </c>
    </row>
    <row r="1170" ht="16" customHeight="1" s="151">
      <c r="A1170" s="1" t="inlineStr">
        <is>
          <t>2002005</t>
        </is>
      </c>
      <c r="B1170" s="2" t="inlineStr">
        <is>
          <t>5</t>
        </is>
      </c>
      <c r="C1170" s="2" t="inlineStr">
        <is>
          <t>Tumor benigno y/o quiste y/o mama supernumeraria y/o aberrante o politelia, o biopsia quirúrgica extemporánea, trat. quir. (proc. aut)</t>
        </is>
      </c>
      <c r="D1170" s="2" t="inlineStr">
        <is>
          <t>Cmay</t>
        </is>
      </c>
      <c r="E1170" s="3" t="inlineStr">
        <is>
          <t>Cirugía Mayor</t>
        </is>
      </c>
    </row>
    <row r="1171" ht="16" customHeight="1" s="151">
      <c r="A1171" s="1" t="inlineStr">
        <is>
          <t>2002006</t>
        </is>
      </c>
      <c r="B1171" s="2" t="inlineStr">
        <is>
          <t>5</t>
        </is>
      </c>
      <c r="C1171" s="2" t="inlineStr">
        <is>
          <t>Biopsia linfonodo centinela</t>
        </is>
      </c>
      <c r="D1171" s="2" t="inlineStr">
        <is>
          <t>Cmay</t>
        </is>
      </c>
      <c r="E1171" s="3" t="inlineStr">
        <is>
          <t>Cirugía Mayor</t>
        </is>
      </c>
    </row>
    <row r="1172" ht="16" customHeight="1" s="151">
      <c r="A1172" s="1" t="inlineStr">
        <is>
          <t>2003001</t>
        </is>
      </c>
      <c r="B1172" s="2" t="inlineStr">
        <is>
          <t>7</t>
        </is>
      </c>
      <c r="C1172" s="2" t="inlineStr">
        <is>
          <t>Ooforectomía parcial o total, uni o bilateral (proc. aut.)</t>
        </is>
      </c>
      <c r="D1172" s="2" t="inlineStr">
        <is>
          <t>Cmay</t>
        </is>
      </c>
      <c r="E1172" s="3" t="inlineStr">
        <is>
          <t>Cirugía Mayor</t>
        </is>
      </c>
    </row>
    <row r="1173" ht="16" customHeight="1" s="151">
      <c r="A1173" s="1" t="inlineStr">
        <is>
          <t>2003002</t>
        </is>
      </c>
      <c r="B1173" s="2" t="inlineStr">
        <is>
          <t>7</t>
        </is>
      </c>
      <c r="C1173" s="2" t="inlineStr">
        <is>
          <t>Anexectomía y/o vac. de absceso tubo-ovárico, uni o bilateral.</t>
        </is>
      </c>
      <c r="D1173" s="2" t="inlineStr">
        <is>
          <t>Cmay</t>
        </is>
      </c>
      <c r="E1173" s="3" t="inlineStr">
        <is>
          <t>Cirugía Mayor</t>
        </is>
      </c>
    </row>
    <row r="1174" ht="16" customHeight="1" s="151">
      <c r="A1174" s="1" t="inlineStr">
        <is>
          <t>2003003</t>
        </is>
      </c>
      <c r="B1174" s="2" t="inlineStr">
        <is>
          <t>7</t>
        </is>
      </c>
      <c r="C1174" s="2" t="inlineStr">
        <is>
          <t>Embarazo tubario, trat. quir.</t>
        </is>
      </c>
      <c r="D1174" s="2" t="inlineStr">
        <is>
          <t>Cmay</t>
        </is>
      </c>
      <c r="E1174" s="3" t="inlineStr">
        <is>
          <t>Cirugía Mayor</t>
        </is>
      </c>
    </row>
    <row r="1175" ht="16" customHeight="1" s="151">
      <c r="A1175" s="1" t="inlineStr">
        <is>
          <t>2003004</t>
        </is>
      </c>
      <c r="B1175" s="2" t="inlineStr">
        <is>
          <t>7</t>
        </is>
      </c>
      <c r="C1175" s="2" t="inlineStr">
        <is>
          <t>Ligadura o sección uni o bilateral de las trompas (Madlener, Pomeroy, o similares) (proc. aut.)</t>
        </is>
      </c>
      <c r="D1175" s="2" t="inlineStr">
        <is>
          <t>Cmay</t>
        </is>
      </c>
      <c r="E1175" s="3" t="inlineStr">
        <is>
          <t>Cirugía Mayor</t>
        </is>
      </c>
    </row>
    <row r="1176" ht="16" customHeight="1" s="151">
      <c r="A1176" s="1" t="inlineStr">
        <is>
          <t>2003005</t>
        </is>
      </c>
      <c r="B1176" s="2" t="inlineStr">
        <is>
          <t>7</t>
        </is>
      </c>
      <c r="C1176" s="2" t="inlineStr">
        <is>
          <t>Salpingectomía uni o bilateral</t>
        </is>
      </c>
      <c r="D1176" s="2" t="inlineStr">
        <is>
          <t>Cmay</t>
        </is>
      </c>
      <c r="E1176" s="3" t="inlineStr">
        <is>
          <t>Cirugía Mayor</t>
        </is>
      </c>
    </row>
    <row r="1177" ht="16" customHeight="1" s="151">
      <c r="A1177" s="1" t="inlineStr">
        <is>
          <t>2003006</t>
        </is>
      </c>
      <c r="B1177" s="2" t="inlineStr">
        <is>
          <t>9</t>
        </is>
      </c>
      <c r="C1177" s="2" t="inlineStr">
        <is>
          <t>Esterilidad tubaria, operación plástica uni o bilateral con microcirugía</t>
        </is>
      </c>
      <c r="D1177" s="2" t="inlineStr">
        <is>
          <t>Cmay</t>
        </is>
      </c>
      <c r="E1177" s="3" t="inlineStr">
        <is>
          <t>Cirugía Mayor</t>
        </is>
      </c>
    </row>
    <row r="1178" ht="16" customHeight="1" s="151">
      <c r="A1178" s="1" t="inlineStr">
        <is>
          <t>2003007</t>
        </is>
      </c>
      <c r="B1178" s="2" t="inlineStr">
        <is>
          <t>8</t>
        </is>
      </c>
      <c r="C1178" s="2" t="inlineStr">
        <is>
          <t>Esterilidad tubaria, operación plástica uni o bilateral sin microcirugía</t>
        </is>
      </c>
      <c r="D1178" s="2" t="inlineStr">
        <is>
          <t>Cmay</t>
        </is>
      </c>
      <c r="E1178" s="3" t="inlineStr">
        <is>
          <t>Cirugía Mayor</t>
        </is>
      </c>
    </row>
    <row r="1179" ht="16" customHeight="1" s="151">
      <c r="A1179" s="1" t="inlineStr">
        <is>
          <t>2003008</t>
        </is>
      </c>
      <c r="B1179" s="2" t="inlineStr">
        <is>
          <t>8</t>
        </is>
      </c>
      <c r="C1179" s="2" t="inlineStr">
        <is>
          <t>Miomectomía</t>
        </is>
      </c>
      <c r="D1179" s="2" t="inlineStr">
        <is>
          <t>Cmay</t>
        </is>
      </c>
      <c r="E1179" s="3" t="inlineStr">
        <is>
          <t>Cirugía Mayor</t>
        </is>
      </c>
    </row>
    <row r="1180" ht="16" customHeight="1" s="151">
      <c r="A1180" s="1" t="inlineStr">
        <is>
          <t>2003009</t>
        </is>
      </c>
      <c r="B1180" s="2" t="inlineStr">
        <is>
          <t>8</t>
        </is>
      </c>
      <c r="C1180" s="2" t="inlineStr">
        <is>
          <t>Histerectomía subtotal por vía abdominal</t>
        </is>
      </c>
      <c r="D1180" s="2" t="inlineStr">
        <is>
          <t>Cmay</t>
        </is>
      </c>
      <c r="E1180" s="3" t="inlineStr">
        <is>
          <t>Cirugía Mayor</t>
        </is>
      </c>
    </row>
    <row r="1181" ht="16" customHeight="1" s="151">
      <c r="A1181" s="1" t="inlineStr">
        <is>
          <t>2003010</t>
        </is>
      </c>
      <c r="B1181" s="2" t="inlineStr">
        <is>
          <t>8</t>
        </is>
      </c>
      <c r="C1181" s="2" t="inlineStr">
        <is>
          <t>Histerectomía total o ampliada por vía abdominal</t>
        </is>
      </c>
      <c r="D1181" s="2" t="inlineStr">
        <is>
          <t>Cmay</t>
        </is>
      </c>
      <c r="E1181" s="3" t="inlineStr">
        <is>
          <t>Cirugía Mayor</t>
        </is>
      </c>
    </row>
    <row r="1182" ht="16" customHeight="1" s="151">
      <c r="A1182" s="1" t="inlineStr">
        <is>
          <t>2003011</t>
        </is>
      </c>
      <c r="B1182" s="2" t="inlineStr">
        <is>
          <t>8</t>
        </is>
      </c>
      <c r="C1182" s="2" t="inlineStr">
        <is>
          <t>Ligamento ancho: abscesos y/o hematomas y/o flegmones y/o quistomas y/o várices u otros, trat. quir. (proc. aut.)</t>
        </is>
      </c>
      <c r="D1182" s="2" t="inlineStr">
        <is>
          <t>Cmay</t>
        </is>
      </c>
      <c r="E1182" s="3" t="inlineStr">
        <is>
          <t>Cirugía Mayor</t>
        </is>
      </c>
    </row>
    <row r="1183" ht="16" customHeight="1" s="151">
      <c r="A1183" s="1" t="inlineStr">
        <is>
          <t>2003012</t>
        </is>
      </c>
      <c r="B1183" s="2" t="inlineStr">
        <is>
          <t>5</t>
        </is>
      </c>
      <c r="C1183" s="2" t="inlineStr">
        <is>
          <t>Conización y/o amputación del cuello uterino, diagnóstica y/o terapéutica  c/s biopsia</t>
        </is>
      </c>
      <c r="D1183" s="2" t="inlineStr">
        <is>
          <t>Cmay</t>
        </is>
      </c>
      <c r="E1183" s="3" t="inlineStr">
        <is>
          <t>Cirugía Mayor</t>
        </is>
      </c>
    </row>
    <row r="1184" ht="16" customHeight="1" s="151">
      <c r="A1184" s="1" t="inlineStr">
        <is>
          <t>2003013</t>
        </is>
      </c>
      <c r="B1184" s="2" t="inlineStr">
        <is>
          <t>13</t>
        </is>
      </c>
      <c r="C1184" s="2" t="inlineStr">
        <is>
          <t>Exanteración pelviana anterior y/o posterior</t>
        </is>
      </c>
      <c r="D1184" s="2" t="inlineStr">
        <is>
          <t>Cmay</t>
        </is>
      </c>
      <c r="E1184" s="3" t="inlineStr">
        <is>
          <t>Cirugía Mayor</t>
        </is>
      </c>
    </row>
    <row r="1185" ht="16" customHeight="1" s="151">
      <c r="A1185" s="1" t="inlineStr">
        <is>
          <t>2003014</t>
        </is>
      </c>
      <c r="B1185" s="2" t="inlineStr">
        <is>
          <t>8</t>
        </is>
      </c>
      <c r="C1185" s="2" t="inlineStr">
        <is>
          <t>Histerectomía por vía vaginal</t>
        </is>
      </c>
      <c r="D1185" s="2" t="inlineStr">
        <is>
          <t>Cmay</t>
        </is>
      </c>
      <c r="E1185" s="3" t="inlineStr">
        <is>
          <t>Cirugía Mayor</t>
        </is>
      </c>
    </row>
    <row r="1186" ht="16" customHeight="1" s="151">
      <c r="A1186" s="1" t="inlineStr">
        <is>
          <t>2003015</t>
        </is>
      </c>
      <c r="B1186" s="2" t="inlineStr">
        <is>
          <t>10</t>
        </is>
      </c>
      <c r="C1186" s="2" t="inlineStr">
        <is>
          <t>Histerectomía radical con disección pelviana completa de territorios ganglionares, incluye ganglios lumboaórticos (operación de Wertheim o similares)</t>
        </is>
      </c>
      <c r="D1186" s="2" t="inlineStr">
        <is>
          <t>Cmay</t>
        </is>
      </c>
      <c r="E1186" s="3" t="inlineStr">
        <is>
          <t>Cirugía Mayor</t>
        </is>
      </c>
    </row>
    <row r="1187" ht="16" customHeight="1" s="151">
      <c r="A1187" s="1" t="inlineStr">
        <is>
          <t>2003016</t>
        </is>
      </c>
      <c r="B1187" s="2" t="inlineStr">
        <is>
          <t>8</t>
        </is>
      </c>
      <c r="C1187" s="2" t="inlineStr">
        <is>
          <t>Histerectomía total c/intervención incontinencia urinaria, cualquier técnica</t>
        </is>
      </c>
      <c r="D1187" s="2" t="inlineStr">
        <is>
          <t>Cmay</t>
        </is>
      </c>
      <c r="E1187" s="3" t="inlineStr">
        <is>
          <t>Cirugía Mayor</t>
        </is>
      </c>
    </row>
    <row r="1188" ht="16" customHeight="1" s="151">
      <c r="A1188" s="1" t="inlineStr">
        <is>
          <t>2003017</t>
        </is>
      </c>
      <c r="B1188" s="2" t="inlineStr">
        <is>
          <t>8</t>
        </is>
      </c>
      <c r="C1188" s="2" t="inlineStr">
        <is>
          <t>Histeropexia</t>
        </is>
      </c>
      <c r="D1188" s="2" t="inlineStr">
        <is>
          <t>Cmay</t>
        </is>
      </c>
      <c r="E1188" s="3" t="inlineStr">
        <is>
          <t>Cirugía Mayor</t>
        </is>
      </c>
    </row>
    <row r="1189" ht="16" customHeight="1" s="151">
      <c r="A1189" s="1" t="inlineStr">
        <is>
          <t>2003018</t>
        </is>
      </c>
      <c r="B1189" s="2" t="inlineStr">
        <is>
          <t>8</t>
        </is>
      </c>
      <c r="C1189" s="2" t="inlineStr">
        <is>
          <t>Plastía uterina (operación de Strassmann o similares)</t>
        </is>
      </c>
      <c r="D1189" s="2" t="inlineStr">
        <is>
          <t>Cmay</t>
        </is>
      </c>
      <c r="E1189" s="3" t="inlineStr">
        <is>
          <t>Cirugía Mayor</t>
        </is>
      </c>
    </row>
    <row r="1190" ht="16" customHeight="1" s="151">
      <c r="A1190" s="1" t="inlineStr">
        <is>
          <t>2003019</t>
        </is>
      </c>
      <c r="B1190" s="2" t="inlineStr">
        <is>
          <t>4</t>
        </is>
      </c>
      <c r="C1190" s="2" t="inlineStr">
        <is>
          <t>Polipectomía (uno o más) (proc. aut.)</t>
        </is>
      </c>
      <c r="D1190" s="2" t="inlineStr">
        <is>
          <t>CMen</t>
        </is>
      </c>
      <c r="E1190" s="3" t="inlineStr">
        <is>
          <t>Cirugía Menor</t>
        </is>
      </c>
    </row>
    <row r="1191" ht="16" customHeight="1" s="151">
      <c r="A1191" s="1" t="inlineStr">
        <is>
          <t>2003020</t>
        </is>
      </c>
      <c r="B1191" s="2" t="inlineStr">
        <is>
          <t>5</t>
        </is>
      </c>
      <c r="C1191" s="2" t="inlineStr">
        <is>
          <t>Sinequia y/o estenosis cervical, trat. quir.</t>
        </is>
      </c>
      <c r="D1191" s="2" t="inlineStr">
        <is>
          <t>Cmay</t>
        </is>
      </c>
      <c r="E1191" s="3" t="inlineStr">
        <is>
          <t>Cirugía Mayor</t>
        </is>
      </c>
    </row>
    <row r="1192" ht="16" customHeight="1" s="151">
      <c r="A1192" s="1" t="inlineStr">
        <is>
          <t>2003021</t>
        </is>
      </c>
      <c r="B1192" s="2" t="inlineStr">
        <is>
          <t>5</t>
        </is>
      </c>
      <c r="C1192" s="2" t="inlineStr">
        <is>
          <t>Colpoceliotomía</t>
        </is>
      </c>
      <c r="D1192" s="2" t="inlineStr">
        <is>
          <t>Cmay</t>
        </is>
      </c>
      <c r="E1192" s="3" t="inlineStr">
        <is>
          <t>Cirugía Mayor</t>
        </is>
      </c>
    </row>
    <row r="1193" ht="16" customHeight="1" s="151">
      <c r="A1193" s="1" t="inlineStr">
        <is>
          <t>2003022</t>
        </is>
      </c>
      <c r="B1193" s="2" t="inlineStr">
        <is>
          <t>6</t>
        </is>
      </c>
      <c r="C1193" s="2" t="inlineStr">
        <is>
          <t>Incontinencia urinaria de esfuerzo, trat. quir. por vía vaginal (proc. aut.)</t>
        </is>
      </c>
      <c r="D1193" s="2" t="inlineStr">
        <is>
          <t>Cmay</t>
        </is>
      </c>
      <c r="E1193" s="3" t="inlineStr">
        <is>
          <t>Cirugía Mayor</t>
        </is>
      </c>
    </row>
    <row r="1194" ht="16" customHeight="1" s="151">
      <c r="A1194" s="1" t="inlineStr">
        <is>
          <t>2003023</t>
        </is>
      </c>
      <c r="B1194" s="2" t="inlineStr">
        <is>
          <t>8</t>
        </is>
      </c>
      <c r="C1194" s="2" t="inlineStr">
        <is>
          <t>Prolapso anterior y/o posterior con repar., incontinencia urinaria por vía extravaginal o combinada</t>
        </is>
      </c>
      <c r="D1194" s="2" t="inlineStr">
        <is>
          <t>Cmay</t>
        </is>
      </c>
      <c r="E1194" s="3" t="inlineStr">
        <is>
          <t>Cirugía Mayor</t>
        </is>
      </c>
    </row>
    <row r="1195" ht="16" customHeight="1" s="151">
      <c r="A1195" s="1" t="inlineStr">
        <is>
          <t>2003024</t>
        </is>
      </c>
      <c r="B1195" s="2" t="inlineStr">
        <is>
          <t>7</t>
        </is>
      </c>
      <c r="C1195" s="2" t="inlineStr">
        <is>
          <t>Prolapso anterior y/o posterior c/s trat. de incontinencia urinaria por vía vaginal, trat. quir.</t>
        </is>
      </c>
      <c r="D1195" s="2" t="inlineStr">
        <is>
          <t>Cmay</t>
        </is>
      </c>
      <c r="E1195" s="3" t="inlineStr">
        <is>
          <t>Cirugía Mayor</t>
        </is>
      </c>
    </row>
    <row r="1196" ht="16" customHeight="1" s="151">
      <c r="A1196" s="1" t="inlineStr">
        <is>
          <t>2003025</t>
        </is>
      </c>
      <c r="B1196" s="2" t="inlineStr">
        <is>
          <t>5</t>
        </is>
      </c>
      <c r="C1196" s="2" t="inlineStr">
        <is>
          <t>Quiste y/o desgarro y/o tabique vaginal, trat. quir.</t>
        </is>
      </c>
      <c r="D1196" s="2" t="inlineStr">
        <is>
          <t>Cmay</t>
        </is>
      </c>
      <c r="E1196" s="3" t="inlineStr">
        <is>
          <t>Cirugía Mayor</t>
        </is>
      </c>
    </row>
    <row r="1197" ht="16" customHeight="1" s="151">
      <c r="A1197" s="1" t="inlineStr">
        <is>
          <t>2003026</t>
        </is>
      </c>
      <c r="B1197" s="2" t="inlineStr">
        <is>
          <t>4</t>
        </is>
      </c>
      <c r="C1197" s="2" t="inlineStr">
        <is>
          <t>Bartolinitis, vaciamiento y drenaje (proc. aut.)</t>
        </is>
      </c>
      <c r="D1197" s="2" t="inlineStr">
        <is>
          <t>CMen</t>
        </is>
      </c>
      <c r="E1197" s="3" t="inlineStr">
        <is>
          <t>Cirugía Menor</t>
        </is>
      </c>
    </row>
    <row r="1198" ht="16" customHeight="1" s="151">
      <c r="A1198" s="1" t="inlineStr">
        <is>
          <t>2003027</t>
        </is>
      </c>
      <c r="B1198" s="2" t="inlineStr">
        <is>
          <t>5</t>
        </is>
      </c>
      <c r="C1198" s="2" t="inlineStr">
        <is>
          <t>Bartolinocistoneostomía o extirp. de la glándula</t>
        </is>
      </c>
      <c r="D1198" s="2" t="inlineStr">
        <is>
          <t>Cmay</t>
        </is>
      </c>
      <c r="E1198" s="3" t="inlineStr">
        <is>
          <t>Cirugía Mayor</t>
        </is>
      </c>
    </row>
    <row r="1199" ht="16" customHeight="1" s="151">
      <c r="A1199" s="1" t="inlineStr">
        <is>
          <t>2003028</t>
        </is>
      </c>
      <c r="B1199" s="2" t="inlineStr">
        <is>
          <t>8</t>
        </is>
      </c>
      <c r="C1199" s="2" t="inlineStr">
        <is>
          <t>Vulvectomía radical</t>
        </is>
      </c>
      <c r="D1199" s="2" t="inlineStr">
        <is>
          <t>Cmay</t>
        </is>
      </c>
      <c r="E1199" s="3" t="inlineStr">
        <is>
          <t>Cirugía Mayor</t>
        </is>
      </c>
    </row>
    <row r="1200" ht="16" customHeight="1" s="151">
      <c r="A1200" s="1" t="inlineStr">
        <is>
          <t>2003029</t>
        </is>
      </c>
      <c r="B1200" s="2" t="inlineStr">
        <is>
          <t>6</t>
        </is>
      </c>
      <c r="C1200" s="2" t="inlineStr">
        <is>
          <t>Vulvectomía simple</t>
        </is>
      </c>
      <c r="D1200" s="2" t="inlineStr">
        <is>
          <t>Cmay</t>
        </is>
      </c>
      <c r="E1200" s="3" t="inlineStr">
        <is>
          <t>Cirugía Mayor</t>
        </is>
      </c>
    </row>
    <row r="1201" ht="16" customHeight="1" s="151">
      <c r="A1201" s="1" t="inlineStr">
        <is>
          <t>2003030</t>
        </is>
      </c>
      <c r="B1201" s="2" t="inlineStr">
        <is>
          <t>5</t>
        </is>
      </c>
      <c r="C1201" s="2" t="inlineStr">
        <is>
          <t>Desgarro cervical trat. quir.</t>
        </is>
      </c>
      <c r="D1201" s="2" t="inlineStr">
        <is>
          <t>Cmay</t>
        </is>
      </c>
      <c r="E1201" s="3" t="inlineStr">
        <is>
          <t>Cirugía Mayor</t>
        </is>
      </c>
    </row>
    <row r="1202" ht="16" customHeight="1" s="151">
      <c r="A1202" s="1" t="inlineStr">
        <is>
          <t>2003031</t>
        </is>
      </c>
      <c r="B1202" s="2" t="inlineStr">
        <is>
          <t>7</t>
        </is>
      </c>
      <c r="C1202" s="2" t="inlineStr">
        <is>
          <t>Videolaparoscopía ginecológica exploradora (incluye toma de muestras para biopsias, punción de quistes y liberación de adherencias) (proc. aut.)</t>
        </is>
      </c>
      <c r="D1202" s="2" t="inlineStr">
        <is>
          <t>Cmay</t>
        </is>
      </c>
      <c r="E1202" s="3" t="inlineStr">
        <is>
          <t>Cirugía Mayor</t>
        </is>
      </c>
    </row>
    <row r="1203" ht="16" customHeight="1" s="151">
      <c r="A1203" s="1" t="inlineStr">
        <is>
          <t>2003040</t>
        </is>
      </c>
      <c r="B1203" s="2" t="inlineStr">
        <is>
          <t>5</t>
        </is>
      </c>
      <c r="C1203" s="2" t="inlineStr">
        <is>
          <t>Incompetencia cervical trat. quir.</t>
        </is>
      </c>
      <c r="D1203" s="2" t="inlineStr">
        <is>
          <t>Cmay</t>
        </is>
      </c>
      <c r="E1203" s="3" t="inlineStr">
        <is>
          <t>Cirugía Mayor</t>
        </is>
      </c>
    </row>
    <row r="1204" ht="16" customHeight="1" s="151">
      <c r="A1204" s="1" t="inlineStr">
        <is>
          <t>2003041</t>
        </is>
      </c>
      <c r="B1204" s="2" t="inlineStr">
        <is>
          <t>8</t>
        </is>
      </c>
      <c r="C1204" s="2" t="inlineStr">
        <is>
          <t>Extracción de DIU incrustado, por vía abdominal</t>
        </is>
      </c>
      <c r="D1204" s="2" t="inlineStr">
        <is>
          <t>Cmay</t>
        </is>
      </c>
      <c r="E1204" s="3" t="inlineStr">
        <is>
          <t>Cirugía Mayor</t>
        </is>
      </c>
    </row>
    <row r="1205" ht="16" customHeight="1" s="151">
      <c r="A1205" s="1" t="inlineStr">
        <is>
          <t>2003042</t>
        </is>
      </c>
      <c r="B1205" s="2" t="inlineStr">
        <is>
          <t>12</t>
        </is>
      </c>
      <c r="C1205" s="2" t="inlineStr">
        <is>
          <t>Linfadenectomía pélvica bilateral laparoscopia</t>
        </is>
      </c>
      <c r="D1205" s="2" t="inlineStr">
        <is>
          <t>Cmay</t>
        </is>
      </c>
      <c r="E1205" s="3" t="inlineStr">
        <is>
          <t>Cirugía Mayor</t>
        </is>
      </c>
    </row>
    <row r="1206" ht="16" customHeight="1" s="151">
      <c r="A1206" s="1" t="inlineStr">
        <is>
          <t>2003043</t>
        </is>
      </c>
      <c r="B1206" s="2" t="inlineStr">
        <is>
          <t>12</t>
        </is>
      </c>
      <c r="C1206" s="2" t="inlineStr">
        <is>
          <t>Traquelectomía radical</t>
        </is>
      </c>
      <c r="D1206" s="2" t="inlineStr">
        <is>
          <t>Cmay</t>
        </is>
      </c>
      <c r="E1206" s="3" t="inlineStr">
        <is>
          <t>Cirugía Mayor</t>
        </is>
      </c>
    </row>
    <row r="1207" ht="16" customHeight="1" s="151">
      <c r="A1207" s="1" t="inlineStr">
        <is>
          <t>2003044</t>
        </is>
      </c>
      <c r="B1207" s="2" t="inlineStr">
        <is>
          <t>10</t>
        </is>
      </c>
      <c r="C1207" s="2" t="inlineStr">
        <is>
          <t>Linfadenectomía pelvica bilateral abierta</t>
        </is>
      </c>
      <c r="D1207" s="2" t="inlineStr">
        <is>
          <t>Cmay</t>
        </is>
      </c>
      <c r="E1207" s="3" t="inlineStr">
        <is>
          <t>Cirugía Mayor</t>
        </is>
      </c>
    </row>
    <row r="1208" ht="16" customHeight="1" s="151">
      <c r="A1208" s="1" t="inlineStr">
        <is>
          <t>2003045</t>
        </is>
      </c>
      <c r="B1208" s="2" t="inlineStr">
        <is>
          <t>14</t>
        </is>
      </c>
      <c r="C1208" s="2" t="inlineStr">
        <is>
          <t>Traquelectomía radical laparoscópica</t>
        </is>
      </c>
      <c r="D1208" s="2" t="inlineStr">
        <is>
          <t>Cmay</t>
        </is>
      </c>
      <c r="E1208" s="3" t="inlineStr">
        <is>
          <t>Cirugía Mayor</t>
        </is>
      </c>
    </row>
    <row r="1209" ht="16" customHeight="1" s="151">
      <c r="A1209" s="1" t="inlineStr">
        <is>
          <t>2003046</t>
        </is>
      </c>
      <c r="B1209" s="2" t="inlineStr">
        <is>
          <t>10</t>
        </is>
      </c>
      <c r="C1209" s="2" t="inlineStr">
        <is>
          <t>Traquelectomía simple por vía vaginal</t>
        </is>
      </c>
      <c r="D1209" s="2" t="inlineStr">
        <is>
          <t>Cmay</t>
        </is>
      </c>
      <c r="E1209" s="3" t="inlineStr">
        <is>
          <t>Cirugía Mayor</t>
        </is>
      </c>
    </row>
    <row r="1210" ht="16" customHeight="1" s="151">
      <c r="A1210" s="1" t="inlineStr">
        <is>
          <t>2003047</t>
        </is>
      </c>
      <c r="B1210" s="2" t="inlineStr">
        <is>
          <t>5</t>
        </is>
      </c>
      <c r="C1210" s="2" t="inlineStr">
        <is>
          <t>Prueba de neuromodulación sacra básica: Evaluación periférica de raíces sacras</t>
        </is>
      </c>
      <c r="D1210" s="2" t="inlineStr">
        <is>
          <t>Proc</t>
        </is>
      </c>
      <c r="E1210" s="3" t="inlineStr">
        <is>
          <t>Procedimiento</t>
        </is>
      </c>
    </row>
    <row r="1211" ht="16" customHeight="1" s="151">
      <c r="A1211" s="1" t="inlineStr">
        <is>
          <t>2003048</t>
        </is>
      </c>
      <c r="B1211" s="2" t="inlineStr">
        <is>
          <t>13</t>
        </is>
      </c>
      <c r="C1211" s="2" t="inlineStr">
        <is>
          <t>Implante conjunto de neuroelectrodo sacro cuadripolar y generador de pulso implantable de neuromodulación sacra</t>
        </is>
      </c>
      <c r="D1211" s="2" t="inlineStr">
        <is>
          <t>Proc</t>
        </is>
      </c>
      <c r="E1211" s="3" t="inlineStr">
        <is>
          <t>Procedimiento</t>
        </is>
      </c>
    </row>
    <row r="1212" ht="16" customHeight="1" s="151">
      <c r="A1212" s="1" t="inlineStr">
        <is>
          <t>2003049</t>
        </is>
      </c>
      <c r="B1212" s="2" t="inlineStr">
        <is>
          <t>13</t>
        </is>
      </c>
      <c r="C1212" s="2" t="inlineStr">
        <is>
          <t>Prueba avanzada de neuromodulación sacra: Implante o revisión de neuroelectrodo sacro cuadripolar</t>
        </is>
      </c>
      <c r="D1212" s="2" t="inlineStr">
        <is>
          <t>Proc</t>
        </is>
      </c>
      <c r="E1212" s="3" t="inlineStr">
        <is>
          <t>Procedimiento</t>
        </is>
      </c>
    </row>
    <row r="1213" ht="16" customHeight="1" s="151">
      <c r="A1213" s="1" t="inlineStr">
        <is>
          <t>2003050</t>
        </is>
      </c>
      <c r="B1213" s="2" t="inlineStr">
        <is>
          <t>5</t>
        </is>
      </c>
      <c r="C1213" s="2" t="inlineStr">
        <is>
          <t>Implante de generador de pulso implantable de neuromodulación sacra</t>
        </is>
      </c>
      <c r="D1213" s="2" t="inlineStr">
        <is>
          <t>Proc</t>
        </is>
      </c>
      <c r="E1213" s="3" t="inlineStr">
        <is>
          <t>Procedimiento</t>
        </is>
      </c>
    </row>
    <row r="1214" ht="16" customHeight="1" s="151">
      <c r="A1214" s="1" t="inlineStr">
        <is>
          <t>2003051</t>
        </is>
      </c>
      <c r="B1214" s="2" t="inlineStr">
        <is>
          <t>4</t>
        </is>
      </c>
      <c r="C1214" s="2" t="inlineStr">
        <is>
          <t>Explante de neuroelectrodo sacro cuadripolar espiculado o revisión de bolsillo glúteo</t>
        </is>
      </c>
      <c r="D1214" s="2" t="inlineStr">
        <is>
          <t>Proc</t>
        </is>
      </c>
      <c r="E1214" s="3" t="inlineStr">
        <is>
          <t>Procedimiento</t>
        </is>
      </c>
    </row>
    <row r="1215" ht="16" customHeight="1" s="151">
      <c r="A1215" s="1" t="inlineStr">
        <is>
          <t>2004001</t>
        </is>
      </c>
      <c r="B1215" s="2" t="inlineStr">
        <is>
          <t>4</t>
        </is>
      </c>
      <c r="C1215" s="2" t="inlineStr">
        <is>
          <t>Aborto retenido, vaciamiento de (incluye la inducción en los casos que corresponda)</t>
        </is>
      </c>
      <c r="D1215" s="2" t="inlineStr">
        <is>
          <t>Proc</t>
        </is>
      </c>
      <c r="E1215" s="3" t="inlineStr">
        <is>
          <t>Procedimiento</t>
        </is>
      </c>
    </row>
    <row r="1216" ht="16" customHeight="1" s="151">
      <c r="A1216" s="1" t="inlineStr">
        <is>
          <t>2004002</t>
        </is>
      </c>
      <c r="B1216" s="2" t="inlineStr">
        <is>
          <t>4</t>
        </is>
      </c>
      <c r="C1216" s="2" t="inlineStr">
        <is>
          <t>Raspado uterino diagnóstico o terapéutico por metrorragia o por restos de aborto</t>
        </is>
      </c>
      <c r="D1216" s="2" t="inlineStr">
        <is>
          <t>Proc</t>
        </is>
      </c>
      <c r="E1216" s="3" t="inlineStr">
        <is>
          <t>Procedimiento</t>
        </is>
      </c>
    </row>
    <row r="1217" ht="16" customHeight="1" s="151">
      <c r="A1217" s="1" t="inlineStr">
        <is>
          <t>2004005</t>
        </is>
      </c>
      <c r="B1217" s="2" t="inlineStr">
        <is>
          <t>8</t>
        </is>
      </c>
      <c r="C1217" s="2" t="inlineStr">
        <is>
          <t>Cesárea con histerectomía</t>
        </is>
      </c>
      <c r="D1217" s="2" t="inlineStr">
        <is>
          <t>Cmay</t>
        </is>
      </c>
      <c r="E1217" s="3" t="inlineStr">
        <is>
          <t>Cirugía Mayor</t>
        </is>
      </c>
    </row>
    <row r="1218" ht="16" customHeight="1" s="151">
      <c r="A1218" s="1" t="inlineStr">
        <is>
          <t>2004006</t>
        </is>
      </c>
      <c r="B1218" s="2" t="inlineStr">
        <is>
          <t>7</t>
        </is>
      </c>
      <c r="C1218" s="2" t="inlineStr">
        <is>
          <t>Cesárea c/s salpingoligadura o salpingectomía</t>
        </is>
      </c>
      <c r="D1218" s="2" t="inlineStr">
        <is>
          <t>Cmay</t>
        </is>
      </c>
      <c r="E1218" s="3" t="inlineStr">
        <is>
          <t>Cirugía Mayor</t>
        </is>
      </c>
    </row>
    <row r="1219" ht="16" customHeight="1" s="151">
      <c r="A1219" s="1" t="inlineStr">
        <is>
          <t>2004007</t>
        </is>
      </c>
      <c r="B1219" s="2" t="inlineStr">
        <is>
          <t>2</t>
        </is>
      </c>
      <c r="C1219" s="2" t="inlineStr">
        <is>
          <t>Aspiración manual endouterina (AMEU)</t>
        </is>
      </c>
      <c r="D1219" s="2" t="inlineStr">
        <is>
          <t>Proc</t>
        </is>
      </c>
      <c r="E1219" s="3" t="inlineStr">
        <is>
          <t>Procedimiento</t>
        </is>
      </c>
    </row>
    <row r="1220" ht="16" customHeight="1" s="151">
      <c r="A1220" s="1" t="inlineStr">
        <is>
          <t>2004008</t>
        </is>
      </c>
      <c r="B1220" s="2" t="n"/>
      <c r="C1220" s="2" t="inlineStr">
        <is>
          <t>Tratamiento Farmacológico Ley IVE (incluye Consulta especialidad en Obstetricia y Ginecología y Fármacos)</t>
        </is>
      </c>
      <c r="D1220" s="2" t="inlineStr">
        <is>
          <t>Proc</t>
        </is>
      </c>
      <c r="E1220" s="3" t="inlineStr">
        <is>
          <t>Procedimiento</t>
        </is>
      </c>
    </row>
    <row r="1221" ht="16" customHeight="1" s="151">
      <c r="A1221" s="1" t="inlineStr">
        <is>
          <t>2004009</t>
        </is>
      </c>
      <c r="B1221" s="2" t="inlineStr">
        <is>
          <t>2</t>
        </is>
      </c>
      <c r="C1221" s="2" t="inlineStr">
        <is>
          <t>Fototerapia a recién nacidos</t>
        </is>
      </c>
      <c r="D1221" s="2" t="inlineStr">
        <is>
          <t>Proc</t>
        </is>
      </c>
      <c r="E1221" s="3" t="inlineStr">
        <is>
          <t>Procedimiento</t>
        </is>
      </c>
    </row>
    <row r="1222" ht="16" customHeight="1" s="151">
      <c r="A1222" s="1" t="inlineStr">
        <is>
          <t>2004013</t>
        </is>
      </c>
      <c r="B1222" s="2" t="inlineStr">
        <is>
          <t>10</t>
        </is>
      </c>
      <c r="C1222" s="2" t="inlineStr">
        <is>
          <t>Cirugía quiste o tumor benigno del ovario abierta, neonatal</t>
        </is>
      </c>
      <c r="D1222" s="2" t="inlineStr">
        <is>
          <t>Cmay</t>
        </is>
      </c>
      <c r="E1222" s="3" t="inlineStr">
        <is>
          <t>Cirugía Mayor</t>
        </is>
      </c>
    </row>
    <row r="1223" ht="16" customHeight="1" s="151">
      <c r="A1223" s="1" t="inlineStr">
        <is>
          <t>2004014</t>
        </is>
      </c>
      <c r="B1223" s="2" t="inlineStr">
        <is>
          <t>12</t>
        </is>
      </c>
      <c r="C1223" s="2" t="inlineStr">
        <is>
          <t>Cirugía quiste o tumor benigno del ovario laparoscópico, neonatal</t>
        </is>
      </c>
      <c r="D1223" s="2" t="inlineStr">
        <is>
          <t>Cmay</t>
        </is>
      </c>
      <c r="E1223" s="3" t="inlineStr">
        <is>
          <t>Cirugía Mayor</t>
        </is>
      </c>
    </row>
    <row r="1224" ht="16" customHeight="1" s="151">
      <c r="A1224" s="1" t="inlineStr">
        <is>
          <t>2004015</t>
        </is>
      </c>
      <c r="B1224" s="2" t="inlineStr">
        <is>
          <t>10</t>
        </is>
      </c>
      <c r="C1224" s="2" t="inlineStr">
        <is>
          <t>Tratamiento quirúrgico abierto del quiste paraovárico o del ligamento ancho, neonatal</t>
        </is>
      </c>
      <c r="D1224" s="2" t="inlineStr">
        <is>
          <t>Cmay</t>
        </is>
      </c>
      <c r="E1224" s="3" t="inlineStr">
        <is>
          <t>Cirugía Mayor</t>
        </is>
      </c>
    </row>
    <row r="1225" ht="16" customHeight="1" s="151">
      <c r="A1225" s="1" t="inlineStr">
        <is>
          <t>2004016</t>
        </is>
      </c>
      <c r="B1225" s="2" t="inlineStr">
        <is>
          <t>12</t>
        </is>
      </c>
      <c r="C1225" s="2" t="inlineStr">
        <is>
          <t>Tratamiento quirúrgico laparoscópico del quiste paraovárico o del ligamento ancho, laparoscópico, neonatal</t>
        </is>
      </c>
      <c r="D1225" s="2" t="inlineStr">
        <is>
          <t>Cmay</t>
        </is>
      </c>
      <c r="E1225" s="3" t="inlineStr">
        <is>
          <t>Cirugía Mayor</t>
        </is>
      </c>
    </row>
    <row r="1226" ht="16" customHeight="1" s="151">
      <c r="A1226" s="1" t="inlineStr">
        <is>
          <t>2004017</t>
        </is>
      </c>
      <c r="B1226" s="2" t="inlineStr">
        <is>
          <t>5</t>
        </is>
      </c>
      <c r="C1226" s="2" t="inlineStr">
        <is>
          <t>Tratamiento quirúrgico de himen imperforado, paciente pediátrico</t>
        </is>
      </c>
      <c r="D1226" s="2" t="inlineStr">
        <is>
          <t>Cmay</t>
        </is>
      </c>
      <c r="E1226" s="3" t="inlineStr">
        <is>
          <t>Cirugía Mayor</t>
        </is>
      </c>
    </row>
    <row r="1227" ht="16" customHeight="1" s="151">
      <c r="A1227" s="1" t="inlineStr">
        <is>
          <t>2004103</t>
        </is>
      </c>
      <c r="B1227" s="2" t="inlineStr">
        <is>
          <t>6</t>
        </is>
      </c>
      <c r="C1227" s="2" t="inlineStr">
        <is>
          <t>Parto normal</t>
        </is>
      </c>
      <c r="D1227" s="2" t="inlineStr">
        <is>
          <t>Proc</t>
        </is>
      </c>
      <c r="E1227" s="3" t="inlineStr">
        <is>
          <t>Procedimiento</t>
        </is>
      </c>
    </row>
    <row r="1228" ht="16" customHeight="1" s="151">
      <c r="A1228" s="1" t="inlineStr">
        <is>
          <t>2004113</t>
        </is>
      </c>
      <c r="B1228" s="2" t="inlineStr">
        <is>
          <t>6</t>
        </is>
      </c>
      <c r="C1228" s="2" t="inlineStr">
        <is>
          <t>Parto distócico vaginal</t>
        </is>
      </c>
      <c r="D1228" s="2" t="inlineStr">
        <is>
          <t>Proc</t>
        </is>
      </c>
      <c r="E1228" s="3" t="inlineStr">
        <is>
          <t>Procedimiento</t>
        </is>
      </c>
    </row>
    <row r="1229" ht="16" customHeight="1" s="151">
      <c r="A1229" s="1" t="inlineStr">
        <is>
          <t>2101001</t>
        </is>
      </c>
      <c r="B1229" s="2" t="n"/>
      <c r="C1229" s="2" t="inlineStr">
        <is>
          <t>Infiltración local medicamentos (bursas, tendones, yuxtaarticulares y/o intraarticulares</t>
        </is>
      </c>
      <c r="D1229" s="2" t="inlineStr">
        <is>
          <t>Proc</t>
        </is>
      </c>
      <c r="E1229" s="3" t="inlineStr">
        <is>
          <t>Procedimiento</t>
        </is>
      </c>
    </row>
    <row r="1230" ht="16" customHeight="1" s="151">
      <c r="A1230" s="1" t="inlineStr">
        <is>
          <t>2101002</t>
        </is>
      </c>
      <c r="B1230" s="2" t="n"/>
      <c r="C1230" s="2" t="inlineStr">
        <is>
          <t>Procedimiento para exploraciones radiologicas (incluye maniobra e inyeccion del medio de contraste)</t>
        </is>
      </c>
      <c r="D1230" s="2" t="inlineStr">
        <is>
          <t>Proc</t>
        </is>
      </c>
      <c r="E1230" s="3" t="inlineStr">
        <is>
          <t>Procedimiento</t>
        </is>
      </c>
    </row>
    <row r="1231" ht="16" customHeight="1" s="151">
      <c r="A1231" s="1" t="inlineStr">
        <is>
          <t>2101003</t>
        </is>
      </c>
      <c r="B1231" s="2" t="n"/>
      <c r="C1231" s="2" t="inlineStr">
        <is>
          <t>Movilización articular bajo anestesia general.</t>
        </is>
      </c>
      <c r="D1231" s="2" t="inlineStr">
        <is>
          <t>Proc</t>
        </is>
      </c>
      <c r="E1231" s="3" t="inlineStr">
        <is>
          <t>Procedimiento</t>
        </is>
      </c>
    </row>
    <row r="1232" ht="16" customHeight="1" s="151">
      <c r="A1232" s="1" t="inlineStr">
        <is>
          <t>2104001</t>
        </is>
      </c>
      <c r="B1232" s="2" t="inlineStr">
        <is>
          <t>3</t>
        </is>
      </c>
      <c r="C1232" s="2" t="inlineStr">
        <is>
          <t>Artroscopía diagnóstica c/s biopsia, c/s sección de bridas, extracción de cuerpo extraño</t>
        </is>
      </c>
      <c r="D1232" s="2" t="inlineStr">
        <is>
          <t>CMen</t>
        </is>
      </c>
      <c r="E1232" s="3" t="inlineStr">
        <is>
          <t>Cirugía Menor</t>
        </is>
      </c>
    </row>
    <row r="1233" ht="16" customHeight="1" s="151">
      <c r="A1233" s="1" t="inlineStr">
        <is>
          <t>2104002</t>
        </is>
      </c>
      <c r="B1233" s="2" t="inlineStr">
        <is>
          <t>3</t>
        </is>
      </c>
      <c r="C1233" s="2" t="inlineStr">
        <is>
          <t>Exostosis u osteocondroma, trat. quir.</t>
        </is>
      </c>
      <c r="D1233" s="2" t="inlineStr">
        <is>
          <t>CMen</t>
        </is>
      </c>
      <c r="E1233" s="3" t="inlineStr">
        <is>
          <t>Cirugía Menor</t>
        </is>
      </c>
    </row>
    <row r="1234" ht="16" customHeight="1" s="151">
      <c r="A1234" s="1" t="inlineStr">
        <is>
          <t>2104003</t>
        </is>
      </c>
      <c r="B1234" s="2" t="inlineStr">
        <is>
          <t>3</t>
        </is>
      </c>
      <c r="C1234" s="2" t="inlineStr">
        <is>
          <t>Quistes sinoviales de vainas flexoras, bursas</t>
        </is>
      </c>
      <c r="D1234" s="2" t="inlineStr">
        <is>
          <t>CMen</t>
        </is>
      </c>
      <c r="E1234" s="3" t="inlineStr">
        <is>
          <t>Cirugía Menor</t>
        </is>
      </c>
    </row>
    <row r="1235" ht="16" customHeight="1" s="151">
      <c r="A1235" s="1" t="inlineStr">
        <is>
          <t>2104004</t>
        </is>
      </c>
      <c r="B1235" s="2" t="inlineStr">
        <is>
          <t>3</t>
        </is>
      </c>
      <c r="C1235" s="2" t="inlineStr">
        <is>
          <t>Tracción halocraneana o estribo-craneana (proc. aut.)</t>
        </is>
      </c>
      <c r="D1235" s="2" t="inlineStr">
        <is>
          <t>CMen</t>
        </is>
      </c>
      <c r="E1235" s="3" t="inlineStr">
        <is>
          <t>Cirugía Menor</t>
        </is>
      </c>
    </row>
    <row r="1236" ht="16" customHeight="1" s="151">
      <c r="A1236" s="1" t="inlineStr">
        <is>
          <t>2104005</t>
        </is>
      </c>
      <c r="B1236" s="2" t="inlineStr">
        <is>
          <t>3</t>
        </is>
      </c>
      <c r="C1236" s="2" t="inlineStr">
        <is>
          <t>Tracción halocráneo-femoral</t>
        </is>
      </c>
      <c r="D1236" s="2" t="inlineStr">
        <is>
          <t>CMen</t>
        </is>
      </c>
      <c r="E1236" s="3" t="inlineStr">
        <is>
          <t>Cirugía Menor</t>
        </is>
      </c>
    </row>
    <row r="1237" ht="16" customHeight="1" s="151">
      <c r="A1237" s="1" t="inlineStr">
        <is>
          <t>2104006</t>
        </is>
      </c>
      <c r="B1237" s="2" t="inlineStr">
        <is>
          <t>2</t>
        </is>
      </c>
      <c r="C1237" s="2" t="inlineStr">
        <is>
          <t>Tracción transesquelética o de partes blandas en adultos o en niños (proc. aut.)</t>
        </is>
      </c>
      <c r="D1237" s="2" t="inlineStr">
        <is>
          <t>CMen</t>
        </is>
      </c>
      <c r="E1237" s="3" t="inlineStr">
        <is>
          <t>Cirugía Menor</t>
        </is>
      </c>
    </row>
    <row r="1238" ht="16" customHeight="1" s="151">
      <c r="A1238" s="1" t="inlineStr">
        <is>
          <t>2104007</t>
        </is>
      </c>
      <c r="B1238" s="2" t="inlineStr">
        <is>
          <t>4</t>
        </is>
      </c>
      <c r="C1238" s="2" t="inlineStr">
        <is>
          <t>Artrodesis de codo o muñeca, c/u</t>
        </is>
      </c>
      <c r="D1238" s="2" t="inlineStr">
        <is>
          <t>CMen</t>
        </is>
      </c>
      <c r="E1238" s="3" t="inlineStr">
        <is>
          <t>Cirugía Menor</t>
        </is>
      </c>
    </row>
    <row r="1239" ht="16" customHeight="1" s="151">
      <c r="A1239" s="1" t="inlineStr">
        <is>
          <t>2104008</t>
        </is>
      </c>
      <c r="B1239" s="2" t="inlineStr">
        <is>
          <t>5</t>
        </is>
      </c>
      <c r="C1239" s="2" t="inlineStr">
        <is>
          <t>Artrodesis de hombro, cadera,rodilla, tobillo o sacroilíaca, c/u</t>
        </is>
      </c>
      <c r="D1239" s="2" t="inlineStr">
        <is>
          <t>Cmay</t>
        </is>
      </c>
      <c r="E1239" s="3" t="inlineStr">
        <is>
          <t>Cirugía Mayor</t>
        </is>
      </c>
    </row>
    <row r="1240" ht="16" customHeight="1" s="151">
      <c r="A1240" s="1" t="inlineStr">
        <is>
          <t>2104009</t>
        </is>
      </c>
      <c r="B1240" s="2" t="inlineStr">
        <is>
          <t>4</t>
        </is>
      </c>
      <c r="C1240" s="2" t="inlineStr">
        <is>
          <t>Artrodesis de mano o pie c/u</t>
        </is>
      </c>
      <c r="D1240" s="2" t="inlineStr">
        <is>
          <t>CMen</t>
        </is>
      </c>
      <c r="E1240" s="3" t="inlineStr">
        <is>
          <t>Cirugía Menor</t>
        </is>
      </c>
    </row>
    <row r="1241" ht="16" customHeight="1" s="151">
      <c r="A1241" s="1" t="inlineStr">
        <is>
          <t>2104010</t>
        </is>
      </c>
      <c r="B1241" s="2" t="inlineStr">
        <is>
          <t>6</t>
        </is>
      </c>
      <c r="C1241" s="2" t="inlineStr">
        <is>
          <t>Tratamiento completo de fracturas expuestas de brazo, antebrazo, muslo y pierna, c/u</t>
        </is>
      </c>
      <c r="D1241" s="2" t="inlineStr">
        <is>
          <t>Cmay</t>
        </is>
      </c>
      <c r="E1241" s="3" t="inlineStr">
        <is>
          <t>Cirugía Mayor</t>
        </is>
      </c>
    </row>
    <row r="1242" ht="16" customHeight="1" s="151">
      <c r="A1242" s="1" t="inlineStr">
        <is>
          <t>2104011</t>
        </is>
      </c>
      <c r="B1242" s="2" t="inlineStr">
        <is>
          <t>5</t>
        </is>
      </c>
      <c r="C1242" s="2" t="inlineStr">
        <is>
          <t>Tratamiento completo de fracturas expuestas de mano o pie, c/u</t>
        </is>
      </c>
      <c r="D1242" s="2" t="inlineStr">
        <is>
          <t>Cmay</t>
        </is>
      </c>
      <c r="E1242" s="3" t="inlineStr">
        <is>
          <t>Cirugía Mayor</t>
        </is>
      </c>
    </row>
    <row r="1243" ht="16" customHeight="1" s="151">
      <c r="A1243" s="1" t="inlineStr">
        <is>
          <t>2104012</t>
        </is>
      </c>
      <c r="B1243" s="2" t="inlineStr">
        <is>
          <t>5</t>
        </is>
      </c>
      <c r="C1243" s="2" t="inlineStr">
        <is>
          <t>Osteítis, raspado, c/s secuestrectomía</t>
        </is>
      </c>
      <c r="D1243" s="2" t="inlineStr">
        <is>
          <t>Cmay</t>
        </is>
      </c>
      <c r="E1243" s="3" t="inlineStr">
        <is>
          <t>Cirugía Mayor</t>
        </is>
      </c>
    </row>
    <row r="1244" ht="16" customHeight="1" s="151">
      <c r="A1244" s="1" t="inlineStr">
        <is>
          <t>2104013</t>
        </is>
      </c>
      <c r="B1244" s="2" t="inlineStr">
        <is>
          <t>6</t>
        </is>
      </c>
      <c r="C1244" s="2" t="inlineStr">
        <is>
          <t>Osteomielitis aguda hematógena, drenaje quirúrgico, c/s dispositivos de osteoclisis</t>
        </is>
      </c>
      <c r="D1244" s="2" t="inlineStr">
        <is>
          <t>Cmay</t>
        </is>
      </c>
      <c r="E1244" s="3" t="inlineStr">
        <is>
          <t>Cirugía Mayor</t>
        </is>
      </c>
    </row>
    <row r="1245" ht="16" customHeight="1" s="151">
      <c r="A1245" s="1" t="inlineStr">
        <is>
          <t>2104014</t>
        </is>
      </c>
      <c r="B1245" s="2" t="inlineStr">
        <is>
          <t>6</t>
        </is>
      </c>
      <c r="C1245" s="2" t="inlineStr">
        <is>
          <t>Osteomielitis crónica huesos largos, legrado óseo,  c/s osteosíntesis o aparato de yeso</t>
        </is>
      </c>
      <c r="D1245" s="2" t="inlineStr">
        <is>
          <t>Cmay</t>
        </is>
      </c>
      <c r="E1245" s="3" t="inlineStr">
        <is>
          <t>Cirugía Mayor</t>
        </is>
      </c>
    </row>
    <row r="1246" ht="16" customHeight="1" s="151">
      <c r="A1246" s="1" t="inlineStr">
        <is>
          <t>2104015</t>
        </is>
      </c>
      <c r="B1246" s="2" t="inlineStr">
        <is>
          <t>6</t>
        </is>
      </c>
      <c r="C1246" s="2" t="inlineStr">
        <is>
          <t>Artrotomía hombro o cadera c/u</t>
        </is>
      </c>
      <c r="D1246" s="2" t="inlineStr">
        <is>
          <t>Cmay</t>
        </is>
      </c>
      <c r="E1246" s="3" t="inlineStr">
        <is>
          <t>Cirugía Mayor</t>
        </is>
      </c>
    </row>
    <row r="1247" ht="16" customHeight="1" s="151">
      <c r="A1247" s="1" t="inlineStr">
        <is>
          <t>2104016</t>
        </is>
      </c>
      <c r="B1247" s="2" t="inlineStr">
        <is>
          <t>5</t>
        </is>
      </c>
      <c r="C1247" s="2" t="inlineStr">
        <is>
          <t>Artrotomía de codo, muñeca, tobillo o temporomandibular, c/u</t>
        </is>
      </c>
      <c r="D1247" s="2" t="inlineStr">
        <is>
          <t>Cmay</t>
        </is>
      </c>
      <c r="E1247" s="3" t="inlineStr">
        <is>
          <t>Cirugía Mayor</t>
        </is>
      </c>
    </row>
    <row r="1248" ht="16" customHeight="1" s="151">
      <c r="A1248" s="1" t="inlineStr">
        <is>
          <t>2104017</t>
        </is>
      </c>
      <c r="B1248" s="2" t="inlineStr">
        <is>
          <t>6</t>
        </is>
      </c>
      <c r="C1248" s="2" t="inlineStr">
        <is>
          <t>Pseudoartrosis  infectada huesos largos, trat. quir. cualquier técnica, c/s dispositivo de osteoclisis, c/s osteosíntesis o aparato de yeso</t>
        </is>
      </c>
      <c r="D1248" s="2" t="inlineStr">
        <is>
          <t>Cmay</t>
        </is>
      </c>
      <c r="E1248" s="3" t="inlineStr">
        <is>
          <t>Cirugía Mayor</t>
        </is>
      </c>
    </row>
    <row r="1249" ht="16" customHeight="1" s="151">
      <c r="A1249" s="1" t="inlineStr">
        <is>
          <t>2104018</t>
        </is>
      </c>
      <c r="B1249" s="2" t="inlineStr">
        <is>
          <t>11</t>
        </is>
      </c>
      <c r="C1249" s="2" t="inlineStr">
        <is>
          <t>Autotrasplante óseo microquirúrgico</t>
        </is>
      </c>
      <c r="D1249" s="2" t="inlineStr">
        <is>
          <t>Cmay</t>
        </is>
      </c>
      <c r="E1249" s="3" t="inlineStr">
        <is>
          <t>Cirugía Mayor</t>
        </is>
      </c>
    </row>
    <row r="1250" ht="16" customHeight="1" s="151">
      <c r="A1250" s="1" t="inlineStr">
        <is>
          <t>2104019</t>
        </is>
      </c>
      <c r="B1250" s="2" t="inlineStr">
        <is>
          <t>4</t>
        </is>
      </c>
      <c r="C1250" s="2" t="inlineStr">
        <is>
          <t>Injerto esponjoso metafisiario</t>
        </is>
      </c>
      <c r="D1250" s="2" t="inlineStr">
        <is>
          <t>CMen</t>
        </is>
      </c>
      <c r="E1250" s="3" t="inlineStr">
        <is>
          <t>Cirugía Menor</t>
        </is>
      </c>
    </row>
    <row r="1251" ht="16" customHeight="1" s="151">
      <c r="A1251" s="1" t="inlineStr">
        <is>
          <t>2104020</t>
        </is>
      </c>
      <c r="B1251" s="2" t="inlineStr">
        <is>
          <t>4</t>
        </is>
      </c>
      <c r="C1251" s="2" t="inlineStr">
        <is>
          <t>Injertos esponjosos o córtico-esponjosos de cresta ilíaca</t>
        </is>
      </c>
      <c r="D1251" s="2" t="inlineStr">
        <is>
          <t>CMen</t>
        </is>
      </c>
      <c r="E1251" s="3" t="inlineStr">
        <is>
          <t>Cirugía Menor</t>
        </is>
      </c>
    </row>
    <row r="1252" ht="16" customHeight="1" s="151">
      <c r="A1252" s="1" t="inlineStr">
        <is>
          <t>2104021</t>
        </is>
      </c>
      <c r="B1252" s="2" t="inlineStr">
        <is>
          <t>7</t>
        </is>
      </c>
      <c r="C1252" s="2" t="inlineStr">
        <is>
          <t>Trasplante óseo (auto u homotrasplante)</t>
        </is>
      </c>
      <c r="D1252" s="2" t="inlineStr">
        <is>
          <t>Cmay</t>
        </is>
      </c>
      <c r="E1252" s="3" t="inlineStr">
        <is>
          <t>Cirugía Mayor</t>
        </is>
      </c>
    </row>
    <row r="1253" ht="16" customHeight="1" s="151">
      <c r="A1253" s="1" t="inlineStr">
        <is>
          <t>2104022</t>
        </is>
      </c>
      <c r="B1253" s="2" t="inlineStr">
        <is>
          <t>7</t>
        </is>
      </c>
      <c r="C1253" s="2" t="inlineStr">
        <is>
          <t>Lesiones quísticas con fractura patológica: legrado óseo, c/s relleno injerto esponjoso, c/s osteosíntesis y/o aparato de inmovilización postoperatoria</t>
        </is>
      </c>
      <c r="D1253" s="2" t="inlineStr">
        <is>
          <t>Cmay</t>
        </is>
      </c>
      <c r="E1253" s="3" t="inlineStr">
        <is>
          <t>Cirugía Mayor</t>
        </is>
      </c>
    </row>
    <row r="1254" ht="16" customHeight="1" s="151">
      <c r="A1254" s="1" t="inlineStr">
        <is>
          <t>2104023</t>
        </is>
      </c>
      <c r="B1254" s="2" t="inlineStr">
        <is>
          <t>7</t>
        </is>
      </c>
      <c r="C1254" s="2" t="inlineStr">
        <is>
          <t>Lesiones quísticas intraosea: legrado óseo, c/s relleno de injertos</t>
        </is>
      </c>
      <c r="D1254" s="2" t="inlineStr">
        <is>
          <t>Cmay</t>
        </is>
      </c>
      <c r="E1254" s="3" t="inlineStr">
        <is>
          <t>Cirugía Mayor</t>
        </is>
      </c>
    </row>
    <row r="1255" ht="16" customHeight="1" s="151">
      <c r="A1255" s="1" t="inlineStr">
        <is>
          <t>2104024</t>
        </is>
      </c>
      <c r="B1255" s="2" t="inlineStr">
        <is>
          <t>7</t>
        </is>
      </c>
      <c r="C1255" s="2" t="inlineStr">
        <is>
          <t>Metástasis ósea c/s fractura patológica, legrado tumoral, relleno cemento quirúrgico y osteosíntesis</t>
        </is>
      </c>
      <c r="D1255" s="2" t="inlineStr">
        <is>
          <t>Cmay</t>
        </is>
      </c>
      <c r="E1255" s="3" t="inlineStr">
        <is>
          <t>Cirugía Mayor</t>
        </is>
      </c>
    </row>
    <row r="1256" ht="16" customHeight="1" s="151">
      <c r="A1256" s="1" t="inlineStr">
        <is>
          <t>2104025</t>
        </is>
      </c>
      <c r="B1256" s="2" t="inlineStr">
        <is>
          <t>7</t>
        </is>
      </c>
      <c r="C1256" s="2" t="inlineStr">
        <is>
          <t>Tumor óseo, resección en bloque, c/s osteosíntesis y/o aparato inmovilización postoperatorio</t>
        </is>
      </c>
      <c r="D1256" s="2" t="inlineStr">
        <is>
          <t>Cmay</t>
        </is>
      </c>
      <c r="E1256" s="3" t="inlineStr">
        <is>
          <t>Cirugía Mayor</t>
        </is>
      </c>
    </row>
    <row r="1257" ht="16" customHeight="1" s="151">
      <c r="A1257" s="1" t="inlineStr">
        <is>
          <t>2104026</t>
        </is>
      </c>
      <c r="B1257" s="2" t="inlineStr">
        <is>
          <t>7</t>
        </is>
      </c>
      <c r="C1257" s="2" t="inlineStr">
        <is>
          <t>Tumores o quistes o lesiones pseudoquísticas o musculares y/o tendíneas, trat. quir.</t>
        </is>
      </c>
      <c r="D1257" s="2" t="inlineStr">
        <is>
          <t>Cmay</t>
        </is>
      </c>
      <c r="E1257" s="3" t="inlineStr">
        <is>
          <t>Cirugía Mayor</t>
        </is>
      </c>
    </row>
    <row r="1258" ht="16" customHeight="1" s="151">
      <c r="A1258" s="1" t="inlineStr">
        <is>
          <t>2104027</t>
        </is>
      </c>
      <c r="B1258" s="2" t="inlineStr">
        <is>
          <t>7</t>
        </is>
      </c>
      <c r="C1258" s="2" t="inlineStr">
        <is>
          <t>Tumores óseos: resección en bloque, epifisiaria c/artrodesis o diafisiaria</t>
        </is>
      </c>
      <c r="D1258" s="2" t="inlineStr">
        <is>
          <t>Cmay</t>
        </is>
      </c>
      <c r="E1258" s="3" t="inlineStr">
        <is>
          <t>Cirugía Mayor</t>
        </is>
      </c>
    </row>
    <row r="1259" ht="16" customHeight="1" s="151">
      <c r="A1259" s="1" t="inlineStr">
        <is>
          <t>2104028</t>
        </is>
      </c>
      <c r="B1259" s="2" t="inlineStr">
        <is>
          <t>11</t>
        </is>
      </c>
      <c r="C1259" s="2" t="inlineStr">
        <is>
          <t>Tumores primarios o metastásicos vertebrales: corporectomía, reemplazo por cemento quir. o injerto óseo, c/s osteosíntesis</t>
        </is>
      </c>
      <c r="D1259" s="2" t="inlineStr">
        <is>
          <t>Cmay</t>
        </is>
      </c>
      <c r="E1259" s="3" t="inlineStr">
        <is>
          <t>Cirugía Mayor</t>
        </is>
      </c>
    </row>
    <row r="1260" ht="16" customHeight="1" s="151">
      <c r="A1260" s="1" t="inlineStr">
        <is>
          <t>2104029</t>
        </is>
      </c>
      <c r="B1260" s="2" t="inlineStr">
        <is>
          <t>5</t>
        </is>
      </c>
      <c r="C1260" s="2" t="inlineStr">
        <is>
          <t>Sinovectomías quirúrgicas de codo o muñeca o metacarpofalángicas, c/u</t>
        </is>
      </c>
      <c r="D1260" s="2" t="inlineStr">
        <is>
          <t>Cmay</t>
        </is>
      </c>
      <c r="E1260" s="3" t="inlineStr">
        <is>
          <t>Cirugía Mayor</t>
        </is>
      </c>
    </row>
    <row r="1261" ht="16" customHeight="1" s="151">
      <c r="A1261" s="1" t="inlineStr">
        <is>
          <t>2104030</t>
        </is>
      </c>
      <c r="B1261" s="2" t="inlineStr">
        <is>
          <t>6</t>
        </is>
      </c>
      <c r="C1261" s="2" t="inlineStr">
        <is>
          <t>Sinovectomías quirúrgicas de rodilla o cadera u hombro, c/u</t>
        </is>
      </c>
      <c r="D1261" s="2" t="inlineStr">
        <is>
          <t>Cmay</t>
        </is>
      </c>
      <c r="E1261" s="3" t="inlineStr">
        <is>
          <t>Cirugía Mayor</t>
        </is>
      </c>
    </row>
    <row r="1262" ht="16" customHeight="1" s="151">
      <c r="A1262" s="1" t="inlineStr">
        <is>
          <t>2104031</t>
        </is>
      </c>
      <c r="B1262" s="2" t="inlineStr">
        <is>
          <t>9</t>
        </is>
      </c>
      <c r="C1262" s="2" t="inlineStr">
        <is>
          <t>Epineurorrafia microquirúrgica con magnificación cualquier tronco nervioso (con excepción nervios digitales)</t>
        </is>
      </c>
      <c r="D1262" s="2" t="inlineStr">
        <is>
          <t>Cmay</t>
        </is>
      </c>
      <c r="E1262" s="3" t="inlineStr">
        <is>
          <t>Cirugía Mayor</t>
        </is>
      </c>
    </row>
    <row r="1263" ht="16" customHeight="1" s="151">
      <c r="A1263" s="1" t="inlineStr">
        <is>
          <t>2104033</t>
        </is>
      </c>
      <c r="B1263" s="2" t="inlineStr">
        <is>
          <t>3</t>
        </is>
      </c>
      <c r="C1263" s="2" t="inlineStr">
        <is>
          <t>Biopsia ósea por punción</t>
        </is>
      </c>
      <c r="D1263" s="2" t="inlineStr">
        <is>
          <t>CMen</t>
        </is>
      </c>
      <c r="E1263" s="3" t="inlineStr">
        <is>
          <t>Cirugía Menor</t>
        </is>
      </c>
    </row>
    <row r="1264" ht="16" customHeight="1" s="151">
      <c r="A1264" s="1" t="inlineStr">
        <is>
          <t>2104034</t>
        </is>
      </c>
      <c r="B1264" s="2" t="inlineStr">
        <is>
          <t>5</t>
        </is>
      </c>
      <c r="C1264" s="2" t="inlineStr">
        <is>
          <t>Biopsia ósea quirúrgica</t>
        </is>
      </c>
      <c r="D1264" s="2" t="inlineStr">
        <is>
          <t>Cmay</t>
        </is>
      </c>
      <c r="E1264" s="3" t="inlineStr">
        <is>
          <t>Cirugía Mayor</t>
        </is>
      </c>
    </row>
    <row r="1265" ht="16" customHeight="1" s="151">
      <c r="A1265" s="1" t="inlineStr">
        <is>
          <t>2104035</t>
        </is>
      </c>
      <c r="B1265" s="2" t="inlineStr">
        <is>
          <t>2</t>
        </is>
      </c>
      <c r="C1265" s="2" t="inlineStr">
        <is>
          <t>Biopsia sinovial o muscular por punción</t>
        </is>
      </c>
      <c r="D1265" s="2" t="inlineStr">
        <is>
          <t>CMen</t>
        </is>
      </c>
      <c r="E1265" s="3" t="inlineStr">
        <is>
          <t>Cirugía Menor</t>
        </is>
      </c>
    </row>
    <row r="1266" ht="16" customHeight="1" s="151">
      <c r="A1266" s="1" t="inlineStr">
        <is>
          <t>2104036</t>
        </is>
      </c>
      <c r="B1266" s="2" t="inlineStr">
        <is>
          <t>4</t>
        </is>
      </c>
      <c r="C1266" s="2" t="inlineStr">
        <is>
          <t>Biopsia sinovial o muscular quirúrgica</t>
        </is>
      </c>
      <c r="D1266" s="2" t="inlineStr">
        <is>
          <t>CMen</t>
        </is>
      </c>
      <c r="E1266" s="3" t="inlineStr">
        <is>
          <t>Cirugía Menor</t>
        </is>
      </c>
    </row>
    <row r="1267" ht="16" customHeight="1" s="151">
      <c r="A1267" s="1" t="inlineStr">
        <is>
          <t>2104037</t>
        </is>
      </c>
      <c r="B1267" s="2" t="inlineStr">
        <is>
          <t>4</t>
        </is>
      </c>
      <c r="C1267" s="2" t="inlineStr">
        <is>
          <t>Biopsia vertebral por punción</t>
        </is>
      </c>
      <c r="D1267" s="2" t="inlineStr">
        <is>
          <t>CMen</t>
        </is>
      </c>
      <c r="E1267" s="3" t="inlineStr">
        <is>
          <t>Cirugía Menor</t>
        </is>
      </c>
    </row>
    <row r="1268" ht="16" customHeight="1" s="151">
      <c r="A1268" s="1" t="inlineStr">
        <is>
          <t>2104038</t>
        </is>
      </c>
      <c r="B1268" s="2" t="inlineStr">
        <is>
          <t>4</t>
        </is>
      </c>
      <c r="C1268" s="2" t="inlineStr">
        <is>
          <t>Regularización de Muñón de amputación</t>
        </is>
      </c>
      <c r="D1268" s="2" t="inlineStr">
        <is>
          <t>CMen</t>
        </is>
      </c>
      <c r="E1268" s="3" t="inlineStr">
        <is>
          <t>Cirugía Menor</t>
        </is>
      </c>
    </row>
    <row r="1269" ht="16" customHeight="1" s="151">
      <c r="A1269" s="1" t="inlineStr">
        <is>
          <t>2104039</t>
        </is>
      </c>
      <c r="B1269" s="2" t="inlineStr">
        <is>
          <t>5</t>
        </is>
      </c>
      <c r="C1269" s="2" t="inlineStr">
        <is>
          <t>Osteocondrosis o epifisitis, trat. quir.</t>
        </is>
      </c>
      <c r="D1269" s="2" t="inlineStr">
        <is>
          <t>Cmay</t>
        </is>
      </c>
      <c r="E1269" s="3" t="inlineStr">
        <is>
          <t>Cirugía Mayor</t>
        </is>
      </c>
    </row>
    <row r="1270" ht="16" customHeight="1" s="151">
      <c r="A1270" s="1" t="inlineStr">
        <is>
          <t>2104040</t>
        </is>
      </c>
      <c r="B1270" s="2" t="inlineStr">
        <is>
          <t>11</t>
        </is>
      </c>
      <c r="C1270" s="2" t="inlineStr">
        <is>
          <t>Amputación interescápulo-torácica</t>
        </is>
      </c>
      <c r="D1270" s="2" t="inlineStr">
        <is>
          <t>Cmay</t>
        </is>
      </c>
      <c r="E1270" s="3" t="inlineStr">
        <is>
          <t>Cirugía Mayor</t>
        </is>
      </c>
    </row>
    <row r="1271" ht="16" customHeight="1" s="151">
      <c r="A1271" s="1" t="inlineStr">
        <is>
          <t>2104041</t>
        </is>
      </c>
      <c r="B1271" s="2" t="inlineStr">
        <is>
          <t>10</t>
        </is>
      </c>
      <c r="C1271" s="2" t="inlineStr">
        <is>
          <t>Desarticulación escápulo-humeral</t>
        </is>
      </c>
      <c r="D1271" s="2" t="inlineStr">
        <is>
          <t>Cmay</t>
        </is>
      </c>
      <c r="E1271" s="3" t="inlineStr">
        <is>
          <t>Cirugía Mayor</t>
        </is>
      </c>
    </row>
    <row r="1272" ht="16" customHeight="1" s="151">
      <c r="A1272" s="1" t="inlineStr">
        <is>
          <t>2104042</t>
        </is>
      </c>
      <c r="B1272" s="2" t="inlineStr">
        <is>
          <t>10</t>
        </is>
      </c>
      <c r="C1272" s="2" t="inlineStr">
        <is>
          <t>Endoprótesis total de hombro,(cualquier técnica)</t>
        </is>
      </c>
      <c r="D1272" s="2" t="inlineStr">
        <is>
          <t>Cmay</t>
        </is>
      </c>
      <c r="E1272" s="3" t="inlineStr">
        <is>
          <t>Cirugía Mayor</t>
        </is>
      </c>
    </row>
    <row r="1273" ht="16" customHeight="1" s="151">
      <c r="A1273" s="1" t="inlineStr">
        <is>
          <t>2104044</t>
        </is>
      </c>
      <c r="B1273" s="2" t="inlineStr">
        <is>
          <t>7</t>
        </is>
      </c>
      <c r="C1273" s="2" t="inlineStr">
        <is>
          <t>Fractura cuello humeral, trat. quir.</t>
        </is>
      </c>
      <c r="D1273" s="2" t="inlineStr">
        <is>
          <t>Cmay</t>
        </is>
      </c>
      <c r="E1273" s="3" t="inlineStr">
        <is>
          <t>Cirugía Mayor</t>
        </is>
      </c>
    </row>
    <row r="1274" ht="16" customHeight="1" s="151">
      <c r="A1274" s="1" t="inlineStr">
        <is>
          <t>2104045</t>
        </is>
      </c>
      <c r="B1274" s="2" t="inlineStr">
        <is>
          <t>5</t>
        </is>
      </c>
      <c r="C1274" s="2" t="inlineStr">
        <is>
          <t>Fractura de clavícula, osteosíntesis</t>
        </is>
      </c>
      <c r="D1274" s="2" t="inlineStr">
        <is>
          <t>Cmay</t>
        </is>
      </c>
      <c r="E1274" s="3" t="inlineStr">
        <is>
          <t>Cirugía Mayor</t>
        </is>
      </c>
    </row>
    <row r="1275" ht="16" customHeight="1" s="151">
      <c r="A1275" s="1" t="inlineStr">
        <is>
          <t>2104046</t>
        </is>
      </c>
      <c r="B1275" s="2" t="inlineStr">
        <is>
          <t>6</t>
        </is>
      </c>
      <c r="C1275" s="2" t="inlineStr">
        <is>
          <t>Fractura escápula, osteosíntesis</t>
        </is>
      </c>
      <c r="D1275" s="2" t="inlineStr">
        <is>
          <t>Cmay</t>
        </is>
      </c>
      <c r="E1275" s="3" t="inlineStr">
        <is>
          <t>Cirugía Mayor</t>
        </is>
      </c>
    </row>
    <row r="1276" ht="16" customHeight="1" s="151">
      <c r="A1276" s="1" t="inlineStr">
        <is>
          <t>2104047</t>
        </is>
      </c>
      <c r="B1276" s="2" t="inlineStr">
        <is>
          <t>7</t>
        </is>
      </c>
      <c r="C1276" s="2" t="inlineStr">
        <is>
          <t>Luxación acromio-clavicular o esterno-clavicular, reducción o plastía cápsuloligamentosa y osteosíntesis</t>
        </is>
      </c>
      <c r="D1276" s="2" t="inlineStr">
        <is>
          <t>Cmay</t>
        </is>
      </c>
      <c r="E1276" s="3" t="inlineStr">
        <is>
          <t>Cirugía Mayor</t>
        </is>
      </c>
    </row>
    <row r="1277" ht="16" customHeight="1" s="151">
      <c r="A1277" s="1" t="inlineStr">
        <is>
          <t>2104048</t>
        </is>
      </c>
      <c r="B1277" s="2" t="inlineStr">
        <is>
          <t>6</t>
        </is>
      </c>
      <c r="C1277" s="2" t="inlineStr">
        <is>
          <t>Luxación recidivante de hombro, trat. quir.</t>
        </is>
      </c>
      <c r="D1277" s="2" t="inlineStr">
        <is>
          <t>Cmay</t>
        </is>
      </c>
      <c r="E1277" s="3" t="inlineStr">
        <is>
          <t>Cirugía Mayor</t>
        </is>
      </c>
    </row>
    <row r="1278" ht="16" customHeight="1" s="151">
      <c r="A1278" s="1" t="inlineStr">
        <is>
          <t>2104049</t>
        </is>
      </c>
      <c r="B1278" s="2" t="inlineStr">
        <is>
          <t>5</t>
        </is>
      </c>
      <c r="C1278" s="2" t="inlineStr">
        <is>
          <t>Luxación traumática de hombro, reducción cruenta</t>
        </is>
      </c>
      <c r="D1278" s="2" t="inlineStr">
        <is>
          <t>Cmay</t>
        </is>
      </c>
      <c r="E1278" s="3" t="inlineStr">
        <is>
          <t>Cirugía Mayor</t>
        </is>
      </c>
    </row>
    <row r="1279" ht="16" customHeight="1" s="151">
      <c r="A1279" s="1" t="inlineStr">
        <is>
          <t>2104050</t>
        </is>
      </c>
      <c r="B1279" s="2" t="inlineStr">
        <is>
          <t>7</t>
        </is>
      </c>
      <c r="C1279" s="2" t="inlineStr">
        <is>
          <t>Luxofractura, reducción y osteosíntesis hombro</t>
        </is>
      </c>
      <c r="D1279" s="2" t="inlineStr">
        <is>
          <t>Cmay</t>
        </is>
      </c>
      <c r="E1279" s="3" t="inlineStr">
        <is>
          <t>Cirugía Mayor</t>
        </is>
      </c>
    </row>
    <row r="1280" ht="16" customHeight="1" s="151">
      <c r="A1280" s="1" t="inlineStr">
        <is>
          <t>2104051</t>
        </is>
      </c>
      <c r="B1280" s="2" t="inlineStr">
        <is>
          <t>7</t>
        </is>
      </c>
      <c r="C1280" s="2" t="inlineStr">
        <is>
          <t>Ruptura manguito rotadores, trat. quir. c/s acromiectomía</t>
        </is>
      </c>
      <c r="D1280" s="2" t="inlineStr">
        <is>
          <t>Cmay</t>
        </is>
      </c>
      <c r="E1280" s="3" t="inlineStr">
        <is>
          <t>Cirugía Mayor</t>
        </is>
      </c>
    </row>
    <row r="1281" ht="16" customHeight="1" s="151">
      <c r="A1281" s="1" t="inlineStr">
        <is>
          <t>2104052</t>
        </is>
      </c>
      <c r="B1281" s="2" t="inlineStr">
        <is>
          <t>6</t>
        </is>
      </c>
      <c r="C1281" s="2" t="inlineStr">
        <is>
          <t>Transposiciones musculares</t>
        </is>
      </c>
      <c r="D1281" s="2" t="inlineStr">
        <is>
          <t>Cmay</t>
        </is>
      </c>
      <c r="E1281" s="3" t="inlineStr">
        <is>
          <t>Cirugía Mayor</t>
        </is>
      </c>
    </row>
    <row r="1282" ht="16" customHeight="1" s="151">
      <c r="A1282" s="1" t="inlineStr">
        <is>
          <t>2104053</t>
        </is>
      </c>
      <c r="B1282" s="2" t="inlineStr">
        <is>
          <t>7</t>
        </is>
      </c>
      <c r="C1282" s="2" t="inlineStr">
        <is>
          <t>Amputación brazo</t>
        </is>
      </c>
      <c r="D1282" s="2" t="inlineStr">
        <is>
          <t>Cmay</t>
        </is>
      </c>
      <c r="E1282" s="3" t="inlineStr">
        <is>
          <t>Cirugía Mayor</t>
        </is>
      </c>
    </row>
    <row r="1283" ht="16" customHeight="1" s="151">
      <c r="A1283" s="1" t="inlineStr">
        <is>
          <t>2104054</t>
        </is>
      </c>
      <c r="B1283" s="2" t="inlineStr">
        <is>
          <t>6</t>
        </is>
      </c>
      <c r="C1283" s="2" t="inlineStr">
        <is>
          <t>Fractura supracondílea niño; tracción esquelética, c/s osteosíntesis y aparato de yeso</t>
        </is>
      </c>
      <c r="D1283" s="2" t="inlineStr">
        <is>
          <t>Cmay</t>
        </is>
      </c>
      <c r="E1283" s="3" t="inlineStr">
        <is>
          <t>Cirugía Mayor</t>
        </is>
      </c>
    </row>
    <row r="1284" ht="16" customHeight="1" s="151">
      <c r="A1284" s="1" t="inlineStr">
        <is>
          <t>2104055</t>
        </is>
      </c>
      <c r="B1284" s="2" t="inlineStr">
        <is>
          <t>6</t>
        </is>
      </c>
      <c r="C1284" s="2" t="inlineStr">
        <is>
          <t>Osteosíntesis diafisiaria de húmero (cualquier técnica)</t>
        </is>
      </c>
      <c r="D1284" s="2" t="inlineStr">
        <is>
          <t>Cmay</t>
        </is>
      </c>
      <c r="E1284" s="3" t="inlineStr">
        <is>
          <t>Cirugía Mayor</t>
        </is>
      </c>
    </row>
    <row r="1285" ht="16" customHeight="1" s="151">
      <c r="A1285" s="1" t="inlineStr">
        <is>
          <t>2104056</t>
        </is>
      </c>
      <c r="B1285" s="2" t="inlineStr">
        <is>
          <t>6</t>
        </is>
      </c>
      <c r="C1285" s="2" t="inlineStr">
        <is>
          <t>Osteosíntesis supra o intercondílea (cualquier técnica)</t>
        </is>
      </c>
      <c r="D1285" s="2" t="inlineStr">
        <is>
          <t>Cmay</t>
        </is>
      </c>
      <c r="E1285" s="3" t="inlineStr">
        <is>
          <t>Cirugía Mayor</t>
        </is>
      </c>
    </row>
    <row r="1286" ht="16" customHeight="1" s="151">
      <c r="A1286" s="1" t="inlineStr">
        <is>
          <t>2104057</t>
        </is>
      </c>
      <c r="B1286" s="2" t="inlineStr">
        <is>
          <t>6</t>
        </is>
      </c>
      <c r="C1286" s="2" t="inlineStr">
        <is>
          <t>Osteotomía húmero (cualquier técnica)</t>
        </is>
      </c>
      <c r="D1286" s="2" t="inlineStr">
        <is>
          <t>Cmay</t>
        </is>
      </c>
      <c r="E1286" s="3" t="inlineStr">
        <is>
          <t>Cirugía Mayor</t>
        </is>
      </c>
    </row>
    <row r="1287" ht="16" customHeight="1" s="151">
      <c r="A1287" s="1" t="inlineStr">
        <is>
          <t>2104058</t>
        </is>
      </c>
      <c r="B1287" s="2" t="inlineStr">
        <is>
          <t>6</t>
        </is>
      </c>
      <c r="C1287" s="2" t="inlineStr">
        <is>
          <t>Pseudoartrosis c/s osteosíntesis c/s yeso húmero</t>
        </is>
      </c>
      <c r="D1287" s="2" t="inlineStr">
        <is>
          <t>Cmay</t>
        </is>
      </c>
      <c r="E1287" s="3" t="inlineStr">
        <is>
          <t>Cirugía Mayor</t>
        </is>
      </c>
    </row>
    <row r="1288" ht="16" customHeight="1" s="151">
      <c r="A1288" s="1" t="inlineStr">
        <is>
          <t>2104059</t>
        </is>
      </c>
      <c r="B1288" s="2" t="inlineStr">
        <is>
          <t>7</t>
        </is>
      </c>
      <c r="C1288" s="2" t="inlineStr">
        <is>
          <t>Artroplastía con fascia codo</t>
        </is>
      </c>
      <c r="D1288" s="2" t="inlineStr">
        <is>
          <t>Cmay</t>
        </is>
      </c>
      <c r="E1288" s="3" t="inlineStr">
        <is>
          <t>Cirugía Mayor</t>
        </is>
      </c>
    </row>
    <row r="1289" ht="16" customHeight="1" s="151">
      <c r="A1289" s="1" t="inlineStr">
        <is>
          <t>2104060</t>
        </is>
      </c>
      <c r="B1289" s="2" t="inlineStr">
        <is>
          <t>6</t>
        </is>
      </c>
      <c r="C1289" s="2" t="inlineStr">
        <is>
          <t>Cúpula radial, resección</t>
        </is>
      </c>
      <c r="D1289" s="2" t="inlineStr">
        <is>
          <t>Cmay</t>
        </is>
      </c>
      <c r="E1289" s="3" t="inlineStr">
        <is>
          <t>Cirugía Mayor</t>
        </is>
      </c>
    </row>
    <row r="1290" ht="16" customHeight="1" s="151">
      <c r="A1290" s="1" t="inlineStr">
        <is>
          <t>2104061</t>
        </is>
      </c>
      <c r="B1290" s="2" t="inlineStr">
        <is>
          <t>7</t>
        </is>
      </c>
      <c r="C1290" s="2" t="inlineStr">
        <is>
          <t>Cúpula radial, (resección con implante de prótesis) artroplastía</t>
        </is>
      </c>
      <c r="D1290" s="2" t="inlineStr">
        <is>
          <t>Cmay</t>
        </is>
      </c>
      <c r="E1290" s="3" t="inlineStr">
        <is>
          <t>Cirugía Mayor</t>
        </is>
      </c>
    </row>
    <row r="1291" ht="16" customHeight="1" s="151">
      <c r="A1291" s="1" t="inlineStr">
        <is>
          <t>2104062</t>
        </is>
      </c>
      <c r="B1291" s="2" t="inlineStr">
        <is>
          <t>10</t>
        </is>
      </c>
      <c r="C1291" s="2" t="inlineStr">
        <is>
          <t>Endoprótesis total de codo, (cualquier técnica)</t>
        </is>
      </c>
      <c r="D1291" s="2" t="inlineStr">
        <is>
          <t>Cmay</t>
        </is>
      </c>
      <c r="E1291" s="3" t="inlineStr">
        <is>
          <t>Cirugía Mayor</t>
        </is>
      </c>
    </row>
    <row r="1292" ht="16" customHeight="1" s="151">
      <c r="A1292" s="1" t="inlineStr">
        <is>
          <t>2104063</t>
        </is>
      </c>
      <c r="B1292" s="2" t="inlineStr">
        <is>
          <t>6</t>
        </is>
      </c>
      <c r="C1292" s="2" t="inlineStr">
        <is>
          <t>Epicondilitis, trat. quir. (cualquier técnica)</t>
        </is>
      </c>
      <c r="D1292" s="2" t="inlineStr">
        <is>
          <t>Cmay</t>
        </is>
      </c>
      <c r="E1292" s="3" t="inlineStr">
        <is>
          <t>Cirugía Mayor</t>
        </is>
      </c>
    </row>
    <row r="1293" ht="16" customHeight="1" s="151">
      <c r="A1293" s="1" t="inlineStr">
        <is>
          <t>2104064</t>
        </is>
      </c>
      <c r="B1293" s="2" t="inlineStr">
        <is>
          <t>5</t>
        </is>
      </c>
      <c r="C1293" s="2" t="inlineStr">
        <is>
          <t>Luxación de codo, reducción cruenta</t>
        </is>
      </c>
      <c r="D1293" s="2" t="inlineStr">
        <is>
          <t>Cmay</t>
        </is>
      </c>
      <c r="E1293" s="3" t="inlineStr">
        <is>
          <t>Cirugía Mayor</t>
        </is>
      </c>
    </row>
    <row r="1294" ht="16" customHeight="1" s="151">
      <c r="A1294" s="1" t="inlineStr">
        <is>
          <t>2104065</t>
        </is>
      </c>
      <c r="B1294" s="2" t="inlineStr">
        <is>
          <t>6</t>
        </is>
      </c>
      <c r="C1294" s="2" t="inlineStr">
        <is>
          <t>Luxofractura de codo, reducción cruenta c/s resección cúpula radial</t>
        </is>
      </c>
      <c r="D1294" s="2" t="inlineStr">
        <is>
          <t>Cmay</t>
        </is>
      </c>
      <c r="E1294" s="3" t="inlineStr">
        <is>
          <t>Cirugía Mayor</t>
        </is>
      </c>
    </row>
    <row r="1295" ht="16" customHeight="1" s="151">
      <c r="A1295" s="1" t="inlineStr">
        <is>
          <t>2104066</t>
        </is>
      </c>
      <c r="B1295" s="2" t="inlineStr">
        <is>
          <t>6</t>
        </is>
      </c>
      <c r="C1295" s="2" t="inlineStr">
        <is>
          <t>Osteosíntesis epitroclea-epicóndilo (cualquier técnica)</t>
        </is>
      </c>
      <c r="D1295" s="2" t="inlineStr">
        <is>
          <t>Cmay</t>
        </is>
      </c>
      <c r="E1295" s="3" t="inlineStr">
        <is>
          <t>Cirugía Mayor</t>
        </is>
      </c>
    </row>
    <row r="1296" ht="16" customHeight="1" s="151">
      <c r="A1296" s="1" t="inlineStr">
        <is>
          <t>2104067</t>
        </is>
      </c>
      <c r="B1296" s="2" t="inlineStr">
        <is>
          <t>6</t>
        </is>
      </c>
      <c r="C1296" s="2" t="inlineStr">
        <is>
          <t>Osteosíntesis olécranon u osteosíntesis de cúpula radial (proc. aut.) (cualquier técnica)</t>
        </is>
      </c>
      <c r="D1296" s="2" t="inlineStr">
        <is>
          <t>Cmay</t>
        </is>
      </c>
      <c r="E1296" s="3" t="inlineStr">
        <is>
          <t>Cirugía Mayor</t>
        </is>
      </c>
    </row>
    <row r="1297" ht="16" customHeight="1" s="151">
      <c r="A1297" s="1" t="inlineStr">
        <is>
          <t>2104068</t>
        </is>
      </c>
      <c r="B1297" s="2" t="inlineStr">
        <is>
          <t>7</t>
        </is>
      </c>
      <c r="C1297" s="2" t="inlineStr">
        <is>
          <t>Traslocación nervio cubital (proc. aut.)</t>
        </is>
      </c>
      <c r="D1297" s="2" t="inlineStr">
        <is>
          <t>Cmay</t>
        </is>
      </c>
      <c r="E1297" s="3" t="inlineStr">
        <is>
          <t>Cirugía Mayor</t>
        </is>
      </c>
    </row>
    <row r="1298" ht="16" customHeight="1" s="151">
      <c r="A1298" s="1" t="inlineStr">
        <is>
          <t>2104069</t>
        </is>
      </c>
      <c r="B1298" s="2" t="inlineStr">
        <is>
          <t>7</t>
        </is>
      </c>
      <c r="C1298" s="2" t="inlineStr">
        <is>
          <t>Operación de salvataje radio-procúbito</t>
        </is>
      </c>
      <c r="D1298" s="2" t="inlineStr">
        <is>
          <t>Cmay</t>
        </is>
      </c>
      <c r="E1298" s="3" t="inlineStr">
        <is>
          <t>Cirugía Mayor</t>
        </is>
      </c>
    </row>
    <row r="1299" ht="16" customHeight="1" s="151">
      <c r="A1299" s="1" t="inlineStr">
        <is>
          <t>2104070</t>
        </is>
      </c>
      <c r="B1299" s="2" t="inlineStr">
        <is>
          <t>7</t>
        </is>
      </c>
      <c r="C1299" s="2" t="inlineStr">
        <is>
          <t>Amputación antebrazo</t>
        </is>
      </c>
      <c r="D1299" s="2" t="inlineStr">
        <is>
          <t>Cmay</t>
        </is>
      </c>
      <c r="E1299" s="3" t="inlineStr">
        <is>
          <t>Cirugía Mayor</t>
        </is>
      </c>
    </row>
    <row r="1300" ht="16" customHeight="1" s="151">
      <c r="A1300" s="1" t="inlineStr">
        <is>
          <t>2104071</t>
        </is>
      </c>
      <c r="B1300" s="2" t="inlineStr">
        <is>
          <t>6</t>
        </is>
      </c>
      <c r="C1300" s="2" t="inlineStr">
        <is>
          <t>Extirpación metáfisis distal del cúbito y artrodesis radiocubital inferior</t>
        </is>
      </c>
      <c r="D1300" s="2" t="inlineStr">
        <is>
          <t>Cmay</t>
        </is>
      </c>
      <c r="E1300" s="3" t="inlineStr">
        <is>
          <t>Cirugía Mayor</t>
        </is>
      </c>
    </row>
    <row r="1301" ht="16" customHeight="1" s="151">
      <c r="A1301" s="1" t="inlineStr">
        <is>
          <t>2104072</t>
        </is>
      </c>
      <c r="B1301" s="2" t="inlineStr">
        <is>
          <t>6</t>
        </is>
      </c>
      <c r="C1301" s="2" t="inlineStr">
        <is>
          <t>Luxofracturas (Monteggia-Galeazzi), reducc. y osteosíntesis</t>
        </is>
      </c>
      <c r="D1301" s="2" t="inlineStr">
        <is>
          <t>Cmay</t>
        </is>
      </c>
      <c r="E1301" s="3" t="inlineStr">
        <is>
          <t>Cirugía Mayor</t>
        </is>
      </c>
    </row>
    <row r="1302" ht="16" customHeight="1" s="151">
      <c r="A1302" s="1" t="inlineStr">
        <is>
          <t>2104073</t>
        </is>
      </c>
      <c r="B1302" s="2" t="inlineStr">
        <is>
          <t>6</t>
        </is>
      </c>
      <c r="C1302" s="2" t="inlineStr">
        <is>
          <t>Osteosíntesis, fract.cerrada cúbito y/o radio (cualq. tecn.)</t>
        </is>
      </c>
      <c r="D1302" s="2" t="inlineStr">
        <is>
          <t>Cmay</t>
        </is>
      </c>
      <c r="E1302" s="3" t="inlineStr">
        <is>
          <t>Cirugía Mayor</t>
        </is>
      </c>
    </row>
    <row r="1303" ht="16" customHeight="1" s="151">
      <c r="A1303" s="1" t="inlineStr">
        <is>
          <t>2104074</t>
        </is>
      </c>
      <c r="B1303" s="2" t="inlineStr">
        <is>
          <t>6</t>
        </is>
      </c>
      <c r="C1303" s="2" t="inlineStr">
        <is>
          <t>Osteotomía uno o ambos huesos, c/s osteosíntesis c/s yeso o trat. quir. Enf. de Kienbock</t>
        </is>
      </c>
      <c r="D1303" s="2" t="inlineStr">
        <is>
          <t>Cmay</t>
        </is>
      </c>
      <c r="E1303" s="3" t="inlineStr">
        <is>
          <t>Cirugía Mayor</t>
        </is>
      </c>
    </row>
    <row r="1304" ht="16" customHeight="1" s="151">
      <c r="A1304" s="1" t="inlineStr">
        <is>
          <t>2104075</t>
        </is>
      </c>
      <c r="B1304" s="2" t="inlineStr">
        <is>
          <t>6</t>
        </is>
      </c>
      <c r="C1304" s="2" t="inlineStr">
        <is>
          <t>Pseudoartrosis  cúbito y/o radio c/s osteosíntesis c/s yeso</t>
        </is>
      </c>
      <c r="D1304" s="2" t="inlineStr">
        <is>
          <t>Cmay</t>
        </is>
      </c>
      <c r="E1304" s="3" t="inlineStr">
        <is>
          <t>Cirugía Mayor</t>
        </is>
      </c>
    </row>
    <row r="1305" ht="16" customHeight="1" s="151">
      <c r="A1305" s="1" t="inlineStr">
        <is>
          <t>2104076</t>
        </is>
      </c>
      <c r="B1305" s="2" t="inlineStr">
        <is>
          <t>6</t>
        </is>
      </c>
      <c r="C1305" s="2" t="inlineStr">
        <is>
          <t>Sinostosis radio-cubital, trat. quir., c/s injerto</t>
        </is>
      </c>
      <c r="D1305" s="2" t="inlineStr">
        <is>
          <t>Cmay</t>
        </is>
      </c>
      <c r="E1305" s="3" t="inlineStr">
        <is>
          <t>Cirugía Mayor</t>
        </is>
      </c>
    </row>
    <row r="1306" ht="16" customHeight="1" s="151">
      <c r="A1306" s="1" t="inlineStr">
        <is>
          <t>2104077</t>
        </is>
      </c>
      <c r="B1306" s="2" t="inlineStr">
        <is>
          <t>6</t>
        </is>
      </c>
      <c r="C1306" s="2" t="inlineStr">
        <is>
          <t>Trasplantes músculo-tendinosos antebrazo</t>
        </is>
      </c>
      <c r="D1306" s="2" t="inlineStr">
        <is>
          <t>Cmay</t>
        </is>
      </c>
      <c r="E1306" s="3" t="inlineStr">
        <is>
          <t>Cirugía Mayor</t>
        </is>
      </c>
    </row>
    <row r="1307" ht="16" customHeight="1" s="151">
      <c r="A1307" s="1" t="inlineStr">
        <is>
          <t>2104078</t>
        </is>
      </c>
      <c r="B1307" s="2" t="inlineStr">
        <is>
          <t>6</t>
        </is>
      </c>
      <c r="C1307" s="2" t="inlineStr">
        <is>
          <t>Contractura isquem. de Volkmann: descenso muscular, neurolisis</t>
        </is>
      </c>
      <c r="D1307" s="2" t="inlineStr">
        <is>
          <t>Cmay</t>
        </is>
      </c>
      <c r="E1307" s="3" t="inlineStr">
        <is>
          <t>Cirugía Mayor</t>
        </is>
      </c>
    </row>
    <row r="1308" ht="16" customHeight="1" s="151">
      <c r="A1308" s="1" t="inlineStr">
        <is>
          <t>2104079</t>
        </is>
      </c>
      <c r="B1308" s="2" t="inlineStr">
        <is>
          <t>10</t>
        </is>
      </c>
      <c r="C1308" s="2" t="inlineStr">
        <is>
          <t>Endoprótesis total de muñeca, (cualquier técnica)</t>
        </is>
      </c>
      <c r="D1308" s="2" t="inlineStr">
        <is>
          <t>Cmay</t>
        </is>
      </c>
      <c r="E1308" s="3" t="inlineStr">
        <is>
          <t>Cirugía Mayor</t>
        </is>
      </c>
    </row>
    <row r="1309" ht="16" customHeight="1" s="151">
      <c r="A1309" s="1" t="inlineStr">
        <is>
          <t>2104080</t>
        </is>
      </c>
      <c r="B1309" s="2" t="inlineStr">
        <is>
          <t>5</t>
        </is>
      </c>
      <c r="C1309" s="2" t="inlineStr">
        <is>
          <t>Estiloides cubital, radial, resección de.</t>
        </is>
      </c>
      <c r="D1309" s="2" t="inlineStr">
        <is>
          <t>Cmay</t>
        </is>
      </c>
      <c r="E1309" s="3" t="inlineStr">
        <is>
          <t>Cirugía Mayor</t>
        </is>
      </c>
    </row>
    <row r="1310" ht="16" customHeight="1" s="151">
      <c r="A1310" s="1" t="inlineStr">
        <is>
          <t>2104081</t>
        </is>
      </c>
      <c r="B1310" s="2" t="inlineStr">
        <is>
          <t>5</t>
        </is>
      </c>
      <c r="C1310" s="2" t="inlineStr">
        <is>
          <t>Fractura o pseudoartrosis escafoides, trat. quir. cualq. técn.</t>
        </is>
      </c>
      <c r="D1310" s="2" t="inlineStr">
        <is>
          <t>Cmay</t>
        </is>
      </c>
      <c r="E1310" s="3" t="inlineStr">
        <is>
          <t>Cirugía Mayor</t>
        </is>
      </c>
    </row>
    <row r="1311" ht="16" customHeight="1" s="151">
      <c r="A1311" s="1" t="inlineStr">
        <is>
          <t>2104083</t>
        </is>
      </c>
      <c r="B1311" s="2" t="inlineStr">
        <is>
          <t>5</t>
        </is>
      </c>
      <c r="C1311" s="2" t="inlineStr">
        <is>
          <t>Luxación radiocarpiana, trat. quir.</t>
        </is>
      </c>
      <c r="D1311" s="2" t="inlineStr">
        <is>
          <t>Cmay</t>
        </is>
      </c>
      <c r="E1311" s="3" t="inlineStr">
        <is>
          <t>Cirugía Mayor</t>
        </is>
      </c>
    </row>
    <row r="1312" ht="16" customHeight="1" s="151">
      <c r="A1312" s="1" t="inlineStr">
        <is>
          <t>2104084</t>
        </is>
      </c>
      <c r="B1312" s="2" t="inlineStr">
        <is>
          <t>5</t>
        </is>
      </c>
      <c r="C1312" s="2" t="inlineStr">
        <is>
          <t>Luxación semilunar ,escafoidea, reducción y osteosíntesis semicruenta o cruenta</t>
        </is>
      </c>
      <c r="D1312" s="2" t="inlineStr">
        <is>
          <t>Cmay</t>
        </is>
      </c>
      <c r="E1312" s="3" t="inlineStr">
        <is>
          <t>Cirugía Mayor</t>
        </is>
      </c>
    </row>
    <row r="1313" ht="16" customHeight="1" s="151">
      <c r="A1313" s="1" t="inlineStr">
        <is>
          <t>2104085</t>
        </is>
      </c>
      <c r="B1313" s="2" t="inlineStr">
        <is>
          <t>6</t>
        </is>
      </c>
      <c r="C1313" s="2" t="inlineStr">
        <is>
          <t>Osteosíntesis radio, (cualquier técnica)</t>
        </is>
      </c>
      <c r="D1313" s="2" t="inlineStr">
        <is>
          <t>Cmay</t>
        </is>
      </c>
      <c r="E1313" s="3" t="inlineStr">
        <is>
          <t>Cirugía Mayor</t>
        </is>
      </c>
    </row>
    <row r="1314" ht="16" customHeight="1" s="151">
      <c r="A1314" s="1" t="inlineStr">
        <is>
          <t>2104086</t>
        </is>
      </c>
      <c r="B1314" s="2" t="inlineStr">
        <is>
          <t>6</t>
        </is>
      </c>
      <c r="C1314" s="2" t="inlineStr">
        <is>
          <t>Tendovaginosis de De Quervain, trat. quir.</t>
        </is>
      </c>
      <c r="D1314" s="2" t="inlineStr">
        <is>
          <t>Cmay</t>
        </is>
      </c>
      <c r="E1314" s="3" t="inlineStr">
        <is>
          <t>Cirugía Mayor</t>
        </is>
      </c>
    </row>
    <row r="1315" ht="16" customHeight="1" s="151">
      <c r="A1315" s="1" t="inlineStr">
        <is>
          <t>2104087</t>
        </is>
      </c>
      <c r="B1315" s="2" t="inlineStr">
        <is>
          <t>5</t>
        </is>
      </c>
      <c r="C1315" s="2" t="inlineStr">
        <is>
          <t>Amputación dedos (tres o más)</t>
        </is>
      </c>
      <c r="D1315" s="2" t="inlineStr">
        <is>
          <t>Cmay</t>
        </is>
      </c>
      <c r="E1315" s="3" t="inlineStr">
        <is>
          <t>Cirugía Mayor</t>
        </is>
      </c>
    </row>
    <row r="1316" ht="16" customHeight="1" s="151">
      <c r="A1316" s="1" t="inlineStr">
        <is>
          <t>2104088</t>
        </is>
      </c>
      <c r="B1316" s="2" t="inlineStr">
        <is>
          <t>4</t>
        </is>
      </c>
      <c r="C1316" s="2" t="inlineStr">
        <is>
          <t>Amputación dedos (uno o dos)</t>
        </is>
      </c>
      <c r="D1316" s="2" t="inlineStr">
        <is>
          <t>CMen</t>
        </is>
      </c>
      <c r="E1316" s="3" t="inlineStr">
        <is>
          <t>Cirugía Menor</t>
        </is>
      </c>
    </row>
    <row r="1317" ht="16" customHeight="1" s="151">
      <c r="A1317" s="1" t="inlineStr">
        <is>
          <t>2104089</t>
        </is>
      </c>
      <c r="B1317" s="2" t="inlineStr">
        <is>
          <t>6</t>
        </is>
      </c>
      <c r="C1317" s="2" t="inlineStr">
        <is>
          <t>Amputación mano o del pulgar</t>
        </is>
      </c>
      <c r="D1317" s="2" t="inlineStr">
        <is>
          <t>Cmay</t>
        </is>
      </c>
      <c r="E1317" s="3" t="inlineStr">
        <is>
          <t>Cirugía Mayor</t>
        </is>
      </c>
    </row>
    <row r="1318" ht="16" customHeight="1" s="151">
      <c r="A1318" s="1" t="inlineStr">
        <is>
          <t>2104090</t>
        </is>
      </c>
      <c r="B1318" s="2" t="inlineStr">
        <is>
          <t>4</t>
        </is>
      </c>
      <c r="C1318" s="2" t="inlineStr">
        <is>
          <t>Amputación pulpejos (plastía Kutler o similares)</t>
        </is>
      </c>
      <c r="D1318" s="2" t="inlineStr">
        <is>
          <t>CMen</t>
        </is>
      </c>
      <c r="E1318" s="3" t="inlineStr">
        <is>
          <t>Cirugía Menor</t>
        </is>
      </c>
    </row>
    <row r="1319" ht="16" customHeight="1" s="151">
      <c r="A1319" s="1" t="inlineStr">
        <is>
          <t>2104091</t>
        </is>
      </c>
      <c r="B1319" s="2" t="inlineStr">
        <is>
          <t>5</t>
        </is>
      </c>
      <c r="C1319" s="2" t="inlineStr">
        <is>
          <t>Contractura Dupuytren, trat. quir., cada tiempo</t>
        </is>
      </c>
      <c r="D1319" s="2" t="inlineStr">
        <is>
          <t>Cmay</t>
        </is>
      </c>
      <c r="E1319" s="3" t="inlineStr">
        <is>
          <t>Cirugía Mayor</t>
        </is>
      </c>
    </row>
    <row r="1320" ht="16" customHeight="1" s="151">
      <c r="A1320" s="1" t="inlineStr">
        <is>
          <t>2104092</t>
        </is>
      </c>
      <c r="B1320" s="2" t="inlineStr">
        <is>
          <t>5</t>
        </is>
      </c>
      <c r="C1320" s="2" t="inlineStr">
        <is>
          <t>Contusión-compresión grave mano, trat. quir. incluye incisiones liberadoras y/o fasciotomía y/o escarectomía y/o injertos piel inmediatos y síntesis percutánea</t>
        </is>
      </c>
      <c r="D1320" s="2" t="inlineStr">
        <is>
          <t>Cmay</t>
        </is>
      </c>
      <c r="E1320" s="3" t="inlineStr">
        <is>
          <t>Cirugía Mayor</t>
        </is>
      </c>
    </row>
    <row r="1321" ht="16" customHeight="1" s="151">
      <c r="A1321" s="1" t="inlineStr">
        <is>
          <t>2104093</t>
        </is>
      </c>
      <c r="B1321" s="2" t="inlineStr">
        <is>
          <t>4</t>
        </is>
      </c>
      <c r="C1321" s="2" t="inlineStr">
        <is>
          <t>Dedos en gatillo, trat. quir., cualquier número</t>
        </is>
      </c>
      <c r="D1321" s="2" t="inlineStr">
        <is>
          <t>CMen</t>
        </is>
      </c>
      <c r="E1321" s="3" t="inlineStr">
        <is>
          <t>Cirugía Menor</t>
        </is>
      </c>
    </row>
    <row r="1322" ht="16" customHeight="1" s="151">
      <c r="A1322" s="1" t="inlineStr">
        <is>
          <t>2104094</t>
        </is>
      </c>
      <c r="B1322" s="2" t="inlineStr">
        <is>
          <t>3</t>
        </is>
      </c>
      <c r="C1322" s="2" t="inlineStr">
        <is>
          <t>Flegmón mano, trat. quir.</t>
        </is>
      </c>
      <c r="D1322" s="2" t="inlineStr">
        <is>
          <t>CMen</t>
        </is>
      </c>
      <c r="E1322" s="3" t="inlineStr">
        <is>
          <t>Cirugía Menor</t>
        </is>
      </c>
    </row>
    <row r="1323" ht="16" customHeight="1" s="151">
      <c r="A1323" s="1" t="inlineStr">
        <is>
          <t>2104095</t>
        </is>
      </c>
      <c r="B1323" s="2" t="inlineStr">
        <is>
          <t>4</t>
        </is>
      </c>
      <c r="C1323" s="2" t="inlineStr">
        <is>
          <t>Luxofractura metacarpofalángica o interfalángica, trat. quir.</t>
        </is>
      </c>
      <c r="D1323" s="2" t="inlineStr">
        <is>
          <t>CMen</t>
        </is>
      </c>
      <c r="E1323" s="3" t="inlineStr">
        <is>
          <t>Cirugía Menor</t>
        </is>
      </c>
    </row>
    <row r="1324" ht="16" customHeight="1" s="151">
      <c r="A1324" s="1" t="inlineStr">
        <is>
          <t>2104096</t>
        </is>
      </c>
      <c r="B1324" s="2" t="inlineStr">
        <is>
          <t>6</t>
        </is>
      </c>
      <c r="C1324" s="2" t="inlineStr">
        <is>
          <t>Mano reumática en ráfaga: traslocaciones tendinosas, plastías capsulares, tenotomías, inmovilización postoperatoria</t>
        </is>
      </c>
      <c r="D1324" s="2" t="inlineStr">
        <is>
          <t>Cmay</t>
        </is>
      </c>
      <c r="E1324" s="3" t="inlineStr">
        <is>
          <t>Cirugía Mayor</t>
        </is>
      </c>
    </row>
    <row r="1325" ht="16" customHeight="1" s="151">
      <c r="A1325" s="1" t="inlineStr">
        <is>
          <t>2104097</t>
        </is>
      </c>
      <c r="B1325" s="2" t="inlineStr">
        <is>
          <t>7</t>
        </is>
      </c>
      <c r="C1325" s="2" t="inlineStr">
        <is>
          <t>Mano reumática: implant. silastic, cualq. número (proc. aut.)</t>
        </is>
      </c>
      <c r="D1325" s="2" t="inlineStr">
        <is>
          <t>Cmay</t>
        </is>
      </c>
      <c r="E1325" s="3" t="inlineStr">
        <is>
          <t>Cirugía Mayor</t>
        </is>
      </c>
    </row>
    <row r="1326" ht="16" customHeight="1" s="151">
      <c r="A1326" s="1" t="inlineStr">
        <is>
          <t>2104098</t>
        </is>
      </c>
      <c r="B1326" s="2" t="inlineStr">
        <is>
          <t>6</t>
        </is>
      </c>
      <c r="C1326" s="2" t="inlineStr">
        <is>
          <t>Mutilación grave mano, aseo. quir. completo c/s osteosíntesis, c/s injertos</t>
        </is>
      </c>
      <c r="D1326" s="2" t="inlineStr">
        <is>
          <t>Cmay</t>
        </is>
      </c>
      <c r="E1326" s="3" t="inlineStr">
        <is>
          <t>Cirugía Mayor</t>
        </is>
      </c>
    </row>
    <row r="1327" ht="16" customHeight="1" s="151">
      <c r="A1327" s="1" t="inlineStr">
        <is>
          <t>2104099</t>
        </is>
      </c>
      <c r="B1327" s="2" t="inlineStr">
        <is>
          <t>4</t>
        </is>
      </c>
      <c r="C1327" s="2" t="inlineStr">
        <is>
          <t>Osteosíntesis metacarpianas o de falanges, cualquier técnica</t>
        </is>
      </c>
      <c r="D1327" s="2" t="inlineStr">
        <is>
          <t>CMen</t>
        </is>
      </c>
      <c r="E1327" s="3" t="inlineStr">
        <is>
          <t>Cirugía Menor</t>
        </is>
      </c>
    </row>
    <row r="1328" ht="16" customHeight="1" s="151">
      <c r="A1328" s="1" t="inlineStr">
        <is>
          <t>2104100</t>
        </is>
      </c>
      <c r="B1328" s="2" t="inlineStr">
        <is>
          <t>2</t>
        </is>
      </c>
      <c r="C1328" s="2" t="inlineStr">
        <is>
          <t>Panadizo, trat. quir.</t>
        </is>
      </c>
      <c r="D1328" s="2" t="inlineStr">
        <is>
          <t>CMen</t>
        </is>
      </c>
      <c r="E1328" s="3" t="inlineStr">
        <is>
          <t>Cirugía Menor</t>
        </is>
      </c>
    </row>
    <row r="1329" ht="16" customHeight="1" s="151">
      <c r="A1329" s="1" t="inlineStr">
        <is>
          <t>2104101</t>
        </is>
      </c>
      <c r="B1329" s="2" t="inlineStr">
        <is>
          <t>7</t>
        </is>
      </c>
      <c r="C1329" s="2" t="inlineStr">
        <is>
          <t>Pulgarización dedo (índice o anular)</t>
        </is>
      </c>
      <c r="D1329" s="2" t="inlineStr">
        <is>
          <t>Cmay</t>
        </is>
      </c>
      <c r="E1329" s="3" t="inlineStr">
        <is>
          <t>Cirugía Mayor</t>
        </is>
      </c>
    </row>
    <row r="1330" ht="16" customHeight="1" s="151">
      <c r="A1330" s="1" t="inlineStr">
        <is>
          <t>2104102</t>
        </is>
      </c>
      <c r="B1330" s="2" t="inlineStr">
        <is>
          <t>11</t>
        </is>
      </c>
      <c r="C1330" s="2" t="inlineStr">
        <is>
          <t>Reimplante mano o dedo(s)</t>
        </is>
      </c>
      <c r="D1330" s="2" t="inlineStr">
        <is>
          <t>Cmay</t>
        </is>
      </c>
      <c r="E1330" s="3" t="inlineStr">
        <is>
          <t>Cirugía Mayor</t>
        </is>
      </c>
    </row>
    <row r="1331" ht="16" customHeight="1" s="151">
      <c r="A1331" s="1" t="inlineStr">
        <is>
          <t>2104103</t>
        </is>
      </c>
      <c r="B1331" s="2" t="inlineStr">
        <is>
          <t>6</t>
        </is>
      </c>
      <c r="C1331" s="2" t="inlineStr">
        <is>
          <t>Reparación flexores: primer tiempo espaciador silastic</t>
        </is>
      </c>
      <c r="D1331" s="2" t="inlineStr">
        <is>
          <t>Cmay</t>
        </is>
      </c>
      <c r="E1331" s="3" t="inlineStr">
        <is>
          <t>Cirugía Mayor</t>
        </is>
      </c>
    </row>
    <row r="1332" ht="16" customHeight="1" s="151">
      <c r="A1332" s="1" t="inlineStr">
        <is>
          <t>2104104</t>
        </is>
      </c>
      <c r="B1332" s="2" t="inlineStr">
        <is>
          <t>8</t>
        </is>
      </c>
      <c r="C1332" s="2" t="inlineStr">
        <is>
          <t>Reparación nervio digital con injerto interfascicular: cualquier número</t>
        </is>
      </c>
      <c r="D1332" s="2" t="inlineStr">
        <is>
          <t>Cmay</t>
        </is>
      </c>
      <c r="E1332" s="3" t="inlineStr">
        <is>
          <t>Cirugía Mayor</t>
        </is>
      </c>
    </row>
    <row r="1333" ht="16" customHeight="1" s="151">
      <c r="A1333" s="1" t="inlineStr">
        <is>
          <t>2104105</t>
        </is>
      </c>
      <c r="B1333" s="2" t="inlineStr">
        <is>
          <t>5</t>
        </is>
      </c>
      <c r="C1333" s="2" t="inlineStr">
        <is>
          <t>Rupturas cerradas cápsulo-ligament. o tendinosas, trat. quir. Mano</t>
        </is>
      </c>
      <c r="D1333" s="2" t="inlineStr">
        <is>
          <t>Cmay</t>
        </is>
      </c>
      <c r="E1333" s="3" t="inlineStr">
        <is>
          <t>Cirugía Mayor</t>
        </is>
      </c>
    </row>
    <row r="1334" ht="16" customHeight="1" s="151">
      <c r="A1334" s="1" t="inlineStr">
        <is>
          <t>2104106</t>
        </is>
      </c>
      <c r="B1334" s="2" t="inlineStr">
        <is>
          <t>8</t>
        </is>
      </c>
      <c r="C1334" s="2" t="inlineStr">
        <is>
          <t>Sutura nervio(s) digital(es); microcirugía</t>
        </is>
      </c>
      <c r="D1334" s="2" t="inlineStr">
        <is>
          <t>Cmay</t>
        </is>
      </c>
      <c r="E1334" s="3" t="inlineStr">
        <is>
          <t>Cirugía Mayor</t>
        </is>
      </c>
    </row>
    <row r="1335" ht="16" customHeight="1" s="151">
      <c r="A1335" s="1" t="inlineStr">
        <is>
          <t>2104107</t>
        </is>
      </c>
      <c r="B1335" s="2" t="inlineStr">
        <is>
          <t>5</t>
        </is>
      </c>
      <c r="C1335" s="2" t="inlineStr">
        <is>
          <t>Tenorrafia extensores mano</t>
        </is>
      </c>
      <c r="D1335" s="2" t="inlineStr">
        <is>
          <t>Cmay</t>
        </is>
      </c>
      <c r="E1335" s="3" t="inlineStr">
        <is>
          <t>Cirugía Mayor</t>
        </is>
      </c>
    </row>
    <row r="1336" ht="16" customHeight="1" s="151">
      <c r="A1336" s="1" t="inlineStr">
        <is>
          <t>2104108</t>
        </is>
      </c>
      <c r="B1336" s="2" t="inlineStr">
        <is>
          <t>5</t>
        </is>
      </c>
      <c r="C1336" s="2" t="inlineStr">
        <is>
          <t>Tenorrafia o injertos flexores mano</t>
        </is>
      </c>
      <c r="D1336" s="2" t="inlineStr">
        <is>
          <t>Cmay</t>
        </is>
      </c>
      <c r="E1336" s="3" t="inlineStr">
        <is>
          <t>Cirugía Mayor</t>
        </is>
      </c>
    </row>
    <row r="1337" ht="16" customHeight="1" s="151">
      <c r="A1337" s="1" t="inlineStr">
        <is>
          <t>2104109</t>
        </is>
      </c>
      <c r="B1337" s="2" t="inlineStr">
        <is>
          <t>3</t>
        </is>
      </c>
      <c r="C1337" s="2" t="inlineStr">
        <is>
          <t>Tenosinovitis séptica, trat. quir. mano</t>
        </is>
      </c>
      <c r="D1337" s="2" t="inlineStr">
        <is>
          <t>CMen</t>
        </is>
      </c>
      <c r="E1337" s="3" t="inlineStr">
        <is>
          <t>Cirugía Menor</t>
        </is>
      </c>
    </row>
    <row r="1338" ht="16" customHeight="1" s="151">
      <c r="A1338" s="1" t="inlineStr">
        <is>
          <t>2104110</t>
        </is>
      </c>
      <c r="B1338" s="2" t="inlineStr">
        <is>
          <t>11</t>
        </is>
      </c>
      <c r="C1338" s="2" t="inlineStr">
        <is>
          <t>Trasplante microquirúrgico para pulgar</t>
        </is>
      </c>
      <c r="D1338" s="2" t="inlineStr">
        <is>
          <t>Cmay</t>
        </is>
      </c>
      <c r="E1338" s="3" t="inlineStr">
        <is>
          <t>Cirugía Mayor</t>
        </is>
      </c>
    </row>
    <row r="1339" ht="16" customHeight="1" s="151">
      <c r="A1339" s="1" t="inlineStr">
        <is>
          <t>2104111</t>
        </is>
      </c>
      <c r="B1339" s="2" t="inlineStr">
        <is>
          <t>5</t>
        </is>
      </c>
      <c r="C1339" s="2" t="inlineStr">
        <is>
          <t>Transposiciones tendinosas flexoras o extensoras mano</t>
        </is>
      </c>
      <c r="D1339" s="2" t="inlineStr">
        <is>
          <t>Cmay</t>
        </is>
      </c>
      <c r="E1339" s="3" t="inlineStr">
        <is>
          <t>Cirugía Mayor</t>
        </is>
      </c>
    </row>
    <row r="1340" ht="16" customHeight="1" s="151">
      <c r="A1340" s="1" t="inlineStr">
        <is>
          <t>2104112</t>
        </is>
      </c>
      <c r="B1340" s="2" t="inlineStr">
        <is>
          <t>10</t>
        </is>
      </c>
      <c r="C1340" s="2" t="inlineStr">
        <is>
          <t>Diastematomielia, resección espolón c/s instrumentación</t>
        </is>
      </c>
      <c r="D1340" s="2" t="inlineStr">
        <is>
          <t>Cmay</t>
        </is>
      </c>
      <c r="E1340" s="3" t="inlineStr">
        <is>
          <t>Cirugía Mayor</t>
        </is>
      </c>
    </row>
    <row r="1341" ht="16" customHeight="1" s="151">
      <c r="A1341" s="1" t="inlineStr">
        <is>
          <t>2104113</t>
        </is>
      </c>
      <c r="B1341" s="2" t="inlineStr">
        <is>
          <t>13</t>
        </is>
      </c>
      <c r="C1341" s="2" t="inlineStr">
        <is>
          <t>Escoliosis, trat. quir., cualquier vía de abordaje, e instrumentación de Harrington,  Luque, Dwyer o similares</t>
        </is>
      </c>
      <c r="D1341" s="2" t="inlineStr">
        <is>
          <t>Cmay</t>
        </is>
      </c>
      <c r="E1341" s="3" t="inlineStr">
        <is>
          <t>Cirugía Mayor</t>
        </is>
      </c>
    </row>
    <row r="1342" ht="16" customHeight="1" s="151">
      <c r="A1342" s="1" t="inlineStr">
        <is>
          <t>2104116</t>
        </is>
      </c>
      <c r="B1342" s="2" t="inlineStr">
        <is>
          <t>10</t>
        </is>
      </c>
      <c r="C1342" s="2" t="inlineStr">
        <is>
          <t>Luxaciones, luxofracturas vertebrales (cervical, dorsal, lumbar), reducción cruenta, cualquier vía de abordaje, cualquier número</t>
        </is>
      </c>
      <c r="D1342" s="2" t="inlineStr">
        <is>
          <t>Cmay</t>
        </is>
      </c>
      <c r="E1342" s="3" t="inlineStr">
        <is>
          <t>Cirugía Mayor</t>
        </is>
      </c>
    </row>
    <row r="1343" ht="16" customHeight="1" s="151">
      <c r="A1343" s="1" t="inlineStr">
        <is>
          <t>2104117</t>
        </is>
      </c>
      <c r="B1343" s="2" t="inlineStr">
        <is>
          <t>11</t>
        </is>
      </c>
      <c r="C1343" s="2" t="inlineStr">
        <is>
          <t>Osteotomías vertebrales correctoras, c/s instrumentación, c/s injertos óseos, c/s artrodesis</t>
        </is>
      </c>
      <c r="D1343" s="2" t="inlineStr">
        <is>
          <t>Cmay</t>
        </is>
      </c>
      <c r="E1343" s="3" t="inlineStr">
        <is>
          <t>Cirugía Mayor</t>
        </is>
      </c>
    </row>
    <row r="1344" ht="16" customHeight="1" s="151">
      <c r="A1344" s="1" t="inlineStr">
        <is>
          <t>2104118</t>
        </is>
      </c>
      <c r="B1344" s="2" t="inlineStr">
        <is>
          <t>5</t>
        </is>
      </c>
      <c r="C1344" s="2" t="inlineStr">
        <is>
          <t>Plastías costales, cualquier número</t>
        </is>
      </c>
      <c r="D1344" s="2" t="inlineStr">
        <is>
          <t>Cmay</t>
        </is>
      </c>
      <c r="E1344" s="3" t="inlineStr">
        <is>
          <t>Cirugía Mayor</t>
        </is>
      </c>
    </row>
    <row r="1345" ht="16" customHeight="1" s="151">
      <c r="A1345" s="1" t="inlineStr">
        <is>
          <t>2104119</t>
        </is>
      </c>
      <c r="B1345" s="2" t="inlineStr">
        <is>
          <t>11</t>
        </is>
      </c>
      <c r="C1345" s="2" t="inlineStr">
        <is>
          <t>Reemplazo cuerpo vertebral con artrodesis c/s osteosíntesis c/s instrumentación</t>
        </is>
      </c>
      <c r="D1345" s="2" t="inlineStr">
        <is>
          <t>Cmay</t>
        </is>
      </c>
      <c r="E1345" s="3" t="inlineStr">
        <is>
          <t>Cirugía Mayor</t>
        </is>
      </c>
    </row>
    <row r="1346" ht="16" customHeight="1" s="151">
      <c r="A1346" s="1" t="inlineStr">
        <is>
          <t>2104121</t>
        </is>
      </c>
      <c r="B1346" s="2" t="inlineStr">
        <is>
          <t>5</t>
        </is>
      </c>
      <c r="C1346" s="2" t="inlineStr">
        <is>
          <t>Resección del coxis</t>
        </is>
      </c>
      <c r="D1346" s="2" t="inlineStr">
        <is>
          <t>Cmay</t>
        </is>
      </c>
      <c r="E1346" s="3" t="inlineStr">
        <is>
          <t>Cirugía Mayor</t>
        </is>
      </c>
    </row>
    <row r="1347" ht="16" customHeight="1" s="151">
      <c r="A1347" s="1" t="inlineStr">
        <is>
          <t>2104122</t>
        </is>
      </c>
      <c r="B1347" s="2" t="inlineStr">
        <is>
          <t>7</t>
        </is>
      </c>
      <c r="C1347" s="2" t="inlineStr">
        <is>
          <t>Osteosíntesis en fractura de arco anterior de pelvis y disyunciones pubianas</t>
        </is>
      </c>
      <c r="D1347" s="2" t="inlineStr">
        <is>
          <t>Cmay</t>
        </is>
      </c>
      <c r="E1347" s="3" t="inlineStr">
        <is>
          <t>Cirugía Mayor</t>
        </is>
      </c>
    </row>
    <row r="1348" ht="16" customHeight="1" s="151">
      <c r="A1348" s="1" t="inlineStr">
        <is>
          <t>2104123</t>
        </is>
      </c>
      <c r="B1348" s="2" t="inlineStr">
        <is>
          <t>8</t>
        </is>
      </c>
      <c r="C1348" s="2" t="inlineStr">
        <is>
          <t>Fractura de pelvis, osteosíntesis quir.</t>
        </is>
      </c>
      <c r="D1348" s="2" t="inlineStr">
        <is>
          <t>Cmay</t>
        </is>
      </c>
      <c r="E1348" s="3" t="inlineStr">
        <is>
          <t>Cirugía Mayor</t>
        </is>
      </c>
    </row>
    <row r="1349" ht="16" customHeight="1" s="151">
      <c r="A1349" s="1" t="inlineStr">
        <is>
          <t>2104124</t>
        </is>
      </c>
      <c r="B1349" s="2" t="inlineStr">
        <is>
          <t>8</t>
        </is>
      </c>
      <c r="C1349" s="2" t="inlineStr">
        <is>
          <t>Osteotomía pelviana (Salter, Chiari o similares)</t>
        </is>
      </c>
      <c r="D1349" s="2" t="inlineStr">
        <is>
          <t>Cmay</t>
        </is>
      </c>
      <c r="E1349" s="3" t="inlineStr">
        <is>
          <t>Cirugía Mayor</t>
        </is>
      </c>
    </row>
    <row r="1350" ht="16" customHeight="1" s="151">
      <c r="A1350" s="1" t="inlineStr">
        <is>
          <t>2104125</t>
        </is>
      </c>
      <c r="B1350" s="2" t="inlineStr">
        <is>
          <t>8</t>
        </is>
      </c>
      <c r="C1350" s="2" t="inlineStr">
        <is>
          <t>Triple osteotomía de pelvis</t>
        </is>
      </c>
      <c r="D1350" s="2" t="inlineStr">
        <is>
          <t>Cmay</t>
        </is>
      </c>
      <c r="E1350" s="3" t="inlineStr">
        <is>
          <t>Cirugía Mayor</t>
        </is>
      </c>
    </row>
    <row r="1351" ht="16" customHeight="1" s="151">
      <c r="A1351" s="1" t="inlineStr">
        <is>
          <t>2104126</t>
        </is>
      </c>
      <c r="B1351" s="2" t="inlineStr">
        <is>
          <t>13</t>
        </is>
      </c>
      <c r="C1351" s="2" t="inlineStr">
        <is>
          <t>Amputación inter-ilio abdominal</t>
        </is>
      </c>
      <c r="D1351" s="2" t="inlineStr">
        <is>
          <t>Cmay</t>
        </is>
      </c>
      <c r="E1351" s="3" t="inlineStr">
        <is>
          <t>Cirugía Mayor</t>
        </is>
      </c>
    </row>
    <row r="1352" ht="16" customHeight="1" s="151">
      <c r="A1352" s="1" t="inlineStr">
        <is>
          <t>2104127</t>
        </is>
      </c>
      <c r="B1352" s="2" t="inlineStr">
        <is>
          <t>12</t>
        </is>
      </c>
      <c r="C1352" s="2" t="inlineStr">
        <is>
          <t>Desarticulación cadera</t>
        </is>
      </c>
      <c r="D1352" s="2" t="inlineStr">
        <is>
          <t>Cmay</t>
        </is>
      </c>
      <c r="E1352" s="3" t="inlineStr">
        <is>
          <t>Cirugía Mayor</t>
        </is>
      </c>
    </row>
    <row r="1353" ht="16" customHeight="1" s="151">
      <c r="A1353" s="1" t="inlineStr">
        <is>
          <t>2104128</t>
        </is>
      </c>
      <c r="B1353" s="2" t="inlineStr">
        <is>
          <t>10</t>
        </is>
      </c>
      <c r="C1353" s="2" t="inlineStr">
        <is>
          <t>Endoprótesis parcial de cadera c/s cementación (cualquier técnica) (no incluye prótesis)</t>
        </is>
      </c>
      <c r="D1353" s="2" t="inlineStr">
        <is>
          <t>Cmay</t>
        </is>
      </c>
      <c r="E1353" s="3" t="inlineStr">
        <is>
          <t>Cirugía Mayor</t>
        </is>
      </c>
    </row>
    <row r="1354" ht="16" customHeight="1" s="151">
      <c r="A1354" s="1" t="inlineStr">
        <is>
          <t>2104129</t>
        </is>
      </c>
      <c r="B1354" s="2" t="inlineStr">
        <is>
          <t>11</t>
        </is>
      </c>
      <c r="C1354" s="2" t="inlineStr">
        <is>
          <t>Endoprótesis total de cadera  (no incluye prótesis)</t>
        </is>
      </c>
      <c r="D1354" s="2" t="inlineStr">
        <is>
          <t>Cmay</t>
        </is>
      </c>
      <c r="E1354" s="3" t="inlineStr">
        <is>
          <t>Cirugía Mayor</t>
        </is>
      </c>
    </row>
    <row r="1355" ht="16" customHeight="1" s="151">
      <c r="A1355" s="1" t="inlineStr">
        <is>
          <t>2104130</t>
        </is>
      </c>
      <c r="B1355" s="2" t="inlineStr">
        <is>
          <t>8</t>
        </is>
      </c>
      <c r="C1355" s="2" t="inlineStr">
        <is>
          <t>Epifisiolisis lenta o aguda, trat. quir.</t>
        </is>
      </c>
      <c r="D1355" s="2" t="inlineStr">
        <is>
          <t>Cmay</t>
        </is>
      </c>
      <c r="E1355" s="3" t="inlineStr">
        <is>
          <t>Cirugía Mayor</t>
        </is>
      </c>
    </row>
    <row r="1356" ht="16" customHeight="1" s="151">
      <c r="A1356" s="1" t="inlineStr">
        <is>
          <t>2104131</t>
        </is>
      </c>
      <c r="B1356" s="2" t="inlineStr">
        <is>
          <t>10</t>
        </is>
      </c>
      <c r="C1356" s="2" t="inlineStr">
        <is>
          <t>Fractura de cuello de fémur, osteosíntesis, cualquier técnica</t>
        </is>
      </c>
      <c r="D1356" s="2" t="inlineStr">
        <is>
          <t>Cmay</t>
        </is>
      </c>
      <c r="E1356" s="3" t="inlineStr">
        <is>
          <t>Cirugía Mayor</t>
        </is>
      </c>
    </row>
    <row r="1357" ht="16" customHeight="1" s="151">
      <c r="A1357" s="1" t="inlineStr">
        <is>
          <t>2104132</t>
        </is>
      </c>
      <c r="B1357" s="2" t="inlineStr">
        <is>
          <t>8</t>
        </is>
      </c>
      <c r="C1357" s="2" t="inlineStr">
        <is>
          <t>Fractura de cuello de fémur, resección epífisis femoral</t>
        </is>
      </c>
      <c r="D1357" s="2" t="inlineStr">
        <is>
          <t>Cmay</t>
        </is>
      </c>
      <c r="E1357" s="3" t="inlineStr">
        <is>
          <t>Cirugía Mayor</t>
        </is>
      </c>
    </row>
    <row r="1358" ht="16" customHeight="1" s="151">
      <c r="A1358" s="1" t="inlineStr">
        <is>
          <t>2104133</t>
        </is>
      </c>
      <c r="B1358" s="2" t="inlineStr">
        <is>
          <t>7</t>
        </is>
      </c>
      <c r="C1358" s="2" t="inlineStr">
        <is>
          <t>Luxación traumática de cadera, reducción cruenta</t>
        </is>
      </c>
      <c r="D1358" s="2" t="inlineStr">
        <is>
          <t>Cmay</t>
        </is>
      </c>
      <c r="E1358" s="3" t="inlineStr">
        <is>
          <t>Cirugía Mayor</t>
        </is>
      </c>
    </row>
    <row r="1359" ht="16" customHeight="1" s="151">
      <c r="A1359" s="1" t="inlineStr">
        <is>
          <t>2104134</t>
        </is>
      </c>
      <c r="B1359" s="2" t="inlineStr">
        <is>
          <t>8</t>
        </is>
      </c>
      <c r="C1359" s="2" t="inlineStr">
        <is>
          <t>Luxofractura acetabular, trat. quir.</t>
        </is>
      </c>
      <c r="D1359" s="2" t="inlineStr">
        <is>
          <t>Cmay</t>
        </is>
      </c>
      <c r="E1359" s="3" t="inlineStr">
        <is>
          <t>Cirugía Mayor</t>
        </is>
      </c>
    </row>
    <row r="1360" ht="16" customHeight="1" s="151">
      <c r="A1360" s="1" t="inlineStr">
        <is>
          <t>2104135</t>
        </is>
      </c>
      <c r="B1360" s="2" t="inlineStr">
        <is>
          <t>10</t>
        </is>
      </c>
      <c r="C1360" s="2" t="inlineStr">
        <is>
          <t>Operación de salvataje cadera, columna o similares</t>
        </is>
      </c>
      <c r="D1360" s="2" t="inlineStr">
        <is>
          <t>Cmay</t>
        </is>
      </c>
      <c r="E1360" s="3" t="inlineStr">
        <is>
          <t>Cirugía Mayor</t>
        </is>
      </c>
    </row>
    <row r="1361" ht="16" customHeight="1" s="151">
      <c r="A1361" s="1" t="inlineStr">
        <is>
          <t>2104136</t>
        </is>
      </c>
      <c r="B1361" s="2" t="inlineStr">
        <is>
          <t>8</t>
        </is>
      </c>
      <c r="C1361" s="2" t="inlineStr">
        <is>
          <t>Osteotomías femorales</t>
        </is>
      </c>
      <c r="D1361" s="2" t="inlineStr">
        <is>
          <t>Cmay</t>
        </is>
      </c>
      <c r="E1361" s="3" t="inlineStr">
        <is>
          <t>Cirugía Mayor</t>
        </is>
      </c>
    </row>
    <row r="1362" ht="16" customHeight="1" s="151">
      <c r="A1362" s="1" t="inlineStr">
        <is>
          <t>2104137</t>
        </is>
      </c>
      <c r="B1362" s="2" t="inlineStr">
        <is>
          <t>7</t>
        </is>
      </c>
      <c r="C1362" s="2" t="inlineStr">
        <is>
          <t>Reducción cruenta en luxación congénita o traumática de cadera</t>
        </is>
      </c>
      <c r="D1362" s="2" t="inlineStr">
        <is>
          <t>Cmay</t>
        </is>
      </c>
      <c r="E1362" s="3" t="inlineStr">
        <is>
          <t>Cirugía Mayor</t>
        </is>
      </c>
    </row>
    <row r="1363" ht="16" customHeight="1" s="151">
      <c r="A1363" s="1" t="inlineStr">
        <is>
          <t>2104138</t>
        </is>
      </c>
      <c r="B1363" s="2" t="inlineStr">
        <is>
          <t>9</t>
        </is>
      </c>
      <c r="C1363" s="2" t="inlineStr">
        <is>
          <t>Reducción cruenta y acetabuloplastía femoral c/s osteotomía femoral</t>
        </is>
      </c>
      <c r="D1363" s="2" t="inlineStr">
        <is>
          <t>Cmay</t>
        </is>
      </c>
      <c r="E1363" s="3" t="inlineStr">
        <is>
          <t>Cirugía Mayor</t>
        </is>
      </c>
    </row>
    <row r="1364" ht="16" customHeight="1" s="151">
      <c r="A1364" s="1" t="inlineStr">
        <is>
          <t>2104139</t>
        </is>
      </c>
      <c r="B1364" s="2" t="inlineStr">
        <is>
          <t>8</t>
        </is>
      </c>
      <c r="C1364" s="2" t="inlineStr">
        <is>
          <t>Reducción cruenta y osteotomía femoral</t>
        </is>
      </c>
      <c r="D1364" s="2" t="inlineStr">
        <is>
          <t>Cmay</t>
        </is>
      </c>
      <c r="E1364" s="3" t="inlineStr">
        <is>
          <t>Cirugía Mayor</t>
        </is>
      </c>
    </row>
    <row r="1365" ht="16" customHeight="1" s="151">
      <c r="A1365" s="1" t="inlineStr">
        <is>
          <t>2104140</t>
        </is>
      </c>
      <c r="B1365" s="2" t="inlineStr">
        <is>
          <t>7</t>
        </is>
      </c>
      <c r="C1365" s="2" t="inlineStr">
        <is>
          <t>Tenotomía aductores c/s botas, con yugo (proc. aut.)</t>
        </is>
      </c>
      <c r="D1365" s="2" t="inlineStr">
        <is>
          <t>Cmay</t>
        </is>
      </c>
      <c r="E1365" s="3" t="inlineStr">
        <is>
          <t>Cirugía Mayor</t>
        </is>
      </c>
    </row>
    <row r="1366" ht="16" customHeight="1" s="151">
      <c r="A1366" s="1" t="inlineStr">
        <is>
          <t>2104141</t>
        </is>
      </c>
      <c r="B1366" s="2" t="inlineStr">
        <is>
          <t>8</t>
        </is>
      </c>
      <c r="C1366" s="2" t="inlineStr">
        <is>
          <t>Trocanteroplastías</t>
        </is>
      </c>
      <c r="D1366" s="2" t="inlineStr">
        <is>
          <t>Cmay</t>
        </is>
      </c>
      <c r="E1366" s="3" t="inlineStr">
        <is>
          <t>Cirugía Mayor</t>
        </is>
      </c>
    </row>
    <row r="1367" ht="16" customHeight="1" s="151">
      <c r="A1367" s="1" t="inlineStr">
        <is>
          <t>2104142</t>
        </is>
      </c>
      <c r="B1367" s="2" t="inlineStr">
        <is>
          <t>7</t>
        </is>
      </c>
      <c r="C1367" s="2" t="inlineStr">
        <is>
          <t>Amputación muslo</t>
        </is>
      </c>
      <c r="D1367" s="2" t="inlineStr">
        <is>
          <t>Cmay</t>
        </is>
      </c>
      <c r="E1367" s="3" t="inlineStr">
        <is>
          <t>Cirugía Mayor</t>
        </is>
      </c>
    </row>
    <row r="1368" ht="16" customHeight="1" s="151">
      <c r="A1368" s="1" t="inlineStr">
        <is>
          <t>2104143</t>
        </is>
      </c>
      <c r="B1368" s="2" t="inlineStr">
        <is>
          <t>8</t>
        </is>
      </c>
      <c r="C1368" s="2" t="inlineStr">
        <is>
          <t>Epifisiodesis (fémur y/o tibia)</t>
        </is>
      </c>
      <c r="D1368" s="2" t="inlineStr">
        <is>
          <t>Cmay</t>
        </is>
      </c>
      <c r="E1368" s="3" t="inlineStr">
        <is>
          <t>Cirugía Mayor</t>
        </is>
      </c>
    </row>
    <row r="1369" ht="16" customHeight="1" s="151">
      <c r="A1369" s="1" t="inlineStr">
        <is>
          <t>2104144</t>
        </is>
      </c>
      <c r="B1369" s="2" t="inlineStr">
        <is>
          <t>8</t>
        </is>
      </c>
      <c r="C1369" s="2" t="inlineStr">
        <is>
          <t>Osteosíntesis diafisiaria o metafisiaria muslo (cualquier técnica)</t>
        </is>
      </c>
      <c r="D1369" s="2" t="inlineStr">
        <is>
          <t>Cmay</t>
        </is>
      </c>
      <c r="E1369" s="3" t="inlineStr">
        <is>
          <t>Cirugía Mayor</t>
        </is>
      </c>
    </row>
    <row r="1370" ht="16" customHeight="1" s="151">
      <c r="A1370" s="1" t="inlineStr">
        <is>
          <t>2104145</t>
        </is>
      </c>
      <c r="B1370" s="2" t="inlineStr">
        <is>
          <t>8</t>
        </is>
      </c>
      <c r="C1370" s="2" t="inlineStr">
        <is>
          <t>Osteotomía correctora muslo</t>
        </is>
      </c>
      <c r="D1370" s="2" t="inlineStr">
        <is>
          <t>Cmay</t>
        </is>
      </c>
      <c r="E1370" s="3" t="inlineStr">
        <is>
          <t>Cirugía Mayor</t>
        </is>
      </c>
    </row>
    <row r="1371" ht="16" customHeight="1" s="151">
      <c r="A1371" s="1" t="inlineStr">
        <is>
          <t>2104146</t>
        </is>
      </c>
      <c r="B1371" s="2" t="inlineStr">
        <is>
          <t>9</t>
        </is>
      </c>
      <c r="C1371" s="2" t="inlineStr">
        <is>
          <t>Osteotomía de alargamiento o acortamiento con osteosíntesis inmediata o distracción instrumental progresiva muslo</t>
        </is>
      </c>
      <c r="D1371" s="2" t="inlineStr">
        <is>
          <t>Cmay</t>
        </is>
      </c>
      <c r="E1371" s="3" t="inlineStr">
        <is>
          <t>Cirugía Mayor</t>
        </is>
      </c>
    </row>
    <row r="1372" ht="16" customHeight="1" s="151">
      <c r="A1372" s="1" t="inlineStr">
        <is>
          <t>2104147</t>
        </is>
      </c>
      <c r="B1372" s="2" t="inlineStr">
        <is>
          <t>10</t>
        </is>
      </c>
      <c r="C1372" s="2" t="inlineStr">
        <is>
          <t>Osteotomía en rosario con enclavijamiento clavo telescópico</t>
        </is>
      </c>
      <c r="D1372" s="2" t="inlineStr">
        <is>
          <t>Cmay</t>
        </is>
      </c>
      <c r="E1372" s="3" t="inlineStr">
        <is>
          <t>Cirugía Mayor</t>
        </is>
      </c>
    </row>
    <row r="1373" ht="16" customHeight="1" s="151">
      <c r="A1373" s="1" t="inlineStr">
        <is>
          <t>2104148</t>
        </is>
      </c>
      <c r="B1373" s="2" t="inlineStr">
        <is>
          <t>8</t>
        </is>
      </c>
      <c r="C1373" s="2" t="inlineStr">
        <is>
          <t>Pseudoartrosis, trat. quir. (cualquier técnica) muslo</t>
        </is>
      </c>
      <c r="D1373" s="2" t="inlineStr">
        <is>
          <t>Cmay</t>
        </is>
      </c>
      <c r="E1373" s="3" t="inlineStr">
        <is>
          <t>Cirugía Mayor</t>
        </is>
      </c>
    </row>
    <row r="1374" ht="16" customHeight="1" s="151">
      <c r="A1374" s="1" t="inlineStr">
        <is>
          <t>2104149</t>
        </is>
      </c>
      <c r="B1374" s="2" t="inlineStr">
        <is>
          <t>5</t>
        </is>
      </c>
      <c r="C1374" s="2" t="inlineStr">
        <is>
          <t>Ruptura y/o hernia muscular, trat. quir. muslo</t>
        </is>
      </c>
      <c r="D1374" s="2" t="inlineStr">
        <is>
          <t>Cmay</t>
        </is>
      </c>
      <c r="E1374" s="3" t="inlineStr">
        <is>
          <t>Cirugía Mayor</t>
        </is>
      </c>
    </row>
    <row r="1375" ht="16" customHeight="1" s="151">
      <c r="A1375" s="1" t="inlineStr">
        <is>
          <t>2104150</t>
        </is>
      </c>
      <c r="B1375" s="2" t="inlineStr">
        <is>
          <t>6</t>
        </is>
      </c>
      <c r="C1375" s="2" t="inlineStr">
        <is>
          <t>Artrotomía por cuerpos libres, osteocondritis rodilla (proc. aut)</t>
        </is>
      </c>
      <c r="D1375" s="2" t="inlineStr">
        <is>
          <t>Cmay</t>
        </is>
      </c>
      <c r="E1375" s="3" t="inlineStr">
        <is>
          <t>Cirugía Mayor</t>
        </is>
      </c>
    </row>
    <row r="1376" ht="16" customHeight="1" s="151">
      <c r="A1376" s="1" t="inlineStr">
        <is>
          <t>2104151</t>
        </is>
      </c>
      <c r="B1376" s="2" t="inlineStr">
        <is>
          <t>10</t>
        </is>
      </c>
      <c r="C1376" s="2" t="inlineStr">
        <is>
          <t>Desarticulación rodilla</t>
        </is>
      </c>
      <c r="D1376" s="2" t="inlineStr">
        <is>
          <t>Cmay</t>
        </is>
      </c>
      <c r="E1376" s="3" t="inlineStr">
        <is>
          <t>Cirugía Mayor</t>
        </is>
      </c>
    </row>
    <row r="1377" ht="16" customHeight="1" s="151">
      <c r="A1377" s="1" t="inlineStr">
        <is>
          <t>2104152</t>
        </is>
      </c>
      <c r="B1377" s="2" t="inlineStr">
        <is>
          <t>6</t>
        </is>
      </c>
      <c r="C1377" s="2" t="inlineStr">
        <is>
          <t>Disfunción patelo-femoral, realineamiento (cualquier técnica)</t>
        </is>
      </c>
      <c r="D1377" s="2" t="inlineStr">
        <is>
          <t>Cmay</t>
        </is>
      </c>
      <c r="E1377" s="3" t="inlineStr">
        <is>
          <t>Cirugía Mayor</t>
        </is>
      </c>
    </row>
    <row r="1378" ht="16" customHeight="1" s="151">
      <c r="A1378" s="1" t="inlineStr">
        <is>
          <t>2104153</t>
        </is>
      </c>
      <c r="B1378" s="2" t="inlineStr">
        <is>
          <t>10</t>
        </is>
      </c>
      <c r="C1378" s="2" t="inlineStr">
        <is>
          <t>Endoprótesis total de rodilla, (cualquier técnica)</t>
        </is>
      </c>
      <c r="D1378" s="2" t="inlineStr">
        <is>
          <t>Cmay</t>
        </is>
      </c>
      <c r="E1378" s="3" t="inlineStr">
        <is>
          <t>Cirugía Mayor</t>
        </is>
      </c>
    </row>
    <row r="1379" ht="16" customHeight="1" s="151">
      <c r="A1379" s="1" t="inlineStr">
        <is>
          <t>2104154</t>
        </is>
      </c>
      <c r="B1379" s="2" t="inlineStr">
        <is>
          <t>6</t>
        </is>
      </c>
      <c r="C1379" s="2" t="inlineStr">
        <is>
          <t>Fractura rótula: osteosíntesis o patelectomía parc. o total</t>
        </is>
      </c>
      <c r="D1379" s="2" t="inlineStr">
        <is>
          <t>Cmay</t>
        </is>
      </c>
      <c r="E1379" s="3" t="inlineStr">
        <is>
          <t>Cirugía Mayor</t>
        </is>
      </c>
    </row>
    <row r="1380" ht="16" customHeight="1" s="151">
      <c r="A1380" s="1" t="inlineStr">
        <is>
          <t>2104155</t>
        </is>
      </c>
      <c r="B1380" s="2" t="inlineStr">
        <is>
          <t>7</t>
        </is>
      </c>
      <c r="C1380" s="2" t="inlineStr">
        <is>
          <t>Fracturas condíleas o de platillos tibiales, reducción, osteosíntesis  (cualquier técnica)</t>
        </is>
      </c>
      <c r="D1380" s="2" t="inlineStr">
        <is>
          <t>Cmay</t>
        </is>
      </c>
      <c r="E1380" s="3" t="inlineStr">
        <is>
          <t>Cirugía Mayor</t>
        </is>
      </c>
    </row>
    <row r="1381" ht="16" customHeight="1" s="151">
      <c r="A1381" s="1" t="inlineStr">
        <is>
          <t>2104156</t>
        </is>
      </c>
      <c r="B1381" s="2" t="inlineStr">
        <is>
          <t>7</t>
        </is>
      </c>
      <c r="C1381" s="2" t="inlineStr">
        <is>
          <t>Inestabilidad crónica de rodilla, reconstrucción cápsuloligamentosa (cualquier técnica)</t>
        </is>
      </c>
      <c r="D1381" s="2" t="inlineStr">
        <is>
          <t>Cmay</t>
        </is>
      </c>
      <c r="E1381" s="3" t="inlineStr">
        <is>
          <t>Cirugía Mayor</t>
        </is>
      </c>
    </row>
    <row r="1382" ht="16" customHeight="1" s="151">
      <c r="A1382" s="1" t="inlineStr">
        <is>
          <t>2104157</t>
        </is>
      </c>
      <c r="B1382" s="2" t="inlineStr">
        <is>
          <t>6</t>
        </is>
      </c>
      <c r="C1382" s="2" t="inlineStr">
        <is>
          <t>Luxación o rotura ligamentos, trat. quir. cápsulo-ligamentoso</t>
        </is>
      </c>
      <c r="D1382" s="2" t="inlineStr">
        <is>
          <t>Cmay</t>
        </is>
      </c>
      <c r="E1382" s="3" t="inlineStr">
        <is>
          <t>Cirugía Mayor</t>
        </is>
      </c>
    </row>
    <row r="1383" ht="16" customHeight="1" s="151">
      <c r="A1383" s="1" t="inlineStr">
        <is>
          <t>2104158</t>
        </is>
      </c>
      <c r="B1383" s="2" t="inlineStr">
        <is>
          <t>6</t>
        </is>
      </c>
      <c r="C1383" s="2" t="inlineStr">
        <is>
          <t>Meniscectomía quirúrgica, interna y/o externa</t>
        </is>
      </c>
      <c r="D1383" s="2" t="inlineStr">
        <is>
          <t>Cmay</t>
        </is>
      </c>
      <c r="E1383" s="3" t="inlineStr">
        <is>
          <t>Cirugía Mayor</t>
        </is>
      </c>
    </row>
    <row r="1384" ht="16" customHeight="1" s="151">
      <c r="A1384" s="1" t="inlineStr">
        <is>
          <t>2104159</t>
        </is>
      </c>
      <c r="B1384" s="2" t="inlineStr">
        <is>
          <t>6</t>
        </is>
      </c>
      <c r="C1384" s="2" t="inlineStr">
        <is>
          <t>Meniscectomía u otras intervenciones por vía artroscópica (incluye artroscopía diagnóstica)</t>
        </is>
      </c>
      <c r="D1384" s="2" t="inlineStr">
        <is>
          <t>Cmay</t>
        </is>
      </c>
      <c r="E1384" s="3" t="inlineStr">
        <is>
          <t>Cirugía Mayor</t>
        </is>
      </c>
    </row>
    <row r="1385" ht="16" customHeight="1" s="151">
      <c r="A1385" s="1" t="inlineStr">
        <is>
          <t>2104160</t>
        </is>
      </c>
      <c r="B1385" s="2" t="inlineStr">
        <is>
          <t>4</t>
        </is>
      </c>
      <c r="C1385" s="2" t="inlineStr">
        <is>
          <t>Quiste poplíteo, trat. quir.</t>
        </is>
      </c>
      <c r="D1385" s="2" t="inlineStr">
        <is>
          <t>CMen</t>
        </is>
      </c>
      <c r="E1385" s="3" t="inlineStr">
        <is>
          <t>Cirugía Menor</t>
        </is>
      </c>
    </row>
    <row r="1386" ht="16" customHeight="1" s="151">
      <c r="A1386" s="1" t="inlineStr">
        <is>
          <t>2104161</t>
        </is>
      </c>
      <c r="B1386" s="2" t="inlineStr">
        <is>
          <t>6</t>
        </is>
      </c>
      <c r="C1386" s="2" t="inlineStr">
        <is>
          <t>Reconstrucción aparato extensor de rodilla</t>
        </is>
      </c>
      <c r="D1386" s="2" t="inlineStr">
        <is>
          <t>Cmay</t>
        </is>
      </c>
      <c r="E1386" s="3" t="inlineStr">
        <is>
          <t>Cirugía Mayor</t>
        </is>
      </c>
    </row>
    <row r="1387" ht="16" customHeight="1" s="151">
      <c r="A1387" s="1" t="inlineStr">
        <is>
          <t>2104162</t>
        </is>
      </c>
      <c r="B1387" s="2" t="inlineStr">
        <is>
          <t>6</t>
        </is>
      </c>
      <c r="C1387" s="2" t="inlineStr">
        <is>
          <t>Reparación quirúrgica ligamentos colaterales y/o cruzados de rodilla</t>
        </is>
      </c>
      <c r="D1387" s="2" t="inlineStr">
        <is>
          <t>Cmay</t>
        </is>
      </c>
      <c r="E1387" s="3" t="inlineStr">
        <is>
          <t>Cirugía Mayor</t>
        </is>
      </c>
    </row>
    <row r="1388" ht="16" customHeight="1" s="151">
      <c r="A1388" s="1" t="inlineStr">
        <is>
          <t>2104163</t>
        </is>
      </c>
      <c r="B1388" s="2" t="inlineStr">
        <is>
          <t>6</t>
        </is>
      </c>
      <c r="C1388" s="2" t="inlineStr">
        <is>
          <t>Traslocaciones músculo-tendinosas en rodilla paralítica o espástica</t>
        </is>
      </c>
      <c r="D1388" s="2" t="inlineStr">
        <is>
          <t>Cmay</t>
        </is>
      </c>
      <c r="E1388" s="3" t="inlineStr">
        <is>
          <t>Cirugía Mayor</t>
        </is>
      </c>
    </row>
    <row r="1389" ht="16" customHeight="1" s="151">
      <c r="A1389" s="1" t="inlineStr">
        <is>
          <t>2104164</t>
        </is>
      </c>
      <c r="B1389" s="2" t="inlineStr">
        <is>
          <t>8</t>
        </is>
      </c>
      <c r="C1389" s="2" t="inlineStr">
        <is>
          <t>Amputación pierna</t>
        </is>
      </c>
      <c r="D1389" s="2" t="inlineStr">
        <is>
          <t>Cmay</t>
        </is>
      </c>
      <c r="E1389" s="3" t="inlineStr">
        <is>
          <t>Cirugía Mayor</t>
        </is>
      </c>
    </row>
    <row r="1390" ht="16" customHeight="1" s="151">
      <c r="A1390" s="1" t="inlineStr">
        <is>
          <t>2104165</t>
        </is>
      </c>
      <c r="B1390" s="2" t="inlineStr">
        <is>
          <t>8</t>
        </is>
      </c>
      <c r="C1390" s="2" t="inlineStr">
        <is>
          <t>Colgajo cruzado de pierna, trat. quir. completo</t>
        </is>
      </c>
      <c r="D1390" s="2" t="inlineStr">
        <is>
          <t>Cmay</t>
        </is>
      </c>
      <c r="E1390" s="3" t="inlineStr">
        <is>
          <t>Cirugía Mayor</t>
        </is>
      </c>
    </row>
    <row r="1391" ht="16" customHeight="1" s="151">
      <c r="A1391" s="1" t="inlineStr">
        <is>
          <t>2104166</t>
        </is>
      </c>
      <c r="B1391" s="2" t="inlineStr">
        <is>
          <t>5</t>
        </is>
      </c>
      <c r="C1391" s="2" t="inlineStr">
        <is>
          <t>Fasciotomía por síndrome compartamental</t>
        </is>
      </c>
      <c r="D1391" s="2" t="inlineStr">
        <is>
          <t>Cmay</t>
        </is>
      </c>
      <c r="E1391" s="3" t="inlineStr">
        <is>
          <t>Cirugía Mayor</t>
        </is>
      </c>
    </row>
    <row r="1392" ht="16" customHeight="1" s="151">
      <c r="A1392" s="1" t="inlineStr">
        <is>
          <t>2104167</t>
        </is>
      </c>
      <c r="B1392" s="2" t="inlineStr">
        <is>
          <t>6</t>
        </is>
      </c>
      <c r="C1392" s="2" t="inlineStr">
        <is>
          <t>Osteosíntesis tibio-peroné  (cualquier técnica)</t>
        </is>
      </c>
      <c r="D1392" s="2" t="inlineStr">
        <is>
          <t>Cmay</t>
        </is>
      </c>
      <c r="E1392" s="3" t="inlineStr">
        <is>
          <t>Cirugía Mayor</t>
        </is>
      </c>
    </row>
    <row r="1393" ht="16" customHeight="1" s="151">
      <c r="A1393" s="1" t="inlineStr">
        <is>
          <t>2104168</t>
        </is>
      </c>
      <c r="B1393" s="2" t="inlineStr">
        <is>
          <t>6</t>
        </is>
      </c>
      <c r="C1393" s="2" t="inlineStr">
        <is>
          <t>Osteotomía correctora de ejes  (cualquier técnica) pierna</t>
        </is>
      </c>
      <c r="D1393" s="2" t="inlineStr">
        <is>
          <t>Cmay</t>
        </is>
      </c>
      <c r="E1393" s="3" t="inlineStr">
        <is>
          <t>Cirugía Mayor</t>
        </is>
      </c>
    </row>
    <row r="1394" ht="16" customHeight="1" s="151">
      <c r="A1394" s="1" t="inlineStr">
        <is>
          <t>2104169</t>
        </is>
      </c>
      <c r="B1394" s="2" t="inlineStr">
        <is>
          <t>9</t>
        </is>
      </c>
      <c r="C1394" s="2" t="inlineStr">
        <is>
          <t>Osteotomía de alargamiento o acortamiento con osteosíntesis inmediata o distracción instrumental progresiva pierna</t>
        </is>
      </c>
      <c r="D1394" s="2" t="inlineStr">
        <is>
          <t>Cmay</t>
        </is>
      </c>
      <c r="E1394" s="3" t="inlineStr">
        <is>
          <t>Cirugía Mayor</t>
        </is>
      </c>
    </row>
    <row r="1395" ht="16" customHeight="1" s="151">
      <c r="A1395" s="1" t="inlineStr">
        <is>
          <t>2104170</t>
        </is>
      </c>
      <c r="B1395" s="2" t="inlineStr">
        <is>
          <t>5</t>
        </is>
      </c>
      <c r="C1395" s="2" t="inlineStr">
        <is>
          <t>Osteotomía del peroné</t>
        </is>
      </c>
      <c r="D1395" s="2" t="inlineStr">
        <is>
          <t>Cmay</t>
        </is>
      </c>
      <c r="E1395" s="3" t="inlineStr">
        <is>
          <t>Cirugía Mayor</t>
        </is>
      </c>
    </row>
    <row r="1396" ht="16" customHeight="1" s="151">
      <c r="A1396" s="1" t="inlineStr">
        <is>
          <t>2104171</t>
        </is>
      </c>
      <c r="B1396" s="2" t="inlineStr">
        <is>
          <t>7</t>
        </is>
      </c>
      <c r="C1396" s="2" t="inlineStr">
        <is>
          <t>Peroné protibia</t>
        </is>
      </c>
      <c r="D1396" s="2" t="inlineStr">
        <is>
          <t>Cmay</t>
        </is>
      </c>
      <c r="E1396" s="3" t="inlineStr">
        <is>
          <t>Cirugía Mayor</t>
        </is>
      </c>
    </row>
    <row r="1397" ht="16" customHeight="1" s="151">
      <c r="A1397" s="1" t="inlineStr">
        <is>
          <t>2104172</t>
        </is>
      </c>
      <c r="B1397" s="2" t="inlineStr">
        <is>
          <t>6</t>
        </is>
      </c>
      <c r="C1397" s="2" t="inlineStr">
        <is>
          <t>Pseudoartrosis, c/s osteosíntesis  (cualquier técnica) pierna</t>
        </is>
      </c>
      <c r="D1397" s="2" t="inlineStr">
        <is>
          <t>Cmay</t>
        </is>
      </c>
      <c r="E1397" s="3" t="inlineStr">
        <is>
          <t>Cirugía Mayor</t>
        </is>
      </c>
    </row>
    <row r="1398" ht="16" customHeight="1" s="151">
      <c r="A1398" s="1" t="inlineStr">
        <is>
          <t>2104173</t>
        </is>
      </c>
      <c r="B1398" s="2" t="inlineStr">
        <is>
          <t>9</t>
        </is>
      </c>
      <c r="C1398" s="2" t="inlineStr">
        <is>
          <t>Desarticulación tobillo</t>
        </is>
      </c>
      <c r="D1398" s="2" t="inlineStr">
        <is>
          <t>Cmay</t>
        </is>
      </c>
      <c r="E1398" s="3" t="inlineStr">
        <is>
          <t>Cirugía Mayor</t>
        </is>
      </c>
    </row>
    <row r="1399" ht="16" customHeight="1" s="151">
      <c r="A1399" s="1" t="inlineStr">
        <is>
          <t>2104174</t>
        </is>
      </c>
      <c r="B1399" s="2" t="inlineStr">
        <is>
          <t>10</t>
        </is>
      </c>
      <c r="C1399" s="2" t="inlineStr">
        <is>
          <t>Endoprótesis total tobillo, (cualquier técnica)</t>
        </is>
      </c>
      <c r="D1399" s="2" t="inlineStr">
        <is>
          <t>Cmay</t>
        </is>
      </c>
      <c r="E1399" s="3" t="inlineStr">
        <is>
          <t>Cirugía Mayor</t>
        </is>
      </c>
    </row>
    <row r="1400" ht="16" customHeight="1" s="151">
      <c r="A1400" s="1" t="inlineStr">
        <is>
          <t>2104175</t>
        </is>
      </c>
      <c r="B1400" s="2" t="inlineStr">
        <is>
          <t>6</t>
        </is>
      </c>
      <c r="C1400" s="2" t="inlineStr">
        <is>
          <t>Esguince grave de tobillo, trat. quir. cápsulo-ligamentoso</t>
        </is>
      </c>
      <c r="D1400" s="2" t="inlineStr">
        <is>
          <t>Cmay</t>
        </is>
      </c>
      <c r="E1400" s="3" t="inlineStr">
        <is>
          <t>Cirugía Mayor</t>
        </is>
      </c>
    </row>
    <row r="1401" ht="16" customHeight="1" s="151">
      <c r="A1401" s="1" t="inlineStr">
        <is>
          <t>2104176</t>
        </is>
      </c>
      <c r="B1401" s="2" t="inlineStr">
        <is>
          <t>7</t>
        </is>
      </c>
      <c r="C1401" s="2" t="inlineStr">
        <is>
          <t>Fractura astrágalo y/o calcáneo, osteosíntesis (cualq. técn.)</t>
        </is>
      </c>
      <c r="D1401" s="2" t="inlineStr">
        <is>
          <t>Cmay</t>
        </is>
      </c>
      <c r="E1401" s="3" t="inlineStr">
        <is>
          <t>Cirugía Mayor</t>
        </is>
      </c>
    </row>
    <row r="1402" ht="16" customHeight="1" s="151">
      <c r="A1402" s="1" t="inlineStr">
        <is>
          <t>2104177</t>
        </is>
      </c>
      <c r="B1402" s="2" t="inlineStr">
        <is>
          <t>5</t>
        </is>
      </c>
      <c r="C1402" s="2" t="inlineStr">
        <is>
          <t>Huesos supernumerarios, extirpación, uno o más, unilateral</t>
        </is>
      </c>
      <c r="D1402" s="2" t="inlineStr">
        <is>
          <t>Cmay</t>
        </is>
      </c>
      <c r="E1402" s="3" t="inlineStr">
        <is>
          <t>Cirugía Mayor</t>
        </is>
      </c>
    </row>
    <row r="1403" ht="16" customHeight="1" s="151">
      <c r="A1403" s="1" t="inlineStr">
        <is>
          <t>2104178</t>
        </is>
      </c>
      <c r="B1403" s="2" t="inlineStr">
        <is>
          <t>6</t>
        </is>
      </c>
      <c r="C1403" s="2" t="inlineStr">
        <is>
          <t>Luxación tibio-astrág.-calcán., reducc. cruenta y osteosínt.</t>
        </is>
      </c>
      <c r="D1403" s="2" t="inlineStr">
        <is>
          <t>Cmay</t>
        </is>
      </c>
      <c r="E1403" s="3" t="inlineStr">
        <is>
          <t>Cirugía Mayor</t>
        </is>
      </c>
    </row>
    <row r="1404" ht="16" customHeight="1" s="151">
      <c r="A1404" s="1" t="inlineStr">
        <is>
          <t>2104179</t>
        </is>
      </c>
      <c r="B1404" s="2" t="inlineStr">
        <is>
          <t>7</t>
        </is>
      </c>
      <c r="C1404" s="2" t="inlineStr">
        <is>
          <t>Luxofractura tobillo, cualquier tipo, osteosíntesis y reparación cápsulo-ligamentosa</t>
        </is>
      </c>
      <c r="D1404" s="2" t="inlineStr">
        <is>
          <t>Cmay</t>
        </is>
      </c>
      <c r="E1404" s="3" t="inlineStr">
        <is>
          <t>Cirugía Mayor</t>
        </is>
      </c>
    </row>
    <row r="1405" ht="16" customHeight="1" s="151">
      <c r="A1405" s="1" t="inlineStr">
        <is>
          <t>2104180</t>
        </is>
      </c>
      <c r="B1405" s="2" t="inlineStr">
        <is>
          <t>7</t>
        </is>
      </c>
      <c r="C1405" s="2" t="inlineStr">
        <is>
          <t>Osteoplastía tibio-calcánea</t>
        </is>
      </c>
      <c r="D1405" s="2" t="inlineStr">
        <is>
          <t>Cmay</t>
        </is>
      </c>
      <c r="E1405" s="3" t="inlineStr">
        <is>
          <t>Cirugía Mayor</t>
        </is>
      </c>
    </row>
    <row r="1406" ht="16" customHeight="1" s="151">
      <c r="A1406" s="1" t="inlineStr">
        <is>
          <t>2104181</t>
        </is>
      </c>
      <c r="B1406" s="2" t="inlineStr">
        <is>
          <t>6</t>
        </is>
      </c>
      <c r="C1406" s="2" t="inlineStr">
        <is>
          <t>Ruptura tendón de Aquiles o tibial posterior, tenorrafia primaria y/o transposiciones tendinosas</t>
        </is>
      </c>
      <c r="D1406" s="2" t="inlineStr">
        <is>
          <t>Cmay</t>
        </is>
      </c>
      <c r="E1406" s="3" t="inlineStr">
        <is>
          <t>Cirugía Mayor</t>
        </is>
      </c>
    </row>
    <row r="1407" ht="16" customHeight="1" s="151">
      <c r="A1407" s="1" t="inlineStr">
        <is>
          <t>2104182</t>
        </is>
      </c>
      <c r="B1407" s="2" t="inlineStr">
        <is>
          <t>6</t>
        </is>
      </c>
      <c r="C1407" s="2" t="inlineStr">
        <is>
          <t>Ruptura tibial anterior u otros, tenorrafia</t>
        </is>
      </c>
      <c r="D1407" s="2" t="inlineStr">
        <is>
          <t>Cmay</t>
        </is>
      </c>
      <c r="E1407" s="3" t="inlineStr">
        <is>
          <t>Cirugía Mayor</t>
        </is>
      </c>
    </row>
    <row r="1408" ht="16" customHeight="1" s="151">
      <c r="A1408" s="1" t="inlineStr">
        <is>
          <t>2104183</t>
        </is>
      </c>
      <c r="B1408" s="2" t="inlineStr">
        <is>
          <t>5</t>
        </is>
      </c>
      <c r="C1408" s="2" t="inlineStr">
        <is>
          <t>Tenorrafia extensores o tenotomía de alargamiento de tendón de Aquiles</t>
        </is>
      </c>
      <c r="D1408" s="2" t="inlineStr">
        <is>
          <t>Cmay</t>
        </is>
      </c>
      <c r="E1408" s="3" t="inlineStr">
        <is>
          <t>Cirugía Mayor</t>
        </is>
      </c>
    </row>
    <row r="1409" ht="16" customHeight="1" s="151">
      <c r="A1409" s="1" t="inlineStr">
        <is>
          <t>2104184</t>
        </is>
      </c>
      <c r="B1409" s="2" t="inlineStr">
        <is>
          <t>6</t>
        </is>
      </c>
      <c r="C1409" s="2" t="inlineStr">
        <is>
          <t>Traslocación tendinosa tobillo</t>
        </is>
      </c>
      <c r="D1409" s="2" t="inlineStr">
        <is>
          <t>Cmay</t>
        </is>
      </c>
      <c r="E1409" s="3" t="inlineStr">
        <is>
          <t>Cirugía Mayor</t>
        </is>
      </c>
    </row>
    <row r="1410" ht="16" customHeight="1" s="151">
      <c r="A1410" s="1" t="inlineStr">
        <is>
          <t>2104185</t>
        </is>
      </c>
      <c r="B1410" s="2" t="inlineStr">
        <is>
          <t>7</t>
        </is>
      </c>
      <c r="C1410" s="2" t="inlineStr">
        <is>
          <t>Amputación transmetatarsiana</t>
        </is>
      </c>
      <c r="D1410" s="2" t="inlineStr">
        <is>
          <t>Cmay</t>
        </is>
      </c>
      <c r="E1410" s="3" t="inlineStr">
        <is>
          <t>Cirugía Mayor</t>
        </is>
      </c>
    </row>
    <row r="1411" ht="16" customHeight="1" s="151">
      <c r="A1411" s="1" t="inlineStr">
        <is>
          <t>2104186</t>
        </is>
      </c>
      <c r="B1411" s="2" t="inlineStr">
        <is>
          <t>6</t>
        </is>
      </c>
      <c r="C1411" s="2" t="inlineStr">
        <is>
          <t>Astrágalo vertical, trat. quir.</t>
        </is>
      </c>
      <c r="D1411" s="2" t="inlineStr">
        <is>
          <t>Cmay</t>
        </is>
      </c>
      <c r="E1411" s="3" t="inlineStr">
        <is>
          <t>Cirugía Mayor</t>
        </is>
      </c>
    </row>
    <row r="1412" ht="16" customHeight="1" s="151">
      <c r="A1412" s="1" t="inlineStr">
        <is>
          <t>2104187</t>
        </is>
      </c>
      <c r="B1412" s="2" t="inlineStr">
        <is>
          <t>5</t>
        </is>
      </c>
      <c r="C1412" s="2" t="inlineStr">
        <is>
          <t>Espolón calcáneo, trat. quir.</t>
        </is>
      </c>
      <c r="D1412" s="2" t="inlineStr">
        <is>
          <t>Cmay</t>
        </is>
      </c>
      <c r="E1412" s="3" t="inlineStr">
        <is>
          <t>Cirugía Mayor</t>
        </is>
      </c>
    </row>
    <row r="1413" ht="16" customHeight="1" s="151">
      <c r="A1413" s="1" t="inlineStr">
        <is>
          <t>2104188</t>
        </is>
      </c>
      <c r="B1413" s="2" t="inlineStr">
        <is>
          <t>5</t>
        </is>
      </c>
      <c r="C1413" s="2" t="inlineStr">
        <is>
          <t>Exostosis 5° metatarsiano, ("juanetillo")  trat. quir.</t>
        </is>
      </c>
      <c r="D1413" s="2" t="inlineStr">
        <is>
          <t>Cmay</t>
        </is>
      </c>
      <c r="E1413" s="3" t="inlineStr">
        <is>
          <t>Cirugía Mayor</t>
        </is>
      </c>
    </row>
    <row r="1414" ht="16" customHeight="1" s="151">
      <c r="A1414" s="1" t="inlineStr">
        <is>
          <t>2104189</t>
        </is>
      </c>
      <c r="B1414" s="2" t="inlineStr">
        <is>
          <t>5</t>
        </is>
      </c>
      <c r="C1414" s="2" t="inlineStr">
        <is>
          <t>Fasciotomía plantar (proc. aut.)</t>
        </is>
      </c>
      <c r="D1414" s="2" t="inlineStr">
        <is>
          <t>Cmay</t>
        </is>
      </c>
      <c r="E1414" s="3" t="inlineStr">
        <is>
          <t>Cirugía Mayor</t>
        </is>
      </c>
    </row>
    <row r="1415" ht="16" customHeight="1" s="151">
      <c r="A1415" s="1" t="inlineStr">
        <is>
          <t>2104190</t>
        </is>
      </c>
      <c r="B1415" s="2" t="inlineStr">
        <is>
          <t>5</t>
        </is>
      </c>
      <c r="C1415" s="2" t="inlineStr">
        <is>
          <t>Hallux valgus o rígidus, trat.quir. completo (cualquier téc.)</t>
        </is>
      </c>
      <c r="D1415" s="2" t="inlineStr">
        <is>
          <t>Cmay</t>
        </is>
      </c>
      <c r="E1415" s="3" t="inlineStr">
        <is>
          <t>Cirugía Mayor</t>
        </is>
      </c>
    </row>
    <row r="1416" ht="16" customHeight="1" s="151">
      <c r="A1416" s="1" t="inlineStr">
        <is>
          <t>2104191</t>
        </is>
      </c>
      <c r="B1416" s="2" t="inlineStr">
        <is>
          <t>6</t>
        </is>
      </c>
      <c r="C1416" s="2" t="inlineStr">
        <is>
          <t>Luxaciones, luxofracturas, fracturas, reducción cruenta pie</t>
        </is>
      </c>
      <c r="D1416" s="2" t="inlineStr">
        <is>
          <t>Cmay</t>
        </is>
      </c>
      <c r="E1416" s="3" t="inlineStr">
        <is>
          <t>Cirugía Mayor</t>
        </is>
      </c>
    </row>
    <row r="1417" ht="16" customHeight="1" s="151">
      <c r="A1417" s="1" t="inlineStr">
        <is>
          <t>2104192</t>
        </is>
      </c>
      <c r="B1417" s="2" t="inlineStr">
        <is>
          <t>6</t>
        </is>
      </c>
      <c r="C1417" s="2" t="inlineStr">
        <is>
          <t>Mal perforante plantar, trat. quir.</t>
        </is>
      </c>
      <c r="D1417" s="2" t="inlineStr">
        <is>
          <t>Cmay</t>
        </is>
      </c>
      <c r="E1417" s="3" t="inlineStr">
        <is>
          <t>Cirugía Mayor</t>
        </is>
      </c>
    </row>
    <row r="1418" ht="16" customHeight="1" s="151">
      <c r="A1418" s="1" t="inlineStr">
        <is>
          <t>2104193</t>
        </is>
      </c>
      <c r="B1418" s="2" t="inlineStr">
        <is>
          <t>5</t>
        </is>
      </c>
      <c r="C1418" s="2" t="inlineStr">
        <is>
          <t>Neuroma de Morton, trat. quir.</t>
        </is>
      </c>
      <c r="D1418" s="2" t="inlineStr">
        <is>
          <t>Cmay</t>
        </is>
      </c>
      <c r="E1418" s="3" t="inlineStr">
        <is>
          <t>Cirugía Mayor</t>
        </is>
      </c>
    </row>
    <row r="1419" ht="16" customHeight="1" s="151">
      <c r="A1419" s="1" t="inlineStr">
        <is>
          <t>2104194</t>
        </is>
      </c>
      <c r="B1419" s="2" t="inlineStr">
        <is>
          <t>5</t>
        </is>
      </c>
      <c r="C1419" s="2" t="inlineStr">
        <is>
          <t>Ortejos en garra, trat. quir., cualq. número (cualq. técnica)</t>
        </is>
      </c>
      <c r="D1419" s="2" t="inlineStr">
        <is>
          <t>Cmay</t>
        </is>
      </c>
      <c r="E1419" s="3" t="inlineStr">
        <is>
          <t>Cirugía Mayor</t>
        </is>
      </c>
    </row>
    <row r="1420" ht="16" customHeight="1" s="151">
      <c r="A1420" s="1" t="inlineStr">
        <is>
          <t>2104195</t>
        </is>
      </c>
      <c r="B1420" s="2" t="inlineStr">
        <is>
          <t>5</t>
        </is>
      </c>
      <c r="C1420" s="2" t="inlineStr">
        <is>
          <t>Ortejos, amputación, uno o más, unilateral</t>
        </is>
      </c>
      <c r="D1420" s="2" t="inlineStr">
        <is>
          <t>Cmay</t>
        </is>
      </c>
      <c r="E1420" s="3" t="inlineStr">
        <is>
          <t>Cirugía Mayor</t>
        </is>
      </c>
    </row>
    <row r="1421" ht="16" customHeight="1" s="151">
      <c r="A1421" s="1" t="inlineStr">
        <is>
          <t>2104196</t>
        </is>
      </c>
      <c r="B1421" s="2" t="inlineStr">
        <is>
          <t>6</t>
        </is>
      </c>
      <c r="C1421" s="2" t="inlineStr">
        <is>
          <t>Pie bot u otras malformaciones congénitas, trat. quir. (cualquier técnica)</t>
        </is>
      </c>
      <c r="D1421" s="2" t="inlineStr">
        <is>
          <t>Cmay</t>
        </is>
      </c>
      <c r="E1421" s="3" t="inlineStr">
        <is>
          <t>Cirugía Mayor</t>
        </is>
      </c>
    </row>
    <row r="1422" ht="16" customHeight="1" s="151">
      <c r="A1422" s="1" t="inlineStr">
        <is>
          <t>2104197</t>
        </is>
      </c>
      <c r="B1422" s="2" t="inlineStr">
        <is>
          <t>5</t>
        </is>
      </c>
      <c r="C1422" s="2" t="inlineStr">
        <is>
          <t>Pie cavo, trat.quir. (cualquier técnica)</t>
        </is>
      </c>
      <c r="D1422" s="2" t="inlineStr">
        <is>
          <t>Cmay</t>
        </is>
      </c>
      <c r="E1422" s="3" t="inlineStr">
        <is>
          <t>Cirugía Mayor</t>
        </is>
      </c>
    </row>
    <row r="1423" ht="16" customHeight="1" s="151">
      <c r="A1423" s="1" t="inlineStr">
        <is>
          <t>2104198</t>
        </is>
      </c>
      <c r="B1423" s="2" t="inlineStr">
        <is>
          <t>5</t>
        </is>
      </c>
      <c r="C1423" s="2" t="inlineStr">
        <is>
          <t>Pie plano, trat. quir. (cualquier técnica)</t>
        </is>
      </c>
      <c r="D1423" s="2" t="inlineStr">
        <is>
          <t>Cmay</t>
        </is>
      </c>
      <c r="E1423" s="3" t="inlineStr">
        <is>
          <t>Cirugía Mayor</t>
        </is>
      </c>
    </row>
    <row r="1424" ht="16" customHeight="1" s="151">
      <c r="A1424" s="1" t="inlineStr">
        <is>
          <t>2104199</t>
        </is>
      </c>
      <c r="B1424" s="2" t="inlineStr">
        <is>
          <t>6</t>
        </is>
      </c>
      <c r="C1424" s="2" t="inlineStr">
        <is>
          <t>Pie reumatoideo, trat.quir.completo (cualquier técnica)</t>
        </is>
      </c>
      <c r="D1424" s="2" t="inlineStr">
        <is>
          <t>Cmay</t>
        </is>
      </c>
      <c r="E1424" s="3" t="inlineStr">
        <is>
          <t>Cirugía Mayor</t>
        </is>
      </c>
    </row>
    <row r="1425" ht="16" customHeight="1" s="151">
      <c r="A1425" s="1" t="inlineStr">
        <is>
          <t>2104200</t>
        </is>
      </c>
      <c r="B1425" s="2" t="inlineStr">
        <is>
          <t>5</t>
        </is>
      </c>
      <c r="C1425" s="2" t="inlineStr">
        <is>
          <t>Sesamoídeos, extirpación de uno o más, unilateral</t>
        </is>
      </c>
      <c r="D1425" s="2" t="inlineStr">
        <is>
          <t>Cmay</t>
        </is>
      </c>
      <c r="E1425" s="3" t="inlineStr">
        <is>
          <t>Cirugía Mayor</t>
        </is>
      </c>
    </row>
    <row r="1426" ht="16" customHeight="1" s="151">
      <c r="A1426" s="1" t="inlineStr">
        <is>
          <t>2104201</t>
        </is>
      </c>
      <c r="B1426" s="2" t="inlineStr">
        <is>
          <t>5</t>
        </is>
      </c>
      <c r="C1426" s="2" t="inlineStr">
        <is>
          <t>Tenorrafia extensores pie</t>
        </is>
      </c>
      <c r="D1426" s="2" t="inlineStr">
        <is>
          <t>Cmay</t>
        </is>
      </c>
      <c r="E1426" s="3" t="inlineStr">
        <is>
          <t>Cirugía Mayor</t>
        </is>
      </c>
    </row>
    <row r="1427" ht="16" customHeight="1" s="151">
      <c r="A1427" s="1" t="inlineStr">
        <is>
          <t>2104202</t>
        </is>
      </c>
      <c r="B1427" s="2" t="inlineStr">
        <is>
          <t>6</t>
        </is>
      </c>
      <c r="C1427" s="2" t="inlineStr">
        <is>
          <t>Trasplantes tendinosos pie (cualquier técnica)</t>
        </is>
      </c>
      <c r="D1427" s="2" t="inlineStr">
        <is>
          <t>Cmay</t>
        </is>
      </c>
      <c r="E1427" s="3" t="inlineStr">
        <is>
          <t>Cirugía Mayor</t>
        </is>
      </c>
    </row>
    <row r="1428" ht="16" customHeight="1" s="151">
      <c r="A1428" s="1" t="inlineStr">
        <is>
          <t>2104203</t>
        </is>
      </c>
      <c r="B1428" s="2" t="inlineStr">
        <is>
          <t>4</t>
        </is>
      </c>
      <c r="C1428" s="2" t="inlineStr">
        <is>
          <t>Tratamiento quir., dedos en gatillo, cualquier número téc. WALANT (anestesia local sin torniquete)</t>
        </is>
      </c>
      <c r="D1428" s="2" t="inlineStr">
        <is>
          <t>Cmen</t>
        </is>
      </c>
      <c r="E1428" s="3" t="inlineStr">
        <is>
          <t>Cirugía Menor</t>
        </is>
      </c>
    </row>
    <row r="1429" ht="16" customHeight="1" s="151">
      <c r="A1429" s="1" t="inlineStr">
        <is>
          <t>2104204</t>
        </is>
      </c>
      <c r="B1429" s="2" t="inlineStr">
        <is>
          <t>10</t>
        </is>
      </c>
      <c r="C1429" s="2" t="inlineStr">
        <is>
          <t>Recambio prótesis de rodilla. Incluye prótesis</t>
        </is>
      </c>
      <c r="D1429" s="2" t="inlineStr">
        <is>
          <t>Cmay</t>
        </is>
      </c>
      <c r="E1429" s="3" t="inlineStr">
        <is>
          <t>Cirugía Mayor</t>
        </is>
      </c>
    </row>
    <row r="1430" ht="16" customHeight="1" s="151">
      <c r="A1430" s="1" t="inlineStr">
        <is>
          <t>2104205</t>
        </is>
      </c>
      <c r="B1430" s="2" t="inlineStr">
        <is>
          <t>10</t>
        </is>
      </c>
      <c r="C1430" s="2" t="inlineStr">
        <is>
          <t>Recambio prótesis de cadera. Incluye prótesis</t>
        </is>
      </c>
      <c r="D1430" s="2" t="inlineStr">
        <is>
          <t>Cmay</t>
        </is>
      </c>
      <c r="E1430" s="3" t="inlineStr">
        <is>
          <t>Cirugía Mayor</t>
        </is>
      </c>
    </row>
    <row r="1431" ht="16" customHeight="1" s="151">
      <c r="A1431" s="1" t="inlineStr">
        <is>
          <t>2104213</t>
        </is>
      </c>
      <c r="B1431" s="2" t="inlineStr">
        <is>
          <t>13</t>
        </is>
      </c>
      <c r="C1431" s="2" t="inlineStr">
        <is>
          <t>Escoliosis, trat. quir., cualquier vía de abordaje, con instrumentación (incluye elementos de osteosíntesis)</t>
        </is>
      </c>
      <c r="D1431" s="2" t="inlineStr">
        <is>
          <t>Cmay</t>
        </is>
      </c>
      <c r="E1431" s="3" t="inlineStr">
        <is>
          <t>Cirugía Mayor</t>
        </is>
      </c>
    </row>
    <row r="1432" ht="16" customHeight="1" s="151">
      <c r="A1432" s="1" t="inlineStr">
        <is>
          <t>2104228</t>
        </is>
      </c>
      <c r="B1432" s="2" t="inlineStr">
        <is>
          <t>10</t>
        </is>
      </c>
      <c r="C1432" s="2" t="inlineStr">
        <is>
          <t>Endoprótesis parcial de cadera c/s cementación (cualquier técnica) (incluye prótesis)</t>
        </is>
      </c>
      <c r="D1432" s="2" t="inlineStr">
        <is>
          <t>Cmay</t>
        </is>
      </c>
      <c r="E1432" s="3" t="inlineStr">
        <is>
          <t>Cirugía Mayor</t>
        </is>
      </c>
    </row>
    <row r="1433" ht="16" customHeight="1" s="151">
      <c r="A1433" s="1" t="inlineStr">
        <is>
          <t>2104229</t>
        </is>
      </c>
      <c r="B1433" s="2" t="inlineStr">
        <is>
          <t>11</t>
        </is>
      </c>
      <c r="C1433" s="2" t="inlineStr">
        <is>
          <t>Endoprótesis total de cadera (incluye prótesis)</t>
        </is>
      </c>
      <c r="D1433" s="2" t="inlineStr">
        <is>
          <t>Cmay</t>
        </is>
      </c>
      <c r="E1433" s="3" t="inlineStr">
        <is>
          <t>Cirugía Mayor</t>
        </is>
      </c>
    </row>
    <row r="1434" ht="16" customHeight="1" s="151">
      <c r="A1434" s="1" t="inlineStr">
        <is>
          <t>2104231</t>
        </is>
      </c>
      <c r="B1434" s="2" t="inlineStr">
        <is>
          <t>10</t>
        </is>
      </c>
      <c r="C1434" s="2" t="inlineStr">
        <is>
          <t>Fractura de cuello de fémur, osteosíntesis, cualquier técnica (incluye elementos de osteosíntesis)</t>
        </is>
      </c>
      <c r="D1434" s="2" t="inlineStr">
        <is>
          <t>Cmay</t>
        </is>
      </c>
      <c r="E1434" s="3" t="inlineStr">
        <is>
          <t>Cirugía Mayor</t>
        </is>
      </c>
    </row>
    <row r="1435" ht="16" customHeight="1" s="151">
      <c r="A1435" s="1" t="inlineStr">
        <is>
          <t>2104232</t>
        </is>
      </c>
      <c r="B1435" s="2" t="inlineStr">
        <is>
          <t>8</t>
        </is>
      </c>
      <c r="C1435" s="2" t="inlineStr">
        <is>
          <t>Punción discal diagnóstica o terapéutica</t>
        </is>
      </c>
      <c r="D1435" s="2" t="inlineStr">
        <is>
          <t>Cmay</t>
        </is>
      </c>
      <c r="E1435" s="3" t="inlineStr">
        <is>
          <t>Cirugía Mayor</t>
        </is>
      </c>
    </row>
    <row r="1436" ht="16" customHeight="1" s="151">
      <c r="A1436" s="1" t="inlineStr">
        <is>
          <t>2104233</t>
        </is>
      </c>
      <c r="B1436" s="2" t="inlineStr">
        <is>
          <t>8</t>
        </is>
      </c>
      <c r="C1436" s="2" t="inlineStr">
        <is>
          <t>Biopsia vertebral abierta</t>
        </is>
      </c>
      <c r="D1436" s="2" t="inlineStr">
        <is>
          <t>Cmay</t>
        </is>
      </c>
      <c r="E1436" s="3" t="inlineStr">
        <is>
          <t>Cirugía Mayor</t>
        </is>
      </c>
    </row>
    <row r="1437" ht="16" customHeight="1" s="151">
      <c r="A1437" s="1" t="inlineStr">
        <is>
          <t>2104234</t>
        </is>
      </c>
      <c r="B1437" s="2" t="inlineStr">
        <is>
          <t>8</t>
        </is>
      </c>
      <c r="C1437" s="2" t="inlineStr">
        <is>
          <t>Resección parcial de sacro distal y coxis</t>
        </is>
      </c>
      <c r="D1437" s="2" t="inlineStr">
        <is>
          <t>Cmay</t>
        </is>
      </c>
      <c r="E1437" s="3" t="inlineStr">
        <is>
          <t>Cirugía Mayor</t>
        </is>
      </c>
    </row>
    <row r="1438" ht="16" customHeight="1" s="151">
      <c r="A1438" s="1" t="inlineStr">
        <is>
          <t>2104235</t>
        </is>
      </c>
      <c r="B1438" s="2" t="inlineStr">
        <is>
          <t>8</t>
        </is>
      </c>
      <c r="C1438" s="2" t="inlineStr">
        <is>
          <t>Resección parcial de sacro proximal</t>
        </is>
      </c>
      <c r="D1438" s="2" t="inlineStr">
        <is>
          <t>Cmay</t>
        </is>
      </c>
      <c r="E1438" s="3" t="inlineStr">
        <is>
          <t>Cirugía Mayor</t>
        </is>
      </c>
    </row>
    <row r="1439" ht="16" customHeight="1" s="151">
      <c r="A1439" s="1" t="inlineStr">
        <is>
          <t>2104236</t>
        </is>
      </c>
      <c r="B1439" s="2" t="inlineStr">
        <is>
          <t>12</t>
        </is>
      </c>
      <c r="C1439" s="2" t="inlineStr">
        <is>
          <t>Teratoma sacrococcigeo</t>
        </is>
      </c>
      <c r="D1439" s="2" t="inlineStr">
        <is>
          <t>Cmay</t>
        </is>
      </c>
      <c r="E1439" s="3" t="inlineStr">
        <is>
          <t>Cirugía Mayor</t>
        </is>
      </c>
    </row>
    <row r="1440" ht="16" customHeight="1" s="151">
      <c r="A1440" s="1" t="inlineStr">
        <is>
          <t>2104237</t>
        </is>
      </c>
      <c r="B1440" s="2" t="inlineStr">
        <is>
          <t>14</t>
        </is>
      </c>
      <c r="C1440" s="2" t="inlineStr">
        <is>
          <t>Teratoma sacrococcigeo intra y extrapelviano</t>
        </is>
      </c>
      <c r="D1440" s="2" t="inlineStr">
        <is>
          <t>Cmay</t>
        </is>
      </c>
      <c r="E1440" s="3" t="inlineStr">
        <is>
          <t>Cirugía Mayor</t>
        </is>
      </c>
    </row>
    <row r="1441" ht="16" customHeight="1" s="151">
      <c r="A1441" s="1" t="inlineStr">
        <is>
          <t>2105001</t>
        </is>
      </c>
      <c r="B1441" s="2" t="inlineStr">
        <is>
          <t>2</t>
        </is>
      </c>
      <c r="C1441" s="2" t="inlineStr">
        <is>
          <t>Calzón corto de yeso</t>
        </is>
      </c>
      <c r="D1441" s="2" t="inlineStr">
        <is>
          <t>Proc</t>
        </is>
      </c>
      <c r="E1441" s="3" t="inlineStr">
        <is>
          <t>Procedimiento</t>
        </is>
      </c>
    </row>
    <row r="1442" ht="16" customHeight="1" s="151">
      <c r="A1442" s="1" t="inlineStr">
        <is>
          <t>2105004</t>
        </is>
      </c>
      <c r="B1442" s="2" t="inlineStr">
        <is>
          <t>2</t>
        </is>
      </c>
      <c r="C1442" s="2" t="inlineStr">
        <is>
          <t>Rodillera, bota larga o corta de yeso</t>
        </is>
      </c>
      <c r="D1442" s="2" t="inlineStr">
        <is>
          <t>Proc</t>
        </is>
      </c>
      <c r="E1442" s="3" t="inlineStr">
        <is>
          <t>Procedimiento</t>
        </is>
      </c>
    </row>
    <row r="1443" ht="16" customHeight="1" s="151">
      <c r="A1443" s="1" t="inlineStr">
        <is>
          <t>2105005</t>
        </is>
      </c>
      <c r="B1443" s="2" t="inlineStr">
        <is>
          <t>1</t>
        </is>
      </c>
      <c r="C1443" s="2" t="inlineStr">
        <is>
          <t>Velpeau</t>
        </is>
      </c>
      <c r="D1443" s="2" t="inlineStr">
        <is>
          <t>Proc</t>
        </is>
      </c>
      <c r="E1443" s="3" t="inlineStr">
        <is>
          <t>Procedimiento</t>
        </is>
      </c>
    </row>
    <row r="1444" ht="16" customHeight="1" s="151">
      <c r="A1444" s="1" t="inlineStr">
        <is>
          <t>2105006</t>
        </is>
      </c>
      <c r="B1444" s="2" t="inlineStr">
        <is>
          <t>2</t>
        </is>
      </c>
      <c r="C1444" s="2" t="inlineStr">
        <is>
          <t>Yeso antebraquial c/s férula digital</t>
        </is>
      </c>
      <c r="D1444" s="2" t="inlineStr">
        <is>
          <t>Proc</t>
        </is>
      </c>
      <c r="E1444" s="3" t="inlineStr">
        <is>
          <t>Procedimiento</t>
        </is>
      </c>
    </row>
    <row r="1445" ht="16" customHeight="1" s="151">
      <c r="A1445" s="1" t="inlineStr">
        <is>
          <t>2105007</t>
        </is>
      </c>
      <c r="B1445" s="2" t="inlineStr">
        <is>
          <t>2</t>
        </is>
      </c>
      <c r="C1445" s="2" t="inlineStr">
        <is>
          <t>Yeso braquicarpiano</t>
        </is>
      </c>
      <c r="D1445" s="2" t="inlineStr">
        <is>
          <t>Proc</t>
        </is>
      </c>
      <c r="E1445" s="3" t="inlineStr">
        <is>
          <t>Procedimiento</t>
        </is>
      </c>
    </row>
    <row r="1446" ht="16" customHeight="1" s="151">
      <c r="A1446" s="1" t="inlineStr">
        <is>
          <t>2105008</t>
        </is>
      </c>
      <c r="B1446" s="2" t="inlineStr">
        <is>
          <t>2</t>
        </is>
      </c>
      <c r="C1446" s="2" t="inlineStr">
        <is>
          <t>Yeso pelvipedio bilateral</t>
        </is>
      </c>
      <c r="D1446" s="2" t="inlineStr">
        <is>
          <t>Proc</t>
        </is>
      </c>
      <c r="E1446" s="3" t="inlineStr">
        <is>
          <t>Procedimiento</t>
        </is>
      </c>
    </row>
    <row r="1447" ht="16" customHeight="1" s="151">
      <c r="A1447" s="1" t="inlineStr">
        <is>
          <t>2105009</t>
        </is>
      </c>
      <c r="B1447" s="2" t="inlineStr">
        <is>
          <t>2</t>
        </is>
      </c>
      <c r="C1447" s="2" t="inlineStr">
        <is>
          <t>Yeso pelvipedio unilateral</t>
        </is>
      </c>
      <c r="D1447" s="2" t="inlineStr">
        <is>
          <t>Proc</t>
        </is>
      </c>
      <c r="E1447" s="3" t="inlineStr">
        <is>
          <t>Procedimiento</t>
        </is>
      </c>
    </row>
    <row r="1448" ht="16" customHeight="1" s="151">
      <c r="A1448" s="1" t="inlineStr">
        <is>
          <t>2105010</t>
        </is>
      </c>
      <c r="B1448" s="2" t="inlineStr">
        <is>
          <t>2</t>
        </is>
      </c>
      <c r="C1448" s="2" t="inlineStr">
        <is>
          <t>Yeso toracobraquial</t>
        </is>
      </c>
      <c r="D1448" s="2" t="inlineStr">
        <is>
          <t>Proc</t>
        </is>
      </c>
      <c r="E1448" s="3" t="inlineStr">
        <is>
          <t>Procedimiento</t>
        </is>
      </c>
    </row>
    <row r="1449" ht="16" customHeight="1" s="151">
      <c r="A1449" s="1" t="inlineStr">
        <is>
          <t>2105011</t>
        </is>
      </c>
      <c r="B1449" s="2" t="inlineStr">
        <is>
          <t>2</t>
        </is>
      </c>
      <c r="C1449" s="2" t="inlineStr">
        <is>
          <t>Corsets de milwaukee o similares (incluye la toma de molde )</t>
        </is>
      </c>
      <c r="D1449" s="2" t="inlineStr">
        <is>
          <t>Proc</t>
        </is>
      </c>
      <c r="E1449" s="3" t="inlineStr">
        <is>
          <t>Procedimiento</t>
        </is>
      </c>
    </row>
    <row r="1450" ht="16" customHeight="1" s="151">
      <c r="A1450" s="1" t="inlineStr">
        <is>
          <t>2106001</t>
        </is>
      </c>
      <c r="B1450" s="2" t="inlineStr">
        <is>
          <t>9</t>
        </is>
      </c>
      <c r="C1450" s="2" t="inlineStr">
        <is>
          <t>Retiro de endoprótesis u osteosíntesis internas articulares o de columna vertebral</t>
        </is>
      </c>
      <c r="D1450" s="2" t="inlineStr">
        <is>
          <t>Cmay</t>
        </is>
      </c>
      <c r="E1450" s="3" t="inlineStr">
        <is>
          <t>Cirugía Mayor</t>
        </is>
      </c>
    </row>
    <row r="1451" ht="16" customHeight="1" s="151">
      <c r="A1451" s="1" t="inlineStr">
        <is>
          <t>2106002</t>
        </is>
      </c>
      <c r="B1451" s="2" t="inlineStr">
        <is>
          <t>5</t>
        </is>
      </c>
      <c r="C1451" s="2" t="inlineStr">
        <is>
          <t>Retiro de placas rectas o anguladas</t>
        </is>
      </c>
      <c r="D1451" s="2" t="inlineStr">
        <is>
          <t>Cmay</t>
        </is>
      </c>
      <c r="E1451" s="3" t="inlineStr">
        <is>
          <t>Cirugía Mayor</t>
        </is>
      </c>
    </row>
    <row r="1452" ht="16" customHeight="1" s="151">
      <c r="A1452" s="1" t="inlineStr">
        <is>
          <t>2106003</t>
        </is>
      </c>
      <c r="B1452" s="2" t="inlineStr">
        <is>
          <t>5</t>
        </is>
      </c>
      <c r="C1452" s="2" t="inlineStr">
        <is>
          <t>Retiro de tornillos, clavos, agujas de osteosíntesis o similares</t>
        </is>
      </c>
      <c r="D1452" s="2" t="inlineStr">
        <is>
          <t>Cmay</t>
        </is>
      </c>
      <c r="E1452" s="3" t="inlineStr">
        <is>
          <t>Cirugía Mayor</t>
        </is>
      </c>
    </row>
    <row r="1453" ht="16" customHeight="1" s="151">
      <c r="A1453" s="1" t="inlineStr">
        <is>
          <t>2107001</t>
        </is>
      </c>
      <c r="B1453" s="2" t="inlineStr">
        <is>
          <t>3</t>
        </is>
      </c>
      <c r="C1453" s="2" t="inlineStr">
        <is>
          <t>Luxaciones de articulaciones medianas (hombro, codo, rodilla, tobillo, muñeca, tarso y esternoclavicular)</t>
        </is>
      </c>
      <c r="D1453" s="2" t="inlineStr">
        <is>
          <t>Proc</t>
        </is>
      </c>
      <c r="E1453" s="3" t="inlineStr">
        <is>
          <t>Procedimiento</t>
        </is>
      </c>
    </row>
    <row r="1454" ht="16" customHeight="1" s="151">
      <c r="A1454" s="1" t="inlineStr">
        <is>
          <t>2107002</t>
        </is>
      </c>
      <c r="B1454" s="2" t="inlineStr">
        <is>
          <t>4</t>
        </is>
      </c>
      <c r="C1454" s="2" t="inlineStr">
        <is>
          <t>Luxaciones de articulaciones  mayores (columna, cadera, pelvis)</t>
        </is>
      </c>
      <c r="D1454" s="2" t="inlineStr">
        <is>
          <t>Proc</t>
        </is>
      </c>
      <c r="E1454" s="3" t="inlineStr">
        <is>
          <t>Cirugía Mayor</t>
        </is>
      </c>
    </row>
    <row r="1455" ht="16" customHeight="1" s="151">
      <c r="A1455" s="1" t="inlineStr">
        <is>
          <t>2107003</t>
        </is>
      </c>
      <c r="B1455" s="2" t="inlineStr">
        <is>
          <t>3</t>
        </is>
      </c>
      <c r="C1455" s="2" t="inlineStr">
        <is>
          <t>Luxaciones de articulaciones menores (el resto)</t>
        </is>
      </c>
      <c r="D1455" s="2" t="inlineStr">
        <is>
          <t>Proc</t>
        </is>
      </c>
      <c r="E1455" s="3" t="inlineStr">
        <is>
          <t>Cirugía Menor</t>
        </is>
      </c>
    </row>
    <row r="1456" ht="16" customHeight="1" s="151">
      <c r="A1456" s="1" t="inlineStr">
        <is>
          <t>2107004</t>
        </is>
      </c>
      <c r="B1456" s="2" t="inlineStr">
        <is>
          <t>4</t>
        </is>
      </c>
      <c r="C1456" s="2" t="inlineStr">
        <is>
          <t>Fracturas mayores (columna, pelvis, supracondílea, codo, epífisis femorales)</t>
        </is>
      </c>
      <c r="D1456" s="2" t="inlineStr">
        <is>
          <t>Proc</t>
        </is>
      </c>
      <c r="E1456" s="3" t="inlineStr">
        <is>
          <t>Cirugía Mayor</t>
        </is>
      </c>
    </row>
    <row r="1457" ht="16" customHeight="1" s="151">
      <c r="A1457" s="1" t="inlineStr">
        <is>
          <t>2107005</t>
        </is>
      </c>
      <c r="B1457" s="2" t="inlineStr">
        <is>
          <t>3</t>
        </is>
      </c>
      <c r="C1457" s="2" t="inlineStr">
        <is>
          <t>Fracturas medianas (diáfisis humeral, radial, cubital, diáfisis femoral, tibial, peroneal, clavicular, platillos tibiales)</t>
        </is>
      </c>
      <c r="D1457" s="2" t="inlineStr">
        <is>
          <t>Proc</t>
        </is>
      </c>
      <c r="E1457" s="3" t="inlineStr">
        <is>
          <t>Procedimiento</t>
        </is>
      </c>
    </row>
    <row r="1458" ht="16" customHeight="1" s="151">
      <c r="A1458" s="1" t="inlineStr">
        <is>
          <t>2107006</t>
        </is>
      </c>
      <c r="B1458" s="2" t="inlineStr">
        <is>
          <t>3</t>
        </is>
      </c>
      <c r="C1458" s="2" t="inlineStr">
        <is>
          <t>Fracturas menores (el resto)</t>
        </is>
      </c>
      <c r="D1458" s="2" t="inlineStr">
        <is>
          <t>Proc</t>
        </is>
      </c>
      <c r="E1458" s="3" t="inlineStr">
        <is>
          <t>Cirugía Menor</t>
        </is>
      </c>
    </row>
    <row r="1459" ht="16" customHeight="1" s="151">
      <c r="A1459" s="1" t="inlineStr">
        <is>
          <t>2107010</t>
        </is>
      </c>
      <c r="B1459" s="2" t="inlineStr">
        <is>
          <t>4</t>
        </is>
      </c>
      <c r="C1459" s="2" t="inlineStr">
        <is>
          <t>Pie bot, unilateral, hasta 10 cambios de yeso</t>
        </is>
      </c>
      <c r="D1459" s="2" t="inlineStr">
        <is>
          <t>Proc</t>
        </is>
      </c>
      <c r="E1459" s="3" t="inlineStr">
        <is>
          <t>Procedimiento</t>
        </is>
      </c>
    </row>
    <row r="1460" ht="16" customHeight="1" s="151">
      <c r="A1460" s="1" t="inlineStr">
        <is>
          <t>2201001</t>
        </is>
      </c>
      <c r="B1460" s="2" t="n"/>
      <c r="C1460" s="2" t="inlineStr">
        <is>
          <t>Anestesia general o regional otorgada por médico diferente al primer cirujano (en intervenciones o procedimientos diagnósticos o terapéuticos)</t>
        </is>
      </c>
      <c r="D1460" s="2" t="inlineStr">
        <is>
          <t>Proc</t>
        </is>
      </c>
      <c r="E1460" s="3" t="inlineStr">
        <is>
          <t>Procedimiento</t>
        </is>
      </c>
    </row>
    <row r="1461" ht="16" customHeight="1" s="151">
      <c r="A1461" s="1" t="inlineStr">
        <is>
          <t>2201002</t>
        </is>
      </c>
      <c r="B1461" s="2" t="n"/>
      <c r="C1461" s="2" t="inlineStr">
        <is>
          <t>Anestesia peridural continua, proc. aut.</t>
        </is>
      </c>
      <c r="D1461" s="2" t="inlineStr">
        <is>
          <t>Proc</t>
        </is>
      </c>
      <c r="E1461" s="3" t="inlineStr">
        <is>
          <t>Procedimiento</t>
        </is>
      </c>
    </row>
    <row r="1462" ht="16" customHeight="1" s="151">
      <c r="A1462" s="1" t="inlineStr">
        <is>
          <t>2201102</t>
        </is>
      </c>
      <c r="B1462" s="2" t="n"/>
      <c r="C1462" s="2" t="inlineStr">
        <is>
          <t>Anestesia peridural o epidural  continua para partos</t>
        </is>
      </c>
      <c r="D1462" s="2" t="inlineStr">
        <is>
          <t>Proc</t>
        </is>
      </c>
      <c r="E1462" s="3" t="inlineStr">
        <is>
          <t>Procedimiento</t>
        </is>
      </c>
    </row>
    <row r="1463" ht="16" customHeight="1" s="151">
      <c r="A1463" s="1" t="inlineStr">
        <is>
          <t>2702101</t>
        </is>
      </c>
      <c r="B1463" s="2" t="n"/>
      <c r="C1463" s="2" t="inlineStr">
        <is>
          <t>Radiografía Retroalveolar Unitaria Adulto (por placa)</t>
        </is>
      </c>
      <c r="D1463" s="2" t="inlineStr">
        <is>
          <t>Proc</t>
        </is>
      </c>
      <c r="E1463" s="3" t="inlineStr">
        <is>
          <t>Procedimiento</t>
        </is>
      </c>
    </row>
    <row r="1464" ht="16" customHeight="1" s="151">
      <c r="A1464" s="1" t="inlineStr">
        <is>
          <t>2702102</t>
        </is>
      </c>
      <c r="B1464" s="2" t="n"/>
      <c r="C1464" s="2" t="inlineStr">
        <is>
          <t>Radiografía Retroalveolar Unitaria Niño (por placa)</t>
        </is>
      </c>
      <c r="D1464" s="2" t="inlineStr">
        <is>
          <t>Proc</t>
        </is>
      </c>
      <c r="E1464" s="3" t="inlineStr">
        <is>
          <t>Procedimiento</t>
        </is>
      </c>
    </row>
    <row r="1465" ht="16" customHeight="1" s="151">
      <c r="A1465" s="1" t="inlineStr">
        <is>
          <t>2702103</t>
        </is>
      </c>
      <c r="B1465" s="2" t="n"/>
      <c r="C1465" s="2" t="inlineStr">
        <is>
          <t>Radiografía Bite Wing Adulto (por placa)</t>
        </is>
      </c>
      <c r="D1465" s="2" t="inlineStr">
        <is>
          <t>Proc</t>
        </is>
      </c>
      <c r="E1465" s="3" t="inlineStr">
        <is>
          <t>Procedimiento</t>
        </is>
      </c>
    </row>
    <row r="1466" ht="16" customHeight="1" s="151">
      <c r="A1466" s="1" t="inlineStr">
        <is>
          <t>2702104</t>
        </is>
      </c>
      <c r="B1466" s="2" t="n"/>
      <c r="C1466" s="2" t="inlineStr">
        <is>
          <t>Radiografía Bite-Wing Niño (por placa)</t>
        </is>
      </c>
      <c r="D1466" s="2" t="inlineStr">
        <is>
          <t>Proc</t>
        </is>
      </c>
      <c r="E1466" s="3" t="inlineStr">
        <is>
          <t>Procedimiento</t>
        </is>
      </c>
    </row>
    <row r="1467" ht="16" customHeight="1" s="151">
      <c r="A1467" s="1" t="inlineStr">
        <is>
          <t>2702105</t>
        </is>
      </c>
      <c r="B1467" s="2" t="n"/>
      <c r="C1467" s="2" t="inlineStr">
        <is>
          <t>Radiografía extraoral (por placa)</t>
        </is>
      </c>
      <c r="D1467" s="2" t="inlineStr">
        <is>
          <t>Proc</t>
        </is>
      </c>
      <c r="E1467" s="3" t="inlineStr">
        <is>
          <t>Procedimiento</t>
        </is>
      </c>
    </row>
    <row r="1468" ht="16" customHeight="1" s="151">
      <c r="A1468" s="1" t="inlineStr">
        <is>
          <t>2702106</t>
        </is>
      </c>
      <c r="B1468" s="2" t="n"/>
      <c r="C1468" s="2" t="inlineStr">
        <is>
          <t>Radiografía oclusal (por placa)</t>
        </is>
      </c>
      <c r="D1468" s="2" t="inlineStr">
        <is>
          <t>Proc</t>
        </is>
      </c>
      <c r="E1468" s="3" t="inlineStr">
        <is>
          <t>Procedimiento</t>
        </is>
      </c>
    </row>
    <row r="1469" ht="16" customHeight="1" s="151">
      <c r="A1469" s="1" t="inlineStr">
        <is>
          <t>2702107</t>
        </is>
      </c>
      <c r="B1469" s="2" t="n"/>
      <c r="C1469" s="2" t="inlineStr">
        <is>
          <t>Sialografía (cada lado) (incluye el proc.)</t>
        </is>
      </c>
      <c r="D1469" s="2" t="inlineStr">
        <is>
          <t>Proc</t>
        </is>
      </c>
      <c r="E1469" s="3" t="inlineStr">
        <is>
          <t>Procedimiento</t>
        </is>
      </c>
    </row>
    <row r="1470" ht="16" customHeight="1" s="151">
      <c r="A1470" s="1" t="inlineStr">
        <is>
          <t>2702108</t>
        </is>
      </c>
      <c r="B1470" s="2" t="n"/>
      <c r="C1470" s="2" t="inlineStr">
        <is>
          <t>Telerradiografía</t>
        </is>
      </c>
      <c r="D1470" s="2" t="inlineStr">
        <is>
          <t>Proc</t>
        </is>
      </c>
      <c r="E1470" s="3" t="inlineStr">
        <is>
          <t>Procedimiento</t>
        </is>
      </c>
    </row>
    <row r="1471" ht="16" customHeight="1" s="151">
      <c r="A1471" s="1" t="inlineStr">
        <is>
          <t>2702109</t>
        </is>
      </c>
      <c r="B1471" s="2" t="n"/>
      <c r="C1471" s="2" t="inlineStr">
        <is>
          <t>Radiografía panorámica u ortopantomografía</t>
        </is>
      </c>
      <c r="D1471" s="2" t="inlineStr">
        <is>
          <t>Proc</t>
        </is>
      </c>
      <c r="E1471" s="3" t="inlineStr">
        <is>
          <t>Procedimiento</t>
        </is>
      </c>
    </row>
    <row r="1472" ht="16" customHeight="1" s="151">
      <c r="A1472" s="1" t="inlineStr">
        <is>
          <t>2702110</t>
        </is>
      </c>
      <c r="B1472" s="2" t="n"/>
      <c r="C1472" s="2" t="inlineStr">
        <is>
          <t>Radiografía de ATM Bilateral en Boca Cerrada y Boca Abierta</t>
        </is>
      </c>
      <c r="D1472" s="2" t="inlineStr">
        <is>
          <t>Proc</t>
        </is>
      </c>
      <c r="E1472" s="3" t="inlineStr">
        <is>
          <t>Procedimiento</t>
        </is>
      </c>
    </row>
    <row r="1473" ht="16" customHeight="1" s="151">
      <c r="A1473" s="1" t="inlineStr">
        <is>
          <t>2702111</t>
        </is>
      </c>
      <c r="B1473" s="2" t="n"/>
      <c r="C1473" s="2" t="inlineStr">
        <is>
          <t>Tomografía Computacional Maxilo Facial Cone Beam Zona Dentaria</t>
        </is>
      </c>
      <c r="D1473" s="2" t="inlineStr">
        <is>
          <t>Proc</t>
        </is>
      </c>
      <c r="E1473" s="3" t="inlineStr">
        <is>
          <t>Procedimiento</t>
        </is>
      </c>
    </row>
    <row r="1474" ht="16" customHeight="1" s="151">
      <c r="A1474" s="1" t="inlineStr">
        <is>
          <t>2702112</t>
        </is>
      </c>
      <c r="B1474" s="2" t="n"/>
      <c r="C1474" s="2" t="inlineStr">
        <is>
          <t>Tomografía Computacional Maxilo Facial Cone Beam Unimaxilar</t>
        </is>
      </c>
      <c r="D1474" s="2" t="inlineStr">
        <is>
          <t>Proc</t>
        </is>
      </c>
      <c r="E1474" s="3" t="inlineStr">
        <is>
          <t>Procedimiento</t>
        </is>
      </c>
    </row>
    <row r="1475" ht="16" customHeight="1" s="151">
      <c r="A1475" s="1" t="inlineStr">
        <is>
          <t>2702113</t>
        </is>
      </c>
      <c r="B1475" s="2" t="n"/>
      <c r="C1475" s="2" t="inlineStr">
        <is>
          <t>Tomografía Computada Cone Beam Bimaxilar, Máxilo Facial, Cráneo Completo, Sialo Tc Cone Beam</t>
        </is>
      </c>
      <c r="D1475" s="2" t="inlineStr">
        <is>
          <t>Proc</t>
        </is>
      </c>
      <c r="E1475" s="3" t="inlineStr">
        <is>
          <t>Procedimiento</t>
        </is>
      </c>
    </row>
    <row r="1476" ht="16" customHeight="1" s="151">
      <c r="A1476" s="1" t="inlineStr">
        <is>
          <t>2702114</t>
        </is>
      </c>
      <c r="B1476" s="2" t="n"/>
      <c r="C1476" s="2" t="inlineStr">
        <is>
          <t>Tomografía Computada de Cuello Suprahioideo con contraste</t>
        </is>
      </c>
      <c r="D1476" s="2" t="inlineStr">
        <is>
          <t>Proc</t>
        </is>
      </c>
      <c r="E1476" s="3" t="inlineStr">
        <is>
          <t>Procedimiento</t>
        </is>
      </c>
    </row>
    <row r="1477" ht="16" customHeight="1" s="151">
      <c r="A1477" s="1" t="inlineStr">
        <is>
          <t>2702115</t>
        </is>
      </c>
      <c r="B1477" s="2" t="n"/>
      <c r="C1477" s="2" t="inlineStr">
        <is>
          <t>Sialo Tomografía Computada</t>
        </is>
      </c>
      <c r="D1477" s="2" t="inlineStr">
        <is>
          <t>Proc</t>
        </is>
      </c>
      <c r="E1477" s="3" t="inlineStr">
        <is>
          <t>Procedimiento</t>
        </is>
      </c>
    </row>
    <row r="1478" ht="16" customHeight="1" s="151">
      <c r="A1478" s="1" t="inlineStr">
        <is>
          <t>2702116</t>
        </is>
      </c>
      <c r="B1478" s="2" t="n"/>
      <c r="C1478" s="2" t="inlineStr">
        <is>
          <t>Resonancia Magnética de Cuello Suprahioideo</t>
        </is>
      </c>
      <c r="D1478" s="2" t="inlineStr">
        <is>
          <t>Proc</t>
        </is>
      </c>
      <c r="E1478" s="3" t="inlineStr">
        <is>
          <t>Procedimiento</t>
        </is>
      </c>
    </row>
    <row r="1479" ht="16" customHeight="1" s="151">
      <c r="A1479" s="1" t="inlineStr">
        <is>
          <t>2702117</t>
        </is>
      </c>
      <c r="B1479" s="2" t="n"/>
      <c r="C1479" s="2" t="inlineStr">
        <is>
          <t>Estudio de Localización Maxilofacial</t>
        </is>
      </c>
      <c r="D1479" s="2" t="inlineStr">
        <is>
          <t>Proc</t>
        </is>
      </c>
      <c r="E1479" s="3" t="inlineStr">
        <is>
          <t>Procedimiento</t>
        </is>
      </c>
    </row>
    <row r="1480" ht="16" customHeight="1" s="151">
      <c r="A1480" s="1" t="inlineStr">
        <is>
          <t>2703101</t>
        </is>
      </c>
      <c r="B1480" s="2" t="n"/>
      <c r="C1480" s="2" t="inlineStr">
        <is>
          <t>Aplicación de sellantes</t>
        </is>
      </c>
      <c r="D1480" s="2" t="inlineStr">
        <is>
          <t>Proc</t>
        </is>
      </c>
      <c r="E1480" s="3" t="inlineStr">
        <is>
          <t>Procedimiento</t>
        </is>
      </c>
    </row>
    <row r="1481" ht="16" customHeight="1" s="151">
      <c r="A1481" s="1" t="inlineStr">
        <is>
          <t>2703102</t>
        </is>
      </c>
      <c r="B1481" s="2" t="n"/>
      <c r="C1481" s="2" t="inlineStr">
        <is>
          <t>Desgastes selectivos</t>
        </is>
      </c>
      <c r="D1481" s="2" t="inlineStr">
        <is>
          <t>Proc</t>
        </is>
      </c>
      <c r="E1481" s="3" t="inlineStr">
        <is>
          <t>Procedimiento</t>
        </is>
      </c>
    </row>
    <row r="1482" ht="16" customHeight="1" s="151">
      <c r="A1482" s="1" t="inlineStr">
        <is>
          <t>2703103</t>
        </is>
      </c>
      <c r="B1482" s="2" t="n"/>
      <c r="C1482" s="2" t="inlineStr">
        <is>
          <t>Destartraje y pulido coronario</t>
        </is>
      </c>
      <c r="D1482" s="2" t="inlineStr">
        <is>
          <t>Proc</t>
        </is>
      </c>
      <c r="E1482" s="3" t="inlineStr">
        <is>
          <t>Procedimiento</t>
        </is>
      </c>
    </row>
    <row r="1483" ht="16" customHeight="1" s="151">
      <c r="A1483" s="1" t="inlineStr">
        <is>
          <t>2703104</t>
        </is>
      </c>
      <c r="B1483" s="2" t="n"/>
      <c r="C1483" s="2" t="inlineStr">
        <is>
          <t>Mantenedores de espacio</t>
        </is>
      </c>
      <c r="D1483" s="2" t="inlineStr">
        <is>
          <t>Proc</t>
        </is>
      </c>
      <c r="E1483" s="3" t="inlineStr">
        <is>
          <t>Procedimiento</t>
        </is>
      </c>
    </row>
    <row r="1484" ht="16" customHeight="1" s="151">
      <c r="A1484" s="1" t="inlineStr">
        <is>
          <t>2703105</t>
        </is>
      </c>
      <c r="B1484" s="2" t="n"/>
      <c r="C1484" s="2" t="inlineStr">
        <is>
          <t>Pulpotomía</t>
        </is>
      </c>
      <c r="D1484" s="2" t="inlineStr">
        <is>
          <t>Proc</t>
        </is>
      </c>
      <c r="E1484" s="3" t="inlineStr">
        <is>
          <t>Procedimiento</t>
        </is>
      </c>
    </row>
    <row r="1485" ht="16" customHeight="1" s="151">
      <c r="A1485" s="1" t="inlineStr">
        <is>
          <t>2703106</t>
        </is>
      </c>
      <c r="B1485" s="2" t="n"/>
      <c r="C1485" s="2" t="inlineStr">
        <is>
          <t>Aplicación tópica de fluoruros</t>
        </is>
      </c>
      <c r="D1485" s="2" t="inlineStr">
        <is>
          <t>Proc</t>
        </is>
      </c>
      <c r="E1485" s="3" t="inlineStr">
        <is>
          <t>Procedimiento</t>
        </is>
      </c>
    </row>
    <row r="1486" ht="16" customHeight="1" s="151">
      <c r="A1486" s="1" t="inlineStr">
        <is>
          <t>2703107</t>
        </is>
      </c>
      <c r="B1486" s="2" t="n"/>
      <c r="C1486" s="2" t="inlineStr">
        <is>
          <t>Exodoncia simple diente permanente</t>
        </is>
      </c>
      <c r="D1486" s="2" t="inlineStr">
        <is>
          <t>Proc</t>
        </is>
      </c>
      <c r="E1486" s="3" t="inlineStr">
        <is>
          <t>Procedimiento</t>
        </is>
      </c>
    </row>
    <row r="1487" ht="16" customHeight="1" s="151">
      <c r="A1487" s="1" t="inlineStr">
        <is>
          <t>2703108</t>
        </is>
      </c>
      <c r="B1487" s="2" t="n"/>
      <c r="C1487" s="2" t="inlineStr">
        <is>
          <t>Exodoncia diente primario</t>
        </is>
      </c>
      <c r="D1487" s="2" t="inlineStr">
        <is>
          <t>Proc</t>
        </is>
      </c>
      <c r="E1487" s="3" t="inlineStr">
        <is>
          <t>Procedimiento</t>
        </is>
      </c>
    </row>
    <row r="1488" ht="16" customHeight="1" s="151">
      <c r="A1488" s="1" t="inlineStr">
        <is>
          <t>2703109</t>
        </is>
      </c>
      <c r="B1488" s="2" t="n"/>
      <c r="C1488" s="2" t="inlineStr">
        <is>
          <t>Obturación amalgama</t>
        </is>
      </c>
      <c r="D1488" s="2" t="inlineStr">
        <is>
          <t>Proc</t>
        </is>
      </c>
      <c r="E1488" s="3" t="inlineStr">
        <is>
          <t>Procedimiento</t>
        </is>
      </c>
    </row>
    <row r="1489" ht="16" customHeight="1" s="151">
      <c r="A1489" s="1" t="inlineStr">
        <is>
          <t>2703110</t>
        </is>
      </c>
      <c r="B1489" s="2" t="n"/>
      <c r="C1489" s="2" t="inlineStr">
        <is>
          <t>Obturación composite</t>
        </is>
      </c>
      <c r="D1489" s="2" t="inlineStr">
        <is>
          <t>Proc</t>
        </is>
      </c>
      <c r="E1489" s="3" t="inlineStr">
        <is>
          <t>Procedimiento</t>
        </is>
      </c>
    </row>
    <row r="1490" ht="16" customHeight="1" s="151">
      <c r="A1490" s="1" t="inlineStr">
        <is>
          <t>2703111</t>
        </is>
      </c>
      <c r="B1490" s="2" t="n"/>
      <c r="C1490" s="2" t="inlineStr">
        <is>
          <t>Obturación Vidrio Ionómero</t>
        </is>
      </c>
      <c r="D1490" s="2" t="inlineStr">
        <is>
          <t>Proc</t>
        </is>
      </c>
      <c r="E1490" s="3" t="inlineStr">
        <is>
          <t>Procedimiento</t>
        </is>
      </c>
    </row>
    <row r="1491" ht="16" customHeight="1" s="151">
      <c r="A1491" s="1" t="inlineStr">
        <is>
          <t>2703112</t>
        </is>
      </c>
      <c r="B1491" s="2" t="n"/>
      <c r="C1491" s="2" t="inlineStr">
        <is>
          <t>Profilaxis Dental</t>
        </is>
      </c>
      <c r="D1491" s="2" t="inlineStr">
        <is>
          <t>Proc</t>
        </is>
      </c>
      <c r="E1491" s="3" t="inlineStr">
        <is>
          <t>Procedimiento</t>
        </is>
      </c>
    </row>
    <row r="1492" ht="16" customHeight="1" s="151">
      <c r="A1492" s="1" t="inlineStr">
        <is>
          <t>2703113</t>
        </is>
      </c>
      <c r="B1492" s="2" t="n"/>
      <c r="C1492" s="2" t="inlineStr">
        <is>
          <t>Acceso Cavitario</t>
        </is>
      </c>
      <c r="D1492" s="2" t="inlineStr">
        <is>
          <t>Proc</t>
        </is>
      </c>
      <c r="E1492" s="3" t="inlineStr">
        <is>
          <t>Procedimiento</t>
        </is>
      </c>
    </row>
    <row r="1493" ht="16" customHeight="1" s="151">
      <c r="A1493" s="1" t="inlineStr">
        <is>
          <t>2703114</t>
        </is>
      </c>
      <c r="B1493" s="2" t="n"/>
      <c r="C1493" s="2" t="inlineStr">
        <is>
          <t>Ferulización por grupo</t>
        </is>
      </c>
      <c r="D1493" s="2" t="inlineStr">
        <is>
          <t>Proc</t>
        </is>
      </c>
      <c r="E1493" s="3" t="inlineStr">
        <is>
          <t>Procedimiento</t>
        </is>
      </c>
    </row>
    <row r="1494" ht="16" customHeight="1" s="151">
      <c r="A1494" s="1" t="inlineStr">
        <is>
          <t>2703115</t>
        </is>
      </c>
      <c r="B1494" s="2" t="n"/>
      <c r="C1494" s="2" t="inlineStr">
        <is>
          <t>Recubrimiento Directo</t>
        </is>
      </c>
      <c r="D1494" s="2" t="inlineStr">
        <is>
          <t>Proc</t>
        </is>
      </c>
      <c r="E1494" s="3" t="inlineStr">
        <is>
          <t>Procedimiento</t>
        </is>
      </c>
    </row>
    <row r="1495" ht="16" customHeight="1" s="151">
      <c r="A1495" s="1" t="inlineStr">
        <is>
          <t>2703116</t>
        </is>
      </c>
      <c r="B1495" s="2" t="n"/>
      <c r="C1495" s="2" t="inlineStr">
        <is>
          <t>Pulpectomía (por odontólogo general)</t>
        </is>
      </c>
      <c r="D1495" s="2" t="inlineStr">
        <is>
          <t>Proc</t>
        </is>
      </c>
      <c r="E1495" s="3" t="inlineStr">
        <is>
          <t>Procedimiento</t>
        </is>
      </c>
    </row>
    <row r="1496" ht="16" customHeight="1" s="151">
      <c r="A1496" s="1" t="inlineStr">
        <is>
          <t>2704001</t>
        </is>
      </c>
      <c r="B1496" s="2" t="n"/>
      <c r="C1496" s="2" t="inlineStr">
        <is>
          <t>Obturación Inlay metal (incluye materiales no preciosos, no incluye oro)</t>
        </is>
      </c>
      <c r="D1496" s="2" t="inlineStr">
        <is>
          <t>Proc</t>
        </is>
      </c>
      <c r="E1496" s="3" t="inlineStr">
        <is>
          <t>Procedimiento</t>
        </is>
      </c>
    </row>
    <row r="1497" ht="16" customHeight="1" s="151">
      <c r="A1497" s="1" t="inlineStr">
        <is>
          <t>2704002</t>
        </is>
      </c>
      <c r="B1497" s="2" t="n"/>
      <c r="C1497" s="2" t="inlineStr">
        <is>
          <t>Dispositivo Interoclusal</t>
        </is>
      </c>
      <c r="D1497" s="2" t="inlineStr">
        <is>
          <t>Proc</t>
        </is>
      </c>
      <c r="E1497" s="3" t="inlineStr">
        <is>
          <t>Procedimiento</t>
        </is>
      </c>
    </row>
    <row r="1498" ht="16" customHeight="1" s="151">
      <c r="A1498" s="1" t="inlineStr">
        <is>
          <t>2704003</t>
        </is>
      </c>
      <c r="B1498" s="2" t="n"/>
      <c r="C1498" s="2" t="inlineStr">
        <is>
          <t>Prótesis de restitución (fase clínica)</t>
        </is>
      </c>
      <c r="D1498" s="2" t="inlineStr">
        <is>
          <t>Proc</t>
        </is>
      </c>
      <c r="E1498" s="3" t="inlineStr">
        <is>
          <t>Procedimiento</t>
        </is>
      </c>
    </row>
    <row r="1499" ht="16" customHeight="1" s="151">
      <c r="A1499" s="1" t="inlineStr">
        <is>
          <t>2704004</t>
        </is>
      </c>
      <c r="B1499" s="2" t="n"/>
      <c r="C1499" s="2" t="inlineStr">
        <is>
          <t>Prótesis metálica</t>
        </is>
      </c>
      <c r="D1499" s="2" t="inlineStr">
        <is>
          <t>Proc</t>
        </is>
      </c>
      <c r="E1499" s="3" t="inlineStr">
        <is>
          <t>Procedimiento</t>
        </is>
      </c>
    </row>
    <row r="1500" ht="16" customHeight="1" s="151">
      <c r="A1500" s="1" t="inlineStr">
        <is>
          <t>2704005</t>
        </is>
      </c>
      <c r="B1500" s="2" t="n"/>
      <c r="C1500" s="2" t="inlineStr">
        <is>
          <t>Prótesis de restitución (fase laboratorio)</t>
        </is>
      </c>
      <c r="D1500" s="2" t="inlineStr">
        <is>
          <t>Proc</t>
        </is>
      </c>
      <c r="E1500" s="3" t="inlineStr">
        <is>
          <t>Procedimiento</t>
        </is>
      </c>
    </row>
    <row r="1501" ht="16" customHeight="1" s="151">
      <c r="A1501" s="1" t="inlineStr">
        <is>
          <t>2704006</t>
        </is>
      </c>
      <c r="B1501" s="2" t="n"/>
      <c r="C1501" s="2" t="inlineStr">
        <is>
          <t>Reparación compuesta de prótesis</t>
        </is>
      </c>
      <c r="D1501" s="2" t="inlineStr">
        <is>
          <t>Proc</t>
        </is>
      </c>
      <c r="E1501" s="3" t="inlineStr">
        <is>
          <t>Procedimiento</t>
        </is>
      </c>
    </row>
    <row r="1502" ht="16" customHeight="1" s="151">
      <c r="A1502" s="1" t="inlineStr">
        <is>
          <t>2704007</t>
        </is>
      </c>
      <c r="B1502" s="2" t="n"/>
      <c r="C1502" s="2" t="inlineStr">
        <is>
          <t>Reparación corona</t>
        </is>
      </c>
      <c r="D1502" s="2" t="inlineStr">
        <is>
          <t>Proc</t>
        </is>
      </c>
      <c r="E1502" s="3" t="inlineStr">
        <is>
          <t>Procedimiento</t>
        </is>
      </c>
    </row>
    <row r="1503" ht="16" customHeight="1" s="151">
      <c r="A1503" s="1" t="inlineStr">
        <is>
          <t>2704008</t>
        </is>
      </c>
      <c r="B1503" s="2" t="n"/>
      <c r="C1503" s="2" t="inlineStr">
        <is>
          <t>Reparación o reajuste prótesis</t>
        </is>
      </c>
      <c r="D1503" s="2" t="inlineStr">
        <is>
          <t>Proc</t>
        </is>
      </c>
      <c r="E1503" s="3" t="inlineStr">
        <is>
          <t>Procedimiento</t>
        </is>
      </c>
    </row>
    <row r="1504" ht="16" customHeight="1" s="151">
      <c r="A1504" s="1" t="inlineStr">
        <is>
          <t>2704009</t>
        </is>
      </c>
      <c r="B1504" s="2" t="n"/>
      <c r="C1504" s="2" t="inlineStr">
        <is>
          <t>Restitución por corona (combinada)</t>
        </is>
      </c>
      <c r="D1504" s="2" t="inlineStr">
        <is>
          <t>Proc</t>
        </is>
      </c>
      <c r="E1504" s="3" t="inlineStr">
        <is>
          <t>Procedimiento</t>
        </is>
      </c>
    </row>
    <row r="1505" ht="16" customHeight="1" s="151">
      <c r="A1505" s="1" t="inlineStr">
        <is>
          <t>2704010</t>
        </is>
      </c>
      <c r="B1505" s="2" t="n"/>
      <c r="C1505" s="2" t="inlineStr">
        <is>
          <t>Restitución por corona provisoria</t>
        </is>
      </c>
      <c r="D1505" s="2" t="inlineStr">
        <is>
          <t>Proc</t>
        </is>
      </c>
      <c r="E1505" s="3" t="inlineStr">
        <is>
          <t>Procedimiento</t>
        </is>
      </c>
    </row>
    <row r="1506" ht="16" customHeight="1" s="151">
      <c r="A1506" s="1" t="inlineStr">
        <is>
          <t>2704011</t>
        </is>
      </c>
      <c r="B1506" s="2" t="n"/>
      <c r="C1506" s="2" t="inlineStr">
        <is>
          <t>Tratamiento ortodoncia con aparatología removible (incluye aparato)(año 1)</t>
        </is>
      </c>
      <c r="D1506" s="2" t="inlineStr">
        <is>
          <t>Proc</t>
        </is>
      </c>
      <c r="E1506" s="3" t="inlineStr">
        <is>
          <t>Procedimiento</t>
        </is>
      </c>
    </row>
    <row r="1507" ht="16" customHeight="1" s="151">
      <c r="A1507" s="1" t="inlineStr">
        <is>
          <t>2704012</t>
        </is>
      </c>
      <c r="B1507" s="2" t="n"/>
      <c r="C1507" s="2" t="inlineStr">
        <is>
          <t>Tratamiento ortodoncia con aparatología fija (incluye aparato) (año 1)</t>
        </is>
      </c>
      <c r="D1507" s="2" t="inlineStr">
        <is>
          <t>Proc</t>
        </is>
      </c>
      <c r="E1507" s="3" t="inlineStr">
        <is>
          <t>Procedimiento</t>
        </is>
      </c>
    </row>
    <row r="1508" ht="16" customHeight="1" s="151">
      <c r="A1508" s="1" t="inlineStr">
        <is>
          <t>2704013</t>
        </is>
      </c>
      <c r="B1508" s="2" t="n"/>
      <c r="C1508" s="2" t="inlineStr">
        <is>
          <t>Tratamiento ortodoncia con aparatología fija (incluye aparato) (año 2)</t>
        </is>
      </c>
      <c r="D1508" s="2" t="inlineStr">
        <is>
          <t>Proc</t>
        </is>
      </c>
      <c r="E1508" s="3" t="inlineStr">
        <is>
          <t>Procedimiento</t>
        </is>
      </c>
    </row>
    <row r="1509" ht="16" customHeight="1" s="151">
      <c r="A1509" s="1" t="inlineStr">
        <is>
          <t>2704014</t>
        </is>
      </c>
      <c r="B1509" s="2" t="n"/>
      <c r="C1509" s="2" t="inlineStr">
        <is>
          <t>Endodoncia Multirradicular</t>
        </is>
      </c>
      <c r="D1509" s="2" t="inlineStr">
        <is>
          <t>Proc</t>
        </is>
      </c>
      <c r="E1509" s="3" t="inlineStr">
        <is>
          <t>Procedimiento</t>
        </is>
      </c>
    </row>
    <row r="1510" ht="16" customHeight="1" s="151">
      <c r="A1510" s="1" t="inlineStr">
        <is>
          <t>2704015</t>
        </is>
      </c>
      <c r="B1510" s="2" t="n"/>
      <c r="C1510" s="2" t="inlineStr">
        <is>
          <t>Endodoncia birradicular</t>
        </is>
      </c>
      <c r="D1510" s="2" t="inlineStr">
        <is>
          <t>Proc</t>
        </is>
      </c>
      <c r="E1510" s="3" t="inlineStr">
        <is>
          <t>Procedimiento</t>
        </is>
      </c>
    </row>
    <row r="1511" ht="16" customHeight="1" s="151">
      <c r="A1511" s="1" t="inlineStr">
        <is>
          <t>2704016</t>
        </is>
      </c>
      <c r="B1511" s="2" t="n"/>
      <c r="C1511" s="2" t="inlineStr">
        <is>
          <t>Endodoncia unirradicular</t>
        </is>
      </c>
      <c r="D1511" s="2" t="inlineStr">
        <is>
          <t>Proc</t>
        </is>
      </c>
      <c r="E1511" s="3" t="inlineStr">
        <is>
          <t>Procedimiento</t>
        </is>
      </c>
    </row>
    <row r="1512" ht="16" customHeight="1" s="151">
      <c r="A1512" s="1" t="inlineStr">
        <is>
          <t>2704017</t>
        </is>
      </c>
      <c r="B1512" s="2" t="n"/>
      <c r="C1512" s="2" t="inlineStr">
        <is>
          <t>Destartraje Subgingival y Pulido Radicular</t>
        </is>
      </c>
      <c r="D1512" s="2" t="inlineStr">
        <is>
          <t>Proc</t>
        </is>
      </c>
      <c r="E1512" s="3" t="inlineStr">
        <is>
          <t>Procedimiento</t>
        </is>
      </c>
    </row>
    <row r="1513" ht="16" customHeight="1" s="151">
      <c r="A1513" s="1" t="inlineStr">
        <is>
          <t>2704018</t>
        </is>
      </c>
      <c r="B1513" s="2" t="n"/>
      <c r="C1513" s="2" t="inlineStr">
        <is>
          <t>Sedación inhalatoria con óxido nitroso</t>
        </is>
      </c>
      <c r="D1513" s="2" t="inlineStr">
        <is>
          <t>Proc</t>
        </is>
      </c>
      <c r="E1513" s="3" t="inlineStr">
        <is>
          <t>Procedimiento</t>
        </is>
      </c>
    </row>
    <row r="1514" ht="16" customHeight="1" s="151">
      <c r="A1514" s="1" t="inlineStr">
        <is>
          <t>2704019</t>
        </is>
      </c>
      <c r="B1514" s="2" t="n"/>
      <c r="C1514" s="2" t="inlineStr">
        <is>
          <t>Corona Metálica Preformada en diente temporal</t>
        </is>
      </c>
      <c r="D1514" s="2" t="inlineStr">
        <is>
          <t>Proc</t>
        </is>
      </c>
      <c r="E1514" s="3" t="inlineStr">
        <is>
          <t>Procedimiento</t>
        </is>
      </c>
    </row>
    <row r="1515" ht="16" customHeight="1" s="151">
      <c r="A1515" s="1" t="inlineStr">
        <is>
          <t>2704020</t>
        </is>
      </c>
      <c r="B1515" s="2" t="n"/>
      <c r="C1515" s="2" t="inlineStr">
        <is>
          <t>Sialometría</t>
        </is>
      </c>
      <c r="D1515" s="2" t="inlineStr">
        <is>
          <t>Proc</t>
        </is>
      </c>
      <c r="E1515" s="3" t="inlineStr">
        <is>
          <t>Procedimiento</t>
        </is>
      </c>
    </row>
    <row r="1516" ht="16" customHeight="1" s="151">
      <c r="A1516" s="1" t="inlineStr">
        <is>
          <t>2704021</t>
        </is>
      </c>
      <c r="B1516" s="2" t="n"/>
      <c r="C1516" s="2" t="inlineStr">
        <is>
          <t>Inyección Intralesional de Medicamentos en el territorio de la Mucosa Oral</t>
        </is>
      </c>
      <c r="D1516" s="2" t="inlineStr">
        <is>
          <t>Proc</t>
        </is>
      </c>
      <c r="E1516" s="3" t="inlineStr">
        <is>
          <t>Procedimiento</t>
        </is>
      </c>
    </row>
    <row r="1517" ht="16" customHeight="1" s="151">
      <c r="A1517" s="1" t="inlineStr">
        <is>
          <t>2704022</t>
        </is>
      </c>
      <c r="B1517" s="2" t="n"/>
      <c r="C1517" s="2" t="inlineStr">
        <is>
          <t>Tratamiento No Quirúrgico de Obstrucción Glándula Salival</t>
        </is>
      </c>
      <c r="D1517" s="2" t="inlineStr">
        <is>
          <t>Proc</t>
        </is>
      </c>
      <c r="E1517" s="3" t="inlineStr">
        <is>
          <t>Procedimiento</t>
        </is>
      </c>
    </row>
    <row r="1518" ht="16" customHeight="1" s="151">
      <c r="A1518" s="1" t="inlineStr">
        <is>
          <t>2704023</t>
        </is>
      </c>
      <c r="B1518" s="2" t="n"/>
      <c r="C1518" s="2" t="inlineStr">
        <is>
          <t>Cateterismo de Conducto Excretor Glándula Salival en Adultos (c/u)</t>
        </is>
      </c>
      <c r="D1518" s="2" t="inlineStr">
        <is>
          <t>Proc</t>
        </is>
      </c>
      <c r="E1518" s="3" t="inlineStr">
        <is>
          <t>Procedimiento</t>
        </is>
      </c>
    </row>
    <row r="1519" ht="16" customHeight="1" s="151">
      <c r="A1519" s="1" t="inlineStr">
        <is>
          <t>2704024</t>
        </is>
      </c>
      <c r="B1519" s="2" t="n"/>
      <c r="C1519" s="2" t="inlineStr">
        <is>
          <t>Cateterismo de Conducto Excretor Glándula Salival en Niños (c/u)</t>
        </is>
      </c>
      <c r="D1519" s="2" t="inlineStr">
        <is>
          <t>Proc</t>
        </is>
      </c>
      <c r="E1519" s="3" t="inlineStr">
        <is>
          <t>Procedimiento</t>
        </is>
      </c>
    </row>
    <row r="1520" ht="16" customHeight="1" s="151">
      <c r="A1520" s="1" t="inlineStr">
        <is>
          <t>2704025</t>
        </is>
      </c>
      <c r="B1520" s="2" t="n"/>
      <c r="C1520" s="2" t="inlineStr">
        <is>
          <t>Instilación de Glándula Salival (c/u) (Procedimiento)</t>
        </is>
      </c>
      <c r="D1520" s="2" t="inlineStr">
        <is>
          <t>Proc</t>
        </is>
      </c>
      <c r="E1520" s="3" t="inlineStr">
        <is>
          <t>Procedimiento</t>
        </is>
      </c>
    </row>
    <row r="1521" ht="16" customHeight="1" s="151">
      <c r="A1521" s="1" t="inlineStr">
        <is>
          <t>2704026</t>
        </is>
      </c>
      <c r="B1521" s="2" t="n"/>
      <c r="C1521" s="2" t="inlineStr">
        <is>
          <t>Infiltración de la Articulación Temporomandibular, por sesión</t>
        </is>
      </c>
      <c r="D1521" s="2" t="inlineStr">
        <is>
          <t>Proc</t>
        </is>
      </c>
      <c r="E1521" s="3" t="inlineStr">
        <is>
          <t>Procedimiento</t>
        </is>
      </c>
    </row>
    <row r="1522" ht="16" customHeight="1" s="151">
      <c r="A1522" s="1" t="inlineStr">
        <is>
          <t>2704027</t>
        </is>
      </c>
      <c r="B1522" s="2" t="inlineStr">
        <is>
          <t>1</t>
        </is>
      </c>
      <c r="C1522" s="2" t="inlineStr">
        <is>
          <t>Reducción de Luxación Discal de la Articulación Témporomandibular</t>
        </is>
      </c>
      <c r="D1522" s="2" t="inlineStr">
        <is>
          <t>Proc</t>
        </is>
      </c>
      <c r="E1522" s="3" t="inlineStr">
        <is>
          <t>Procedimiento</t>
        </is>
      </c>
    </row>
    <row r="1523" ht="16" customHeight="1" s="151">
      <c r="A1523" s="1" t="inlineStr">
        <is>
          <t>2704028</t>
        </is>
      </c>
      <c r="B1523" s="2" t="n"/>
      <c r="C1523" s="2" t="inlineStr">
        <is>
          <t>Tratamiento de Ronquido Primario y Saos (Dispositivos de Avance Mandibular)</t>
        </is>
      </c>
      <c r="D1523" s="2" t="inlineStr">
        <is>
          <t>Proc</t>
        </is>
      </c>
      <c r="E1523" s="3" t="inlineStr">
        <is>
          <t>Procedimiento</t>
        </is>
      </c>
    </row>
    <row r="1524" ht="16" customHeight="1" s="151">
      <c r="A1524" s="1" t="inlineStr">
        <is>
          <t>2704029</t>
        </is>
      </c>
      <c r="B1524" s="2" t="n"/>
      <c r="C1524" s="2" t="inlineStr">
        <is>
          <t>Reparación o reajuste de Dispositivo Interoclusal</t>
        </is>
      </c>
      <c r="D1524" s="2" t="inlineStr">
        <is>
          <t>Proc</t>
        </is>
      </c>
      <c r="E1524" s="3" t="inlineStr">
        <is>
          <t>Procedimiento</t>
        </is>
      </c>
    </row>
    <row r="1525" ht="16" customHeight="1" s="151">
      <c r="A1525" s="1" t="inlineStr">
        <is>
          <t>2704030</t>
        </is>
      </c>
      <c r="B1525" s="2" t="inlineStr">
        <is>
          <t>1</t>
        </is>
      </c>
      <c r="C1525" s="2" t="inlineStr">
        <is>
          <t>Artrocentesis temporomandibular unilateral</t>
        </is>
      </c>
      <c r="D1525" s="2" t="inlineStr">
        <is>
          <t>Proc</t>
        </is>
      </c>
      <c r="E1525" s="3" t="inlineStr">
        <is>
          <t>Procedimiento</t>
        </is>
      </c>
    </row>
    <row r="1526" ht="16" customHeight="1" s="151">
      <c r="A1526" s="1" t="inlineStr">
        <is>
          <t>2705001</t>
        </is>
      </c>
      <c r="B1526" s="2" t="inlineStr">
        <is>
          <t>3</t>
        </is>
      </c>
      <c r="C1526" s="2" t="inlineStr">
        <is>
          <t>Cirugía bucal</t>
        </is>
      </c>
      <c r="D1526" s="2" t="inlineStr">
        <is>
          <t>CMen</t>
        </is>
      </c>
      <c r="E1526" s="3" t="inlineStr">
        <is>
          <t>Cirugía Menor</t>
        </is>
      </c>
    </row>
    <row r="1527" ht="16" customHeight="1" s="151">
      <c r="A1527" s="1" t="inlineStr">
        <is>
          <t>2705002</t>
        </is>
      </c>
      <c r="B1527" s="2" t="n"/>
      <c r="C1527" s="2" t="inlineStr">
        <is>
          <t>Cirugía de enfermedad periodontal (por grupo)</t>
        </is>
      </c>
      <c r="D1527" s="2" t="inlineStr">
        <is>
          <t>CMen</t>
        </is>
      </c>
      <c r="E1527" s="3" t="inlineStr">
        <is>
          <t>Cirugía Menor</t>
        </is>
      </c>
    </row>
    <row r="1528" ht="16" customHeight="1" s="151">
      <c r="A1528" s="1" t="inlineStr">
        <is>
          <t>2705003</t>
        </is>
      </c>
      <c r="B1528" s="2" t="inlineStr">
        <is>
          <t>5</t>
        </is>
      </c>
      <c r="C1528" s="2" t="inlineStr">
        <is>
          <t>Corticotomía</t>
        </is>
      </c>
      <c r="D1528" s="2" t="inlineStr">
        <is>
          <t>Cmay</t>
        </is>
      </c>
      <c r="E1528" s="3" t="inlineStr">
        <is>
          <t>Cirugía Mayor</t>
        </is>
      </c>
    </row>
    <row r="1529" ht="16" customHeight="1" s="151">
      <c r="A1529" s="1" t="inlineStr">
        <is>
          <t>2705004</t>
        </is>
      </c>
      <c r="B1529" s="2" t="inlineStr">
        <is>
          <t>6</t>
        </is>
      </c>
      <c r="C1529" s="2" t="inlineStr">
        <is>
          <t>Disyunción palatina quirúrgica</t>
        </is>
      </c>
      <c r="D1529" s="2" t="inlineStr">
        <is>
          <t>Cmay</t>
        </is>
      </c>
      <c r="E1529" s="3" t="inlineStr">
        <is>
          <t>Cirugía Mayor</t>
        </is>
      </c>
    </row>
    <row r="1530" ht="16" customHeight="1" s="151">
      <c r="A1530" s="1" t="inlineStr">
        <is>
          <t>2705005</t>
        </is>
      </c>
      <c r="B1530" s="2" t="inlineStr">
        <is>
          <t>6</t>
        </is>
      </c>
      <c r="C1530" s="2" t="inlineStr">
        <is>
          <t>Extirpación de pseudoquistes, quistes y tumores</t>
        </is>
      </c>
      <c r="D1530" s="2" t="inlineStr">
        <is>
          <t>Cmay</t>
        </is>
      </c>
      <c r="E1530" s="3" t="inlineStr">
        <is>
          <t>Cirugía Mayor</t>
        </is>
      </c>
    </row>
    <row r="1531" ht="16" customHeight="1" s="151">
      <c r="A1531" s="1" t="inlineStr">
        <is>
          <t>2705006</t>
        </is>
      </c>
      <c r="B1531" s="2" t="inlineStr">
        <is>
          <t>6</t>
        </is>
      </c>
      <c r="C1531" s="2" t="inlineStr">
        <is>
          <t>Glosectomías</t>
        </is>
      </c>
      <c r="D1531" s="2" t="inlineStr">
        <is>
          <t>Cmay</t>
        </is>
      </c>
      <c r="E1531" s="3" t="inlineStr">
        <is>
          <t>Cirugía Mayor</t>
        </is>
      </c>
    </row>
    <row r="1532" ht="16" customHeight="1" s="151">
      <c r="A1532" s="1" t="inlineStr">
        <is>
          <t>2705007</t>
        </is>
      </c>
      <c r="B1532" s="2" t="inlineStr">
        <is>
          <t>3</t>
        </is>
      </c>
      <c r="C1532" s="2" t="inlineStr">
        <is>
          <t>Implante endodóntico intraóseo</t>
        </is>
      </c>
      <c r="D1532" s="2" t="inlineStr">
        <is>
          <t>CMen</t>
        </is>
      </c>
      <c r="E1532" s="3" t="inlineStr">
        <is>
          <t>Cirugía Menor</t>
        </is>
      </c>
    </row>
    <row r="1533" ht="16" customHeight="1" s="151">
      <c r="A1533" s="1" t="inlineStr">
        <is>
          <t>2705008</t>
        </is>
      </c>
      <c r="B1533" s="2" t="inlineStr">
        <is>
          <t>6</t>
        </is>
      </c>
      <c r="C1533" s="2" t="inlineStr">
        <is>
          <t>Implantes subperiósticos</t>
        </is>
      </c>
      <c r="D1533" s="2" t="inlineStr">
        <is>
          <t>Cmay</t>
        </is>
      </c>
      <c r="E1533" s="3" t="inlineStr">
        <is>
          <t>Cirugía Mayor</t>
        </is>
      </c>
    </row>
    <row r="1534" ht="16" customHeight="1" s="151">
      <c r="A1534" s="1" t="inlineStr">
        <is>
          <t>2705009</t>
        </is>
      </c>
      <c r="B1534" s="2" t="inlineStr">
        <is>
          <t>3</t>
        </is>
      </c>
      <c r="C1534" s="2" t="inlineStr">
        <is>
          <t>Exodoncia de dientes retenidos</t>
        </is>
      </c>
      <c r="D1534" s="2" t="inlineStr">
        <is>
          <t>CMen</t>
        </is>
      </c>
      <c r="E1534" s="3" t="inlineStr">
        <is>
          <t>Cirugía Menor</t>
        </is>
      </c>
    </row>
    <row r="1535" ht="16" customHeight="1" s="151">
      <c r="A1535" s="1" t="inlineStr">
        <is>
          <t>2705010</t>
        </is>
      </c>
      <c r="B1535" s="2" t="inlineStr">
        <is>
          <t>3</t>
        </is>
      </c>
      <c r="C1535" s="2" t="inlineStr">
        <is>
          <t>Exodoncia de tercer molar con osteotomía</t>
        </is>
      </c>
      <c r="D1535" s="2" t="inlineStr">
        <is>
          <t>CMen</t>
        </is>
      </c>
      <c r="E1535" s="3" t="inlineStr">
        <is>
          <t>Cirugía Menor</t>
        </is>
      </c>
    </row>
    <row r="1536" ht="16" customHeight="1" s="151">
      <c r="A1536" s="1" t="inlineStr">
        <is>
          <t>2705011</t>
        </is>
      </c>
      <c r="B1536" s="2" t="inlineStr">
        <is>
          <t>6</t>
        </is>
      </c>
      <c r="C1536" s="2" t="inlineStr">
        <is>
          <t>Injertos en boca</t>
        </is>
      </c>
      <c r="D1536" s="2" t="inlineStr">
        <is>
          <t>Cmay</t>
        </is>
      </c>
      <c r="E1536" s="3" t="inlineStr">
        <is>
          <t>Cirugía Mayor</t>
        </is>
      </c>
    </row>
    <row r="1537" ht="16" customHeight="1" s="151">
      <c r="A1537" s="1" t="inlineStr">
        <is>
          <t>2705012</t>
        </is>
      </c>
      <c r="B1537" s="2" t="inlineStr">
        <is>
          <t>6</t>
        </is>
      </c>
      <c r="C1537" s="2" t="inlineStr">
        <is>
          <t>Elevación de piso del seno maxilar</t>
        </is>
      </c>
      <c r="D1537" s="2" t="inlineStr">
        <is>
          <t>Cmay</t>
        </is>
      </c>
      <c r="E1537" s="3" t="inlineStr">
        <is>
          <t>Cirugía Mayor</t>
        </is>
      </c>
    </row>
    <row r="1538" ht="16" customHeight="1" s="151">
      <c r="A1538" s="1" t="inlineStr">
        <is>
          <t>2705013</t>
        </is>
      </c>
      <c r="B1538" s="2" t="inlineStr">
        <is>
          <t>3</t>
        </is>
      </c>
      <c r="C1538" s="2" t="inlineStr">
        <is>
          <t>Plastía de fístula salival</t>
        </is>
      </c>
      <c r="D1538" s="2" t="inlineStr">
        <is>
          <t>CMen</t>
        </is>
      </c>
      <c r="E1538" s="3" t="inlineStr">
        <is>
          <t>Cirugía Menor</t>
        </is>
      </c>
    </row>
    <row r="1539" ht="16" customHeight="1" s="151">
      <c r="A1539" s="1" t="inlineStr">
        <is>
          <t>2705014</t>
        </is>
      </c>
      <c r="B1539" s="2" t="inlineStr">
        <is>
          <t>2</t>
        </is>
      </c>
      <c r="C1539" s="2" t="inlineStr">
        <is>
          <t>Preparación quirúrgica de los maxilares con fines protésicos</t>
        </is>
      </c>
      <c r="D1539" s="2" t="inlineStr">
        <is>
          <t>CMen</t>
        </is>
      </c>
      <c r="E1539" s="3" t="inlineStr">
        <is>
          <t>Cirugía Menor</t>
        </is>
      </c>
    </row>
    <row r="1540" ht="16" customHeight="1" s="151">
      <c r="A1540" s="1" t="inlineStr">
        <is>
          <t>2705015</t>
        </is>
      </c>
      <c r="B1540" s="2" t="inlineStr">
        <is>
          <t>5</t>
        </is>
      </c>
      <c r="C1540" s="2" t="inlineStr">
        <is>
          <t>Profundización de vestíbulo o reconstrucción de rebordes, con o sin injerto</t>
        </is>
      </c>
      <c r="D1540" s="2" t="inlineStr">
        <is>
          <t>Cmay</t>
        </is>
      </c>
      <c r="E1540" s="3" t="inlineStr">
        <is>
          <t>Cirugía Mayor</t>
        </is>
      </c>
    </row>
    <row r="1541" ht="16" customHeight="1" s="151">
      <c r="A1541" s="1" t="inlineStr">
        <is>
          <t>2705016</t>
        </is>
      </c>
      <c r="B1541" s="2" t="inlineStr">
        <is>
          <t>3</t>
        </is>
      </c>
      <c r="C1541" s="2" t="inlineStr">
        <is>
          <t>Reimplante y trasplante dentario</t>
        </is>
      </c>
      <c r="D1541" s="2" t="inlineStr">
        <is>
          <t>CMen</t>
        </is>
      </c>
      <c r="E1541" s="3" t="inlineStr">
        <is>
          <t>Cirugía Menor</t>
        </is>
      </c>
    </row>
    <row r="1542" ht="16" customHeight="1" s="151">
      <c r="A1542" s="1" t="inlineStr">
        <is>
          <t>2705017</t>
        </is>
      </c>
      <c r="B1542" s="2" t="inlineStr">
        <is>
          <t>3</t>
        </is>
      </c>
      <c r="C1542" s="2" t="inlineStr">
        <is>
          <t>Remoción de cuerpo extraño y secuestrectomía</t>
        </is>
      </c>
      <c r="D1542" s="2" t="inlineStr">
        <is>
          <t>CMen</t>
        </is>
      </c>
      <c r="E1542" s="3" t="inlineStr">
        <is>
          <t>Cirugía Menor</t>
        </is>
      </c>
    </row>
    <row r="1543" ht="16" customHeight="1" s="151">
      <c r="A1543" s="1" t="inlineStr">
        <is>
          <t>2705018</t>
        </is>
      </c>
      <c r="B1543" s="2" t="inlineStr">
        <is>
          <t>4</t>
        </is>
      </c>
      <c r="C1543" s="2" t="inlineStr">
        <is>
          <t>Sutura completa de herida mayor</t>
        </is>
      </c>
      <c r="D1543" s="2" t="inlineStr">
        <is>
          <t>CMen</t>
        </is>
      </c>
      <c r="E1543" s="3" t="inlineStr">
        <is>
          <t>Cirugía Mayor</t>
        </is>
      </c>
    </row>
    <row r="1544" ht="16" customHeight="1" s="151">
      <c r="A1544" s="1" t="inlineStr">
        <is>
          <t>2705019</t>
        </is>
      </c>
      <c r="B1544" s="2" t="inlineStr">
        <is>
          <t>4</t>
        </is>
      </c>
      <c r="C1544" s="2" t="inlineStr">
        <is>
          <t>Sutura completa de herida menor</t>
        </is>
      </c>
      <c r="D1544" s="2" t="inlineStr">
        <is>
          <t>CMen</t>
        </is>
      </c>
      <c r="E1544" s="3" t="inlineStr">
        <is>
          <t>Cirugía Menor</t>
        </is>
      </c>
    </row>
    <row r="1545" ht="16" customHeight="1" s="151">
      <c r="A1545" s="1" t="inlineStr">
        <is>
          <t>2705020</t>
        </is>
      </c>
      <c r="B1545" s="2" t="inlineStr">
        <is>
          <t>3</t>
        </is>
      </c>
      <c r="C1545" s="2" t="inlineStr">
        <is>
          <t>Sutura simple de herida</t>
        </is>
      </c>
      <c r="D1545" s="2" t="inlineStr">
        <is>
          <t>CMen</t>
        </is>
      </c>
      <c r="E1545" s="3" t="inlineStr">
        <is>
          <t>Cirugía Menor</t>
        </is>
      </c>
    </row>
    <row r="1546" ht="16" customHeight="1" s="151">
      <c r="A1546" s="1" t="inlineStr">
        <is>
          <t>2705021</t>
        </is>
      </c>
      <c r="B1546" s="2" t="inlineStr">
        <is>
          <t>6</t>
        </is>
      </c>
      <c r="C1546" s="2" t="inlineStr">
        <is>
          <t>Tratamiento quirúrgico fracturas maxilar superior</t>
        </is>
      </c>
      <c r="D1546" s="2" t="inlineStr">
        <is>
          <t>Cmay</t>
        </is>
      </c>
      <c r="E1546" s="3" t="inlineStr">
        <is>
          <t>Cirugía Mayor</t>
        </is>
      </c>
    </row>
    <row r="1547" ht="16" customHeight="1" s="151">
      <c r="A1547" s="1" t="inlineStr">
        <is>
          <t>2705022</t>
        </is>
      </c>
      <c r="B1547" s="2" t="inlineStr">
        <is>
          <t>6</t>
        </is>
      </c>
      <c r="C1547" s="2" t="inlineStr">
        <is>
          <t>Tratamiento quirúrgico de fracturas en maxilar inferior</t>
        </is>
      </c>
      <c r="D1547" s="2" t="inlineStr">
        <is>
          <t>Cmay</t>
        </is>
      </c>
      <c r="E1547" s="3" t="inlineStr">
        <is>
          <t>Cirugía Mayor</t>
        </is>
      </c>
    </row>
    <row r="1548" ht="16" customHeight="1" s="151">
      <c r="A1548" s="1" t="inlineStr">
        <is>
          <t>2705023</t>
        </is>
      </c>
      <c r="B1548" s="2" t="inlineStr">
        <is>
          <t>3</t>
        </is>
      </c>
      <c r="C1548" s="2" t="inlineStr">
        <is>
          <t>Tratamiento de traumatismo dento alveolar simple</t>
        </is>
      </c>
      <c r="D1548" s="2" t="inlineStr">
        <is>
          <t>Proc</t>
        </is>
      </c>
      <c r="E1548" s="3" t="inlineStr">
        <is>
          <t>Procedimiento</t>
        </is>
      </c>
    </row>
    <row r="1549" ht="16" customHeight="1" s="151">
      <c r="A1549" s="1" t="inlineStr">
        <is>
          <t>2705024</t>
        </is>
      </c>
      <c r="B1549" s="2" t="inlineStr">
        <is>
          <t>4</t>
        </is>
      </c>
      <c r="C1549" s="2" t="inlineStr">
        <is>
          <t>Tratamiento de traumatismo dento alveolar complejo</t>
        </is>
      </c>
      <c r="D1549" s="2" t="inlineStr">
        <is>
          <t>Proc</t>
        </is>
      </c>
      <c r="E1549" s="3" t="inlineStr">
        <is>
          <t>Procedimiento</t>
        </is>
      </c>
    </row>
    <row r="1550" ht="16" customHeight="1" s="151">
      <c r="A1550" s="1" t="inlineStr">
        <is>
          <t>2705025</t>
        </is>
      </c>
      <c r="B1550" s="2" t="inlineStr">
        <is>
          <t>5</t>
        </is>
      </c>
      <c r="C1550" s="2" t="inlineStr">
        <is>
          <t>Implante oseointegrado</t>
        </is>
      </c>
      <c r="D1550" s="2" t="inlineStr">
        <is>
          <t>Cmay</t>
        </is>
      </c>
      <c r="E1550" s="3" t="inlineStr">
        <is>
          <t>Cirugía Mayor</t>
        </is>
      </c>
    </row>
    <row r="1551" ht="16" customHeight="1" s="151">
      <c r="A1551" s="4" t="inlineStr">
        <is>
          <t>2705026</t>
        </is>
      </c>
      <c r="B1551" s="5" t="inlineStr">
        <is>
          <t>5</t>
        </is>
      </c>
      <c r="C1551" s="5" t="inlineStr">
        <is>
          <t>Pilar Protésico sobre Implantes</t>
        </is>
      </c>
      <c r="D1551" s="5" t="inlineStr">
        <is>
          <t>Cmay</t>
        </is>
      </c>
      <c r="E1551" s="6" t="inlineStr">
        <is>
          <t>Cirugía Mayor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:F1"/>
    </sheetView>
  </sheetViews>
  <sheetFormatPr baseColWidth="10" defaultColWidth="8.83203125" defaultRowHeight="15"/>
  <cols>
    <col width="95" customWidth="1" style="151" min="1" max="6"/>
  </cols>
  <sheetData>
    <row r="1" ht="38" customHeight="1" s="151">
      <c r="A1" s="157" t="inlineStr">
        <is>
          <t>Guía rápida para cargar datos sin errores</t>
        </is>
      </c>
    </row>
    <row r="3" ht="16" customHeight="1" s="151">
      <c r="A3" s="63" t="inlineStr">
        <is>
          <t>1. Ingrese datos solo en las columnas amarillas de Carga Web Cirugias.</t>
        </is>
      </c>
      <c r="B3" s="14" t="inlineStr">
        <is>
          <t>Qué completar</t>
        </is>
      </c>
      <c r="C3" s="14" t="inlineStr">
        <is>
          <t>Columnas</t>
        </is>
      </c>
      <c r="D3" s="14" t="inlineStr">
        <is>
          <t>Quién lo completa</t>
        </is>
      </c>
      <c r="E3" s="14" t="inlineStr">
        <is>
          <t>Regla</t>
        </is>
      </c>
      <c r="F3" s="14" t="inlineStr">
        <is>
          <t>Impacto en web</t>
        </is>
      </c>
    </row>
    <row r="4" ht="16" customHeight="1" s="151">
      <c r="A4" s="64" t="inlineStr">
        <is>
          <t>2. No escriba sobre columnas azules claras: contienen fórmulas automáticas.</t>
        </is>
      </c>
      <c r="B4" s="2" t="inlineStr">
        <is>
          <t>Identificación del paciente</t>
        </is>
      </c>
      <c r="C4" s="2" t="inlineStr">
        <is>
          <t>Fecha, Episodio, Paciente, Apellido, Edad</t>
        </is>
      </c>
      <c r="D4" s="2" t="inlineStr">
        <is>
          <t>Administrativo / pabellón</t>
        </is>
      </c>
      <c r="E4" s="2" t="inlineStr">
        <is>
          <t>No dejar vacío</t>
        </is>
      </c>
      <c r="F4" s="2" t="inlineStr">
        <is>
          <t>Permite filtrar por día y auditar caso a caso</t>
        </is>
      </c>
    </row>
    <row r="5" ht="16" customHeight="1" s="151">
      <c r="A5" s="64" t="inlineStr">
        <is>
          <t>3. Complete siempre Fecha, Paciente, Pabellón/Quirófano, Estado e Ingreso Pabellón.</t>
        </is>
      </c>
      <c r="B5" s="2" t="inlineStr">
        <is>
          <t>Cirugía y códigos</t>
        </is>
      </c>
      <c r="C5" s="2" t="inlineStr">
        <is>
          <t>Descripción Intervención, Codigo 1, Codigo 2</t>
        </is>
      </c>
      <c r="D5" s="2" t="inlineStr">
        <is>
          <t>Equipo quirúrgico / administrativo</t>
        </is>
      </c>
      <c r="E5" s="2" t="inlineStr">
        <is>
          <t>Codigo 1 es obligatorio; Codigo 2 si corresponde</t>
        </is>
      </c>
      <c r="F5" s="2" t="inlineStr">
        <is>
          <t>Calcula categoría quirúrgica</t>
        </is>
      </c>
    </row>
    <row r="6" ht="16" customHeight="1" s="151">
      <c r="A6" s="64" t="inlineStr">
        <is>
          <t>4. Para asertividad, complete Tiempo programado de cirugía en tabla (Min).</t>
        </is>
      </c>
      <c r="B6" s="2" t="inlineStr">
        <is>
          <t>Categoría</t>
        </is>
      </c>
      <c r="C6" s="2" t="inlineStr">
        <is>
          <t>Categoria</t>
        </is>
      </c>
      <c r="D6" s="2" t="inlineStr">
        <is>
          <t>Automático</t>
        </is>
      </c>
      <c r="E6" s="2" t="inlineStr">
        <is>
          <t>Se obtiene desde Catalogo MINSAL</t>
        </is>
      </c>
      <c r="F6" s="2" t="inlineStr">
        <is>
          <t>Gráfico de cirugía mayor/menor/procedimiento</t>
        </is>
      </c>
    </row>
    <row r="7" ht="16" customHeight="1" s="151">
      <c r="A7" s="64" t="inlineStr">
        <is>
          <t>5. Use formato de hora hh:mm, por ejemplo 08:15.</t>
        </is>
      </c>
      <c r="B7" s="2" t="inlineStr">
        <is>
          <t>Equipo y pabellón</t>
        </is>
      </c>
      <c r="C7" s="2" t="inlineStr">
        <is>
          <t>Especialidad, Anestesista, Cirujano, Pabellon</t>
        </is>
      </c>
      <c r="D7" s="2" t="inlineStr">
        <is>
          <t>Pabellón</t>
        </is>
      </c>
      <c r="E7" s="2" t="inlineStr">
        <is>
          <t>Usar nombres consistentes</t>
        </is>
      </c>
      <c r="F7" s="2" t="inlineStr">
        <is>
          <t>Filtros por especialidad y resumen por pabellón</t>
        </is>
      </c>
    </row>
    <row r="8" ht="16" customHeight="1" s="151">
      <c r="A8" s="64" t="inlineStr">
        <is>
          <t>6. Para CMA y hospitalización use Sí, No o Pendiente.</t>
        </is>
      </c>
      <c r="B8" s="2" t="inlineStr">
        <is>
          <t>Estado</t>
        </is>
      </c>
      <c r="C8" s="2" t="inlineStr">
        <is>
          <t>Estado</t>
        </is>
      </c>
      <c r="D8" s="2" t="inlineStr">
        <is>
          <t>Pabellón</t>
        </is>
      </c>
      <c r="E8" s="2" t="inlineStr">
        <is>
          <t>Elegir Atendido, Realizado, Suspendido o Agendado</t>
        </is>
      </c>
      <c r="F8" s="2" t="inlineStr">
        <is>
          <t>Calcula suspensiones y causas</t>
        </is>
      </c>
    </row>
    <row r="9" ht="16" customHeight="1" s="151">
      <c r="A9" s="64" t="inlineStr">
        <is>
          <t>7. Guarde el archivo como .xlsx antes de actualizar el dashboard.</t>
        </is>
      </c>
      <c r="B9" s="2" t="inlineStr">
        <is>
          <t>Horas</t>
        </is>
      </c>
      <c r="C9" s="2" t="inlineStr">
        <is>
          <t>Ingreso, Inicio, Término, Salida</t>
        </is>
      </c>
      <c r="D9" s="2" t="inlineStr">
        <is>
          <t>Pabellón</t>
        </is>
      </c>
      <c r="E9" s="2" t="inlineStr">
        <is>
          <t>Formato hh:mm</t>
        </is>
      </c>
      <c r="F9" s="2" t="inlineStr">
        <is>
          <t>Calcula atraso, demora y duración real</t>
        </is>
      </c>
    </row>
    <row r="10" ht="16" customHeight="1" s="151">
      <c r="A10" s="1" t="inlineStr">
        <is>
          <t>7</t>
        </is>
      </c>
      <c r="B10" s="2" t="inlineStr">
        <is>
          <t>Ingreso primera hora</t>
        </is>
      </c>
      <c r="C10" s="2" t="inlineStr">
        <is>
          <t>Clasificación ingreso 08:00-08:15</t>
        </is>
      </c>
      <c r="D10" s="2" t="inlineStr">
        <is>
          <t>Automático</t>
        </is>
      </c>
      <c r="E10" s="2" t="inlineStr">
        <is>
          <t>Hasta 08:15 adecuado; mayor a 08:15 atraso</t>
        </is>
      </c>
      <c r="F10" s="2" t="inlineStr">
        <is>
          <t>Indicador operativo de primera hora</t>
        </is>
      </c>
    </row>
    <row r="11" ht="16" customHeight="1" s="151">
      <c r="A11" s="1" t="inlineStr">
        <is>
          <t>8</t>
        </is>
      </c>
      <c r="B11" s="2" t="inlineStr">
        <is>
          <t>Tiempo programado</t>
        </is>
      </c>
      <c r="C11" s="2" t="inlineStr">
        <is>
          <t>Tiempo programado de cirugía en tabla (Min)</t>
        </is>
      </c>
      <c r="D11" s="2" t="inlineStr">
        <is>
          <t>Jefatura / programación</t>
        </is>
      </c>
      <c r="E11" s="2" t="inlineStr">
        <is>
          <t>Ingresar minutos manualmente</t>
        </is>
      </c>
      <c r="F11" s="2" t="inlineStr">
        <is>
          <t>Calcula asertividad</t>
        </is>
      </c>
    </row>
    <row r="12" ht="16" customHeight="1" s="151">
      <c r="A12" s="1" t="inlineStr">
        <is>
          <t>9</t>
        </is>
      </c>
      <c r="B12" s="2" t="inlineStr">
        <is>
          <t>Suspensiones</t>
        </is>
      </c>
      <c r="C12" s="2" t="inlineStr">
        <is>
          <t>Causa Suspension</t>
        </is>
      </c>
      <c r="D12" s="2" t="inlineStr">
        <is>
          <t>Pabellón / jefatura</t>
        </is>
      </c>
      <c r="E12" s="2" t="inlineStr">
        <is>
          <t>Obligatorio si Estado = Suspendido</t>
        </is>
      </c>
      <c r="F12" s="2" t="inlineStr">
        <is>
          <t>Gráfico y tabla de causas</t>
        </is>
      </c>
    </row>
    <row r="13" ht="16" customHeight="1" s="151">
      <c r="A13" s="1" t="inlineStr">
        <is>
          <t>10</t>
        </is>
      </c>
      <c r="B13" s="2" t="inlineStr">
        <is>
          <t>Actualizar web</t>
        </is>
      </c>
      <c r="C13" s="2" t="inlineStr">
        <is>
          <t>Guardar Excel</t>
        </is>
      </c>
      <c r="D13" s="2" t="inlineStr">
        <is>
          <t>Usuario</t>
        </is>
      </c>
      <c r="E13" s="2" t="inlineStr">
        <is>
          <t>Luego presionar Actualizar desde Excel en la web</t>
        </is>
      </c>
      <c r="F13" s="2" t="inlineStr">
        <is>
          <t>Dashboard queda actualizado</t>
        </is>
      </c>
    </row>
    <row r="14">
      <c r="A14" s="1" t="n"/>
      <c r="B14" s="2" t="n"/>
      <c r="C14" s="2" t="n"/>
      <c r="D14" s="2" t="n"/>
      <c r="E14" s="2" t="n"/>
      <c r="F14" s="2" t="n"/>
    </row>
    <row r="15" ht="16" customHeight="1" s="151">
      <c r="A15" s="1" t="inlineStr">
        <is>
          <t>Colores</t>
        </is>
      </c>
      <c r="B15" s="2" t="inlineStr">
        <is>
          <t>Blanco</t>
        </is>
      </c>
      <c r="C15" s="2" t="inlineStr">
        <is>
          <t>Entrada manual</t>
        </is>
      </c>
      <c r="D15" s="2" t="n"/>
      <c r="E15" s="2" t="n"/>
      <c r="F15" s="2" t="n"/>
    </row>
    <row r="16" ht="16" customHeight="1" s="151">
      <c r="A16" s="1" t="inlineStr">
        <is>
          <t>Colores</t>
        </is>
      </c>
      <c r="B16" s="2" t="inlineStr">
        <is>
          <t>Naranjo</t>
        </is>
      </c>
      <c r="C16" s="2" t="inlineStr">
        <is>
          <t>Dato manual crítico</t>
        </is>
      </c>
      <c r="D16" s="2" t="n"/>
      <c r="E16" s="2" t="n"/>
      <c r="F16" s="2" t="n"/>
    </row>
    <row r="18" ht="48" customHeight="1" s="151">
      <c r="A18" s="16" t="inlineStr">
        <is>
          <t>Nuevas columnas: Ingreso CMA ambulatorio y Hospitalizado posterior. Completar con Sí, No o Pendiente según corresponda.</t>
        </is>
      </c>
    </row>
    <row r="20" ht="45" customHeight="1" s="151">
      <c r="A20" s="16" t="inlineStr">
        <is>
          <t>Nueva columna: Subespecialidad. Completar manualmente cuando se requiera separar la especialidad en una línea clínica más específica.</t>
        </is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151" min="1" max="1"/>
    <col width="14" customWidth="1" style="151" min="2" max="2"/>
    <col width="13" customWidth="1" style="151" min="3" max="3"/>
    <col width="14" customWidth="1" style="151" min="4" max="4"/>
    <col width="58" customWidth="1" style="151" min="5" max="5"/>
  </cols>
  <sheetData>
    <row r="1" ht="26" customHeight="1" s="151">
      <c r="A1" s="76" t="inlineStr">
        <is>
          <t>Indicador</t>
        </is>
      </c>
      <c r="B1" s="76" t="inlineStr">
        <is>
          <t>Referencia</t>
        </is>
      </c>
      <c r="C1" s="76" t="inlineStr">
        <is>
          <t>Unidad</t>
        </is>
      </c>
      <c r="D1" s="76" t="inlineStr">
        <is>
          <t>Regla</t>
        </is>
      </c>
      <c r="E1" s="76" t="inlineStr">
        <is>
          <t>Descripcion</t>
        </is>
      </c>
    </row>
    <row r="2" ht="34" customHeight="1" s="151">
      <c r="A2" s="77" t="inlineStr">
        <is>
          <t>Pacientes Programados</t>
        </is>
      </c>
      <c r="B2" s="78" t="n">
        <v>71</v>
      </c>
      <c r="C2" s="79" t="inlineStr">
        <is>
          <t>casos</t>
        </is>
      </c>
      <c r="D2" s="80" t="inlineStr">
        <is>
          <t>referencia</t>
        </is>
      </c>
      <c r="E2" s="80" t="inlineStr">
        <is>
          <t>Meta de producción semanal programada</t>
        </is>
      </c>
    </row>
    <row r="3" ht="34" customHeight="1" s="151">
      <c r="A3" s="81" t="inlineStr">
        <is>
          <t>Retraso Primera Hora</t>
        </is>
      </c>
      <c r="B3" s="82" t="n">
        <v>15</v>
      </c>
      <c r="C3" s="79" t="inlineStr">
        <is>
          <t>min</t>
        </is>
      </c>
      <c r="D3" s="83" t="inlineStr">
        <is>
          <t>menor</t>
        </is>
      </c>
      <c r="E3" s="80" t="inlineStr">
        <is>
          <t>Ingreso esperado entre 08:00 y 08:15 para la primera cirugía</t>
        </is>
      </c>
    </row>
    <row r="4" ht="34" customHeight="1" s="151">
      <c r="A4" s="81" t="inlineStr">
        <is>
          <t>Ocupación Diaria</t>
        </is>
      </c>
      <c r="B4" s="84" t="n">
        <v>75</v>
      </c>
      <c r="C4" s="79" t="inlineStr">
        <is>
          <t>%</t>
        </is>
      </c>
      <c r="D4" s="83" t="inlineStr">
        <is>
          <t>mayor</t>
        </is>
      </c>
      <c r="E4" s="80" t="inlineStr">
        <is>
          <t>Porcentaje del tiempo disponible de los pabellones que efectivamente fue utilizado en actividad quirúrgica: minutos quirúrgicos usados / minutos disponibles.</t>
        </is>
      </c>
    </row>
    <row r="5" ht="34" customHeight="1" s="151">
      <c r="A5" s="81" t="inlineStr">
        <is>
          <t>Rendimiento Diario</t>
        </is>
      </c>
      <c r="B5" s="84" t="n">
        <v>6</v>
      </c>
      <c r="C5" s="79" t="inlineStr">
        <is>
          <t>pac/día</t>
        </is>
      </c>
      <c r="D5" s="83" t="inlineStr">
        <is>
          <t>mayor_igual</t>
        </is>
      </c>
      <c r="E5" s="80" t="inlineStr">
        <is>
          <t>Promedio mínimo de pacientes operados por día</t>
        </is>
      </c>
    </row>
    <row r="6" ht="34" customHeight="1" s="151">
      <c r="A6" s="81" t="inlineStr">
        <is>
          <t>Promedio Recambio</t>
        </is>
      </c>
      <c r="B6" s="82" t="n">
        <v>15</v>
      </c>
      <c r="C6" s="79" t="inlineStr">
        <is>
          <t>min</t>
        </is>
      </c>
      <c r="D6" s="83" t="inlineStr">
        <is>
          <t>menor</t>
        </is>
      </c>
      <c r="E6" s="80" t="inlineStr">
        <is>
          <t>Meta de recambio entre una cirugía y la siguiente</t>
        </is>
      </c>
    </row>
    <row r="7" ht="34" customHeight="1" s="151">
      <c r="A7" s="81" t="inlineStr">
        <is>
          <t>Subprogramación Diaria</t>
        </is>
      </c>
      <c r="B7" s="84" t="n">
        <v>60</v>
      </c>
      <c r="C7" s="79" t="inlineStr">
        <is>
          <t>min</t>
        </is>
      </c>
      <c r="D7" s="83" t="inlineStr">
        <is>
          <t>menor</t>
        </is>
      </c>
      <c r="E7" s="80" t="inlineStr">
        <is>
          <t>Diferencia positiva máxima entre duración real y tiempo programado</t>
        </is>
      </c>
    </row>
    <row r="8" ht="34" customHeight="1" s="151">
      <c r="A8" s="81" t="inlineStr">
        <is>
          <t>Suspensiones</t>
        </is>
      </c>
      <c r="B8" s="82" t="n">
        <v>5</v>
      </c>
      <c r="C8" s="79" t="inlineStr">
        <is>
          <t>%</t>
        </is>
      </c>
      <c r="D8" s="83" t="inlineStr">
        <is>
          <t>menor</t>
        </is>
      </c>
      <c r="E8" s="80" t="inlineStr">
        <is>
          <t>Porcentaje máximo esperado de suspensiones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2026-05-28T19:53:33Z</dcterms:created>
  <dcterms:modified xmlns:dcterms="http://purl.org/dc/terms/" xmlns:xsi="http://www.w3.org/2001/XMLSchema-instance" xsi:type="dcterms:W3CDTF">2026-06-12T13:54:19Z</dcterms:modified>
  <cp:lastModifiedBy>Jazmín F</cp:lastModifiedBy>
</cp:coreProperties>
</file>